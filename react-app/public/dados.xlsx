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4"/>
    <sheet state="visible" name="Proventos" sheetId="2" r:id="rId5"/>
    <sheet state="visible" name="Cartão-Previsão" sheetId="3" r:id="rId6"/>
    <sheet state="visible" name="Cartão-Detalhe" sheetId="4" r:id="rId7"/>
    <sheet state="visible" name="Cartão-Forecast" sheetId="5" r:id="rId8"/>
    <sheet state="visible" name="Ações-Carteira" sheetId="6" r:id="rId9"/>
    <sheet state="visible" name="Renda-Projetiva" sheetId="7" r:id="rId10"/>
    <sheet state="visible" name="Proventos-Recebidos" sheetId="8" r:id="rId11"/>
    <sheet state="visible" name="Proventos-A-Receber" sheetId="9" r:id="rId12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mmm"/>
    <numFmt numFmtId="166" formatCode="d&quot;/&quot;m&quot;/&quot;yy"/>
    <numFmt numFmtId="167" formatCode="dd&quot;/&quot;mm&quot;/&quot;yyyy"/>
    <numFmt numFmtId="168" formatCode="_-&quot;R$&quot;\ * #,##0_-;\-&quot;R$&quot;\ * #,##0_-;_-&quot;R$&quot;\ * &quot;-&quot;??_-;_-@"/>
    <numFmt numFmtId="169" formatCode="0.0%"/>
    <numFmt numFmtId="170" formatCode="_-&quot;R$&quot;\ * #,##0.0_-;\-&quot;R$&quot;\ * #,##0.0_-;_-&quot;R$&quot;\ * &quot;-&quot;??_-;_-@"/>
  </numFmts>
  <fonts count="3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2" xfId="0" applyFont="1" applyNumberFormat="1"/>
    <xf borderId="0" fillId="0" fontId="1" numFmtId="165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6" xfId="0" applyFont="1" applyNumberFormat="1"/>
    <xf borderId="0" fillId="0" fontId="2" numFmtId="10" xfId="0" applyFont="1" applyNumberFormat="1"/>
    <xf borderId="0" fillId="0" fontId="2" numFmtId="168" xfId="0" applyFont="1" applyNumberFormat="1"/>
    <xf borderId="0" fillId="0" fontId="2" numFmtId="169" xfId="0" applyFont="1" applyNumberFormat="1"/>
    <xf borderId="0" fillId="0" fontId="2" numFmtId="170" xfId="0" applyFont="1" applyNumberFormat="1"/>
    <xf borderId="0" fillId="0" fontId="2" numFmtId="9" xfId="0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8.88"/>
    <col customWidth="1" min="3" max="26" width="8.63"/>
  </cols>
  <sheetData>
    <row r="1">
      <c r="A1" s="1" t="str">
        <f>IFERROR(__xludf.DUMMYFUNCTION("IMPORTRANGE(""https://docs.google.com/spreadsheets/d/1QEICpkTEbV1Z_LWeaMjl4KVDsEDLt2EDAtqOvRWsWng/edit?gid=573951668#gid=573951668"",""Consolidado!A2:Z100"")"),"Alias")</f>
        <v>Alias</v>
      </c>
      <c r="B1" s="1" t="str">
        <f>IFERROR(__xludf.DUMMYFUNCTION("""COMPUTED_VALUE"""),"Id")</f>
        <v>Id</v>
      </c>
      <c r="C1" s="2" t="str">
        <f>IFERROR(__xludf.DUMMYFUNCTION("""COMPUTED_VALUE"""),"25-01")</f>
        <v>25-01</v>
      </c>
      <c r="D1" s="1" t="str">
        <f>IFERROR(__xludf.DUMMYFUNCTION("""COMPUTED_VALUE"""),"25-02")</f>
        <v>25-02</v>
      </c>
      <c r="E1" s="1" t="str">
        <f>IFERROR(__xludf.DUMMYFUNCTION("""COMPUTED_VALUE"""),"25-03")</f>
        <v>25-03</v>
      </c>
      <c r="F1" s="1" t="str">
        <f>IFERROR(__xludf.DUMMYFUNCTION("""COMPUTED_VALUE"""),"25-04")</f>
        <v>25-04</v>
      </c>
      <c r="G1" s="1" t="str">
        <f>IFERROR(__xludf.DUMMYFUNCTION("""COMPUTED_VALUE"""),"25-05")</f>
        <v>25-05</v>
      </c>
      <c r="H1" s="1" t="str">
        <f>IFERROR(__xludf.DUMMYFUNCTION("""COMPUTED_VALUE"""),"25-06")</f>
        <v>25-06</v>
      </c>
      <c r="I1" s="1" t="str">
        <f>IFERROR(__xludf.DUMMYFUNCTION("""COMPUTED_VALUE"""),"25-07")</f>
        <v>25-07</v>
      </c>
      <c r="J1" s="1" t="str">
        <f>IFERROR(__xludf.DUMMYFUNCTION("""COMPUTED_VALUE"""),"25-08")</f>
        <v>25-08</v>
      </c>
      <c r="K1" s="1" t="str">
        <f>IFERROR(__xludf.DUMMYFUNCTION("""COMPUTED_VALUE"""),"25-09")</f>
        <v>25-09</v>
      </c>
      <c r="L1" s="1" t="str">
        <f>IFERROR(__xludf.DUMMYFUNCTION("""COMPUTED_VALUE"""),"25-10")</f>
        <v>25-10</v>
      </c>
      <c r="M1" s="1" t="str">
        <f>IFERROR(__xludf.DUMMYFUNCTION("""COMPUTED_VALUE"""),"25-11")</f>
        <v>25-11</v>
      </c>
      <c r="N1" s="1" t="str">
        <f>IFERROR(__xludf.DUMMYFUNCTION("""COMPUTED_VALUE"""),"25-12")</f>
        <v>25-12</v>
      </c>
      <c r="O1" s="2" t="str">
        <f>IFERROR(__xludf.DUMMYFUNCTION("""COMPUTED_VALUE"""),"26-01")</f>
        <v>26-01</v>
      </c>
      <c r="P1" s="1" t="str">
        <f>IFERROR(__xludf.DUMMYFUNCTION("""COMPUTED_VALUE"""),"26-02")</f>
        <v>26-02</v>
      </c>
      <c r="Q1" s="1" t="str">
        <f>IFERROR(__xludf.DUMMYFUNCTION("""COMPUTED_VALUE"""),"26-03")</f>
        <v>26-03</v>
      </c>
      <c r="R1" s="1" t="str">
        <f>IFERROR(__xludf.DUMMYFUNCTION("""COMPUTED_VALUE"""),"26-04")</f>
        <v>26-04</v>
      </c>
      <c r="S1" s="1" t="str">
        <f>IFERROR(__xludf.DUMMYFUNCTION("""COMPUTED_VALUE"""),"26-05")</f>
        <v>26-05</v>
      </c>
      <c r="T1" s="1" t="str">
        <f>IFERROR(__xludf.DUMMYFUNCTION("""COMPUTED_VALUE"""),"26-06")</f>
        <v>26-06</v>
      </c>
      <c r="U1" s="1" t="str">
        <f>IFERROR(__xludf.DUMMYFUNCTION("""COMPUTED_VALUE"""),"26-07")</f>
        <v>26-07</v>
      </c>
      <c r="V1" s="1" t="str">
        <f>IFERROR(__xludf.DUMMYFUNCTION("""COMPUTED_VALUE"""),"26-08")</f>
        <v>26-08</v>
      </c>
      <c r="W1" s="1" t="str">
        <f>IFERROR(__xludf.DUMMYFUNCTION("""COMPUTED_VALUE"""),"26-09")</f>
        <v>26-09</v>
      </c>
      <c r="X1" s="1" t="str">
        <f>IFERROR(__xludf.DUMMYFUNCTION("""COMPUTED_VALUE"""),"26-10")</f>
        <v>26-10</v>
      </c>
      <c r="Y1" s="1" t="str">
        <f>IFERROR(__xludf.DUMMYFUNCTION("""COMPUTED_VALUE"""),"26-11")</f>
        <v>26-11</v>
      </c>
      <c r="Z1" s="1" t="str">
        <f>IFERROR(__xludf.DUMMYFUNCTION("""COMPUTED_VALUE"""),"26-12")</f>
        <v>26-12</v>
      </c>
    </row>
    <row r="2">
      <c r="A2" s="1" t="str">
        <f>IFERROR(__xludf.DUMMYFUNCTION("""COMPUTED_VALUE"""),"Créditos")</f>
        <v>Créditos</v>
      </c>
      <c r="B2" s="1" t="str">
        <f>IFERROR(__xludf.DUMMYFUNCTION("""COMPUTED_VALUE"""),"Créditos")</f>
        <v>Créditos</v>
      </c>
      <c r="C2" s="3">
        <f>IFERROR(__xludf.DUMMYFUNCTION("""COMPUTED_VALUE"""),-0.0017500000103609636)</f>
        <v>-0.00175000001</v>
      </c>
      <c r="D2" s="3">
        <f>IFERROR(__xludf.DUMMYFUNCTION("""COMPUTED_VALUE"""),0.006345438996504527)</f>
        <v>0.006345438997</v>
      </c>
      <c r="E2" s="3">
        <f>IFERROR(__xludf.DUMMYFUNCTION("""COMPUTED_VALUE"""),0.0036303854940342717)</f>
        <v>0.003630385494</v>
      </c>
      <c r="F2" s="3">
        <f>IFERROR(__xludf.DUMMYFUNCTION("""COMPUTED_VALUE"""),4.84143994981423E-4)</f>
        <v>0.000484143995</v>
      </c>
      <c r="G2" s="3">
        <f>IFERROR(__xludf.DUMMYFUNCTION("""COMPUTED_VALUE"""),5.159565043868497E-4)</f>
        <v>0.0005159565044</v>
      </c>
      <c r="H2" s="3">
        <f>IFERROR(__xludf.DUMMYFUNCTION("""COMPUTED_VALUE"""),-6.207984952197876E-4)</f>
        <v>-0.0006207984952</v>
      </c>
      <c r="I2" s="3">
        <f>IFERROR(__xludf.DUMMYFUNCTION("""COMPUTED_VALUE"""),0.002098677501635393)</f>
        <v>0.002098677502</v>
      </c>
      <c r="J2" s="3">
        <f>IFERROR(__xludf.DUMMYFUNCTION("""COMPUTED_VALUE"""),-1.5742249888717197E-4)</f>
        <v>-0.0001574224989</v>
      </c>
      <c r="K2" s="3">
        <f>IFERROR(__xludf.DUMMYFUNCTION("""COMPUTED_VALUE"""),0.0031425775086972862)</f>
        <v>0.003142577509</v>
      </c>
      <c r="L2" s="3">
        <f>IFERROR(__xludf.DUMMYFUNCTION("""COMPUTED_VALUE"""),0.004471039515919983)</f>
        <v>0.004471039516</v>
      </c>
      <c r="M2" s="3">
        <f>IFERROR(__xludf.DUMMYFUNCTION("""COMPUTED_VALUE"""),230.828049249998)</f>
        <v>230.8280492</v>
      </c>
      <c r="N2" s="3">
        <f>IFERROR(__xludf.DUMMYFUNCTION("""COMPUTED_VALUE"""),662.7168386850244)</f>
        <v>662.7168387</v>
      </c>
      <c r="O2" s="3" t="str">
        <f>IFERROR(__xludf.DUMMYFUNCTION("""COMPUTED_VALUE"""),"")</f>
        <v/>
      </c>
      <c r="P2" s="3" t="str">
        <f>IFERROR(__xludf.DUMMYFUNCTION("""COMPUTED_VALUE"""),"")</f>
        <v/>
      </c>
      <c r="Q2" s="3" t="str">
        <f>IFERROR(__xludf.DUMMYFUNCTION("""COMPUTED_VALUE"""),"")</f>
        <v/>
      </c>
      <c r="R2" s="3" t="str">
        <f>IFERROR(__xludf.DUMMYFUNCTION("""COMPUTED_VALUE"""),"")</f>
        <v/>
      </c>
      <c r="S2" s="3" t="str">
        <f>IFERROR(__xludf.DUMMYFUNCTION("""COMPUTED_VALUE"""),"")</f>
        <v/>
      </c>
      <c r="T2" s="3" t="str">
        <f>IFERROR(__xludf.DUMMYFUNCTION("""COMPUTED_VALUE"""),"")</f>
        <v/>
      </c>
      <c r="U2" s="3" t="str">
        <f>IFERROR(__xludf.DUMMYFUNCTION("""COMPUTED_VALUE"""),"")</f>
        <v/>
      </c>
      <c r="V2" s="3" t="str">
        <f>IFERROR(__xludf.DUMMYFUNCTION("""COMPUTED_VALUE"""),"")</f>
        <v/>
      </c>
      <c r="W2" s="3" t="str">
        <f>IFERROR(__xludf.DUMMYFUNCTION("""COMPUTED_VALUE"""),"")</f>
        <v/>
      </c>
      <c r="X2" s="3" t="str">
        <f>IFERROR(__xludf.DUMMYFUNCTION("""COMPUTED_VALUE"""),"")</f>
        <v/>
      </c>
      <c r="Y2" s="3" t="str">
        <f>IFERROR(__xludf.DUMMYFUNCTION("""COMPUTED_VALUE"""),"")</f>
        <v/>
      </c>
      <c r="Z2" s="3" t="str">
        <f>IFERROR(__xludf.DUMMYFUNCTION("""COMPUTED_VALUE"""),"")</f>
        <v/>
      </c>
    </row>
    <row r="3">
      <c r="A3" s="1" t="str">
        <f>IFERROR(__xludf.DUMMYFUNCTION("""COMPUTED_VALUE"""),"Débidos")</f>
        <v>Débidos</v>
      </c>
      <c r="B3" s="1" t="str">
        <f>IFERROR(__xludf.DUMMYFUNCTION("""COMPUTED_VALUE"""),"Débidos")</f>
        <v>Débidos</v>
      </c>
      <c r="C3" s="3">
        <f>IFERROR(__xludf.DUMMYFUNCTION("""COMPUTED_VALUE"""),-0.020000000004074536)</f>
        <v>-0.02</v>
      </c>
      <c r="D3" s="3">
        <f>IFERROR(__xludf.DUMMYFUNCTION("""COMPUTED_VALUE"""),0.0)</f>
        <v>0</v>
      </c>
      <c r="E3" s="3">
        <f>IFERROR(__xludf.DUMMYFUNCTION("""COMPUTED_VALUE"""),-0.002715053502470255)</f>
        <v>-0.002715053502</v>
      </c>
      <c r="F3" s="3">
        <f>IFERROR(__xludf.DUMMYFUNCTION("""COMPUTED_VALUE"""),0.0)</f>
        <v>0</v>
      </c>
      <c r="G3" s="3">
        <f>IFERROR(__xludf.DUMMYFUNCTION("""COMPUTED_VALUE"""),0.0)</f>
        <v>0</v>
      </c>
      <c r="H3" s="3">
        <f>IFERROR(__xludf.DUMMYFUNCTION("""COMPUTED_VALUE"""),0.0)</f>
        <v>0</v>
      </c>
      <c r="I3" s="3">
        <f>IFERROR(__xludf.DUMMYFUNCTION("""COMPUTED_VALUE"""),0.0)</f>
        <v>0</v>
      </c>
      <c r="J3" s="3">
        <f>IFERROR(__xludf.DUMMYFUNCTION("""COMPUTED_VALUE"""),0.0)</f>
        <v>0</v>
      </c>
      <c r="K3" s="3">
        <f>IFERROR(__xludf.DUMMYFUNCTION("""COMPUTED_VALUE"""),0.0)</f>
        <v>0</v>
      </c>
      <c r="L3" s="3">
        <f>IFERROR(__xludf.DUMMYFUNCTION("""COMPUTED_VALUE"""),0.0)</f>
        <v>0</v>
      </c>
      <c r="M3" s="3">
        <f>IFERROR(__xludf.DUMMYFUNCTION("""COMPUTED_VALUE"""),0.0)</f>
        <v>0</v>
      </c>
      <c r="N3" s="3">
        <f>IFERROR(__xludf.DUMMYFUNCTION("""COMPUTED_VALUE"""),6988.130000000005)</f>
        <v>6988.13</v>
      </c>
      <c r="O3" s="3" t="str">
        <f>IFERROR(__xludf.DUMMYFUNCTION("""COMPUTED_VALUE"""),"")</f>
        <v/>
      </c>
      <c r="P3" s="3" t="str">
        <f>IFERROR(__xludf.DUMMYFUNCTION("""COMPUTED_VALUE"""),"")</f>
        <v/>
      </c>
      <c r="Q3" s="3" t="str">
        <f>IFERROR(__xludf.DUMMYFUNCTION("""COMPUTED_VALUE"""),"")</f>
        <v/>
      </c>
      <c r="R3" s="3" t="str">
        <f>IFERROR(__xludf.DUMMYFUNCTION("""COMPUTED_VALUE"""),"")</f>
        <v/>
      </c>
      <c r="S3" s="3" t="str">
        <f>IFERROR(__xludf.DUMMYFUNCTION("""COMPUTED_VALUE"""),"")</f>
        <v/>
      </c>
      <c r="T3" s="3" t="str">
        <f>IFERROR(__xludf.DUMMYFUNCTION("""COMPUTED_VALUE"""),"")</f>
        <v/>
      </c>
      <c r="U3" s="3" t="str">
        <f>IFERROR(__xludf.DUMMYFUNCTION("""COMPUTED_VALUE"""),"")</f>
        <v/>
      </c>
      <c r="V3" s="3" t="str">
        <f>IFERROR(__xludf.DUMMYFUNCTION("""COMPUTED_VALUE"""),"")</f>
        <v/>
      </c>
      <c r="W3" s="3" t="str">
        <f>IFERROR(__xludf.DUMMYFUNCTION("""COMPUTED_VALUE"""),"")</f>
        <v/>
      </c>
      <c r="X3" s="3" t="str">
        <f>IFERROR(__xludf.DUMMYFUNCTION("""COMPUTED_VALUE"""),"")</f>
        <v/>
      </c>
      <c r="Y3" s="3" t="str">
        <f>IFERROR(__xludf.DUMMYFUNCTION("""COMPUTED_VALUE"""),"")</f>
        <v/>
      </c>
      <c r="Z3" s="3" t="str">
        <f>IFERROR(__xludf.DUMMYFUNCTION("""COMPUTED_VALUE"""),"")</f>
        <v/>
      </c>
    </row>
    <row r="4">
      <c r="A4" s="1" t="str">
        <f>IFERROR(__xludf.DUMMYFUNCTION("""COMPUTED_VALUE"""),"Salário Fabrício Previsto")</f>
        <v>Salário Fabrício Previsto</v>
      </c>
      <c r="B4" s="1" t="str">
        <f>IFERROR(__xludf.DUMMYFUNCTION("""COMPUTED_VALUE"""),"Salário")</f>
        <v>Salário</v>
      </c>
      <c r="C4" s="3">
        <f>IFERROR(__xludf.DUMMYFUNCTION("""COMPUTED_VALUE"""),17051.99)</f>
        <v>17051.99</v>
      </c>
      <c r="D4" s="3">
        <f>IFERROR(__xludf.DUMMYFUNCTION("""COMPUTED_VALUE"""),17020.99)</f>
        <v>17020.99</v>
      </c>
      <c r="E4" s="3">
        <f>IFERROR(__xludf.DUMMYFUNCTION("""COMPUTED_VALUE"""),17020.99)</f>
        <v>17020.99</v>
      </c>
      <c r="F4" s="3">
        <f>IFERROR(__xludf.DUMMYFUNCTION("""COMPUTED_VALUE"""),18276.4)</f>
        <v>18276.4</v>
      </c>
      <c r="G4" s="3">
        <f>IFERROR(__xludf.DUMMYFUNCTION("""COMPUTED_VALUE"""),18276.4)</f>
        <v>18276.4</v>
      </c>
      <c r="H4" s="3">
        <f>IFERROR(__xludf.DUMMYFUNCTION("""COMPUTED_VALUE"""),18289.13)</f>
        <v>18289.13</v>
      </c>
      <c r="I4" s="3">
        <f>IFERROR(__xludf.DUMMYFUNCTION("""COMPUTED_VALUE"""),18341.26)</f>
        <v>18341.26</v>
      </c>
      <c r="J4" s="3">
        <f>IFERROR(__xludf.DUMMYFUNCTION("""COMPUTED_VALUE"""),18178.86)</f>
        <v>18178.86</v>
      </c>
      <c r="K4" s="3">
        <f>IFERROR(__xludf.DUMMYFUNCTION("""COMPUTED_VALUE"""),18178.86)</f>
        <v>18178.86</v>
      </c>
      <c r="L4" s="3">
        <f>IFERROR(__xludf.DUMMYFUNCTION("""COMPUTED_VALUE"""),18178.86)</f>
        <v>18178.86</v>
      </c>
      <c r="M4" s="3">
        <f>IFERROR(__xludf.DUMMYFUNCTION("""COMPUTED_VALUE"""),9423.21)</f>
        <v>9423.21</v>
      </c>
      <c r="N4" s="3">
        <f>IFERROR(__xludf.DUMMYFUNCTION("""COMPUTED_VALUE"""),18178.86)</f>
        <v>18178.86</v>
      </c>
      <c r="O4" s="3" t="str">
        <f>IFERROR(__xludf.DUMMYFUNCTION("""COMPUTED_VALUE"""),"")</f>
        <v/>
      </c>
      <c r="P4" s="3" t="str">
        <f>IFERROR(__xludf.DUMMYFUNCTION("""COMPUTED_VALUE"""),"")</f>
        <v/>
      </c>
      <c r="Q4" s="3" t="str">
        <f>IFERROR(__xludf.DUMMYFUNCTION("""COMPUTED_VALUE"""),"")</f>
        <v/>
      </c>
      <c r="R4" s="3" t="str">
        <f>IFERROR(__xludf.DUMMYFUNCTION("""COMPUTED_VALUE"""),"")</f>
        <v/>
      </c>
      <c r="S4" s="3" t="str">
        <f>IFERROR(__xludf.DUMMYFUNCTION("""COMPUTED_VALUE"""),"")</f>
        <v/>
      </c>
      <c r="T4" s="3" t="str">
        <f>IFERROR(__xludf.DUMMYFUNCTION("""COMPUTED_VALUE"""),"")</f>
        <v/>
      </c>
      <c r="U4" s="3" t="str">
        <f>IFERROR(__xludf.DUMMYFUNCTION("""COMPUTED_VALUE"""),"")</f>
        <v/>
      </c>
      <c r="V4" s="3" t="str">
        <f>IFERROR(__xludf.DUMMYFUNCTION("""COMPUTED_VALUE"""),"")</f>
        <v/>
      </c>
      <c r="W4" s="3" t="str">
        <f>IFERROR(__xludf.DUMMYFUNCTION("""COMPUTED_VALUE"""),"")</f>
        <v/>
      </c>
      <c r="X4" s="3" t="str">
        <f>IFERROR(__xludf.DUMMYFUNCTION("""COMPUTED_VALUE"""),"")</f>
        <v/>
      </c>
      <c r="Y4" s="3" t="str">
        <f>IFERROR(__xludf.DUMMYFUNCTION("""COMPUTED_VALUE"""),"")</f>
        <v/>
      </c>
      <c r="Z4" s="3" t="str">
        <f>IFERROR(__xludf.DUMMYFUNCTION("""COMPUTED_VALUE"""),"")</f>
        <v/>
      </c>
    </row>
    <row r="5">
      <c r="A5" s="1" t="str">
        <f>IFERROR(__xludf.DUMMYFUNCTION("""COMPUTED_VALUE"""),"Salário Fabrício Realizado")</f>
        <v>Salário Fabrício Realizado</v>
      </c>
      <c r="B5" s="1" t="str">
        <f>IFERROR(__xludf.DUMMYFUNCTION("""COMPUTED_VALUE"""),"Salário")</f>
        <v>Salário</v>
      </c>
      <c r="C5" s="3">
        <f>IFERROR(__xludf.DUMMYFUNCTION("""COMPUTED_VALUE"""),17051.99)</f>
        <v>17051.99</v>
      </c>
      <c r="D5" s="3">
        <f>IFERROR(__xludf.DUMMYFUNCTION("""COMPUTED_VALUE"""),17020.99)</f>
        <v>17020.99</v>
      </c>
      <c r="E5" s="3">
        <f>IFERROR(__xludf.DUMMYFUNCTION("""COMPUTED_VALUE"""),17020.99)</f>
        <v>17020.99</v>
      </c>
      <c r="F5" s="3">
        <f>IFERROR(__xludf.DUMMYFUNCTION("""COMPUTED_VALUE"""),18276.4)</f>
        <v>18276.4</v>
      </c>
      <c r="G5" s="3">
        <f>IFERROR(__xludf.DUMMYFUNCTION("""COMPUTED_VALUE"""),18276.4)</f>
        <v>18276.4</v>
      </c>
      <c r="H5" s="3">
        <f>IFERROR(__xludf.DUMMYFUNCTION("""COMPUTED_VALUE"""),18289.13)</f>
        <v>18289.13</v>
      </c>
      <c r="I5" s="3">
        <f>IFERROR(__xludf.DUMMYFUNCTION("""COMPUTED_VALUE"""),18341.26)</f>
        <v>18341.26</v>
      </c>
      <c r="J5" s="3">
        <f>IFERROR(__xludf.DUMMYFUNCTION("""COMPUTED_VALUE"""),18178.86)</f>
        <v>18178.86</v>
      </c>
      <c r="K5" s="3">
        <f>IFERROR(__xludf.DUMMYFUNCTION("""COMPUTED_VALUE"""),18178.86)</f>
        <v>18178.86</v>
      </c>
      <c r="L5" s="3">
        <f>IFERROR(__xludf.DUMMYFUNCTION("""COMPUTED_VALUE"""),18178.86)</f>
        <v>18178.86</v>
      </c>
      <c r="M5" s="3">
        <f>IFERROR(__xludf.DUMMYFUNCTION("""COMPUTED_VALUE"""),9423.21)</f>
        <v>9423.21</v>
      </c>
      <c r="N5" s="3">
        <f>IFERROR(__xludf.DUMMYFUNCTION("""COMPUTED_VALUE"""),18178.86)</f>
        <v>18178.86</v>
      </c>
      <c r="O5" s="3" t="str">
        <f>IFERROR(__xludf.DUMMYFUNCTION("""COMPUTED_VALUE"""),"")</f>
        <v/>
      </c>
      <c r="P5" s="3" t="str">
        <f>IFERROR(__xludf.DUMMYFUNCTION("""COMPUTED_VALUE"""),"")</f>
        <v/>
      </c>
      <c r="Q5" s="3" t="str">
        <f>IFERROR(__xludf.DUMMYFUNCTION("""COMPUTED_VALUE"""),"")</f>
        <v/>
      </c>
      <c r="R5" s="3" t="str">
        <f>IFERROR(__xludf.DUMMYFUNCTION("""COMPUTED_VALUE"""),"")</f>
        <v/>
      </c>
      <c r="S5" s="3" t="str">
        <f>IFERROR(__xludf.DUMMYFUNCTION("""COMPUTED_VALUE"""),"")</f>
        <v/>
      </c>
      <c r="T5" s="3" t="str">
        <f>IFERROR(__xludf.DUMMYFUNCTION("""COMPUTED_VALUE"""),"")</f>
        <v/>
      </c>
      <c r="U5" s="3" t="str">
        <f>IFERROR(__xludf.DUMMYFUNCTION("""COMPUTED_VALUE"""),"")</f>
        <v/>
      </c>
      <c r="V5" s="3" t="str">
        <f>IFERROR(__xludf.DUMMYFUNCTION("""COMPUTED_VALUE"""),"")</f>
        <v/>
      </c>
      <c r="W5" s="3" t="str">
        <f>IFERROR(__xludf.DUMMYFUNCTION("""COMPUTED_VALUE"""),"")</f>
        <v/>
      </c>
      <c r="X5" s="3" t="str">
        <f>IFERROR(__xludf.DUMMYFUNCTION("""COMPUTED_VALUE"""),"")</f>
        <v/>
      </c>
      <c r="Y5" s="3" t="str">
        <f>IFERROR(__xludf.DUMMYFUNCTION("""COMPUTED_VALUE"""),"")</f>
        <v/>
      </c>
      <c r="Z5" s="3" t="str">
        <f>IFERROR(__xludf.DUMMYFUNCTION("""COMPUTED_VALUE"""),"")</f>
        <v/>
      </c>
    </row>
    <row r="6">
      <c r="A6" s="1" t="str">
        <f>IFERROR(__xludf.DUMMYFUNCTION("""COMPUTED_VALUE"""),"Salário Amanda Previsto")</f>
        <v>Salário Amanda Previsto</v>
      </c>
      <c r="B6" s="1" t="str">
        <f>IFERROR(__xludf.DUMMYFUNCTION("""COMPUTED_VALUE"""),"Amanda")</f>
        <v>Amanda</v>
      </c>
      <c r="C6" s="3">
        <f>IFERROR(__xludf.DUMMYFUNCTION("""COMPUTED_VALUE"""),4900.0)</f>
        <v>4900</v>
      </c>
      <c r="D6" s="3">
        <f>IFERROR(__xludf.DUMMYFUNCTION("""COMPUTED_VALUE"""),4594.67)</f>
        <v>4594.67</v>
      </c>
      <c r="E6" s="3">
        <f>IFERROR(__xludf.DUMMYFUNCTION("""COMPUTED_VALUE"""),5096.98)</f>
        <v>5096.98</v>
      </c>
      <c r="F6" s="3">
        <f>IFERROR(__xludf.DUMMYFUNCTION("""COMPUTED_VALUE"""),5096.98)</f>
        <v>5096.98</v>
      </c>
      <c r="G6" s="3">
        <f>IFERROR(__xludf.DUMMYFUNCTION("""COMPUTED_VALUE"""),4900.0)</f>
        <v>4900</v>
      </c>
      <c r="H6" s="3">
        <f>IFERROR(__xludf.DUMMYFUNCTION("""COMPUTED_VALUE"""),4900.0)</f>
        <v>4900</v>
      </c>
      <c r="I6" s="3">
        <f>IFERROR(__xludf.DUMMYFUNCTION("""COMPUTED_VALUE"""),4900.0)</f>
        <v>4900</v>
      </c>
      <c r="J6" s="3">
        <f>IFERROR(__xludf.DUMMYFUNCTION("""COMPUTED_VALUE"""),4900.0)</f>
        <v>4900</v>
      </c>
      <c r="K6" s="3">
        <f>IFERROR(__xludf.DUMMYFUNCTION("""COMPUTED_VALUE"""),5148.96)</f>
        <v>5148.96</v>
      </c>
      <c r="L6" s="3">
        <f>IFERROR(__xludf.DUMMYFUNCTION("""COMPUTED_VALUE"""),5148.96)</f>
        <v>5148.96</v>
      </c>
      <c r="M6" s="3">
        <f>IFERROR(__xludf.DUMMYFUNCTION("""COMPUTED_VALUE"""),3782.96)</f>
        <v>3782.96</v>
      </c>
      <c r="N6" s="3">
        <f>IFERROR(__xludf.DUMMYFUNCTION("""COMPUTED_VALUE"""),4900.0)</f>
        <v>4900</v>
      </c>
      <c r="O6" s="3" t="str">
        <f>IFERROR(__xludf.DUMMYFUNCTION("""COMPUTED_VALUE"""),"")</f>
        <v/>
      </c>
      <c r="P6" s="3" t="str">
        <f>IFERROR(__xludf.DUMMYFUNCTION("""COMPUTED_VALUE"""),"")</f>
        <v/>
      </c>
      <c r="Q6" s="3" t="str">
        <f>IFERROR(__xludf.DUMMYFUNCTION("""COMPUTED_VALUE"""),"")</f>
        <v/>
      </c>
      <c r="R6" s="3" t="str">
        <f>IFERROR(__xludf.DUMMYFUNCTION("""COMPUTED_VALUE"""),"")</f>
        <v/>
      </c>
      <c r="S6" s="3" t="str">
        <f>IFERROR(__xludf.DUMMYFUNCTION("""COMPUTED_VALUE"""),"")</f>
        <v/>
      </c>
      <c r="T6" s="3" t="str">
        <f>IFERROR(__xludf.DUMMYFUNCTION("""COMPUTED_VALUE"""),"")</f>
        <v/>
      </c>
      <c r="U6" s="3" t="str">
        <f>IFERROR(__xludf.DUMMYFUNCTION("""COMPUTED_VALUE"""),"")</f>
        <v/>
      </c>
      <c r="V6" s="3" t="str">
        <f>IFERROR(__xludf.DUMMYFUNCTION("""COMPUTED_VALUE"""),"")</f>
        <v/>
      </c>
      <c r="W6" s="3" t="str">
        <f>IFERROR(__xludf.DUMMYFUNCTION("""COMPUTED_VALUE"""),"")</f>
        <v/>
      </c>
      <c r="X6" s="3" t="str">
        <f>IFERROR(__xludf.DUMMYFUNCTION("""COMPUTED_VALUE"""),"")</f>
        <v/>
      </c>
      <c r="Y6" s="3" t="str">
        <f>IFERROR(__xludf.DUMMYFUNCTION("""COMPUTED_VALUE"""),"")</f>
        <v/>
      </c>
      <c r="Z6" s="3" t="str">
        <f>IFERROR(__xludf.DUMMYFUNCTION("""COMPUTED_VALUE"""),"")</f>
        <v/>
      </c>
    </row>
    <row r="7">
      <c r="A7" s="1" t="str">
        <f>IFERROR(__xludf.DUMMYFUNCTION("""COMPUTED_VALUE"""),"Salário Amanda Realizado")</f>
        <v>Salário Amanda Realizado</v>
      </c>
      <c r="B7" s="1" t="str">
        <f>IFERROR(__xludf.DUMMYFUNCTION("""COMPUTED_VALUE"""),"Amanda")</f>
        <v>Amanda</v>
      </c>
      <c r="C7" s="3">
        <f>IFERROR(__xludf.DUMMYFUNCTION("""COMPUTED_VALUE"""),4900.0)</f>
        <v>4900</v>
      </c>
      <c r="D7" s="3">
        <f>IFERROR(__xludf.DUMMYFUNCTION("""COMPUTED_VALUE"""),4594.67)</f>
        <v>4594.67</v>
      </c>
      <c r="E7" s="3">
        <f>IFERROR(__xludf.DUMMYFUNCTION("""COMPUTED_VALUE"""),5096.98)</f>
        <v>5096.98</v>
      </c>
      <c r="F7" s="3">
        <f>IFERROR(__xludf.DUMMYFUNCTION("""COMPUTED_VALUE"""),5096.98)</f>
        <v>5096.98</v>
      </c>
      <c r="G7" s="3">
        <f>IFERROR(__xludf.DUMMYFUNCTION("""COMPUTED_VALUE"""),4900.0)</f>
        <v>4900</v>
      </c>
      <c r="H7" s="3">
        <f>IFERROR(__xludf.DUMMYFUNCTION("""COMPUTED_VALUE"""),4900.0)</f>
        <v>4900</v>
      </c>
      <c r="I7" s="3">
        <f>IFERROR(__xludf.DUMMYFUNCTION("""COMPUTED_VALUE"""),4900.0)</f>
        <v>4900</v>
      </c>
      <c r="J7" s="3">
        <f>IFERROR(__xludf.DUMMYFUNCTION("""COMPUTED_VALUE"""),4900.0)</f>
        <v>4900</v>
      </c>
      <c r="K7" s="3">
        <f>IFERROR(__xludf.DUMMYFUNCTION("""COMPUTED_VALUE"""),5148.96)</f>
        <v>5148.96</v>
      </c>
      <c r="L7" s="3">
        <f>IFERROR(__xludf.DUMMYFUNCTION("""COMPUTED_VALUE"""),5148.96)</f>
        <v>5148.96</v>
      </c>
      <c r="M7" s="3">
        <f>IFERROR(__xludf.DUMMYFUNCTION("""COMPUTED_VALUE"""),3782.96)</f>
        <v>3782.96</v>
      </c>
      <c r="N7" s="3">
        <f>IFERROR(__xludf.DUMMYFUNCTION("""COMPUTED_VALUE"""),4900.0)</f>
        <v>4900</v>
      </c>
      <c r="O7" s="3" t="str">
        <f>IFERROR(__xludf.DUMMYFUNCTION("""COMPUTED_VALUE"""),"")</f>
        <v/>
      </c>
      <c r="P7" s="3" t="str">
        <f>IFERROR(__xludf.DUMMYFUNCTION("""COMPUTED_VALUE"""),"")</f>
        <v/>
      </c>
      <c r="Q7" s="3" t="str">
        <f>IFERROR(__xludf.DUMMYFUNCTION("""COMPUTED_VALUE"""),"")</f>
        <v/>
      </c>
      <c r="R7" s="3" t="str">
        <f>IFERROR(__xludf.DUMMYFUNCTION("""COMPUTED_VALUE"""),"")</f>
        <v/>
      </c>
      <c r="S7" s="3" t="str">
        <f>IFERROR(__xludf.DUMMYFUNCTION("""COMPUTED_VALUE"""),"")</f>
        <v/>
      </c>
      <c r="T7" s="3" t="str">
        <f>IFERROR(__xludf.DUMMYFUNCTION("""COMPUTED_VALUE"""),"")</f>
        <v/>
      </c>
      <c r="U7" s="3" t="str">
        <f>IFERROR(__xludf.DUMMYFUNCTION("""COMPUTED_VALUE"""),"")</f>
        <v/>
      </c>
      <c r="V7" s="3" t="str">
        <f>IFERROR(__xludf.DUMMYFUNCTION("""COMPUTED_VALUE"""),"")</f>
        <v/>
      </c>
      <c r="W7" s="3" t="str">
        <f>IFERROR(__xludf.DUMMYFUNCTION("""COMPUTED_VALUE"""),"")</f>
        <v/>
      </c>
      <c r="X7" s="3" t="str">
        <f>IFERROR(__xludf.DUMMYFUNCTION("""COMPUTED_VALUE"""),"")</f>
        <v/>
      </c>
      <c r="Y7" s="3" t="str">
        <f>IFERROR(__xludf.DUMMYFUNCTION("""COMPUTED_VALUE"""),"")</f>
        <v/>
      </c>
      <c r="Z7" s="3" t="str">
        <f>IFERROR(__xludf.DUMMYFUNCTION("""COMPUTED_VALUE"""),"")</f>
        <v/>
      </c>
    </row>
    <row r="8">
      <c r="A8" s="1" t="str">
        <f>IFERROR(__xludf.DUMMYFUNCTION("""COMPUTED_VALUE"""),"Apto. 7L AJS Previsto")</f>
        <v>Apto. 7L AJS Previsto</v>
      </c>
      <c r="B8" s="1" t="str">
        <f>IFERROR(__xludf.DUMMYFUNCTION("""COMPUTED_VALUE"""),"Apto. 7L")</f>
        <v>Apto. 7L</v>
      </c>
      <c r="C8" s="3">
        <f>IFERROR(__xludf.DUMMYFUNCTION("""COMPUTED_VALUE"""),7590.847500000001)</f>
        <v>7590.8475</v>
      </c>
      <c r="D8" s="3">
        <f>IFERROR(__xludf.DUMMYFUNCTION("""COMPUTED_VALUE"""),11384.1375)</f>
        <v>11384.1375</v>
      </c>
      <c r="E8" s="3">
        <f>IFERROR(__xludf.DUMMYFUNCTION("""COMPUTED_VALUE"""),9730.154999999999)</f>
        <v>9730.155</v>
      </c>
      <c r="F8" s="3">
        <f>IFERROR(__xludf.DUMMYFUNCTION("""COMPUTED_VALUE"""),11820.960000000001)</f>
        <v>11820.96</v>
      </c>
      <c r="G8" s="3">
        <f>IFERROR(__xludf.DUMMYFUNCTION("""COMPUTED_VALUE"""),7997.205)</f>
        <v>7997.205</v>
      </c>
      <c r="H8" s="3">
        <f>IFERROR(__xludf.DUMMYFUNCTION("""COMPUTED_VALUE"""),8905.7625)</f>
        <v>8905.7625</v>
      </c>
      <c r="I8" s="3">
        <f>IFERROR(__xludf.DUMMYFUNCTION("""COMPUTED_VALUE"""),7500.0)</f>
        <v>7500</v>
      </c>
      <c r="J8" s="3">
        <f>IFERROR(__xludf.DUMMYFUNCTION("""COMPUTED_VALUE"""),7500.0)</f>
        <v>7500</v>
      </c>
      <c r="K8" s="3">
        <f>IFERROR(__xludf.DUMMYFUNCTION("""COMPUTED_VALUE"""),7500.0)</f>
        <v>7500</v>
      </c>
      <c r="L8" s="3">
        <f>IFERROR(__xludf.DUMMYFUNCTION("""COMPUTED_VALUE"""),9127.785)</f>
        <v>9127.785</v>
      </c>
      <c r="M8" s="3">
        <f>IFERROR(__xludf.DUMMYFUNCTION("""COMPUTED_VALUE"""),8615.895)</f>
        <v>8615.895</v>
      </c>
      <c r="N8" s="3">
        <f>IFERROR(__xludf.DUMMYFUNCTION("""COMPUTED_VALUE"""),7500.0)</f>
        <v>7500</v>
      </c>
      <c r="O8" s="3" t="str">
        <f>IFERROR(__xludf.DUMMYFUNCTION("""COMPUTED_VALUE"""),"")</f>
        <v/>
      </c>
      <c r="P8" s="3" t="str">
        <f>IFERROR(__xludf.DUMMYFUNCTION("""COMPUTED_VALUE"""),"")</f>
        <v/>
      </c>
      <c r="Q8" s="3" t="str">
        <f>IFERROR(__xludf.DUMMYFUNCTION("""COMPUTED_VALUE"""),"")</f>
        <v/>
      </c>
      <c r="R8" s="3" t="str">
        <f>IFERROR(__xludf.DUMMYFUNCTION("""COMPUTED_VALUE"""),"")</f>
        <v/>
      </c>
      <c r="S8" s="3" t="str">
        <f>IFERROR(__xludf.DUMMYFUNCTION("""COMPUTED_VALUE"""),"")</f>
        <v/>
      </c>
      <c r="T8" s="3" t="str">
        <f>IFERROR(__xludf.DUMMYFUNCTION("""COMPUTED_VALUE"""),"")</f>
        <v/>
      </c>
      <c r="U8" s="3" t="str">
        <f>IFERROR(__xludf.DUMMYFUNCTION("""COMPUTED_VALUE"""),"")</f>
        <v/>
      </c>
      <c r="V8" s="3" t="str">
        <f>IFERROR(__xludf.DUMMYFUNCTION("""COMPUTED_VALUE"""),"")</f>
        <v/>
      </c>
      <c r="W8" s="3" t="str">
        <f>IFERROR(__xludf.DUMMYFUNCTION("""COMPUTED_VALUE"""),"")</f>
        <v/>
      </c>
      <c r="X8" s="3" t="str">
        <f>IFERROR(__xludf.DUMMYFUNCTION("""COMPUTED_VALUE"""),"")</f>
        <v/>
      </c>
      <c r="Y8" s="3" t="str">
        <f>IFERROR(__xludf.DUMMYFUNCTION("""COMPUTED_VALUE"""),"")</f>
        <v/>
      </c>
      <c r="Z8" s="3" t="str">
        <f>IFERROR(__xludf.DUMMYFUNCTION("""COMPUTED_VALUE"""),"")</f>
        <v/>
      </c>
    </row>
    <row r="9">
      <c r="A9" s="1" t="str">
        <f>IFERROR(__xludf.DUMMYFUNCTION("""COMPUTED_VALUE"""),"Apto. 7L AJS Realizado")</f>
        <v>Apto. 7L AJS Realizado</v>
      </c>
      <c r="B9" s="1" t="str">
        <f>IFERROR(__xludf.DUMMYFUNCTION("""COMPUTED_VALUE"""),"Apto. 7L")</f>
        <v>Apto. 7L</v>
      </c>
      <c r="C9" s="3">
        <f>IFERROR(__xludf.DUMMYFUNCTION("""COMPUTED_VALUE"""),7590.847500000001)</f>
        <v>7590.8475</v>
      </c>
      <c r="D9" s="3">
        <f>IFERROR(__xludf.DUMMYFUNCTION("""COMPUTED_VALUE"""),11384.1375)</f>
        <v>11384.1375</v>
      </c>
      <c r="E9" s="3">
        <f>IFERROR(__xludf.DUMMYFUNCTION("""COMPUTED_VALUE"""),9730.154999999999)</f>
        <v>9730.155</v>
      </c>
      <c r="F9" s="3">
        <f>IFERROR(__xludf.DUMMYFUNCTION("""COMPUTED_VALUE"""),11820.960000000001)</f>
        <v>11820.96</v>
      </c>
      <c r="G9" s="3">
        <f>IFERROR(__xludf.DUMMYFUNCTION("""COMPUTED_VALUE"""),7997.205)</f>
        <v>7997.205</v>
      </c>
      <c r="H9" s="3">
        <f>IFERROR(__xludf.DUMMYFUNCTION("""COMPUTED_VALUE"""),8905.7625)</f>
        <v>8905.7625</v>
      </c>
      <c r="I9" s="3">
        <f>IFERROR(__xludf.DUMMYFUNCTION("""COMPUTED_VALUE"""),7500.0)</f>
        <v>7500</v>
      </c>
      <c r="J9" s="3">
        <f>IFERROR(__xludf.DUMMYFUNCTION("""COMPUTED_VALUE"""),7500.0)</f>
        <v>7500</v>
      </c>
      <c r="K9" s="3">
        <f>IFERROR(__xludf.DUMMYFUNCTION("""COMPUTED_VALUE"""),7500.0)</f>
        <v>7500</v>
      </c>
      <c r="L9" s="3">
        <f>IFERROR(__xludf.DUMMYFUNCTION("""COMPUTED_VALUE"""),9127.785)</f>
        <v>9127.785</v>
      </c>
      <c r="M9" s="3">
        <f>IFERROR(__xludf.DUMMYFUNCTION("""COMPUTED_VALUE"""),8485.27)</f>
        <v>8485.27</v>
      </c>
      <c r="N9" s="3">
        <f>IFERROR(__xludf.DUMMYFUNCTION("""COMPUTED_VALUE"""),7500.0)</f>
        <v>7500</v>
      </c>
      <c r="O9" s="3" t="str">
        <f>IFERROR(__xludf.DUMMYFUNCTION("""COMPUTED_VALUE"""),"")</f>
        <v/>
      </c>
      <c r="P9" s="3" t="str">
        <f>IFERROR(__xludf.DUMMYFUNCTION("""COMPUTED_VALUE"""),"")</f>
        <v/>
      </c>
      <c r="Q9" s="3" t="str">
        <f>IFERROR(__xludf.DUMMYFUNCTION("""COMPUTED_VALUE"""),"")</f>
        <v/>
      </c>
      <c r="R9" s="3" t="str">
        <f>IFERROR(__xludf.DUMMYFUNCTION("""COMPUTED_VALUE"""),"")</f>
        <v/>
      </c>
      <c r="S9" s="3" t="str">
        <f>IFERROR(__xludf.DUMMYFUNCTION("""COMPUTED_VALUE"""),"")</f>
        <v/>
      </c>
      <c r="T9" s="3" t="str">
        <f>IFERROR(__xludf.DUMMYFUNCTION("""COMPUTED_VALUE"""),"")</f>
        <v/>
      </c>
      <c r="U9" s="3" t="str">
        <f>IFERROR(__xludf.DUMMYFUNCTION("""COMPUTED_VALUE"""),"")</f>
        <v/>
      </c>
      <c r="V9" s="3" t="str">
        <f>IFERROR(__xludf.DUMMYFUNCTION("""COMPUTED_VALUE"""),"")</f>
        <v/>
      </c>
      <c r="W9" s="3" t="str">
        <f>IFERROR(__xludf.DUMMYFUNCTION("""COMPUTED_VALUE"""),"")</f>
        <v/>
      </c>
      <c r="X9" s="3" t="str">
        <f>IFERROR(__xludf.DUMMYFUNCTION("""COMPUTED_VALUE"""),"")</f>
        <v/>
      </c>
      <c r="Y9" s="3" t="str">
        <f>IFERROR(__xludf.DUMMYFUNCTION("""COMPUTED_VALUE"""),"")</f>
        <v/>
      </c>
      <c r="Z9" s="3" t="str">
        <f>IFERROR(__xludf.DUMMYFUNCTION("""COMPUTED_VALUE"""),"")</f>
        <v/>
      </c>
    </row>
    <row r="10">
      <c r="A10" s="1" t="str">
        <f>IFERROR(__xludf.DUMMYFUNCTION("""COMPUTED_VALUE"""),"Cartão dti Realizado")</f>
        <v>Cartão dti Realizado</v>
      </c>
      <c r="B10" s="1" t="str">
        <f>IFERROR(__xludf.DUMMYFUNCTION("""COMPUTED_VALUE"""),"Cartão dti")</f>
        <v>Cartão dti</v>
      </c>
      <c r="C10" s="3">
        <f>IFERROR(__xludf.DUMMYFUNCTION("""COMPUTED_VALUE"""),154.66)</f>
        <v>154.66</v>
      </c>
      <c r="D10" s="3">
        <f>IFERROR(__xludf.DUMMYFUNCTION("""COMPUTED_VALUE"""),3597.29)</f>
        <v>3597.29</v>
      </c>
      <c r="E10" s="3">
        <f>IFERROR(__xludf.DUMMYFUNCTION("""COMPUTED_VALUE"""),1758.77)</f>
        <v>1758.77</v>
      </c>
      <c r="F10" s="3">
        <f>IFERROR(__xludf.DUMMYFUNCTION("""COMPUTED_VALUE"""),3866.24)</f>
        <v>3866.24</v>
      </c>
      <c r="G10" s="3">
        <f>IFERROR(__xludf.DUMMYFUNCTION("""COMPUTED_VALUE"""),2028.68)</f>
        <v>2028.68</v>
      </c>
      <c r="H10" s="3">
        <f>IFERROR(__xludf.DUMMYFUNCTION("""COMPUTED_VALUE"""),100.2)</f>
        <v>100.2</v>
      </c>
      <c r="I10" s="3">
        <f>IFERROR(__xludf.DUMMYFUNCTION("""COMPUTED_VALUE"""),100.2)</f>
        <v>100.2</v>
      </c>
      <c r="J10" s="3">
        <f>IFERROR(__xludf.DUMMYFUNCTION("""COMPUTED_VALUE"""),897.2)</f>
        <v>897.2</v>
      </c>
      <c r="K10" s="3">
        <f>IFERROR(__xludf.DUMMYFUNCTION("""COMPUTED_VALUE"""),1307.04)</f>
        <v>1307.04</v>
      </c>
      <c r="L10" s="3">
        <f>IFERROR(__xludf.DUMMYFUNCTION("""COMPUTED_VALUE"""),100.2)</f>
        <v>100.2</v>
      </c>
      <c r="M10" s="1"/>
      <c r="N10" s="1"/>
      <c r="O10" s="3" t="str">
        <f>IFERROR(__xludf.DUMMYFUNCTION("""COMPUTED_VALUE"""),"")</f>
        <v/>
      </c>
      <c r="P10" s="3" t="str">
        <f>IFERROR(__xludf.DUMMYFUNCTION("""COMPUTED_VALUE"""),"")</f>
        <v/>
      </c>
      <c r="Q10" s="3" t="str">
        <f>IFERROR(__xludf.DUMMYFUNCTION("""COMPUTED_VALUE"""),"")</f>
        <v/>
      </c>
      <c r="R10" s="3" t="str">
        <f>IFERROR(__xludf.DUMMYFUNCTION("""COMPUTED_VALUE"""),"")</f>
        <v/>
      </c>
      <c r="S10" s="3" t="str">
        <f>IFERROR(__xludf.DUMMYFUNCTION("""COMPUTED_VALUE"""),"")</f>
        <v/>
      </c>
      <c r="T10" s="3" t="str">
        <f>IFERROR(__xludf.DUMMYFUNCTION("""COMPUTED_VALUE"""),"")</f>
        <v/>
      </c>
      <c r="U10" s="3" t="str">
        <f>IFERROR(__xludf.DUMMYFUNCTION("""COMPUTED_VALUE"""),"")</f>
        <v/>
      </c>
      <c r="V10" s="3" t="str">
        <f>IFERROR(__xludf.DUMMYFUNCTION("""COMPUTED_VALUE"""),"")</f>
        <v/>
      </c>
      <c r="W10" s="3" t="str">
        <f>IFERROR(__xludf.DUMMYFUNCTION("""COMPUTED_VALUE"""),"")</f>
        <v/>
      </c>
      <c r="X10" s="3" t="str">
        <f>IFERROR(__xludf.DUMMYFUNCTION("""COMPUTED_VALUE"""),"")</f>
        <v/>
      </c>
      <c r="Y10" s="3" t="str">
        <f>IFERROR(__xludf.DUMMYFUNCTION("""COMPUTED_VALUE"""),"")</f>
        <v/>
      </c>
      <c r="Z10" s="3" t="str">
        <f>IFERROR(__xludf.DUMMYFUNCTION("""COMPUTED_VALUE"""),"")</f>
        <v/>
      </c>
    </row>
    <row r="11">
      <c r="A11" s="1" t="str">
        <f>IFERROR(__xludf.DUMMYFUNCTION("""COMPUTED_VALUE"""),"Créditos Previsto")</f>
        <v>Créditos Previsto</v>
      </c>
      <c r="B11" s="1" t="str">
        <f>IFERROR(__xludf.DUMMYFUNCTION("""COMPUTED_VALUE"""),"Total")</f>
        <v>Total</v>
      </c>
      <c r="C11" s="3">
        <f>IFERROR(__xludf.DUMMYFUNCTION("""COMPUTED_VALUE"""),29868.77574999999)</f>
        <v>29868.77575</v>
      </c>
      <c r="D11" s="3">
        <f>IFERROR(__xludf.DUMMYFUNCTION("""COMPUTED_VALUE"""),42707.603845439)</f>
        <v>42707.60385</v>
      </c>
      <c r="E11" s="3">
        <f>IFERROR(__xludf.DUMMYFUNCTION("""COMPUTED_VALUE"""),39520.128630385494)</f>
        <v>39520.12863</v>
      </c>
      <c r="F11" s="3">
        <f>IFERROR(__xludf.DUMMYFUNCTION("""COMPUTED_VALUE"""),39440.250484143995)</f>
        <v>39440.25048</v>
      </c>
      <c r="G11" s="3">
        <f>IFERROR(__xludf.DUMMYFUNCTION("""COMPUTED_VALUE"""),105643.70551595649)</f>
        <v>105643.7055</v>
      </c>
      <c r="H11" s="3">
        <f>IFERROR(__xludf.DUMMYFUNCTION("""COMPUTED_VALUE"""),32355.961879201506)</f>
        <v>32355.96188</v>
      </c>
      <c r="I11" s="3">
        <f>IFERROR(__xludf.DUMMYFUNCTION("""COMPUTED_VALUE"""),31626.9420986775)</f>
        <v>31626.9421</v>
      </c>
      <c r="J11" s="3">
        <f>IFERROR(__xludf.DUMMYFUNCTION("""COMPUTED_VALUE"""),32244.4798425775)</f>
        <v>32244.47984</v>
      </c>
      <c r="K11" s="3">
        <f>IFERROR(__xludf.DUMMYFUNCTION("""COMPUTED_VALUE"""),60057.873142577504)</f>
        <v>60057.87314</v>
      </c>
      <c r="L11" s="3">
        <f>IFERROR(__xludf.DUMMYFUNCTION("""COMPUTED_VALUE"""),34882.62947103951)</f>
        <v>34882.62947</v>
      </c>
      <c r="M11" s="3">
        <f>IFERROR(__xludf.DUMMYFUNCTION("""COMPUTED_VALUE"""),22514.328049249998)</f>
        <v>22514.32805</v>
      </c>
      <c r="N11" s="3">
        <f>IFERROR(__xludf.DUMMYFUNCTION("""COMPUTED_VALUE"""),98264.93683868501)</f>
        <v>98264.93684</v>
      </c>
      <c r="O11" s="3" t="str">
        <f>IFERROR(__xludf.DUMMYFUNCTION("""COMPUTED_VALUE"""),"")</f>
        <v/>
      </c>
      <c r="P11" s="3" t="str">
        <f>IFERROR(__xludf.DUMMYFUNCTION("""COMPUTED_VALUE"""),"")</f>
        <v/>
      </c>
      <c r="Q11" s="3" t="str">
        <f>IFERROR(__xludf.DUMMYFUNCTION("""COMPUTED_VALUE"""),"")</f>
        <v/>
      </c>
      <c r="R11" s="3" t="str">
        <f>IFERROR(__xludf.DUMMYFUNCTION("""COMPUTED_VALUE"""),"")</f>
        <v/>
      </c>
      <c r="S11" s="3" t="str">
        <f>IFERROR(__xludf.DUMMYFUNCTION("""COMPUTED_VALUE"""),"")</f>
        <v/>
      </c>
      <c r="T11" s="3" t="str">
        <f>IFERROR(__xludf.DUMMYFUNCTION("""COMPUTED_VALUE"""),"")</f>
        <v/>
      </c>
      <c r="U11" s="3" t="str">
        <f>IFERROR(__xludf.DUMMYFUNCTION("""COMPUTED_VALUE"""),"")</f>
        <v/>
      </c>
      <c r="V11" s="3" t="str">
        <f>IFERROR(__xludf.DUMMYFUNCTION("""COMPUTED_VALUE"""),"")</f>
        <v/>
      </c>
      <c r="W11" s="3" t="str">
        <f>IFERROR(__xludf.DUMMYFUNCTION("""COMPUTED_VALUE"""),"")</f>
        <v/>
      </c>
      <c r="X11" s="3" t="str">
        <f>IFERROR(__xludf.DUMMYFUNCTION("""COMPUTED_VALUE"""),"")</f>
        <v/>
      </c>
      <c r="Y11" s="3" t="str">
        <f>IFERROR(__xludf.DUMMYFUNCTION("""COMPUTED_VALUE"""),"")</f>
        <v/>
      </c>
      <c r="Z11" s="3" t="str">
        <f>IFERROR(__xludf.DUMMYFUNCTION("""COMPUTED_VALUE"""),"")</f>
        <v/>
      </c>
    </row>
    <row r="12">
      <c r="A12" s="1" t="str">
        <f>IFERROR(__xludf.DUMMYFUNCTION("""COMPUTED_VALUE"""),"Créditos Realizado")</f>
        <v>Créditos Realizado</v>
      </c>
      <c r="B12" s="1" t="str">
        <f>IFERROR(__xludf.DUMMYFUNCTION("""COMPUTED_VALUE"""),"Total")</f>
        <v>Total</v>
      </c>
      <c r="C12" s="3">
        <f>IFERROR(__xludf.DUMMYFUNCTION("""COMPUTED_VALUE"""),29868.7775)</f>
        <v>29868.7775</v>
      </c>
      <c r="D12" s="3">
        <f>IFERROR(__xludf.DUMMYFUNCTION("""COMPUTED_VALUE"""),42707.5975)</f>
        <v>42707.5975</v>
      </c>
      <c r="E12" s="3">
        <f>IFERROR(__xludf.DUMMYFUNCTION("""COMPUTED_VALUE"""),39520.125)</f>
        <v>39520.125</v>
      </c>
      <c r="F12" s="3">
        <f>IFERROR(__xludf.DUMMYFUNCTION("""COMPUTED_VALUE"""),39440.25)</f>
        <v>39440.25</v>
      </c>
      <c r="G12" s="3">
        <f>IFERROR(__xludf.DUMMYFUNCTION("""COMPUTED_VALUE"""),105643.70499999999)</f>
        <v>105643.705</v>
      </c>
      <c r="H12" s="3">
        <f>IFERROR(__xludf.DUMMYFUNCTION("""COMPUTED_VALUE"""),32355.9625)</f>
        <v>32355.9625</v>
      </c>
      <c r="I12" s="3">
        <f>IFERROR(__xludf.DUMMYFUNCTION("""COMPUTED_VALUE"""),31626.94)</f>
        <v>31626.94</v>
      </c>
      <c r="J12" s="3">
        <f>IFERROR(__xludf.DUMMYFUNCTION("""COMPUTED_VALUE"""),32244.48)</f>
        <v>32244.48</v>
      </c>
      <c r="K12" s="3">
        <f>IFERROR(__xludf.DUMMYFUNCTION("""COMPUTED_VALUE"""),60057.869999999995)</f>
        <v>60057.87</v>
      </c>
      <c r="L12" s="3">
        <f>IFERROR(__xludf.DUMMYFUNCTION("""COMPUTED_VALUE"""),34882.62499999999)</f>
        <v>34882.625</v>
      </c>
      <c r="M12" s="3">
        <f>IFERROR(__xludf.DUMMYFUNCTION("""COMPUTED_VALUE"""),22283.5)</f>
        <v>22283.5</v>
      </c>
      <c r="N12" s="3">
        <f>IFERROR(__xludf.DUMMYFUNCTION("""COMPUTED_VALUE"""),97602.21999999999)</f>
        <v>97602.22</v>
      </c>
      <c r="O12" s="3" t="str">
        <f>IFERROR(__xludf.DUMMYFUNCTION("""COMPUTED_VALUE"""),"")</f>
        <v/>
      </c>
      <c r="P12" s="3" t="str">
        <f>IFERROR(__xludf.DUMMYFUNCTION("""COMPUTED_VALUE"""),"")</f>
        <v/>
      </c>
      <c r="Q12" s="3" t="str">
        <f>IFERROR(__xludf.DUMMYFUNCTION("""COMPUTED_VALUE"""),"")</f>
        <v/>
      </c>
      <c r="R12" s="3" t="str">
        <f>IFERROR(__xludf.DUMMYFUNCTION("""COMPUTED_VALUE"""),"")</f>
        <v/>
      </c>
      <c r="S12" s="3" t="str">
        <f>IFERROR(__xludf.DUMMYFUNCTION("""COMPUTED_VALUE"""),"")</f>
        <v/>
      </c>
      <c r="T12" s="3" t="str">
        <f>IFERROR(__xludf.DUMMYFUNCTION("""COMPUTED_VALUE"""),"")</f>
        <v/>
      </c>
      <c r="U12" s="3" t="str">
        <f>IFERROR(__xludf.DUMMYFUNCTION("""COMPUTED_VALUE"""),"")</f>
        <v/>
      </c>
      <c r="V12" s="3" t="str">
        <f>IFERROR(__xludf.DUMMYFUNCTION("""COMPUTED_VALUE"""),"")</f>
        <v/>
      </c>
      <c r="W12" s="3" t="str">
        <f>IFERROR(__xludf.DUMMYFUNCTION("""COMPUTED_VALUE"""),"")</f>
        <v/>
      </c>
      <c r="X12" s="3" t="str">
        <f>IFERROR(__xludf.DUMMYFUNCTION("""COMPUTED_VALUE"""),"")</f>
        <v/>
      </c>
      <c r="Y12" s="3" t="str">
        <f>IFERROR(__xludf.DUMMYFUNCTION("""COMPUTED_VALUE"""),"")</f>
        <v/>
      </c>
      <c r="Z12" s="3" t="str">
        <f>IFERROR(__xludf.DUMMYFUNCTION("""COMPUTED_VALUE"""),"")</f>
        <v/>
      </c>
    </row>
    <row r="13">
      <c r="A13" s="1" t="str">
        <f>IFERROR(__xludf.DUMMYFUNCTION("""COMPUTED_VALUE"""),"Investimento Previsto")</f>
        <v>Investimento Previsto</v>
      </c>
      <c r="B13" s="1" t="str">
        <f>IFERROR(__xludf.DUMMYFUNCTION("""COMPUTED_VALUE"""),"-")</f>
        <v>-</v>
      </c>
      <c r="C13" s="3">
        <f>IFERROR(__xludf.DUMMYFUNCTION("""COMPUTED_VALUE"""),888.33)</f>
        <v>888.33</v>
      </c>
      <c r="D13" s="3">
        <f>IFERROR(__xludf.DUMMYFUNCTION("""COMPUTED_VALUE"""),0.0)</f>
        <v>0</v>
      </c>
      <c r="E13" s="3">
        <f>IFERROR(__xludf.DUMMYFUNCTION("""COMPUTED_VALUE"""),0.0)</f>
        <v>0</v>
      </c>
      <c r="F13" s="3">
        <f>IFERROR(__xludf.DUMMYFUNCTION("""COMPUTED_VALUE"""),6811.08)</f>
        <v>6811.08</v>
      </c>
      <c r="G13" s="3">
        <f>IFERROR(__xludf.DUMMYFUNCTION("""COMPUTED_VALUE"""),0.0)</f>
        <v>0</v>
      </c>
      <c r="H13" s="3">
        <f>IFERROR(__xludf.DUMMYFUNCTION("""COMPUTED_VALUE"""),1811.5)</f>
        <v>1811.5</v>
      </c>
      <c r="I13" s="3">
        <f>IFERROR(__xludf.DUMMYFUNCTION("""COMPUTED_VALUE"""),0.0)</f>
        <v>0</v>
      </c>
      <c r="J13" s="3">
        <f>IFERROR(__xludf.DUMMYFUNCTION("""COMPUTED_VALUE"""),0.0)</f>
        <v>0</v>
      </c>
      <c r="K13" s="3">
        <f>IFERROR(__xludf.DUMMYFUNCTION("""COMPUTED_VALUE"""),0.0)</f>
        <v>0</v>
      </c>
      <c r="L13" s="3">
        <f>IFERROR(__xludf.DUMMYFUNCTION("""COMPUTED_VALUE"""),0.0)</f>
        <v>0</v>
      </c>
      <c r="M13" s="3">
        <f>IFERROR(__xludf.DUMMYFUNCTION("""COMPUTED_VALUE"""),0.0)</f>
        <v>0</v>
      </c>
      <c r="N13" s="3">
        <f>IFERROR(__xludf.DUMMYFUNCTION("""COMPUTED_VALUE"""),16000.0)</f>
        <v>16000</v>
      </c>
      <c r="O13" s="3" t="str">
        <f>IFERROR(__xludf.DUMMYFUNCTION("""COMPUTED_VALUE"""),"")</f>
        <v/>
      </c>
      <c r="P13" s="3" t="str">
        <f>IFERROR(__xludf.DUMMYFUNCTION("""COMPUTED_VALUE"""),"")</f>
        <v/>
      </c>
      <c r="Q13" s="3" t="str">
        <f>IFERROR(__xludf.DUMMYFUNCTION("""COMPUTED_VALUE"""),"")</f>
        <v/>
      </c>
      <c r="R13" s="3" t="str">
        <f>IFERROR(__xludf.DUMMYFUNCTION("""COMPUTED_VALUE"""),"")</f>
        <v/>
      </c>
      <c r="S13" s="3" t="str">
        <f>IFERROR(__xludf.DUMMYFUNCTION("""COMPUTED_VALUE"""),"")</f>
        <v/>
      </c>
      <c r="T13" s="3" t="str">
        <f>IFERROR(__xludf.DUMMYFUNCTION("""COMPUTED_VALUE"""),"")</f>
        <v/>
      </c>
      <c r="U13" s="3" t="str">
        <f>IFERROR(__xludf.DUMMYFUNCTION("""COMPUTED_VALUE"""),"")</f>
        <v/>
      </c>
      <c r="V13" s="3" t="str">
        <f>IFERROR(__xludf.DUMMYFUNCTION("""COMPUTED_VALUE"""),"")</f>
        <v/>
      </c>
      <c r="W13" s="3" t="str">
        <f>IFERROR(__xludf.DUMMYFUNCTION("""COMPUTED_VALUE"""),"")</f>
        <v/>
      </c>
      <c r="X13" s="3" t="str">
        <f>IFERROR(__xludf.DUMMYFUNCTION("""COMPUTED_VALUE"""),"")</f>
        <v/>
      </c>
      <c r="Y13" s="3" t="str">
        <f>IFERROR(__xludf.DUMMYFUNCTION("""COMPUTED_VALUE"""),"")</f>
        <v/>
      </c>
      <c r="Z13" s="3" t="str">
        <f>IFERROR(__xludf.DUMMYFUNCTION("""COMPUTED_VALUE"""),"")</f>
        <v/>
      </c>
    </row>
    <row r="14">
      <c r="A14" s="1" t="str">
        <f>IFERROR(__xludf.DUMMYFUNCTION("""COMPUTED_VALUE"""),"Investimento Realizado")</f>
        <v>Investimento Realizado</v>
      </c>
      <c r="B14" s="1" t="str">
        <f>IFERROR(__xludf.DUMMYFUNCTION("""COMPUTED_VALUE"""),"-")</f>
        <v>-</v>
      </c>
      <c r="C14" s="3">
        <f>IFERROR(__xludf.DUMMYFUNCTION("""COMPUTED_VALUE"""),888.3299999999999)</f>
        <v>888.33</v>
      </c>
      <c r="D14" s="3">
        <f>IFERROR(__xludf.DUMMYFUNCTION("""COMPUTED_VALUE"""),0.0)</f>
        <v>0</v>
      </c>
      <c r="E14" s="3">
        <f>IFERROR(__xludf.DUMMYFUNCTION("""COMPUTED_VALUE"""),0.0)</f>
        <v>0</v>
      </c>
      <c r="F14" s="3">
        <f>IFERROR(__xludf.DUMMYFUNCTION("""COMPUTED_VALUE"""),6811.08)</f>
        <v>6811.08</v>
      </c>
      <c r="G14" s="3">
        <f>IFERROR(__xludf.DUMMYFUNCTION("""COMPUTED_VALUE"""),0.0)</f>
        <v>0</v>
      </c>
      <c r="H14" s="3">
        <f>IFERROR(__xludf.DUMMYFUNCTION("""COMPUTED_VALUE"""),1811.5)</f>
        <v>1811.5</v>
      </c>
      <c r="I14" s="3">
        <f>IFERROR(__xludf.DUMMYFUNCTION("""COMPUTED_VALUE"""),0.0)</f>
        <v>0</v>
      </c>
      <c r="J14" s="3">
        <f>IFERROR(__xludf.DUMMYFUNCTION("""COMPUTED_VALUE"""),0.0)</f>
        <v>0</v>
      </c>
      <c r="K14" s="3">
        <f>IFERROR(__xludf.DUMMYFUNCTION("""COMPUTED_VALUE"""),0.0)</f>
        <v>0</v>
      </c>
      <c r="L14" s="3">
        <f>IFERROR(__xludf.DUMMYFUNCTION("""COMPUTED_VALUE"""),0.0)</f>
        <v>0</v>
      </c>
      <c r="M14" s="3">
        <f>IFERROR(__xludf.DUMMYFUNCTION("""COMPUTED_VALUE"""),0.0)</f>
        <v>0</v>
      </c>
      <c r="N14" s="3">
        <f>IFERROR(__xludf.DUMMYFUNCTION("""COMPUTED_VALUE"""),16000.0)</f>
        <v>16000</v>
      </c>
      <c r="O14" s="3" t="str">
        <f>IFERROR(__xludf.DUMMYFUNCTION("""COMPUTED_VALUE"""),"")</f>
        <v/>
      </c>
      <c r="P14" s="3" t="str">
        <f>IFERROR(__xludf.DUMMYFUNCTION("""COMPUTED_VALUE"""),"")</f>
        <v/>
      </c>
      <c r="Q14" s="3" t="str">
        <f>IFERROR(__xludf.DUMMYFUNCTION("""COMPUTED_VALUE"""),"")</f>
        <v/>
      </c>
      <c r="R14" s="3" t="str">
        <f>IFERROR(__xludf.DUMMYFUNCTION("""COMPUTED_VALUE"""),"")</f>
        <v/>
      </c>
      <c r="S14" s="3" t="str">
        <f>IFERROR(__xludf.DUMMYFUNCTION("""COMPUTED_VALUE"""),"")</f>
        <v/>
      </c>
      <c r="T14" s="3" t="str">
        <f>IFERROR(__xludf.DUMMYFUNCTION("""COMPUTED_VALUE"""),"")</f>
        <v/>
      </c>
      <c r="U14" s="3" t="str">
        <f>IFERROR(__xludf.DUMMYFUNCTION("""COMPUTED_VALUE"""),"")</f>
        <v/>
      </c>
      <c r="V14" s="3" t="str">
        <f>IFERROR(__xludf.DUMMYFUNCTION("""COMPUTED_VALUE"""),"")</f>
        <v/>
      </c>
      <c r="W14" s="3" t="str">
        <f>IFERROR(__xludf.DUMMYFUNCTION("""COMPUTED_VALUE"""),"")</f>
        <v/>
      </c>
      <c r="X14" s="3" t="str">
        <f>IFERROR(__xludf.DUMMYFUNCTION("""COMPUTED_VALUE"""),"")</f>
        <v/>
      </c>
      <c r="Y14" s="3" t="str">
        <f>IFERROR(__xludf.DUMMYFUNCTION("""COMPUTED_VALUE"""),"")</f>
        <v/>
      </c>
      <c r="Z14" s="3" t="str">
        <f>IFERROR(__xludf.DUMMYFUNCTION("""COMPUTED_VALUE"""),"")</f>
        <v/>
      </c>
    </row>
    <row r="15">
      <c r="A15" s="1" t="str">
        <f>IFERROR(__xludf.DUMMYFUNCTION("""COMPUTED_VALUE"""),"Meta Cartão Previsto")</f>
        <v>Meta Cartão Previsto</v>
      </c>
      <c r="B15" s="1" t="str">
        <f>IFERROR(__xludf.DUMMYFUNCTION("""COMPUTED_VALUE"""),"Meta cartão")</f>
        <v>Meta cartão</v>
      </c>
      <c r="C15" s="3">
        <f>IFERROR(__xludf.DUMMYFUNCTION("""COMPUTED_VALUE"""),0.0)</f>
        <v>0</v>
      </c>
      <c r="D15" s="3">
        <f>IFERROR(__xludf.DUMMYFUNCTION("""COMPUTED_VALUE"""),0.0)</f>
        <v>0</v>
      </c>
      <c r="E15" s="3">
        <f>IFERROR(__xludf.DUMMYFUNCTION("""COMPUTED_VALUE"""),0.0)</f>
        <v>0</v>
      </c>
      <c r="F15" s="3">
        <f>IFERROR(__xludf.DUMMYFUNCTION("""COMPUTED_VALUE"""),0.0)</f>
        <v>0</v>
      </c>
      <c r="G15" s="3">
        <f>IFERROR(__xludf.DUMMYFUNCTION("""COMPUTED_VALUE"""),0.0)</f>
        <v>0</v>
      </c>
      <c r="H15" s="3">
        <f>IFERROR(__xludf.DUMMYFUNCTION("""COMPUTED_VALUE"""),0.0)</f>
        <v>0</v>
      </c>
      <c r="I15" s="3">
        <f>IFERROR(__xludf.DUMMYFUNCTION("""COMPUTED_VALUE"""),0.0)</f>
        <v>0</v>
      </c>
      <c r="J15" s="3">
        <f>IFERROR(__xludf.DUMMYFUNCTION("""COMPUTED_VALUE"""),0.0)</f>
        <v>0</v>
      </c>
      <c r="K15" s="3">
        <f>IFERROR(__xludf.DUMMYFUNCTION("""COMPUTED_VALUE"""),0.0)</f>
        <v>0</v>
      </c>
      <c r="L15" s="3">
        <f>IFERROR(__xludf.DUMMYFUNCTION("""COMPUTED_VALUE"""),0.0)</f>
        <v>0</v>
      </c>
      <c r="M15" s="3">
        <f>IFERROR(__xludf.DUMMYFUNCTION("""COMPUTED_VALUE"""),0.0)</f>
        <v>0</v>
      </c>
      <c r="N15" s="3">
        <f>IFERROR(__xludf.DUMMYFUNCTION("""COMPUTED_VALUE"""),838.5399999999998)</f>
        <v>838.54</v>
      </c>
      <c r="O15" s="3" t="str">
        <f>IFERROR(__xludf.DUMMYFUNCTION("""COMPUTED_VALUE"""),"")</f>
        <v/>
      </c>
      <c r="P15" s="3" t="str">
        <f>IFERROR(__xludf.DUMMYFUNCTION("""COMPUTED_VALUE"""),"")</f>
        <v/>
      </c>
      <c r="Q15" s="3" t="str">
        <f>IFERROR(__xludf.DUMMYFUNCTION("""COMPUTED_VALUE"""),"")</f>
        <v/>
      </c>
      <c r="R15" s="3" t="str">
        <f>IFERROR(__xludf.DUMMYFUNCTION("""COMPUTED_VALUE"""),"")</f>
        <v/>
      </c>
      <c r="S15" s="3" t="str">
        <f>IFERROR(__xludf.DUMMYFUNCTION("""COMPUTED_VALUE"""),"")</f>
        <v/>
      </c>
      <c r="T15" s="3" t="str">
        <f>IFERROR(__xludf.DUMMYFUNCTION("""COMPUTED_VALUE"""),"")</f>
        <v/>
      </c>
      <c r="U15" s="3" t="str">
        <f>IFERROR(__xludf.DUMMYFUNCTION("""COMPUTED_VALUE"""),"")</f>
        <v/>
      </c>
      <c r="V15" s="3" t="str">
        <f>IFERROR(__xludf.DUMMYFUNCTION("""COMPUTED_VALUE"""),"")</f>
        <v/>
      </c>
      <c r="W15" s="3" t="str">
        <f>IFERROR(__xludf.DUMMYFUNCTION("""COMPUTED_VALUE"""),"")</f>
        <v/>
      </c>
      <c r="X15" s="3" t="str">
        <f>IFERROR(__xludf.DUMMYFUNCTION("""COMPUTED_VALUE"""),"")</f>
        <v/>
      </c>
      <c r="Y15" s="3" t="str">
        <f>IFERROR(__xludf.DUMMYFUNCTION("""COMPUTED_VALUE"""),"")</f>
        <v/>
      </c>
      <c r="Z15" s="3" t="str">
        <f>IFERROR(__xludf.DUMMYFUNCTION("""COMPUTED_VALUE"""),"")</f>
        <v/>
      </c>
    </row>
    <row r="16">
      <c r="A16" s="1" t="str">
        <f>IFERROR(__xludf.DUMMYFUNCTION("""COMPUTED_VALUE"""),"Meta Cartão Realizado")</f>
        <v>Meta Cartão Realizado</v>
      </c>
      <c r="B16" s="1" t="str">
        <f>IFERROR(__xludf.DUMMYFUNCTION("""COMPUTED_VALUE"""),"Meta cartão")</f>
        <v>Meta cartão</v>
      </c>
      <c r="C16" s="3">
        <f>IFERROR(__xludf.DUMMYFUNCTION("""COMPUTED_VALUE"""),0.0)</f>
        <v>0</v>
      </c>
      <c r="D16" s="3">
        <f>IFERROR(__xludf.DUMMYFUNCTION("""COMPUTED_VALUE"""),0.0)</f>
        <v>0</v>
      </c>
      <c r="E16" s="3">
        <f>IFERROR(__xludf.DUMMYFUNCTION("""COMPUTED_VALUE"""),0.0)</f>
        <v>0</v>
      </c>
      <c r="F16" s="3">
        <f>IFERROR(__xludf.DUMMYFUNCTION("""COMPUTED_VALUE"""),0.0)</f>
        <v>0</v>
      </c>
      <c r="G16" s="3">
        <f>IFERROR(__xludf.DUMMYFUNCTION("""COMPUTED_VALUE"""),0.0)</f>
        <v>0</v>
      </c>
      <c r="H16" s="3">
        <f>IFERROR(__xludf.DUMMYFUNCTION("""COMPUTED_VALUE"""),0.0)</f>
        <v>0</v>
      </c>
      <c r="I16" s="3">
        <f>IFERROR(__xludf.DUMMYFUNCTION("""COMPUTED_VALUE"""),0.0)</f>
        <v>0</v>
      </c>
      <c r="J16" s="3">
        <f>IFERROR(__xludf.DUMMYFUNCTION("""COMPUTED_VALUE"""),0.0)</f>
        <v>0</v>
      </c>
      <c r="K16" s="3">
        <f>IFERROR(__xludf.DUMMYFUNCTION("""COMPUTED_VALUE"""),0.0)</f>
        <v>0</v>
      </c>
      <c r="L16" s="3">
        <f>IFERROR(__xludf.DUMMYFUNCTION("""COMPUTED_VALUE"""),0.0)</f>
        <v>0</v>
      </c>
      <c r="M16" s="3">
        <f>IFERROR(__xludf.DUMMYFUNCTION("""COMPUTED_VALUE"""),0.0)</f>
        <v>0</v>
      </c>
      <c r="N16" s="3">
        <f>IFERROR(__xludf.DUMMYFUNCTION("""COMPUTED_VALUE"""),838.5399999999998)</f>
        <v>838.54</v>
      </c>
      <c r="O16" s="3" t="str">
        <f>IFERROR(__xludf.DUMMYFUNCTION("""COMPUTED_VALUE"""),"")</f>
        <v/>
      </c>
      <c r="P16" s="3" t="str">
        <f>IFERROR(__xludf.DUMMYFUNCTION("""COMPUTED_VALUE"""),"")</f>
        <v/>
      </c>
      <c r="Q16" s="3" t="str">
        <f>IFERROR(__xludf.DUMMYFUNCTION("""COMPUTED_VALUE"""),"")</f>
        <v/>
      </c>
      <c r="R16" s="3" t="str">
        <f>IFERROR(__xludf.DUMMYFUNCTION("""COMPUTED_VALUE"""),"")</f>
        <v/>
      </c>
      <c r="S16" s="3" t="str">
        <f>IFERROR(__xludf.DUMMYFUNCTION("""COMPUTED_VALUE"""),"")</f>
        <v/>
      </c>
      <c r="T16" s="3" t="str">
        <f>IFERROR(__xludf.DUMMYFUNCTION("""COMPUTED_VALUE"""),"")</f>
        <v/>
      </c>
      <c r="U16" s="3" t="str">
        <f>IFERROR(__xludf.DUMMYFUNCTION("""COMPUTED_VALUE"""),"")</f>
        <v/>
      </c>
      <c r="V16" s="3" t="str">
        <f>IFERROR(__xludf.DUMMYFUNCTION("""COMPUTED_VALUE"""),"")</f>
        <v/>
      </c>
      <c r="W16" s="3" t="str">
        <f>IFERROR(__xludf.DUMMYFUNCTION("""COMPUTED_VALUE"""),"")</f>
        <v/>
      </c>
      <c r="X16" s="3" t="str">
        <f>IFERROR(__xludf.DUMMYFUNCTION("""COMPUTED_VALUE"""),"")</f>
        <v/>
      </c>
      <c r="Y16" s="3" t="str">
        <f>IFERROR(__xludf.DUMMYFUNCTION("""COMPUTED_VALUE"""),"")</f>
        <v/>
      </c>
      <c r="Z16" s="3" t="str">
        <f>IFERROR(__xludf.DUMMYFUNCTION("""COMPUTED_VALUE"""),"")</f>
        <v/>
      </c>
    </row>
    <row r="17">
      <c r="A17" s="1" t="str">
        <f>IFERROR(__xludf.DUMMYFUNCTION("""COMPUTED_VALUE"""),"Sicredi Previsto")</f>
        <v>Sicredi Previsto</v>
      </c>
      <c r="B17" s="1" t="str">
        <f>IFERROR(__xludf.DUMMYFUNCTION("""COMPUTED_VALUE"""),"Sicredi")</f>
        <v>Sicredi</v>
      </c>
      <c r="C17" s="3">
        <f>IFERROR(__xludf.DUMMYFUNCTION("""COMPUTED_VALUE"""),6965.81)</f>
        <v>6965.81</v>
      </c>
      <c r="D17" s="3">
        <f>IFERROR(__xludf.DUMMYFUNCTION("""COMPUTED_VALUE"""),9659.1)</f>
        <v>9659.1</v>
      </c>
      <c r="E17" s="3">
        <f>IFERROR(__xludf.DUMMYFUNCTION("""COMPUTED_VALUE"""),5520.62)</f>
        <v>5520.62</v>
      </c>
      <c r="F17" s="3">
        <f>IFERROR(__xludf.DUMMYFUNCTION("""COMPUTED_VALUE"""),5242.68)</f>
        <v>5242.68</v>
      </c>
      <c r="G17" s="3">
        <f>IFERROR(__xludf.DUMMYFUNCTION("""COMPUTED_VALUE"""),1482.53)</f>
        <v>1482.53</v>
      </c>
      <c r="H17" s="3">
        <f>IFERROR(__xludf.DUMMYFUNCTION("""COMPUTED_VALUE"""),569.51)</f>
        <v>569.51</v>
      </c>
      <c r="I17" s="3">
        <f>IFERROR(__xludf.DUMMYFUNCTION("""COMPUTED_VALUE"""),431.56)</f>
        <v>431.56</v>
      </c>
      <c r="J17" s="3">
        <f>IFERROR(__xludf.DUMMYFUNCTION("""COMPUTED_VALUE"""),431.56)</f>
        <v>431.56</v>
      </c>
      <c r="K17" s="3">
        <f>IFERROR(__xludf.DUMMYFUNCTION("""COMPUTED_VALUE"""),431.65)</f>
        <v>431.65</v>
      </c>
      <c r="L17" s="3">
        <f>IFERROR(__xludf.DUMMYFUNCTION("""COMPUTED_VALUE"""),431.65)</f>
        <v>431.65</v>
      </c>
      <c r="M17" s="3">
        <f>IFERROR(__xludf.DUMMYFUNCTION("""COMPUTED_VALUE"""),431.56)</f>
        <v>431.56</v>
      </c>
      <c r="N17" s="3">
        <f>IFERROR(__xludf.DUMMYFUNCTION("""COMPUTED_VALUE"""),431.65)</f>
        <v>431.65</v>
      </c>
      <c r="O17" s="3" t="str">
        <f>IFERROR(__xludf.DUMMYFUNCTION("""COMPUTED_VALUE"""),"")</f>
        <v/>
      </c>
      <c r="P17" s="3" t="str">
        <f>IFERROR(__xludf.DUMMYFUNCTION("""COMPUTED_VALUE"""),"")</f>
        <v/>
      </c>
      <c r="Q17" s="3" t="str">
        <f>IFERROR(__xludf.DUMMYFUNCTION("""COMPUTED_VALUE"""),"")</f>
        <v/>
      </c>
      <c r="R17" s="3" t="str">
        <f>IFERROR(__xludf.DUMMYFUNCTION("""COMPUTED_VALUE"""),"")</f>
        <v/>
      </c>
      <c r="S17" s="3" t="str">
        <f>IFERROR(__xludf.DUMMYFUNCTION("""COMPUTED_VALUE"""),"")</f>
        <v/>
      </c>
      <c r="T17" s="3" t="str">
        <f>IFERROR(__xludf.DUMMYFUNCTION("""COMPUTED_VALUE"""),"")</f>
        <v/>
      </c>
      <c r="U17" s="3" t="str">
        <f>IFERROR(__xludf.DUMMYFUNCTION("""COMPUTED_VALUE"""),"")</f>
        <v/>
      </c>
      <c r="V17" s="3" t="str">
        <f>IFERROR(__xludf.DUMMYFUNCTION("""COMPUTED_VALUE"""),"")</f>
        <v/>
      </c>
      <c r="W17" s="3" t="str">
        <f>IFERROR(__xludf.DUMMYFUNCTION("""COMPUTED_VALUE"""),"")</f>
        <v/>
      </c>
      <c r="X17" s="3" t="str">
        <f>IFERROR(__xludf.DUMMYFUNCTION("""COMPUTED_VALUE"""),"")</f>
        <v/>
      </c>
      <c r="Y17" s="3" t="str">
        <f>IFERROR(__xludf.DUMMYFUNCTION("""COMPUTED_VALUE"""),"")</f>
        <v/>
      </c>
      <c r="Z17" s="3" t="str">
        <f>IFERROR(__xludf.DUMMYFUNCTION("""COMPUTED_VALUE"""),"")</f>
        <v/>
      </c>
    </row>
    <row r="18">
      <c r="A18" s="1" t="str">
        <f>IFERROR(__xludf.DUMMYFUNCTION("""COMPUTED_VALUE"""),"Sicredi Realizado")</f>
        <v>Sicredi Realizado</v>
      </c>
      <c r="B18" s="1" t="str">
        <f>IFERROR(__xludf.DUMMYFUNCTION("""COMPUTED_VALUE"""),"Sicredi")</f>
        <v>Sicredi</v>
      </c>
      <c r="C18" s="3">
        <f>IFERROR(__xludf.DUMMYFUNCTION("""COMPUTED_VALUE"""),6965.81)</f>
        <v>6965.81</v>
      </c>
      <c r="D18" s="3">
        <f>IFERROR(__xludf.DUMMYFUNCTION("""COMPUTED_VALUE"""),9659.1)</f>
        <v>9659.1</v>
      </c>
      <c r="E18" s="3">
        <f>IFERROR(__xludf.DUMMYFUNCTION("""COMPUTED_VALUE"""),5520.62)</f>
        <v>5520.62</v>
      </c>
      <c r="F18" s="3">
        <f>IFERROR(__xludf.DUMMYFUNCTION("""COMPUTED_VALUE"""),5242.68)</f>
        <v>5242.68</v>
      </c>
      <c r="G18" s="3">
        <f>IFERROR(__xludf.DUMMYFUNCTION("""COMPUTED_VALUE"""),1482.53)</f>
        <v>1482.53</v>
      </c>
      <c r="H18" s="3">
        <f>IFERROR(__xludf.DUMMYFUNCTION("""COMPUTED_VALUE"""),569.51)</f>
        <v>569.51</v>
      </c>
      <c r="I18" s="3">
        <f>IFERROR(__xludf.DUMMYFUNCTION("""COMPUTED_VALUE"""),431.56)</f>
        <v>431.56</v>
      </c>
      <c r="J18" s="3">
        <f>IFERROR(__xludf.DUMMYFUNCTION("""COMPUTED_VALUE"""),431.56)</f>
        <v>431.56</v>
      </c>
      <c r="K18" s="3">
        <f>IFERROR(__xludf.DUMMYFUNCTION("""COMPUTED_VALUE"""),431.65)</f>
        <v>431.65</v>
      </c>
      <c r="L18" s="3">
        <f>IFERROR(__xludf.DUMMYFUNCTION("""COMPUTED_VALUE"""),431.65)</f>
        <v>431.65</v>
      </c>
      <c r="M18" s="3">
        <f>IFERROR(__xludf.DUMMYFUNCTION("""COMPUTED_VALUE"""),431.56)</f>
        <v>431.56</v>
      </c>
      <c r="N18" s="3">
        <f>IFERROR(__xludf.DUMMYFUNCTION("""COMPUTED_VALUE"""),431.65)</f>
        <v>431.65</v>
      </c>
      <c r="O18" s="3" t="str">
        <f>IFERROR(__xludf.DUMMYFUNCTION("""COMPUTED_VALUE"""),"")</f>
        <v/>
      </c>
      <c r="P18" s="3" t="str">
        <f>IFERROR(__xludf.DUMMYFUNCTION("""COMPUTED_VALUE"""),"")</f>
        <v/>
      </c>
      <c r="Q18" s="3" t="str">
        <f>IFERROR(__xludf.DUMMYFUNCTION("""COMPUTED_VALUE"""),"")</f>
        <v/>
      </c>
      <c r="R18" s="3" t="str">
        <f>IFERROR(__xludf.DUMMYFUNCTION("""COMPUTED_VALUE"""),"")</f>
        <v/>
      </c>
      <c r="S18" s="3" t="str">
        <f>IFERROR(__xludf.DUMMYFUNCTION("""COMPUTED_VALUE"""),"")</f>
        <v/>
      </c>
      <c r="T18" s="3" t="str">
        <f>IFERROR(__xludf.DUMMYFUNCTION("""COMPUTED_VALUE"""),"")</f>
        <v/>
      </c>
      <c r="U18" s="3" t="str">
        <f>IFERROR(__xludf.DUMMYFUNCTION("""COMPUTED_VALUE"""),"")</f>
        <v/>
      </c>
      <c r="V18" s="3" t="str">
        <f>IFERROR(__xludf.DUMMYFUNCTION("""COMPUTED_VALUE"""),"")</f>
        <v/>
      </c>
      <c r="W18" s="3" t="str">
        <f>IFERROR(__xludf.DUMMYFUNCTION("""COMPUTED_VALUE"""),"")</f>
        <v/>
      </c>
      <c r="X18" s="3" t="str">
        <f>IFERROR(__xludf.DUMMYFUNCTION("""COMPUTED_VALUE"""),"")</f>
        <v/>
      </c>
      <c r="Y18" s="3" t="str">
        <f>IFERROR(__xludf.DUMMYFUNCTION("""COMPUTED_VALUE"""),"")</f>
        <v/>
      </c>
      <c r="Z18" s="3" t="str">
        <f>IFERROR(__xludf.DUMMYFUNCTION("""COMPUTED_VALUE"""),"")</f>
        <v/>
      </c>
    </row>
    <row r="19">
      <c r="A19" s="1" t="str">
        <f>IFERROR(__xludf.DUMMYFUNCTION("""COMPUTED_VALUE"""),"Porto Bank Previsto")</f>
        <v>Porto Bank Previsto</v>
      </c>
      <c r="B19" s="1" t="str">
        <f>IFERROR(__xludf.DUMMYFUNCTION("""COMPUTED_VALUE"""),"Porto Bank")</f>
        <v>Porto Bank</v>
      </c>
      <c r="C19" s="3">
        <f>IFERROR(__xludf.DUMMYFUNCTION("""COMPUTED_VALUE"""),0.0)</f>
        <v>0</v>
      </c>
      <c r="D19" s="3">
        <f>IFERROR(__xludf.DUMMYFUNCTION("""COMPUTED_VALUE"""),25.2)</f>
        <v>25.2</v>
      </c>
      <c r="E19" s="3">
        <f>IFERROR(__xludf.DUMMYFUNCTION("""COMPUTED_VALUE"""),30.65)</f>
        <v>30.65</v>
      </c>
      <c r="F19" s="3">
        <f>IFERROR(__xludf.DUMMYFUNCTION("""COMPUTED_VALUE"""),0.0)</f>
        <v>0</v>
      </c>
      <c r="G19" s="3">
        <f>IFERROR(__xludf.DUMMYFUNCTION("""COMPUTED_VALUE"""),0.0)</f>
        <v>0</v>
      </c>
      <c r="H19" s="3">
        <f>IFERROR(__xludf.DUMMYFUNCTION("""COMPUTED_VALUE"""),29.46)</f>
        <v>29.46</v>
      </c>
      <c r="I19" s="3">
        <f>IFERROR(__xludf.DUMMYFUNCTION("""COMPUTED_VALUE"""),24.14)</f>
        <v>24.14</v>
      </c>
      <c r="J19" s="3">
        <f>IFERROR(__xludf.DUMMYFUNCTION("""COMPUTED_VALUE"""),0.0)</f>
        <v>0</v>
      </c>
      <c r="K19" s="3">
        <f>IFERROR(__xludf.DUMMYFUNCTION("""COMPUTED_VALUE"""),265.88)</f>
        <v>265.88</v>
      </c>
      <c r="L19" s="3">
        <f>IFERROR(__xludf.DUMMYFUNCTION("""COMPUTED_VALUE"""),265.88)</f>
        <v>265.88</v>
      </c>
      <c r="M19" s="3">
        <f>IFERROR(__xludf.DUMMYFUNCTION("""COMPUTED_VALUE"""),265.88)</f>
        <v>265.88</v>
      </c>
      <c r="N19" s="3">
        <f>IFERROR(__xludf.DUMMYFUNCTION("""COMPUTED_VALUE"""),265.88)</f>
        <v>265.88</v>
      </c>
      <c r="O19" s="3" t="str">
        <f>IFERROR(__xludf.DUMMYFUNCTION("""COMPUTED_VALUE"""),"")</f>
        <v/>
      </c>
      <c r="P19" s="3" t="str">
        <f>IFERROR(__xludf.DUMMYFUNCTION("""COMPUTED_VALUE"""),"")</f>
        <v/>
      </c>
      <c r="Q19" s="3" t="str">
        <f>IFERROR(__xludf.DUMMYFUNCTION("""COMPUTED_VALUE"""),"")</f>
        <v/>
      </c>
      <c r="R19" s="3" t="str">
        <f>IFERROR(__xludf.DUMMYFUNCTION("""COMPUTED_VALUE"""),"")</f>
        <v/>
      </c>
      <c r="S19" s="3" t="str">
        <f>IFERROR(__xludf.DUMMYFUNCTION("""COMPUTED_VALUE"""),"")</f>
        <v/>
      </c>
      <c r="T19" s="3" t="str">
        <f>IFERROR(__xludf.DUMMYFUNCTION("""COMPUTED_VALUE"""),"")</f>
        <v/>
      </c>
      <c r="U19" s="3" t="str">
        <f>IFERROR(__xludf.DUMMYFUNCTION("""COMPUTED_VALUE"""),"")</f>
        <v/>
      </c>
      <c r="V19" s="3" t="str">
        <f>IFERROR(__xludf.DUMMYFUNCTION("""COMPUTED_VALUE"""),"")</f>
        <v/>
      </c>
      <c r="W19" s="3" t="str">
        <f>IFERROR(__xludf.DUMMYFUNCTION("""COMPUTED_VALUE"""),"")</f>
        <v/>
      </c>
      <c r="X19" s="3" t="str">
        <f>IFERROR(__xludf.DUMMYFUNCTION("""COMPUTED_VALUE"""),"")</f>
        <v/>
      </c>
      <c r="Y19" s="3" t="str">
        <f>IFERROR(__xludf.DUMMYFUNCTION("""COMPUTED_VALUE"""),"")</f>
        <v/>
      </c>
      <c r="Z19" s="3" t="str">
        <f>IFERROR(__xludf.DUMMYFUNCTION("""COMPUTED_VALUE"""),"")</f>
        <v/>
      </c>
    </row>
    <row r="20">
      <c r="A20" s="1" t="str">
        <f>IFERROR(__xludf.DUMMYFUNCTION("""COMPUTED_VALUE"""),"Porto Bank Realizado")</f>
        <v>Porto Bank Realizado</v>
      </c>
      <c r="B20" s="1" t="str">
        <f>IFERROR(__xludf.DUMMYFUNCTION("""COMPUTED_VALUE"""),"Porto Bank")</f>
        <v>Porto Bank</v>
      </c>
      <c r="C20" s="3">
        <f>IFERROR(__xludf.DUMMYFUNCTION("""COMPUTED_VALUE"""),0.0)</f>
        <v>0</v>
      </c>
      <c r="D20" s="3">
        <f>IFERROR(__xludf.DUMMYFUNCTION("""COMPUTED_VALUE"""),25.2)</f>
        <v>25.2</v>
      </c>
      <c r="E20" s="3">
        <f>IFERROR(__xludf.DUMMYFUNCTION("""COMPUTED_VALUE"""),30.65)</f>
        <v>30.65</v>
      </c>
      <c r="F20" s="3">
        <f>IFERROR(__xludf.DUMMYFUNCTION("""COMPUTED_VALUE"""),0.0)</f>
        <v>0</v>
      </c>
      <c r="G20" s="3">
        <f>IFERROR(__xludf.DUMMYFUNCTION("""COMPUTED_VALUE"""),0.0)</f>
        <v>0</v>
      </c>
      <c r="H20" s="3">
        <f>IFERROR(__xludf.DUMMYFUNCTION("""COMPUTED_VALUE"""),29.46)</f>
        <v>29.46</v>
      </c>
      <c r="I20" s="3">
        <f>IFERROR(__xludf.DUMMYFUNCTION("""COMPUTED_VALUE"""),24.14)</f>
        <v>24.14</v>
      </c>
      <c r="J20" s="3">
        <f>IFERROR(__xludf.DUMMYFUNCTION("""COMPUTED_VALUE"""),0.0)</f>
        <v>0</v>
      </c>
      <c r="K20" s="3">
        <f>IFERROR(__xludf.DUMMYFUNCTION("""COMPUTED_VALUE"""),265.88)</f>
        <v>265.88</v>
      </c>
      <c r="L20" s="3">
        <f>IFERROR(__xludf.DUMMYFUNCTION("""COMPUTED_VALUE"""),265.88)</f>
        <v>265.88</v>
      </c>
      <c r="M20" s="3">
        <f>IFERROR(__xludf.DUMMYFUNCTION("""COMPUTED_VALUE"""),265.88)</f>
        <v>265.88</v>
      </c>
      <c r="N20" s="3">
        <f>IFERROR(__xludf.DUMMYFUNCTION("""COMPUTED_VALUE"""),265.88)</f>
        <v>265.88</v>
      </c>
      <c r="O20" s="3" t="str">
        <f>IFERROR(__xludf.DUMMYFUNCTION("""COMPUTED_VALUE"""),"")</f>
        <v/>
      </c>
      <c r="P20" s="3" t="str">
        <f>IFERROR(__xludf.DUMMYFUNCTION("""COMPUTED_VALUE"""),"")</f>
        <v/>
      </c>
      <c r="Q20" s="3" t="str">
        <f>IFERROR(__xludf.DUMMYFUNCTION("""COMPUTED_VALUE"""),"")</f>
        <v/>
      </c>
      <c r="R20" s="3" t="str">
        <f>IFERROR(__xludf.DUMMYFUNCTION("""COMPUTED_VALUE"""),"")</f>
        <v/>
      </c>
      <c r="S20" s="3" t="str">
        <f>IFERROR(__xludf.DUMMYFUNCTION("""COMPUTED_VALUE"""),"")</f>
        <v/>
      </c>
      <c r="T20" s="3" t="str">
        <f>IFERROR(__xludf.DUMMYFUNCTION("""COMPUTED_VALUE"""),"")</f>
        <v/>
      </c>
      <c r="U20" s="3" t="str">
        <f>IFERROR(__xludf.DUMMYFUNCTION("""COMPUTED_VALUE"""),"")</f>
        <v/>
      </c>
      <c r="V20" s="3" t="str">
        <f>IFERROR(__xludf.DUMMYFUNCTION("""COMPUTED_VALUE"""),"")</f>
        <v/>
      </c>
      <c r="W20" s="3" t="str">
        <f>IFERROR(__xludf.DUMMYFUNCTION("""COMPUTED_VALUE"""),"")</f>
        <v/>
      </c>
      <c r="X20" s="3" t="str">
        <f>IFERROR(__xludf.DUMMYFUNCTION("""COMPUTED_VALUE"""),"")</f>
        <v/>
      </c>
      <c r="Y20" s="3" t="str">
        <f>IFERROR(__xludf.DUMMYFUNCTION("""COMPUTED_VALUE"""),"")</f>
        <v/>
      </c>
      <c r="Z20" s="3" t="str">
        <f>IFERROR(__xludf.DUMMYFUNCTION("""COMPUTED_VALUE"""),"")</f>
        <v/>
      </c>
    </row>
    <row r="21">
      <c r="A21" s="1" t="str">
        <f>IFERROR(__xludf.DUMMYFUNCTION("""COMPUTED_VALUE"""),"BTG Previsto")</f>
        <v>BTG Previsto</v>
      </c>
      <c r="B21" s="1" t="str">
        <f>IFERROR(__xludf.DUMMYFUNCTION("""COMPUTED_VALUE"""),"BTG")</f>
        <v>BTG</v>
      </c>
      <c r="C21" s="3" t="str">
        <f>IFERROR(__xludf.DUMMYFUNCTION("""COMPUTED_VALUE"""),"")</f>
        <v/>
      </c>
      <c r="D21" s="3" t="str">
        <f>IFERROR(__xludf.DUMMYFUNCTION("""COMPUTED_VALUE"""),"")</f>
        <v/>
      </c>
      <c r="E21" s="3" t="str">
        <f>IFERROR(__xludf.DUMMYFUNCTION("""COMPUTED_VALUE"""),"")</f>
        <v/>
      </c>
      <c r="F21" s="3">
        <f>IFERROR(__xludf.DUMMYFUNCTION("""COMPUTED_VALUE"""),5038.93)</f>
        <v>5038.93</v>
      </c>
      <c r="G21" s="3">
        <f>IFERROR(__xludf.DUMMYFUNCTION("""COMPUTED_VALUE"""),11097.26)</f>
        <v>11097.26</v>
      </c>
      <c r="H21" s="3">
        <f>IFERROR(__xludf.DUMMYFUNCTION("""COMPUTED_VALUE"""),11937.88)</f>
        <v>11937.88</v>
      </c>
      <c r="I21" s="3">
        <f>IFERROR(__xludf.DUMMYFUNCTION("""COMPUTED_VALUE"""),9023.31)</f>
        <v>9023.31</v>
      </c>
      <c r="J21" s="3">
        <f>IFERROR(__xludf.DUMMYFUNCTION("""COMPUTED_VALUE"""),8530.69)</f>
        <v>8530.69</v>
      </c>
      <c r="K21" s="3">
        <f>IFERROR(__xludf.DUMMYFUNCTION("""COMPUTED_VALUE"""),9305.11)</f>
        <v>9305.11</v>
      </c>
      <c r="L21" s="3">
        <f>IFERROR(__xludf.DUMMYFUNCTION("""COMPUTED_VALUE"""),22534.92)</f>
        <v>22534.92</v>
      </c>
      <c r="M21" s="3">
        <f>IFERROR(__xludf.DUMMYFUNCTION("""COMPUTED_VALUE"""),11594.58)</f>
        <v>11594.58</v>
      </c>
      <c r="N21" s="3">
        <f>IFERROR(__xludf.DUMMYFUNCTION("""COMPUTED_VALUE"""),3500.0)</f>
        <v>3500</v>
      </c>
      <c r="O21" s="3" t="str">
        <f>IFERROR(__xludf.DUMMYFUNCTION("""COMPUTED_VALUE"""),"")</f>
        <v/>
      </c>
      <c r="P21" s="3" t="str">
        <f>IFERROR(__xludf.DUMMYFUNCTION("""COMPUTED_VALUE"""),"")</f>
        <v/>
      </c>
      <c r="Q21" s="3" t="str">
        <f>IFERROR(__xludf.DUMMYFUNCTION("""COMPUTED_VALUE"""),"")</f>
        <v/>
      </c>
      <c r="R21" s="3" t="str">
        <f>IFERROR(__xludf.DUMMYFUNCTION("""COMPUTED_VALUE"""),"")</f>
        <v/>
      </c>
      <c r="S21" s="3" t="str">
        <f>IFERROR(__xludf.DUMMYFUNCTION("""COMPUTED_VALUE"""),"")</f>
        <v/>
      </c>
      <c r="T21" s="3" t="str">
        <f>IFERROR(__xludf.DUMMYFUNCTION("""COMPUTED_VALUE"""),"")</f>
        <v/>
      </c>
      <c r="U21" s="3" t="str">
        <f>IFERROR(__xludf.DUMMYFUNCTION("""COMPUTED_VALUE"""),"")</f>
        <v/>
      </c>
      <c r="V21" s="3" t="str">
        <f>IFERROR(__xludf.DUMMYFUNCTION("""COMPUTED_VALUE"""),"")</f>
        <v/>
      </c>
      <c r="W21" s="3" t="str">
        <f>IFERROR(__xludf.DUMMYFUNCTION("""COMPUTED_VALUE"""),"")</f>
        <v/>
      </c>
      <c r="X21" s="3" t="str">
        <f>IFERROR(__xludf.DUMMYFUNCTION("""COMPUTED_VALUE"""),"")</f>
        <v/>
      </c>
      <c r="Y21" s="3" t="str">
        <f>IFERROR(__xludf.DUMMYFUNCTION("""COMPUTED_VALUE"""),"")</f>
        <v/>
      </c>
      <c r="Z21" s="3" t="str">
        <f>IFERROR(__xludf.DUMMYFUNCTION("""COMPUTED_VALUE"""),"")</f>
        <v/>
      </c>
    </row>
    <row r="22">
      <c r="A22" s="1" t="str">
        <f>IFERROR(__xludf.DUMMYFUNCTION("""COMPUTED_VALUE"""),"BTG Realizado")</f>
        <v>BTG Realizado</v>
      </c>
      <c r="B22" s="1" t="str">
        <f>IFERROR(__xludf.DUMMYFUNCTION("""COMPUTED_VALUE"""),"BTG")</f>
        <v>BTG</v>
      </c>
      <c r="C22" s="3" t="str">
        <f>IFERROR(__xludf.DUMMYFUNCTION("""COMPUTED_VALUE"""),"")</f>
        <v/>
      </c>
      <c r="D22" s="3" t="str">
        <f>IFERROR(__xludf.DUMMYFUNCTION("""COMPUTED_VALUE"""),"")</f>
        <v/>
      </c>
      <c r="E22" s="3" t="str">
        <f>IFERROR(__xludf.DUMMYFUNCTION("""COMPUTED_VALUE"""),"")</f>
        <v/>
      </c>
      <c r="F22" s="3">
        <f>IFERROR(__xludf.DUMMYFUNCTION("""COMPUTED_VALUE"""),5038.93)</f>
        <v>5038.93</v>
      </c>
      <c r="G22" s="3">
        <f>IFERROR(__xludf.DUMMYFUNCTION("""COMPUTED_VALUE"""),11097.26)</f>
        <v>11097.26</v>
      </c>
      <c r="H22" s="3">
        <f>IFERROR(__xludf.DUMMYFUNCTION("""COMPUTED_VALUE"""),11937.88)</f>
        <v>11937.88</v>
      </c>
      <c r="I22" s="3">
        <f>IFERROR(__xludf.DUMMYFUNCTION("""COMPUTED_VALUE"""),9023.31)</f>
        <v>9023.31</v>
      </c>
      <c r="J22" s="3">
        <f>IFERROR(__xludf.DUMMYFUNCTION("""COMPUTED_VALUE"""),8530.69)</f>
        <v>8530.69</v>
      </c>
      <c r="K22" s="3">
        <f>IFERROR(__xludf.DUMMYFUNCTION("""COMPUTED_VALUE"""),9305.11)</f>
        <v>9305.11</v>
      </c>
      <c r="L22" s="3">
        <f>IFERROR(__xludf.DUMMYFUNCTION("""COMPUTED_VALUE"""),22534.92)</f>
        <v>22534.92</v>
      </c>
      <c r="M22" s="3">
        <f>IFERROR(__xludf.DUMMYFUNCTION("""COMPUTED_VALUE"""),11594.58)</f>
        <v>11594.58</v>
      </c>
      <c r="N22" s="3">
        <f>IFERROR(__xludf.DUMMYFUNCTION("""COMPUTED_VALUE"""),3500.0)</f>
        <v>3500</v>
      </c>
      <c r="O22" s="3" t="str">
        <f>IFERROR(__xludf.DUMMYFUNCTION("""COMPUTED_VALUE"""),"")</f>
        <v/>
      </c>
      <c r="P22" s="3" t="str">
        <f>IFERROR(__xludf.DUMMYFUNCTION("""COMPUTED_VALUE"""),"")</f>
        <v/>
      </c>
      <c r="Q22" s="3" t="str">
        <f>IFERROR(__xludf.DUMMYFUNCTION("""COMPUTED_VALUE"""),"")</f>
        <v/>
      </c>
      <c r="R22" s="3" t="str">
        <f>IFERROR(__xludf.DUMMYFUNCTION("""COMPUTED_VALUE"""),"")</f>
        <v/>
      </c>
      <c r="S22" s="3" t="str">
        <f>IFERROR(__xludf.DUMMYFUNCTION("""COMPUTED_VALUE"""),"")</f>
        <v/>
      </c>
      <c r="T22" s="3" t="str">
        <f>IFERROR(__xludf.DUMMYFUNCTION("""COMPUTED_VALUE"""),"")</f>
        <v/>
      </c>
      <c r="U22" s="3" t="str">
        <f>IFERROR(__xludf.DUMMYFUNCTION("""COMPUTED_VALUE"""),"")</f>
        <v/>
      </c>
      <c r="V22" s="3" t="str">
        <f>IFERROR(__xludf.DUMMYFUNCTION("""COMPUTED_VALUE"""),"")</f>
        <v/>
      </c>
      <c r="W22" s="3" t="str">
        <f>IFERROR(__xludf.DUMMYFUNCTION("""COMPUTED_VALUE"""),"")</f>
        <v/>
      </c>
      <c r="X22" s="3" t="str">
        <f>IFERROR(__xludf.DUMMYFUNCTION("""COMPUTED_VALUE"""),"")</f>
        <v/>
      </c>
      <c r="Y22" s="3" t="str">
        <f>IFERROR(__xludf.DUMMYFUNCTION("""COMPUTED_VALUE"""),"")</f>
        <v/>
      </c>
      <c r="Z22" s="3" t="str">
        <f>IFERROR(__xludf.DUMMYFUNCTION("""COMPUTED_VALUE"""),"")</f>
        <v/>
      </c>
    </row>
    <row r="23">
      <c r="A23" s="1" t="str">
        <f>IFERROR(__xludf.DUMMYFUNCTION("""COMPUTED_VALUE"""),"Apto. 7L Previsto")</f>
        <v>Apto. 7L Previsto</v>
      </c>
      <c r="B23" s="1" t="str">
        <f>IFERROR(__xludf.DUMMYFUNCTION("""COMPUTED_VALUE"""),"Apto. 7L")</f>
        <v>Apto. 7L</v>
      </c>
      <c r="C23" s="3">
        <f>IFERROR(__xludf.DUMMYFUNCTION("""COMPUTED_VALUE"""),10121.130000000001)</f>
        <v>10121.13</v>
      </c>
      <c r="D23" s="3">
        <f>IFERROR(__xludf.DUMMYFUNCTION("""COMPUTED_VALUE"""),15178.85)</f>
        <v>15178.85</v>
      </c>
      <c r="E23" s="3">
        <f>IFERROR(__xludf.DUMMYFUNCTION("""COMPUTED_VALUE"""),12973.539999999999)</f>
        <v>12973.54</v>
      </c>
      <c r="F23" s="3">
        <f>IFERROR(__xludf.DUMMYFUNCTION("""COMPUTED_VALUE"""),15761.28)</f>
        <v>15761.28</v>
      </c>
      <c r="G23" s="3">
        <f>IFERROR(__xludf.DUMMYFUNCTION("""COMPUTED_VALUE"""),10662.94)</f>
        <v>10662.94</v>
      </c>
      <c r="H23" s="3">
        <f>IFERROR(__xludf.DUMMYFUNCTION("""COMPUTED_VALUE"""),11874.35)</f>
        <v>11874.35</v>
      </c>
      <c r="I23" s="3">
        <f>IFERROR(__xludf.DUMMYFUNCTION("""COMPUTED_VALUE"""),10000.0)</f>
        <v>10000</v>
      </c>
      <c r="J23" s="3">
        <f>IFERROR(__xludf.DUMMYFUNCTION("""COMPUTED_VALUE"""),10000.0)</f>
        <v>10000</v>
      </c>
      <c r="K23" s="3">
        <f>IFERROR(__xludf.DUMMYFUNCTION("""COMPUTED_VALUE"""),10000.0)</f>
        <v>10000</v>
      </c>
      <c r="L23" s="3">
        <f>IFERROR(__xludf.DUMMYFUNCTION("""COMPUTED_VALUE"""),12170.380000000001)</f>
        <v>12170.38</v>
      </c>
      <c r="M23" s="3">
        <f>IFERROR(__xludf.DUMMYFUNCTION("""COMPUTED_VALUE"""),11487.86)</f>
        <v>11487.86</v>
      </c>
      <c r="N23" s="3">
        <f>IFERROR(__xludf.DUMMYFUNCTION("""COMPUTED_VALUE"""),10000.0)</f>
        <v>10000</v>
      </c>
      <c r="O23" s="3" t="str">
        <f>IFERROR(__xludf.DUMMYFUNCTION("""COMPUTED_VALUE"""),"")</f>
        <v/>
      </c>
      <c r="P23" s="3" t="str">
        <f>IFERROR(__xludf.DUMMYFUNCTION("""COMPUTED_VALUE"""),"")</f>
        <v/>
      </c>
      <c r="Q23" s="3" t="str">
        <f>IFERROR(__xludf.DUMMYFUNCTION("""COMPUTED_VALUE"""),"")</f>
        <v/>
      </c>
      <c r="R23" s="3" t="str">
        <f>IFERROR(__xludf.DUMMYFUNCTION("""COMPUTED_VALUE"""),"")</f>
        <v/>
      </c>
      <c r="S23" s="3" t="str">
        <f>IFERROR(__xludf.DUMMYFUNCTION("""COMPUTED_VALUE"""),"")</f>
        <v/>
      </c>
      <c r="T23" s="3" t="str">
        <f>IFERROR(__xludf.DUMMYFUNCTION("""COMPUTED_VALUE"""),"")</f>
        <v/>
      </c>
      <c r="U23" s="3" t="str">
        <f>IFERROR(__xludf.DUMMYFUNCTION("""COMPUTED_VALUE"""),"")</f>
        <v/>
      </c>
      <c r="V23" s="3" t="str">
        <f>IFERROR(__xludf.DUMMYFUNCTION("""COMPUTED_VALUE"""),"")</f>
        <v/>
      </c>
      <c r="W23" s="3" t="str">
        <f>IFERROR(__xludf.DUMMYFUNCTION("""COMPUTED_VALUE"""),"")</f>
        <v/>
      </c>
      <c r="X23" s="3" t="str">
        <f>IFERROR(__xludf.DUMMYFUNCTION("""COMPUTED_VALUE"""),"")</f>
        <v/>
      </c>
      <c r="Y23" s="3" t="str">
        <f>IFERROR(__xludf.DUMMYFUNCTION("""COMPUTED_VALUE"""),"")</f>
        <v/>
      </c>
      <c r="Z23" s="3" t="str">
        <f>IFERROR(__xludf.DUMMYFUNCTION("""COMPUTED_VALUE"""),"")</f>
        <v/>
      </c>
    </row>
    <row r="24">
      <c r="A24" s="1" t="str">
        <f>IFERROR(__xludf.DUMMYFUNCTION("""COMPUTED_VALUE"""),"Apto. 7L Realizado")</f>
        <v>Apto. 7L Realizado</v>
      </c>
      <c r="B24" s="1" t="str">
        <f>IFERROR(__xludf.DUMMYFUNCTION("""COMPUTED_VALUE"""),"Apto. 7L")</f>
        <v>Apto. 7L</v>
      </c>
      <c r="C24" s="3">
        <f>IFERROR(__xludf.DUMMYFUNCTION("""COMPUTED_VALUE"""),10121.130000000001)</f>
        <v>10121.13</v>
      </c>
      <c r="D24" s="3">
        <f>IFERROR(__xludf.DUMMYFUNCTION("""COMPUTED_VALUE"""),15178.85)</f>
        <v>15178.85</v>
      </c>
      <c r="E24" s="3">
        <f>IFERROR(__xludf.DUMMYFUNCTION("""COMPUTED_VALUE"""),12973.539999999999)</f>
        <v>12973.54</v>
      </c>
      <c r="F24" s="3">
        <f>IFERROR(__xludf.DUMMYFUNCTION("""COMPUTED_VALUE"""),15761.28)</f>
        <v>15761.28</v>
      </c>
      <c r="G24" s="3">
        <f>IFERROR(__xludf.DUMMYFUNCTION("""COMPUTED_VALUE"""),10662.94)</f>
        <v>10662.94</v>
      </c>
      <c r="H24" s="3">
        <f>IFERROR(__xludf.DUMMYFUNCTION("""COMPUTED_VALUE"""),11874.35)</f>
        <v>11874.35</v>
      </c>
      <c r="I24" s="3">
        <f>IFERROR(__xludf.DUMMYFUNCTION("""COMPUTED_VALUE"""),10000.0)</f>
        <v>10000</v>
      </c>
      <c r="J24" s="3">
        <f>IFERROR(__xludf.DUMMYFUNCTION("""COMPUTED_VALUE"""),10000.0)</f>
        <v>10000</v>
      </c>
      <c r="K24" s="3">
        <f>IFERROR(__xludf.DUMMYFUNCTION("""COMPUTED_VALUE"""),10000.0)</f>
        <v>10000</v>
      </c>
      <c r="L24" s="3">
        <f>IFERROR(__xludf.DUMMYFUNCTION("""COMPUTED_VALUE"""),12170.380000000001)</f>
        <v>12170.38</v>
      </c>
      <c r="M24" s="3">
        <f>IFERROR(__xludf.DUMMYFUNCTION("""COMPUTED_VALUE"""),11487.86)</f>
        <v>11487.86</v>
      </c>
      <c r="N24" s="3">
        <f>IFERROR(__xludf.DUMMYFUNCTION("""COMPUTED_VALUE"""),10000.0)</f>
        <v>10000</v>
      </c>
      <c r="O24" s="3" t="str">
        <f>IFERROR(__xludf.DUMMYFUNCTION("""COMPUTED_VALUE"""),"")</f>
        <v/>
      </c>
      <c r="P24" s="3" t="str">
        <f>IFERROR(__xludf.DUMMYFUNCTION("""COMPUTED_VALUE"""),"")</f>
        <v/>
      </c>
      <c r="Q24" s="3" t="str">
        <f>IFERROR(__xludf.DUMMYFUNCTION("""COMPUTED_VALUE"""),"")</f>
        <v/>
      </c>
      <c r="R24" s="3" t="str">
        <f>IFERROR(__xludf.DUMMYFUNCTION("""COMPUTED_VALUE"""),"")</f>
        <v/>
      </c>
      <c r="S24" s="3" t="str">
        <f>IFERROR(__xludf.DUMMYFUNCTION("""COMPUTED_VALUE"""),"")</f>
        <v/>
      </c>
      <c r="T24" s="3" t="str">
        <f>IFERROR(__xludf.DUMMYFUNCTION("""COMPUTED_VALUE"""),"")</f>
        <v/>
      </c>
      <c r="U24" s="3" t="str">
        <f>IFERROR(__xludf.DUMMYFUNCTION("""COMPUTED_VALUE"""),"")</f>
        <v/>
      </c>
      <c r="V24" s="3" t="str">
        <f>IFERROR(__xludf.DUMMYFUNCTION("""COMPUTED_VALUE"""),"")</f>
        <v/>
      </c>
      <c r="W24" s="3" t="str">
        <f>IFERROR(__xludf.DUMMYFUNCTION("""COMPUTED_VALUE"""),"")</f>
        <v/>
      </c>
      <c r="X24" s="3" t="str">
        <f>IFERROR(__xludf.DUMMYFUNCTION("""COMPUTED_VALUE"""),"")</f>
        <v/>
      </c>
      <c r="Y24" s="3" t="str">
        <f>IFERROR(__xludf.DUMMYFUNCTION("""COMPUTED_VALUE"""),"")</f>
        <v/>
      </c>
      <c r="Z24" s="3" t="str">
        <f>IFERROR(__xludf.DUMMYFUNCTION("""COMPUTED_VALUE"""),"")</f>
        <v/>
      </c>
    </row>
    <row r="25">
      <c r="A25" s="1" t="str">
        <f>IFERROR(__xludf.DUMMYFUNCTION("""COMPUTED_VALUE"""),"Débitos Previsto")</f>
        <v>Débitos Previsto</v>
      </c>
      <c r="B25" s="1" t="str">
        <f>IFERROR(__xludf.DUMMYFUNCTION("""COMPUTED_VALUE"""),"Total")</f>
        <v>Total</v>
      </c>
      <c r="C25" s="3">
        <f>IFERROR(__xludf.DUMMYFUNCTION("""COMPUTED_VALUE"""),35671.6)</f>
        <v>35671.6</v>
      </c>
      <c r="D25" s="3">
        <f>IFERROR(__xludf.DUMMYFUNCTION("""COMPUTED_VALUE"""),44109.13)</f>
        <v>44109.13</v>
      </c>
      <c r="E25" s="3">
        <f>IFERROR(__xludf.DUMMYFUNCTION("""COMPUTED_VALUE"""),40893.4872849465)</f>
        <v>40893.48728</v>
      </c>
      <c r="F25" s="3">
        <f>IFERROR(__xludf.DUMMYFUNCTION("""COMPUTED_VALUE"""),48687.31)</f>
        <v>48687.31</v>
      </c>
      <c r="G25" s="3">
        <f>IFERROR(__xludf.DUMMYFUNCTION("""COMPUTED_VALUE"""),38593.39)</f>
        <v>38593.39</v>
      </c>
      <c r="H25" s="3">
        <f>IFERROR(__xludf.DUMMYFUNCTION("""COMPUTED_VALUE"""),37928.899999999994)</f>
        <v>37928.9</v>
      </c>
      <c r="I25" s="3">
        <f>IFERROR(__xludf.DUMMYFUNCTION("""COMPUTED_VALUE"""),37325.73)</f>
        <v>37325.73</v>
      </c>
      <c r="J25" s="3">
        <f>IFERROR(__xludf.DUMMYFUNCTION("""COMPUTED_VALUE"""),33645.780000000006)</f>
        <v>33645.78</v>
      </c>
      <c r="K25" s="3">
        <f>IFERROR(__xludf.DUMMYFUNCTION("""COMPUTED_VALUE"""),34588.22)</f>
        <v>34588.22</v>
      </c>
      <c r="L25" s="3">
        <f>IFERROR(__xludf.DUMMYFUNCTION("""COMPUTED_VALUE"""),47764.049999999996)</f>
        <v>47764.05</v>
      </c>
      <c r="M25" s="3">
        <f>IFERROR(__xludf.DUMMYFUNCTION("""COMPUTED_VALUE"""),34437.74999999999)</f>
        <v>34437.75</v>
      </c>
      <c r="N25" s="3">
        <f>IFERROR(__xludf.DUMMYFUNCTION("""COMPUTED_VALUE"""),104607.82)</f>
        <v>104607.82</v>
      </c>
      <c r="O25" s="3" t="str">
        <f>IFERROR(__xludf.DUMMYFUNCTION("""COMPUTED_VALUE"""),"")</f>
        <v/>
      </c>
      <c r="P25" s="3" t="str">
        <f>IFERROR(__xludf.DUMMYFUNCTION("""COMPUTED_VALUE"""),"")</f>
        <v/>
      </c>
      <c r="Q25" s="3" t="str">
        <f>IFERROR(__xludf.DUMMYFUNCTION("""COMPUTED_VALUE"""),"")</f>
        <v/>
      </c>
      <c r="R25" s="3" t="str">
        <f>IFERROR(__xludf.DUMMYFUNCTION("""COMPUTED_VALUE"""),"")</f>
        <v/>
      </c>
      <c r="S25" s="3" t="str">
        <f>IFERROR(__xludf.DUMMYFUNCTION("""COMPUTED_VALUE"""),"")</f>
        <v/>
      </c>
      <c r="T25" s="3" t="str">
        <f>IFERROR(__xludf.DUMMYFUNCTION("""COMPUTED_VALUE"""),"")</f>
        <v/>
      </c>
      <c r="U25" s="3" t="str">
        <f>IFERROR(__xludf.DUMMYFUNCTION("""COMPUTED_VALUE"""),"")</f>
        <v/>
      </c>
      <c r="V25" s="3" t="str">
        <f>IFERROR(__xludf.DUMMYFUNCTION("""COMPUTED_VALUE"""),"")</f>
        <v/>
      </c>
      <c r="W25" s="3" t="str">
        <f>IFERROR(__xludf.DUMMYFUNCTION("""COMPUTED_VALUE"""),"")</f>
        <v/>
      </c>
      <c r="X25" s="3" t="str">
        <f>IFERROR(__xludf.DUMMYFUNCTION("""COMPUTED_VALUE"""),"")</f>
        <v/>
      </c>
      <c r="Y25" s="3" t="str">
        <f>IFERROR(__xludf.DUMMYFUNCTION("""COMPUTED_VALUE"""),"")</f>
        <v/>
      </c>
      <c r="Z25" s="3" t="str">
        <f>IFERROR(__xludf.DUMMYFUNCTION("""COMPUTED_VALUE"""),"")</f>
        <v/>
      </c>
    </row>
    <row r="26">
      <c r="A26" s="1" t="str">
        <f>IFERROR(__xludf.DUMMYFUNCTION("""COMPUTED_VALUE"""),"Débitos Realizado")</f>
        <v>Débitos Realizado</v>
      </c>
      <c r="B26" s="1" t="str">
        <f>IFERROR(__xludf.DUMMYFUNCTION("""COMPUTED_VALUE"""),"Total")</f>
        <v>Total</v>
      </c>
      <c r="C26" s="3">
        <f>IFERROR(__xludf.DUMMYFUNCTION("""COMPUTED_VALUE"""),35671.62)</f>
        <v>35671.62</v>
      </c>
      <c r="D26" s="3">
        <f>IFERROR(__xludf.DUMMYFUNCTION("""COMPUTED_VALUE"""),44109.13)</f>
        <v>44109.13</v>
      </c>
      <c r="E26" s="3">
        <f>IFERROR(__xludf.DUMMYFUNCTION("""COMPUTED_VALUE"""),40893.490000000005)</f>
        <v>40893.49</v>
      </c>
      <c r="F26" s="3">
        <f>IFERROR(__xludf.DUMMYFUNCTION("""COMPUTED_VALUE"""),48687.31)</f>
        <v>48687.31</v>
      </c>
      <c r="G26" s="3">
        <f>IFERROR(__xludf.DUMMYFUNCTION("""COMPUTED_VALUE"""),38593.39)</f>
        <v>38593.39</v>
      </c>
      <c r="H26" s="3">
        <f>IFERROR(__xludf.DUMMYFUNCTION("""COMPUTED_VALUE"""),37928.899999999994)</f>
        <v>37928.9</v>
      </c>
      <c r="I26" s="3">
        <f>IFERROR(__xludf.DUMMYFUNCTION("""COMPUTED_VALUE"""),37325.73)</f>
        <v>37325.73</v>
      </c>
      <c r="J26" s="3">
        <f>IFERROR(__xludf.DUMMYFUNCTION("""COMPUTED_VALUE"""),33645.780000000006)</f>
        <v>33645.78</v>
      </c>
      <c r="K26" s="3">
        <f>IFERROR(__xludf.DUMMYFUNCTION("""COMPUTED_VALUE"""),34588.22)</f>
        <v>34588.22</v>
      </c>
      <c r="L26" s="3">
        <f>IFERROR(__xludf.DUMMYFUNCTION("""COMPUTED_VALUE"""),47764.049999999996)</f>
        <v>47764.05</v>
      </c>
      <c r="M26" s="3">
        <f>IFERROR(__xludf.DUMMYFUNCTION("""COMPUTED_VALUE"""),34437.74999999999)</f>
        <v>34437.75</v>
      </c>
      <c r="N26" s="3">
        <f>IFERROR(__xludf.DUMMYFUNCTION("""COMPUTED_VALUE"""),97619.69)</f>
        <v>97619.69</v>
      </c>
      <c r="O26" s="3" t="str">
        <f>IFERROR(__xludf.DUMMYFUNCTION("""COMPUTED_VALUE"""),"")</f>
        <v/>
      </c>
      <c r="P26" s="3" t="str">
        <f>IFERROR(__xludf.DUMMYFUNCTION("""COMPUTED_VALUE"""),"")</f>
        <v/>
      </c>
      <c r="Q26" s="3" t="str">
        <f>IFERROR(__xludf.DUMMYFUNCTION("""COMPUTED_VALUE"""),"")</f>
        <v/>
      </c>
      <c r="R26" s="3" t="str">
        <f>IFERROR(__xludf.DUMMYFUNCTION("""COMPUTED_VALUE"""),"")</f>
        <v/>
      </c>
      <c r="S26" s="3" t="str">
        <f>IFERROR(__xludf.DUMMYFUNCTION("""COMPUTED_VALUE"""),"")</f>
        <v/>
      </c>
      <c r="T26" s="3" t="str">
        <f>IFERROR(__xludf.DUMMYFUNCTION("""COMPUTED_VALUE"""),"")</f>
        <v/>
      </c>
      <c r="U26" s="3" t="str">
        <f>IFERROR(__xludf.DUMMYFUNCTION("""COMPUTED_VALUE"""),"")</f>
        <v/>
      </c>
      <c r="V26" s="3" t="str">
        <f>IFERROR(__xludf.DUMMYFUNCTION("""COMPUTED_VALUE"""),"")</f>
        <v/>
      </c>
      <c r="W26" s="3" t="str">
        <f>IFERROR(__xludf.DUMMYFUNCTION("""COMPUTED_VALUE"""),"")</f>
        <v/>
      </c>
      <c r="X26" s="3" t="str">
        <f>IFERROR(__xludf.DUMMYFUNCTION("""COMPUTED_VALUE"""),"")</f>
        <v/>
      </c>
      <c r="Y26" s="3" t="str">
        <f>IFERROR(__xludf.DUMMYFUNCTION("""COMPUTED_VALUE"""),"")</f>
        <v/>
      </c>
      <c r="Z26" s="3" t="str">
        <f>IFERROR(__xludf.DUMMYFUNCTION("""COMPUTED_VALUE"""),"")</f>
        <v/>
      </c>
    </row>
    <row r="27">
      <c r="A27" s="1" t="str">
        <f>IFERROR(__xludf.DUMMYFUNCTION("""COMPUTED_VALUE"""),"Investimento Ações")</f>
        <v>Investimento Ações</v>
      </c>
      <c r="B27" s="1" t="str">
        <f>IFERROR(__xludf.DUMMYFUNCTION("""COMPUTED_VALUE"""),"-")</f>
        <v>-</v>
      </c>
      <c r="C27" s="1"/>
      <c r="D27" s="1"/>
      <c r="E27" s="1"/>
      <c r="F27" s="1"/>
      <c r="G27" s="1"/>
      <c r="H27" s="1"/>
      <c r="I27" s="1"/>
      <c r="J27" s="1">
        <f>IFERROR(__xludf.DUMMYFUNCTION("""COMPUTED_VALUE"""),322958.54)</f>
        <v>322958.54</v>
      </c>
      <c r="K27" s="1">
        <f>IFERROR(__xludf.DUMMYFUNCTION("""COMPUTED_VALUE"""),330636.13999999996)</f>
        <v>330636.14</v>
      </c>
      <c r="L27" s="1">
        <f>IFERROR(__xludf.DUMMYFUNCTION("""COMPUTED_VALUE"""),332613.83999999997)</f>
        <v>332613.84</v>
      </c>
      <c r="M27" s="1">
        <f>IFERROR(__xludf.DUMMYFUNCTION("""COMPUTED_VALUE"""),346279.57999999996)</f>
        <v>346279.58</v>
      </c>
      <c r="N27" s="1">
        <f>IFERROR(__xludf.DUMMYFUNCTION("""COMPUTED_VALUE"""),347801.56)</f>
        <v>347801.56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tr">
        <f>IFERROR(__xludf.DUMMYFUNCTION("""COMPUTED_VALUE"""),"Investimento Renda Fixa")</f>
        <v>Investimento Renda Fixa</v>
      </c>
      <c r="B28" s="1" t="str">
        <f>IFERROR(__xludf.DUMMYFUNCTION("""COMPUTED_VALUE"""),"-")</f>
        <v>-</v>
      </c>
      <c r="C28" s="1"/>
      <c r="D28" s="1"/>
      <c r="E28" s="1"/>
      <c r="F28" s="1"/>
      <c r="G28" s="1"/>
      <c r="H28" s="1"/>
      <c r="I28" s="1"/>
      <c r="J28" s="1">
        <f>IFERROR(__xludf.DUMMYFUNCTION("""COMPUTED_VALUE"""),138848.23)</f>
        <v>138848.23</v>
      </c>
      <c r="K28" s="1">
        <f>IFERROR(__xludf.DUMMYFUNCTION("""COMPUTED_VALUE"""),136402.62)</f>
        <v>136402.62</v>
      </c>
      <c r="L28" s="1">
        <f>IFERROR(__xludf.DUMMYFUNCTION("""COMPUTED_VALUE"""),137962.47)</f>
        <v>137962.47</v>
      </c>
      <c r="M28" s="1">
        <f>IFERROR(__xludf.DUMMYFUNCTION("""COMPUTED_VALUE"""),109705.27)</f>
        <v>109705.27</v>
      </c>
      <c r="N28" s="1">
        <f>IFERROR(__xludf.DUMMYFUNCTION("""COMPUTED_VALUE"""),37417.54)</f>
        <v>37417.54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tr">
        <f>IFERROR(__xludf.DUMMYFUNCTION("""COMPUTED_VALUE"""),"Previdência Privada")</f>
        <v>Previdência Privada</v>
      </c>
      <c r="B29" s="1" t="str">
        <f>IFERROR(__xludf.DUMMYFUNCTION("""COMPUTED_VALUE"""),"-")</f>
        <v>-</v>
      </c>
      <c r="C29" s="1"/>
      <c r="D29" s="1"/>
      <c r="E29" s="1"/>
      <c r="F29" s="1"/>
      <c r="G29" s="1"/>
      <c r="H29" s="1"/>
      <c r="I29" s="1"/>
      <c r="J29" s="1">
        <f>IFERROR(__xludf.DUMMYFUNCTION("""COMPUTED_VALUE"""),219767.1)</f>
        <v>219767.1</v>
      </c>
      <c r="K29" s="1">
        <f>IFERROR(__xludf.DUMMYFUNCTION("""COMPUTED_VALUE"""),220419.21)</f>
        <v>220419.21</v>
      </c>
      <c r="L29" s="1">
        <f>IFERROR(__xludf.DUMMYFUNCTION("""COMPUTED_VALUE"""),228858.82)</f>
        <v>228858.82</v>
      </c>
      <c r="M29" s="1">
        <f>IFERROR(__xludf.DUMMYFUNCTION("""COMPUTED_VALUE"""),243820.13)</f>
        <v>243820.13</v>
      </c>
      <c r="N29" s="1">
        <f>IFERROR(__xludf.DUMMYFUNCTION("""COMPUTED_VALUE"""),243820.13)</f>
        <v>243820.13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tr">
        <f>IFERROR(__xludf.DUMMYFUNCTION("""COMPUTED_VALUE"""),"Investimento Cripto")</f>
        <v>Investimento Cripto</v>
      </c>
      <c r="B30" s="1" t="str">
        <f>IFERROR(__xludf.DUMMYFUNCTION("""COMPUTED_VALUE"""),"-")</f>
        <v>-</v>
      </c>
      <c r="C30" s="1"/>
      <c r="D30" s="1"/>
      <c r="E30" s="1"/>
      <c r="F30" s="1"/>
      <c r="G30" s="1"/>
      <c r="H30" s="1"/>
      <c r="I30" s="1"/>
      <c r="J30" s="1"/>
      <c r="K30" s="1"/>
      <c r="L30" s="1">
        <f>IFERROR(__xludf.DUMMYFUNCTION("""COMPUTED_VALUE"""),2014.69)</f>
        <v>2014.69</v>
      </c>
      <c r="M30" s="1">
        <f>IFERROR(__xludf.DUMMYFUNCTION("""COMPUTED_VALUE"""),2062.08)</f>
        <v>2062.08</v>
      </c>
      <c r="N30" s="1">
        <f>IFERROR(__xludf.DUMMYFUNCTION("""COMPUTED_VALUE"""),2062.08)</f>
        <v>2062.08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tr">
        <f>IFERROR(__xludf.DUMMYFUNCTION("""COMPUTED_VALUE"""),"TD IPCA+7.91%")</f>
        <v>TD IPCA+7.91%</v>
      </c>
      <c r="B31" s="1" t="str">
        <f>IFERROR(__xludf.DUMMYFUNCTION("""COMPUTED_VALUE"""),"-")</f>
        <v>-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>
        <f>IFERROR(__xludf.DUMMYFUNCTION("""COMPUTED_VALUE"""),3098.14)</f>
        <v>3098.14</v>
      </c>
      <c r="N31" s="1">
        <f>IFERROR(__xludf.DUMMYFUNCTION("""COMPUTED_VALUE"""),30165.67)</f>
        <v>30165.67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tr">
        <f>IFERROR(__xludf.DUMMYFUNCTION("""COMPUTED_VALUE"""),"Apartamento")</f>
        <v>Apartamento</v>
      </c>
      <c r="B32" s="1" t="str">
        <f>IFERROR(__xludf.DUMMYFUNCTION("""COMPUTED_VALUE"""),"-")</f>
        <v>-</v>
      </c>
      <c r="C32" s="1"/>
      <c r="D32" s="1"/>
      <c r="E32" s="1"/>
      <c r="F32" s="1"/>
      <c r="G32" s="1"/>
      <c r="H32" s="1"/>
      <c r="I32" s="1"/>
      <c r="J32" s="1"/>
      <c r="K32" s="1"/>
      <c r="L32" s="1">
        <f>IFERROR(__xludf.DUMMYFUNCTION("""COMPUTED_VALUE"""),-765057.08)</f>
        <v>-765057.08</v>
      </c>
      <c r="M32" s="1">
        <f>IFERROR(__xludf.DUMMYFUNCTION("""COMPUTED_VALUE"""),-765378.56)</f>
        <v>-765378.56</v>
      </c>
      <c r="N32" s="1">
        <f>IFERROR(__xludf.DUMMYFUNCTION("""COMPUTED_VALUE"""),-764402.43)</f>
        <v>-764402.43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tr">
        <f>IFERROR(__xludf.DUMMYFUNCTION("""COMPUTED_VALUE"""),"[C] Salário")</f>
        <v>[C] Salário</v>
      </c>
      <c r="B33" s="1" t="str">
        <f>IFERROR(__xludf.DUMMYFUNCTION("""COMPUTED_VALUE"""),"-")</f>
        <v>-</v>
      </c>
      <c r="C33" s="1">
        <f>IFERROR(__xludf.DUMMYFUNCTION("""COMPUTED_VALUE"""),21951.99)</f>
        <v>21951.99</v>
      </c>
      <c r="D33" s="1">
        <f>IFERROR(__xludf.DUMMYFUNCTION("""COMPUTED_VALUE"""),21615.660000000003)</f>
        <v>21615.66</v>
      </c>
      <c r="E33" s="1">
        <f>IFERROR(__xludf.DUMMYFUNCTION("""COMPUTED_VALUE"""),22117.97)</f>
        <v>22117.97</v>
      </c>
      <c r="F33" s="1">
        <f>IFERROR(__xludf.DUMMYFUNCTION("""COMPUTED_VALUE"""),23373.38)</f>
        <v>23373.38</v>
      </c>
      <c r="G33" s="1">
        <f>IFERROR(__xludf.DUMMYFUNCTION("""COMPUTED_VALUE"""),23176.4)</f>
        <v>23176.4</v>
      </c>
      <c r="H33" s="1">
        <f>IFERROR(__xludf.DUMMYFUNCTION("""COMPUTED_VALUE"""),23189.13)</f>
        <v>23189.13</v>
      </c>
      <c r="I33" s="1">
        <f>IFERROR(__xludf.DUMMYFUNCTION("""COMPUTED_VALUE"""),23241.26)</f>
        <v>23241.26</v>
      </c>
      <c r="J33" s="1">
        <f>IFERROR(__xludf.DUMMYFUNCTION("""COMPUTED_VALUE"""),23078.86)</f>
        <v>23078.86</v>
      </c>
      <c r="K33" s="1">
        <f>IFERROR(__xludf.DUMMYFUNCTION("""COMPUTED_VALUE"""),23327.82)</f>
        <v>23327.82</v>
      </c>
      <c r="L33" s="1">
        <f>IFERROR(__xludf.DUMMYFUNCTION("""COMPUTED_VALUE"""),23327.82)</f>
        <v>23327.82</v>
      </c>
      <c r="M33" s="1">
        <f>IFERROR(__xludf.DUMMYFUNCTION("""COMPUTED_VALUE"""),13206.169999999998)</f>
        <v>13206.17</v>
      </c>
      <c r="N33" s="1">
        <f>IFERROR(__xludf.DUMMYFUNCTION("""COMPUTED_VALUE"""),23078.86)</f>
        <v>23078.86</v>
      </c>
      <c r="O33" s="1" t="str">
        <f>IFERROR(__xludf.DUMMYFUNCTION("""COMPUTED_VALUE"""),"")</f>
        <v/>
      </c>
      <c r="P33" s="1" t="str">
        <f>IFERROR(__xludf.DUMMYFUNCTION("""COMPUTED_VALUE"""),"")</f>
        <v/>
      </c>
      <c r="Q33" s="1" t="str">
        <f>IFERROR(__xludf.DUMMYFUNCTION("""COMPUTED_VALUE"""),"")</f>
        <v/>
      </c>
      <c r="R33" s="1" t="str">
        <f>IFERROR(__xludf.DUMMYFUNCTION("""COMPUTED_VALUE"""),"")</f>
        <v/>
      </c>
      <c r="S33" s="1" t="str">
        <f>IFERROR(__xludf.DUMMYFUNCTION("""COMPUTED_VALUE"""),"")</f>
        <v/>
      </c>
      <c r="T33" s="1" t="str">
        <f>IFERROR(__xludf.DUMMYFUNCTION("""COMPUTED_VALUE"""),"")</f>
        <v/>
      </c>
      <c r="U33" s="1" t="str">
        <f>IFERROR(__xludf.DUMMYFUNCTION("""COMPUTED_VALUE"""),"")</f>
        <v/>
      </c>
      <c r="V33" s="1" t="str">
        <f>IFERROR(__xludf.DUMMYFUNCTION("""COMPUTED_VALUE"""),"")</f>
        <v/>
      </c>
      <c r="W33" s="1" t="str">
        <f>IFERROR(__xludf.DUMMYFUNCTION("""COMPUTED_VALUE"""),"")</f>
        <v/>
      </c>
      <c r="X33" s="1" t="str">
        <f>IFERROR(__xludf.DUMMYFUNCTION("""COMPUTED_VALUE"""),"")</f>
        <v/>
      </c>
      <c r="Y33" s="1" t="str">
        <f>IFERROR(__xludf.DUMMYFUNCTION("""COMPUTED_VALUE"""),"")</f>
        <v/>
      </c>
      <c r="Z33" s="1" t="str">
        <f>IFERROR(__xludf.DUMMYFUNCTION("""COMPUTED_VALUE"""),"")</f>
        <v/>
      </c>
    </row>
    <row r="34">
      <c r="A34" s="1" t="str">
        <f>IFERROR(__xludf.DUMMYFUNCTION("""COMPUTED_VALUE"""),"[C] Cartão")</f>
        <v>[C] Cartão</v>
      </c>
      <c r="B34" s="1" t="str">
        <f>IFERROR(__xludf.DUMMYFUNCTION("""COMPUTED_VALUE"""),"-")</f>
        <v>-</v>
      </c>
      <c r="C34" s="1">
        <f>IFERROR(__xludf.DUMMYFUNCTION("""COMPUTED_VALUE"""),6965.81)</f>
        <v>6965.81</v>
      </c>
      <c r="D34" s="1">
        <f>IFERROR(__xludf.DUMMYFUNCTION("""COMPUTED_VALUE"""),9684.300000000001)</f>
        <v>9684.3</v>
      </c>
      <c r="E34" s="1">
        <f>IFERROR(__xludf.DUMMYFUNCTION("""COMPUTED_VALUE"""),5551.2699999999995)</f>
        <v>5551.27</v>
      </c>
      <c r="F34" s="1">
        <f>IFERROR(__xludf.DUMMYFUNCTION("""COMPUTED_VALUE"""),10281.61)</f>
        <v>10281.61</v>
      </c>
      <c r="G34" s="1">
        <f>IFERROR(__xludf.DUMMYFUNCTION("""COMPUTED_VALUE"""),12579.79)</f>
        <v>12579.79</v>
      </c>
      <c r="H34" s="1">
        <f>IFERROR(__xludf.DUMMYFUNCTION("""COMPUTED_VALUE"""),12536.849999999999)</f>
        <v>12536.85</v>
      </c>
      <c r="I34" s="1">
        <f>IFERROR(__xludf.DUMMYFUNCTION("""COMPUTED_VALUE"""),9479.01)</f>
        <v>9479.01</v>
      </c>
      <c r="J34" s="1">
        <f>IFERROR(__xludf.DUMMYFUNCTION("""COMPUTED_VALUE"""),8962.25)</f>
        <v>8962.25</v>
      </c>
      <c r="K34" s="1">
        <f>IFERROR(__xludf.DUMMYFUNCTION("""COMPUTED_VALUE"""),10002.640000000001)</f>
        <v>10002.64</v>
      </c>
      <c r="L34" s="1">
        <f>IFERROR(__xludf.DUMMYFUNCTION("""COMPUTED_VALUE"""),23232.449999999997)</f>
        <v>23232.45</v>
      </c>
      <c r="M34" s="1">
        <f>IFERROR(__xludf.DUMMYFUNCTION("""COMPUTED_VALUE"""),12292.02)</f>
        <v>12292.02</v>
      </c>
      <c r="N34" s="1">
        <f>IFERROR(__xludf.DUMMYFUNCTION("""COMPUTED_VALUE"""),5036.07)</f>
        <v>5036.07</v>
      </c>
      <c r="O34" s="1">
        <f>IFERROR(__xludf.DUMMYFUNCTION("""COMPUTED_VALUE"""),5434.44)</f>
        <v>5434.44</v>
      </c>
      <c r="P34" s="1">
        <f>IFERROR(__xludf.DUMMYFUNCTION("""COMPUTED_VALUE"""),5434.44)</f>
        <v>5434.44</v>
      </c>
      <c r="Q34" s="1">
        <f>IFERROR(__xludf.DUMMYFUNCTION("""COMPUTED_VALUE"""),5434.44)</f>
        <v>5434.44</v>
      </c>
      <c r="R34" s="1">
        <f>IFERROR(__xludf.DUMMYFUNCTION("""COMPUTED_VALUE"""),5434.44)</f>
        <v>5434.44</v>
      </c>
      <c r="S34" s="1">
        <f>IFERROR(__xludf.DUMMYFUNCTION("""COMPUTED_VALUE"""),5434.44)</f>
        <v>5434.44</v>
      </c>
      <c r="T34" s="1">
        <f>IFERROR(__xludf.DUMMYFUNCTION("""COMPUTED_VALUE"""),5434.44)</f>
        <v>5434.44</v>
      </c>
      <c r="U34" s="1">
        <f>IFERROR(__xludf.DUMMYFUNCTION("""COMPUTED_VALUE"""),5434.44)</f>
        <v>5434.44</v>
      </c>
      <c r="V34" s="1">
        <f>IFERROR(__xludf.DUMMYFUNCTION("""COMPUTED_VALUE"""),5434.44)</f>
        <v>5434.44</v>
      </c>
      <c r="W34" s="1">
        <f>IFERROR(__xludf.DUMMYFUNCTION("""COMPUTED_VALUE"""),5434.44)</f>
        <v>5434.44</v>
      </c>
      <c r="X34" s="1">
        <f>IFERROR(__xludf.DUMMYFUNCTION("""COMPUTED_VALUE"""),5434.44)</f>
        <v>5434.44</v>
      </c>
      <c r="Y34" s="1">
        <f>IFERROR(__xludf.DUMMYFUNCTION("""COMPUTED_VALUE"""),5434.44)</f>
        <v>5434.44</v>
      </c>
      <c r="Z34" s="1">
        <f>IFERROR(__xludf.DUMMYFUNCTION("""COMPUTED_VALUE"""),5434.44)</f>
        <v>5434.44</v>
      </c>
    </row>
    <row r="35">
      <c r="A35" s="1" t="str">
        <f>IFERROR(__xludf.DUMMYFUNCTION("""COMPUTED_VALUE"""),"[C] Investimento")</f>
        <v>[C] Investimento</v>
      </c>
      <c r="B35" s="1" t="str">
        <f>IFERROR(__xludf.DUMMYFUNCTION("""COMPUTED_VALUE"""),"-")</f>
        <v>-</v>
      </c>
      <c r="C35" s="1">
        <f>IFERROR(__xludf.DUMMYFUNCTION("""COMPUTED_VALUE"""),888.3299999999999)</f>
        <v>888.33</v>
      </c>
      <c r="D35" s="1" t="str">
        <f>IFERROR(__xludf.DUMMYFUNCTION("""COMPUTED_VALUE"""),"")</f>
        <v/>
      </c>
      <c r="E35" s="1" t="str">
        <f>IFERROR(__xludf.DUMMYFUNCTION("""COMPUTED_VALUE"""),"")</f>
        <v/>
      </c>
      <c r="F35" s="1">
        <f>IFERROR(__xludf.DUMMYFUNCTION("""COMPUTED_VALUE"""),6811.08)</f>
        <v>6811.08</v>
      </c>
      <c r="G35" s="1" t="str">
        <f>IFERROR(__xludf.DUMMYFUNCTION("""COMPUTED_VALUE"""),"")</f>
        <v/>
      </c>
      <c r="H35" s="1">
        <f>IFERROR(__xludf.DUMMYFUNCTION("""COMPUTED_VALUE"""),1811.5)</f>
        <v>1811.5</v>
      </c>
      <c r="I35" s="1" t="str">
        <f>IFERROR(__xludf.DUMMYFUNCTION("""COMPUTED_VALUE"""),"")</f>
        <v/>
      </c>
      <c r="J35" s="1" t="str">
        <f>IFERROR(__xludf.DUMMYFUNCTION("""COMPUTED_VALUE"""),"")</f>
        <v/>
      </c>
      <c r="K35" s="1" t="str">
        <f>IFERROR(__xludf.DUMMYFUNCTION("""COMPUTED_VALUE"""),"")</f>
        <v/>
      </c>
      <c r="L35" s="1" t="str">
        <f>IFERROR(__xludf.DUMMYFUNCTION("""COMPUTED_VALUE"""),"")</f>
        <v/>
      </c>
      <c r="M35" s="1" t="str">
        <f>IFERROR(__xludf.DUMMYFUNCTION("""COMPUTED_VALUE"""),"")</f>
        <v/>
      </c>
      <c r="N35" s="1">
        <f>IFERROR(__xludf.DUMMYFUNCTION("""COMPUTED_VALUE"""),16000.0)</f>
        <v>16000</v>
      </c>
      <c r="O35" s="1" t="str">
        <f>IFERROR(__xludf.DUMMYFUNCTION("""COMPUTED_VALUE"""),"")</f>
        <v/>
      </c>
      <c r="P35" s="1" t="str">
        <f>IFERROR(__xludf.DUMMYFUNCTION("""COMPUTED_VALUE"""),"")</f>
        <v/>
      </c>
      <c r="Q35" s="1" t="str">
        <f>IFERROR(__xludf.DUMMYFUNCTION("""COMPUTED_VALUE"""),"")</f>
        <v/>
      </c>
      <c r="R35" s="1" t="str">
        <f>IFERROR(__xludf.DUMMYFUNCTION("""COMPUTED_VALUE"""),"")</f>
        <v/>
      </c>
      <c r="S35" s="1" t="str">
        <f>IFERROR(__xludf.DUMMYFUNCTION("""COMPUTED_VALUE"""),"")</f>
        <v/>
      </c>
      <c r="T35" s="1" t="str">
        <f>IFERROR(__xludf.DUMMYFUNCTION("""COMPUTED_VALUE"""),"")</f>
        <v/>
      </c>
      <c r="U35" s="1" t="str">
        <f>IFERROR(__xludf.DUMMYFUNCTION("""COMPUTED_VALUE"""),"")</f>
        <v/>
      </c>
      <c r="V35" s="1" t="str">
        <f>IFERROR(__xludf.DUMMYFUNCTION("""COMPUTED_VALUE"""),"")</f>
        <v/>
      </c>
      <c r="W35" s="1" t="str">
        <f>IFERROR(__xludf.DUMMYFUNCTION("""COMPUTED_VALUE"""),"")</f>
        <v/>
      </c>
      <c r="X35" s="1" t="str">
        <f>IFERROR(__xludf.DUMMYFUNCTION("""COMPUTED_VALUE"""),"")</f>
        <v/>
      </c>
      <c r="Y35" s="1" t="str">
        <f>IFERROR(__xludf.DUMMYFUNCTION("""COMPUTED_VALUE"""),"")</f>
        <v/>
      </c>
      <c r="Z35" s="1" t="str">
        <f>IFERROR(__xludf.DUMMYFUNCTION("""COMPUTED_VALUE"""),"")</f>
        <v/>
      </c>
    </row>
    <row r="36">
      <c r="A36" s="1" t="str">
        <f>IFERROR(__xludf.DUMMYFUNCTION("""COMPUTED_VALUE"""),"[C] Consolidado")</f>
        <v>[C] Consolidado</v>
      </c>
      <c r="B36" s="1" t="str">
        <f>IFERROR(__xludf.DUMMYFUNCTION("""COMPUTED_VALUE"""),"-")</f>
        <v>-</v>
      </c>
      <c r="C36" s="1">
        <f>IFERROR(__xludf.DUMMYFUNCTION("""COMPUTED_VALUE"""),-5802.8425000000025)</f>
        <v>-5802.8425</v>
      </c>
      <c r="D36" s="1">
        <f>IFERROR(__xludf.DUMMYFUNCTION("""COMPUTED_VALUE"""),-1401.532499999994)</f>
        <v>-1401.5325</v>
      </c>
      <c r="E36" s="1">
        <f>IFERROR(__xludf.DUMMYFUNCTION("""COMPUTED_VALUE"""),-1373.3650000000052)</f>
        <v>-1373.365</v>
      </c>
      <c r="F36" s="1">
        <f>IFERROR(__xludf.DUMMYFUNCTION("""COMPUTED_VALUE"""),-9247.059999999998)</f>
        <v>-9247.06</v>
      </c>
      <c r="G36" s="1">
        <f>IFERROR(__xludf.DUMMYFUNCTION("""COMPUTED_VALUE"""),67050.31499999999)</f>
        <v>67050.315</v>
      </c>
      <c r="H36" s="1">
        <f>IFERROR(__xludf.DUMMYFUNCTION("""COMPUTED_VALUE"""),-5572.937499999993)</f>
        <v>-5572.9375</v>
      </c>
      <c r="I36" s="1">
        <f>IFERROR(__xludf.DUMMYFUNCTION("""COMPUTED_VALUE"""),-5698.7900000000045)</f>
        <v>-5698.79</v>
      </c>
      <c r="J36" s="1">
        <f>IFERROR(__xludf.DUMMYFUNCTION("""COMPUTED_VALUE"""),-1401.3000000000065)</f>
        <v>-1401.3</v>
      </c>
      <c r="K36" s="1">
        <f>IFERROR(__xludf.DUMMYFUNCTION("""COMPUTED_VALUE"""),25469.649999999994)</f>
        <v>25469.65</v>
      </c>
      <c r="L36" s="1">
        <f>IFERROR(__xludf.DUMMYFUNCTION("""COMPUTED_VALUE"""),-12881.425000000003)</f>
        <v>-12881.425</v>
      </c>
      <c r="M36" s="1">
        <f>IFERROR(__xludf.DUMMYFUNCTION("""COMPUTED_VALUE"""),-12154.249999999993)</f>
        <v>-12154.25</v>
      </c>
      <c r="N36" s="1">
        <f>IFERROR(__xludf.DUMMYFUNCTION("""COMPUTED_VALUE"""),-17.470000000015716)</f>
        <v>-17.47</v>
      </c>
      <c r="O36" s="1" t="str">
        <f>IFERROR(__xludf.DUMMYFUNCTION("""COMPUTED_VALUE"""),"")</f>
        <v/>
      </c>
      <c r="P36" s="1" t="str">
        <f>IFERROR(__xludf.DUMMYFUNCTION("""COMPUTED_VALUE"""),"")</f>
        <v/>
      </c>
      <c r="Q36" s="1" t="str">
        <f>IFERROR(__xludf.DUMMYFUNCTION("""COMPUTED_VALUE"""),"")</f>
        <v/>
      </c>
      <c r="R36" s="1" t="str">
        <f>IFERROR(__xludf.DUMMYFUNCTION("""COMPUTED_VALUE"""),"")</f>
        <v/>
      </c>
      <c r="S36" s="1" t="str">
        <f>IFERROR(__xludf.DUMMYFUNCTION("""COMPUTED_VALUE"""),"")</f>
        <v/>
      </c>
      <c r="T36" s="1" t="str">
        <f>IFERROR(__xludf.DUMMYFUNCTION("""COMPUTED_VALUE"""),"")</f>
        <v/>
      </c>
      <c r="U36" s="1" t="str">
        <f>IFERROR(__xludf.DUMMYFUNCTION("""COMPUTED_VALUE"""),"")</f>
        <v/>
      </c>
      <c r="V36" s="1" t="str">
        <f>IFERROR(__xludf.DUMMYFUNCTION("""COMPUTED_VALUE"""),"")</f>
        <v/>
      </c>
      <c r="W36" s="1" t="str">
        <f>IFERROR(__xludf.DUMMYFUNCTION("""COMPUTED_VALUE"""),"")</f>
        <v/>
      </c>
      <c r="X36" s="1" t="str">
        <f>IFERROR(__xludf.DUMMYFUNCTION("""COMPUTED_VALUE"""),"")</f>
        <v/>
      </c>
      <c r="Y36" s="1" t="str">
        <f>IFERROR(__xludf.DUMMYFUNCTION("""COMPUTED_VALUE"""),"")</f>
        <v/>
      </c>
      <c r="Z36" s="1" t="str">
        <f>IFERROR(__xludf.DUMMYFUNCTION("""COMPUTED_VALUE"""),"")</f>
        <v/>
      </c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7" width="8.75"/>
    <col customWidth="1" min="8" max="8" width="7.5"/>
    <col customWidth="1" min="9" max="9" width="8.75"/>
    <col customWidth="1" min="10" max="11" width="7.5"/>
    <col customWidth="1" min="12" max="12" width="8.63"/>
    <col customWidth="1" min="13" max="13" width="8.75"/>
    <col customWidth="1" min="14" max="14" width="9.63"/>
    <col customWidth="1" min="15" max="15" width="8.75"/>
    <col customWidth="1" min="16" max="16" width="11.25"/>
    <col customWidth="1" min="17" max="17" width="6.88"/>
  </cols>
  <sheetData>
    <row r="1">
      <c r="A1" s="1" t="str">
        <f>IFERROR(__xludf.DUMMYFUNCTION("IMPORTRANGE(""https://docs.google.com/spreadsheets/d/1iYr1ABX5E5xD5hdpo7T57xV80Bd6YZfcnip7j3Ia3No/edit?gid=153321439#gid=153321439"",""'Prov.B3'!A2:Q13"")"),"")</f>
        <v/>
      </c>
      <c r="B1" s="4">
        <f>IFERROR(__xludf.DUMMYFUNCTION("""COMPUTED_VALUE"""),45658.0)</f>
        <v>45658</v>
      </c>
      <c r="C1" s="4">
        <f>IFERROR(__xludf.DUMMYFUNCTION("""COMPUTED_VALUE"""),45689.0)</f>
        <v>45689</v>
      </c>
      <c r="D1" s="4">
        <f>IFERROR(__xludf.DUMMYFUNCTION("""COMPUTED_VALUE"""),45717.0)</f>
        <v>45717</v>
      </c>
      <c r="E1" s="4">
        <f>IFERROR(__xludf.DUMMYFUNCTION("""COMPUTED_VALUE"""),45748.0)</f>
        <v>45748</v>
      </c>
      <c r="F1" s="4">
        <f>IFERROR(__xludf.DUMMYFUNCTION("""COMPUTED_VALUE"""),45778.0)</f>
        <v>45778</v>
      </c>
      <c r="G1" s="4">
        <f>IFERROR(__xludf.DUMMYFUNCTION("""COMPUTED_VALUE"""),45809.0)</f>
        <v>45809</v>
      </c>
      <c r="H1" s="4">
        <f>IFERROR(__xludf.DUMMYFUNCTION("""COMPUTED_VALUE"""),45839.0)</f>
        <v>45839</v>
      </c>
      <c r="I1" s="4">
        <f>IFERROR(__xludf.DUMMYFUNCTION("""COMPUTED_VALUE"""),45870.0)</f>
        <v>45870</v>
      </c>
      <c r="J1" s="4">
        <f>IFERROR(__xludf.DUMMYFUNCTION("""COMPUTED_VALUE"""),45901.0)</f>
        <v>45901</v>
      </c>
      <c r="K1" s="4">
        <f>IFERROR(__xludf.DUMMYFUNCTION("""COMPUTED_VALUE"""),45931.0)</f>
        <v>45931</v>
      </c>
      <c r="L1" s="4">
        <f>IFERROR(__xludf.DUMMYFUNCTION("""COMPUTED_VALUE"""),45962.0)</f>
        <v>45962</v>
      </c>
      <c r="M1" s="4">
        <f>IFERROR(__xludf.DUMMYFUNCTION("""COMPUTED_VALUE"""),45992.0)</f>
        <v>45992</v>
      </c>
      <c r="N1" s="1" t="str">
        <f>IFERROR(__xludf.DUMMYFUNCTION("""COMPUTED_VALUE"""),"Total")</f>
        <v>Total</v>
      </c>
      <c r="O1" s="5" t="str">
        <f>IFERROR(__xludf.DUMMYFUNCTION("""COMPUTED_VALUE"""),"Média")</f>
        <v>Média</v>
      </c>
      <c r="P1" s="5" t="str">
        <f>IFERROR(__xludf.DUMMYFUNCTION("""COMPUTED_VALUE"""),"~ Mensal (Ano)")</f>
        <v>~ Mensal (Ano)</v>
      </c>
      <c r="Q1" s="6" t="str">
        <f>IFERROR(__xludf.DUMMYFUNCTION("""COMPUTED_VALUE"""),"Variação")</f>
        <v>Variação</v>
      </c>
      <c r="R1" s="1"/>
      <c r="S1" s="1"/>
      <c r="T1" s="1"/>
      <c r="U1" s="1"/>
      <c r="V1" s="1"/>
      <c r="W1" s="1"/>
      <c r="X1" s="1"/>
      <c r="Y1" s="1"/>
      <c r="Z1" s="1"/>
    </row>
    <row r="2">
      <c r="A2" s="1">
        <f>IFERROR(__xludf.DUMMYFUNCTION("""COMPUTED_VALUE"""),2019.0)</f>
        <v>2019</v>
      </c>
      <c r="B2" s="5">
        <f>IFERROR(__xludf.DUMMYFUNCTION("""COMPUTED_VALUE"""),0.0)</f>
        <v>0</v>
      </c>
      <c r="C2" s="5">
        <f>IFERROR(__xludf.DUMMYFUNCTION("""COMPUTED_VALUE"""),0.0)</f>
        <v>0</v>
      </c>
      <c r="D2" s="5">
        <f>IFERROR(__xludf.DUMMYFUNCTION("""COMPUTED_VALUE"""),0.0)</f>
        <v>0</v>
      </c>
      <c r="E2" s="5">
        <f>IFERROR(__xludf.DUMMYFUNCTION("""COMPUTED_VALUE"""),0.0)</f>
        <v>0</v>
      </c>
      <c r="F2" s="5">
        <f>IFERROR(__xludf.DUMMYFUNCTION("""COMPUTED_VALUE"""),0.0)</f>
        <v>0</v>
      </c>
      <c r="G2" s="5">
        <f>IFERROR(__xludf.DUMMYFUNCTION("""COMPUTED_VALUE"""),0.0)</f>
        <v>0</v>
      </c>
      <c r="H2" s="5">
        <f>IFERROR(__xludf.DUMMYFUNCTION("""COMPUTED_VALUE"""),0.0)</f>
        <v>0</v>
      </c>
      <c r="I2" s="5">
        <f>IFERROR(__xludf.DUMMYFUNCTION("""COMPUTED_VALUE"""),0.0)</f>
        <v>0</v>
      </c>
      <c r="J2" s="5">
        <f>IFERROR(__xludf.DUMMYFUNCTION("""COMPUTED_VALUE"""),0.0)</f>
        <v>0</v>
      </c>
      <c r="K2" s="5">
        <f>IFERROR(__xludf.DUMMYFUNCTION("""COMPUTED_VALUE"""),0.0)</f>
        <v>0</v>
      </c>
      <c r="L2" s="5">
        <f>IFERROR(__xludf.DUMMYFUNCTION("""COMPUTED_VALUE"""),27.799999999999997)</f>
        <v>27.8</v>
      </c>
      <c r="M2" s="5">
        <f>IFERROR(__xludf.DUMMYFUNCTION("""COMPUTED_VALUE"""),88.28999999999999)</f>
        <v>88.29</v>
      </c>
      <c r="N2" s="5">
        <f>IFERROR(__xludf.DUMMYFUNCTION("""COMPUTED_VALUE"""),116.08999999999999)</f>
        <v>116.09</v>
      </c>
      <c r="O2" s="5">
        <f>IFERROR(__xludf.DUMMYFUNCTION("""COMPUTED_VALUE"""),9.674166666666666)</f>
        <v>9.674166667</v>
      </c>
      <c r="P2" s="5">
        <f>IFERROR(__xludf.DUMMYFUNCTION("""COMPUTED_VALUE"""),9.674166666666666)</f>
        <v>9.674166667</v>
      </c>
      <c r="Q2" s="6" t="str">
        <f>IFERROR(__xludf.DUMMYFUNCTION("""COMPUTED_VALUE"""),"-")</f>
        <v>-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>
        <f>IFERROR(__xludf.DUMMYFUNCTION("""COMPUTED_VALUE"""),2020.0)</f>
        <v>2020</v>
      </c>
      <c r="B3" s="5">
        <f>IFERROR(__xludf.DUMMYFUNCTION("""COMPUTED_VALUE"""),9.309999999999999)</f>
        <v>9.31</v>
      </c>
      <c r="C3" s="5">
        <f>IFERROR(__xludf.DUMMYFUNCTION("""COMPUTED_VALUE"""),55.22)</f>
        <v>55.22</v>
      </c>
      <c r="D3" s="5">
        <f>IFERROR(__xludf.DUMMYFUNCTION("""COMPUTED_VALUE"""),28.13)</f>
        <v>28.13</v>
      </c>
      <c r="E3" s="5">
        <f>IFERROR(__xludf.DUMMYFUNCTION("""COMPUTED_VALUE"""),18.85)</f>
        <v>18.85</v>
      </c>
      <c r="F3" s="5">
        <f>IFERROR(__xludf.DUMMYFUNCTION("""COMPUTED_VALUE"""),57.44)</f>
        <v>57.44</v>
      </c>
      <c r="G3" s="5">
        <f>IFERROR(__xludf.DUMMYFUNCTION("""COMPUTED_VALUE"""),5.550000000000001)</f>
        <v>5.55</v>
      </c>
      <c r="H3" s="5">
        <f>IFERROR(__xludf.DUMMYFUNCTION("""COMPUTED_VALUE"""),1.77)</f>
        <v>1.77</v>
      </c>
      <c r="I3" s="5">
        <f>IFERROR(__xludf.DUMMYFUNCTION("""COMPUTED_VALUE"""),145.48999999999998)</f>
        <v>145.49</v>
      </c>
      <c r="J3" s="5">
        <f>IFERROR(__xludf.DUMMYFUNCTION("""COMPUTED_VALUE"""),162.07)</f>
        <v>162.07</v>
      </c>
      <c r="K3" s="5">
        <f>IFERROR(__xludf.DUMMYFUNCTION("""COMPUTED_VALUE"""),97.23)</f>
        <v>97.23</v>
      </c>
      <c r="L3" s="5">
        <f>IFERROR(__xludf.DUMMYFUNCTION("""COMPUTED_VALUE"""),16.89)</f>
        <v>16.89</v>
      </c>
      <c r="M3" s="5">
        <f>IFERROR(__xludf.DUMMYFUNCTION("""COMPUTED_VALUE"""),14.840000000000002)</f>
        <v>14.84</v>
      </c>
      <c r="N3" s="5">
        <f>IFERROR(__xludf.DUMMYFUNCTION("""COMPUTED_VALUE"""),612.79)</f>
        <v>612.79</v>
      </c>
      <c r="O3" s="5">
        <f>IFERROR(__xludf.DUMMYFUNCTION("""COMPUTED_VALUE"""),51.06583333333333)</f>
        <v>51.06583333</v>
      </c>
      <c r="P3" s="5">
        <f>IFERROR(__xludf.DUMMYFUNCTION("""COMPUTED_VALUE"""),51.06583333333333)</f>
        <v>51.06583333</v>
      </c>
      <c r="Q3" s="6">
        <f>IFERROR(__xludf.DUMMYFUNCTION("""COMPUTED_VALUE"""),4.278576966146955)</f>
        <v>4.278576966</v>
      </c>
      <c r="R3" s="1"/>
      <c r="S3" s="1"/>
      <c r="T3" s="1"/>
      <c r="U3" s="1"/>
      <c r="V3" s="1"/>
      <c r="W3" s="1"/>
      <c r="X3" s="1"/>
      <c r="Y3" s="1"/>
      <c r="Z3" s="1"/>
    </row>
    <row r="4">
      <c r="A4" s="1">
        <f>IFERROR(__xludf.DUMMYFUNCTION("""COMPUTED_VALUE"""),2021.0)</f>
        <v>2021</v>
      </c>
      <c r="B4" s="5">
        <f>IFERROR(__xludf.DUMMYFUNCTION("""COMPUTED_VALUE"""),59.42)</f>
        <v>59.42</v>
      </c>
      <c r="C4" s="5">
        <f>IFERROR(__xludf.DUMMYFUNCTION("""COMPUTED_VALUE"""),163.05999999999997)</f>
        <v>163.06</v>
      </c>
      <c r="D4" s="5">
        <f>IFERROR(__xludf.DUMMYFUNCTION("""COMPUTED_VALUE"""),37.59)</f>
        <v>37.59</v>
      </c>
      <c r="E4" s="5">
        <f>IFERROR(__xludf.DUMMYFUNCTION("""COMPUTED_VALUE"""),91.96)</f>
        <v>91.96</v>
      </c>
      <c r="F4" s="5">
        <f>IFERROR(__xludf.DUMMYFUNCTION("""COMPUTED_VALUE"""),642.55)</f>
        <v>642.55</v>
      </c>
      <c r="G4" s="5">
        <f>IFERROR(__xludf.DUMMYFUNCTION("""COMPUTED_VALUE"""),414.90999999999997)</f>
        <v>414.91</v>
      </c>
      <c r="H4" s="5">
        <f>IFERROR(__xludf.DUMMYFUNCTION("""COMPUTED_VALUE"""),173.16000000000003)</f>
        <v>173.16</v>
      </c>
      <c r="I4" s="5">
        <f>IFERROR(__xludf.DUMMYFUNCTION("""COMPUTED_VALUE"""),157.78000000000003)</f>
        <v>157.78</v>
      </c>
      <c r="J4" s="5">
        <f>IFERROR(__xludf.DUMMYFUNCTION("""COMPUTED_VALUE"""),401.66)</f>
        <v>401.66</v>
      </c>
      <c r="K4" s="5">
        <f>IFERROR(__xludf.DUMMYFUNCTION("""COMPUTED_VALUE"""),181.54000000000002)</f>
        <v>181.54</v>
      </c>
      <c r="L4" s="5">
        <f>IFERROR(__xludf.DUMMYFUNCTION("""COMPUTED_VALUE"""),273.22)</f>
        <v>273.22</v>
      </c>
      <c r="M4" s="5">
        <f>IFERROR(__xludf.DUMMYFUNCTION("""COMPUTED_VALUE"""),270.01)</f>
        <v>270.01</v>
      </c>
      <c r="N4" s="5">
        <f>IFERROR(__xludf.DUMMYFUNCTION("""COMPUTED_VALUE"""),2866.8599999999997)</f>
        <v>2866.86</v>
      </c>
      <c r="O4" s="5">
        <f>IFERROR(__xludf.DUMMYFUNCTION("""COMPUTED_VALUE"""),238.90499999999997)</f>
        <v>238.905</v>
      </c>
      <c r="P4" s="5">
        <f>IFERROR(__xludf.DUMMYFUNCTION("""COMPUTED_VALUE"""),238.90499999999997)</f>
        <v>238.905</v>
      </c>
      <c r="Q4" s="6">
        <f>IFERROR(__xludf.DUMMYFUNCTION("""COMPUTED_VALUE"""),3.678372688849361)</f>
        <v>3.678372689</v>
      </c>
      <c r="R4" s="1"/>
      <c r="S4" s="1"/>
      <c r="T4" s="1"/>
      <c r="U4" s="1"/>
      <c r="V4" s="1"/>
      <c r="W4" s="1"/>
      <c r="X4" s="1"/>
      <c r="Y4" s="1"/>
      <c r="Z4" s="1"/>
    </row>
    <row r="5">
      <c r="A5" s="1">
        <f>IFERROR(__xludf.DUMMYFUNCTION("""COMPUTED_VALUE"""),2022.0)</f>
        <v>2022</v>
      </c>
      <c r="B5" s="5">
        <f>IFERROR(__xludf.DUMMYFUNCTION("""COMPUTED_VALUE"""),50.77)</f>
        <v>50.77</v>
      </c>
      <c r="C5" s="5">
        <f>IFERROR(__xludf.DUMMYFUNCTION("""COMPUTED_VALUE"""),275.5)</f>
        <v>275.5</v>
      </c>
      <c r="D5" s="5">
        <f>IFERROR(__xludf.DUMMYFUNCTION("""COMPUTED_VALUE"""),490.78)</f>
        <v>490.78</v>
      </c>
      <c r="E5" s="5">
        <f>IFERROR(__xludf.DUMMYFUNCTION("""COMPUTED_VALUE"""),40.42)</f>
        <v>40.42</v>
      </c>
      <c r="F5" s="5">
        <f>IFERROR(__xludf.DUMMYFUNCTION("""COMPUTED_VALUE"""),815.75)</f>
        <v>815.75</v>
      </c>
      <c r="G5" s="5">
        <f>IFERROR(__xludf.DUMMYFUNCTION("""COMPUTED_VALUE"""),540.4399999999999)</f>
        <v>540.44</v>
      </c>
      <c r="H5" s="5">
        <f>IFERROR(__xludf.DUMMYFUNCTION("""COMPUTED_VALUE"""),137.11)</f>
        <v>137.11</v>
      </c>
      <c r="I5" s="5">
        <f>IFERROR(__xludf.DUMMYFUNCTION("""COMPUTED_VALUE"""),869.3199999999999)</f>
        <v>869.32</v>
      </c>
      <c r="J5" s="5">
        <f>IFERROR(__xludf.DUMMYFUNCTION("""COMPUTED_VALUE"""),452.4)</f>
        <v>452.4</v>
      </c>
      <c r="K5" s="5">
        <f>IFERROR(__xludf.DUMMYFUNCTION("""COMPUTED_VALUE"""),303.34999999999997)</f>
        <v>303.35</v>
      </c>
      <c r="L5" s="5">
        <f>IFERROR(__xludf.DUMMYFUNCTION("""COMPUTED_VALUE"""),755.02)</f>
        <v>755.02</v>
      </c>
      <c r="M5" s="5">
        <f>IFERROR(__xludf.DUMMYFUNCTION("""COMPUTED_VALUE"""),779.6899999999999)</f>
        <v>779.69</v>
      </c>
      <c r="N5" s="5">
        <f>IFERROR(__xludf.DUMMYFUNCTION("""COMPUTED_VALUE"""),5510.55)</f>
        <v>5510.55</v>
      </c>
      <c r="O5" s="5">
        <f>IFERROR(__xludf.DUMMYFUNCTION("""COMPUTED_VALUE"""),459.21250000000003)</f>
        <v>459.2125</v>
      </c>
      <c r="P5" s="5">
        <f>IFERROR(__xludf.DUMMYFUNCTION("""COMPUTED_VALUE"""),459.21250000000003)</f>
        <v>459.2125</v>
      </c>
      <c r="Q5" s="6">
        <f>IFERROR(__xludf.DUMMYFUNCTION("""COMPUTED_VALUE"""),0.9221552499947681)</f>
        <v>0.92215525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>
        <f>IFERROR(__xludf.DUMMYFUNCTION("""COMPUTED_VALUE"""),2023.0)</f>
        <v>2023</v>
      </c>
      <c r="B6" s="5">
        <f>IFERROR(__xludf.DUMMYFUNCTION("""COMPUTED_VALUE"""),816.71)</f>
        <v>816.71</v>
      </c>
      <c r="C6" s="5">
        <f>IFERROR(__xludf.DUMMYFUNCTION("""COMPUTED_VALUE"""),9.89)</f>
        <v>9.89</v>
      </c>
      <c r="D6" s="5">
        <f>IFERROR(__xludf.DUMMYFUNCTION("""COMPUTED_VALUE"""),1368.77)</f>
        <v>1368.77</v>
      </c>
      <c r="E6" s="5">
        <f>IFERROR(__xludf.DUMMYFUNCTION("""COMPUTED_VALUE"""),718.3299999999999)</f>
        <v>718.33</v>
      </c>
      <c r="F6" s="5">
        <f>IFERROR(__xludf.DUMMYFUNCTION("""COMPUTED_VALUE"""),500.15000000000003)</f>
        <v>500.15</v>
      </c>
      <c r="G6" s="5">
        <f>IFERROR(__xludf.DUMMYFUNCTION("""COMPUTED_VALUE"""),1835.0099999999998)</f>
        <v>1835.01</v>
      </c>
      <c r="H6" s="5">
        <f>IFERROR(__xludf.DUMMYFUNCTION("""COMPUTED_VALUE"""),400.71999999999997)</f>
        <v>400.72</v>
      </c>
      <c r="I6" s="5">
        <f>IFERROR(__xludf.DUMMYFUNCTION("""COMPUTED_VALUE"""),1702.19)</f>
        <v>1702.19</v>
      </c>
      <c r="J6" s="5">
        <f>IFERROR(__xludf.DUMMYFUNCTION("""COMPUTED_VALUE"""),587.1)</f>
        <v>587.1</v>
      </c>
      <c r="K6" s="5">
        <f>IFERROR(__xludf.DUMMYFUNCTION("""COMPUTED_VALUE"""),60.39)</f>
        <v>60.39</v>
      </c>
      <c r="L6" s="5">
        <f>IFERROR(__xludf.DUMMYFUNCTION("""COMPUTED_VALUE"""),1112.5300000000002)</f>
        <v>1112.53</v>
      </c>
      <c r="M6" s="5">
        <f>IFERROR(__xludf.DUMMYFUNCTION("""COMPUTED_VALUE"""),928.53)</f>
        <v>928.53</v>
      </c>
      <c r="N6" s="5">
        <f>IFERROR(__xludf.DUMMYFUNCTION("""COMPUTED_VALUE"""),10040.320000000002)</f>
        <v>10040.32</v>
      </c>
      <c r="O6" s="5">
        <f>IFERROR(__xludf.DUMMYFUNCTION("""COMPUTED_VALUE"""),836.6933333333335)</f>
        <v>836.6933333</v>
      </c>
      <c r="P6" s="5">
        <f>IFERROR(__xludf.DUMMYFUNCTION("""COMPUTED_VALUE"""),836.6933333333335)</f>
        <v>836.6933333</v>
      </c>
      <c r="Q6" s="6">
        <f>IFERROR(__xludf.DUMMYFUNCTION("""COMPUTED_VALUE"""),0.8220177659217323)</f>
        <v>0.8220177659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>
        <f>IFERROR(__xludf.DUMMYFUNCTION("""COMPUTED_VALUE"""),2024.0)</f>
        <v>2024</v>
      </c>
      <c r="B7" s="5">
        <f>IFERROR(__xludf.DUMMYFUNCTION("""COMPUTED_VALUE"""),643.5299999999999)</f>
        <v>643.53</v>
      </c>
      <c r="C7" s="5">
        <f>IFERROR(__xludf.DUMMYFUNCTION("""COMPUTED_VALUE"""),2324.4100000000003)</f>
        <v>2324.41</v>
      </c>
      <c r="D7" s="5">
        <f>IFERROR(__xludf.DUMMYFUNCTION("""COMPUTED_VALUE"""),544.74)</f>
        <v>544.74</v>
      </c>
      <c r="E7" s="5">
        <f>IFERROR(__xludf.DUMMYFUNCTION("""COMPUTED_VALUE"""),1343.2200000000003)</f>
        <v>1343.22</v>
      </c>
      <c r="F7" s="5">
        <f>IFERROR(__xludf.DUMMYFUNCTION("""COMPUTED_VALUE"""),1932.13)</f>
        <v>1932.13</v>
      </c>
      <c r="G7" s="5">
        <f>IFERROR(__xludf.DUMMYFUNCTION("""COMPUTED_VALUE"""),2713.7999999999997)</f>
        <v>2713.8</v>
      </c>
      <c r="H7" s="5">
        <f>IFERROR(__xludf.DUMMYFUNCTION("""COMPUTED_VALUE"""),111.49000000000001)</f>
        <v>111.49</v>
      </c>
      <c r="I7" s="5">
        <f>IFERROR(__xludf.DUMMYFUNCTION("""COMPUTED_VALUE"""),2656.72)</f>
        <v>2656.72</v>
      </c>
      <c r="J7" s="5">
        <f>IFERROR(__xludf.DUMMYFUNCTION("""COMPUTED_VALUE"""),516.5300000000001)</f>
        <v>516.53</v>
      </c>
      <c r="K7" s="5">
        <f>IFERROR(__xludf.DUMMYFUNCTION("""COMPUTED_VALUE"""),13.4)</f>
        <v>13.4</v>
      </c>
      <c r="L7" s="5">
        <f>IFERROR(__xludf.DUMMYFUNCTION("""COMPUTED_VALUE"""),703.9000000000001)</f>
        <v>703.9</v>
      </c>
      <c r="M7" s="5">
        <f>IFERROR(__xludf.DUMMYFUNCTION("""COMPUTED_VALUE"""),2277.8)</f>
        <v>2277.8</v>
      </c>
      <c r="N7" s="5">
        <f>IFERROR(__xludf.DUMMYFUNCTION("""COMPUTED_VALUE"""),15781.669999999998)</f>
        <v>15781.67</v>
      </c>
      <c r="O7" s="5">
        <f>IFERROR(__xludf.DUMMYFUNCTION("""COMPUTED_VALUE"""),1315.1391666666666)</f>
        <v>1315.139167</v>
      </c>
      <c r="P7" s="5">
        <f>IFERROR(__xludf.DUMMYFUNCTION("""COMPUTED_VALUE"""),1315.1391666666666)</f>
        <v>1315.139167</v>
      </c>
      <c r="Q7" s="6">
        <f>IFERROR(__xludf.DUMMYFUNCTION("""COMPUTED_VALUE"""),0.571829383924018)</f>
        <v>0.5718293839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>
        <f>IFERROR(__xludf.DUMMYFUNCTION("""COMPUTED_VALUE"""),2025.0)</f>
        <v>2025</v>
      </c>
      <c r="B8" s="5">
        <f>IFERROR(__xludf.DUMMYFUNCTION("""COMPUTED_VALUE"""),1659.7)</f>
        <v>1659.7</v>
      </c>
      <c r="C8" s="5">
        <f>IFERROR(__xludf.DUMMYFUNCTION("""COMPUTED_VALUE"""),599.5500000000001)</f>
        <v>599.55</v>
      </c>
      <c r="D8" s="5">
        <f>IFERROR(__xludf.DUMMYFUNCTION("""COMPUTED_VALUE"""),7358.46)</f>
        <v>7358.46</v>
      </c>
      <c r="E8" s="5">
        <f>IFERROR(__xludf.DUMMYFUNCTION("""COMPUTED_VALUE"""),2.35)</f>
        <v>2.35</v>
      </c>
      <c r="F8" s="5">
        <f>IFERROR(__xludf.DUMMYFUNCTION("""COMPUTED_VALUE"""),2734.14)</f>
        <v>2734.14</v>
      </c>
      <c r="G8" s="5">
        <f>IFERROR(__xludf.DUMMYFUNCTION("""COMPUTED_VALUE"""),2702.12)</f>
        <v>2702.12</v>
      </c>
      <c r="H8" s="5">
        <f>IFERROR(__xludf.DUMMYFUNCTION("""COMPUTED_VALUE"""),3.18)</f>
        <v>3.18</v>
      </c>
      <c r="I8" s="5">
        <f>IFERROR(__xludf.DUMMYFUNCTION("""COMPUTED_VALUE"""),6962.56)</f>
        <v>6962.56</v>
      </c>
      <c r="J8" s="5">
        <f>IFERROR(__xludf.DUMMYFUNCTION("""COMPUTED_VALUE"""),1607.29)</f>
        <v>1607.29</v>
      </c>
      <c r="K8" s="5">
        <f>IFERROR(__xludf.DUMMYFUNCTION("""COMPUTED_VALUE"""),229.95000000000002)</f>
        <v>229.95</v>
      </c>
      <c r="L8" s="5">
        <f>IFERROR(__xludf.DUMMYFUNCTION("""COMPUTED_VALUE"""),1437.27)</f>
        <v>1437.27</v>
      </c>
      <c r="M8" s="5">
        <f>IFERROR(__xludf.DUMMYFUNCTION("""COMPUTED_VALUE"""),3275.0)</f>
        <v>3275</v>
      </c>
      <c r="N8" s="5">
        <f>IFERROR(__xludf.DUMMYFUNCTION("""COMPUTED_VALUE"""),28571.570000000003)</f>
        <v>28571.57</v>
      </c>
      <c r="O8" s="5">
        <f>IFERROR(__xludf.DUMMYFUNCTION("""COMPUTED_VALUE"""),2380.964166666667)</f>
        <v>2380.964167</v>
      </c>
      <c r="P8" s="5">
        <f>IFERROR(__xludf.DUMMYFUNCTION("""COMPUTED_VALUE"""),2380.964166666667)</f>
        <v>2380.964167</v>
      </c>
      <c r="Q8" s="6">
        <f>IFERROR(__xludf.DUMMYFUNCTION("""COMPUTED_VALUE"""),0.8104275403046703)</f>
        <v>0.8104275403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9" width="8.75"/>
  </cols>
  <sheetData>
    <row r="1">
      <c r="A1" s="1" t="str">
        <f>IFERROR(__xludf.DUMMYFUNCTION("IMPORTRANGE(""https://docs.google.com/spreadsheets/d/1QEICpkTEbV1Z_LWeaMjl4KVDsEDLt2EDAtqOvRWsWng/edit?gid=520531123#gid=520531123"",""'BTG'!N1:V15"")"),"Grupo")</f>
        <v>Grupo</v>
      </c>
      <c r="B1" s="7">
        <f>IFERROR(__xludf.DUMMYFUNCTION("""COMPUTED_VALUE"""),45778.0)</f>
        <v>45778</v>
      </c>
      <c r="C1" s="7">
        <f>IFERROR(__xludf.DUMMYFUNCTION("""COMPUTED_VALUE"""),45809.0)</f>
        <v>45809</v>
      </c>
      <c r="D1" s="7">
        <f>IFERROR(__xludf.DUMMYFUNCTION("""COMPUTED_VALUE"""),45839.0)</f>
        <v>45839</v>
      </c>
      <c r="E1" s="7">
        <f>IFERROR(__xludf.DUMMYFUNCTION("""COMPUTED_VALUE"""),45870.0)</f>
        <v>45870</v>
      </c>
      <c r="F1" s="7">
        <f>IFERROR(__xludf.DUMMYFUNCTION("""COMPUTED_VALUE"""),45901.0)</f>
        <v>45901</v>
      </c>
      <c r="G1" s="7">
        <f>IFERROR(__xludf.DUMMYFUNCTION("""COMPUTED_VALUE"""),45931.0)</f>
        <v>45931</v>
      </c>
      <c r="H1" s="7">
        <f>IFERROR(__xludf.DUMMYFUNCTION("""COMPUTED_VALUE"""),45962.0)</f>
        <v>45962</v>
      </c>
      <c r="I1" s="7">
        <f>IFERROR(__xludf.DUMMYFUNCTION("""COMPUTED_VALUE"""),45992.0)</f>
        <v>45992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tr">
        <f>IFERROR(__xludf.DUMMYFUNCTION("""COMPUTED_VALUE"""),"Brave")</f>
        <v>Brave</v>
      </c>
      <c r="B2" s="2">
        <f>IFERROR(__xludf.DUMMYFUNCTION("""COMPUTED_VALUE"""),9.0)</f>
        <v>9</v>
      </c>
      <c r="C2" s="2">
        <f>IFERROR(__xludf.DUMMYFUNCTION("""COMPUTED_VALUE"""),0.0)</f>
        <v>0</v>
      </c>
      <c r="D2" s="2">
        <f>IFERROR(__xludf.DUMMYFUNCTION("""COMPUTED_VALUE"""),0.0)</f>
        <v>0</v>
      </c>
      <c r="E2" s="2">
        <f>IFERROR(__xludf.DUMMYFUNCTION("""COMPUTED_VALUE"""),0.0)</f>
        <v>0</v>
      </c>
      <c r="F2" s="2">
        <f>IFERROR(__xludf.DUMMYFUNCTION("""COMPUTED_VALUE"""),0.0)</f>
        <v>0</v>
      </c>
      <c r="G2" s="2">
        <f>IFERROR(__xludf.DUMMYFUNCTION("""COMPUTED_VALUE"""),0.0)</f>
        <v>0</v>
      </c>
      <c r="H2" s="2">
        <f>IFERROR(__xludf.DUMMYFUNCTION("""COMPUTED_VALUE"""),0.0)</f>
        <v>0</v>
      </c>
      <c r="I2" s="2">
        <f>IFERROR(__xludf.DUMMYFUNCTION("""COMPUTED_VALUE"""),0.0)</f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tr">
        <f>IFERROR(__xludf.DUMMYFUNCTION("""COMPUTED_VALUE"""),"Hulk")</f>
        <v>Hulk</v>
      </c>
      <c r="B3" s="2">
        <f>IFERROR(__xludf.DUMMYFUNCTION("""COMPUTED_VALUE"""),329.02)</f>
        <v>329.02</v>
      </c>
      <c r="C3" s="2">
        <f>IFERROR(__xludf.DUMMYFUNCTION("""COMPUTED_VALUE"""),566.88)</f>
        <v>566.88</v>
      </c>
      <c r="D3" s="2">
        <f>IFERROR(__xludf.DUMMYFUNCTION("""COMPUTED_VALUE"""),289.5)</f>
        <v>289.5</v>
      </c>
      <c r="E3" s="2">
        <f>IFERROR(__xludf.DUMMYFUNCTION("""COMPUTED_VALUE"""),357.35)</f>
        <v>357.35</v>
      </c>
      <c r="F3" s="2">
        <f>IFERROR(__xludf.DUMMYFUNCTION("""COMPUTED_VALUE"""),241.93)</f>
        <v>241.93</v>
      </c>
      <c r="G3" s="2">
        <f>IFERROR(__xludf.DUMMYFUNCTION("""COMPUTED_VALUE"""),367.0)</f>
        <v>367</v>
      </c>
      <c r="H3" s="2">
        <f>IFERROR(__xludf.DUMMYFUNCTION("""COMPUTED_VALUE"""),270.37)</f>
        <v>270.37</v>
      </c>
      <c r="I3" s="2">
        <f>IFERROR(__xludf.DUMMYFUNCTION("""COMPUTED_VALUE"""),398.0)</f>
        <v>398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tr">
        <f>IFERROR(__xludf.DUMMYFUNCTION("""COMPUTED_VALUE"""),"Comida")</f>
        <v>Comida</v>
      </c>
      <c r="B4" s="2">
        <f>IFERROR(__xludf.DUMMYFUNCTION("""COMPUTED_VALUE"""),1057.7600000000002)</f>
        <v>1057.76</v>
      </c>
      <c r="C4" s="2">
        <f>IFERROR(__xludf.DUMMYFUNCTION("""COMPUTED_VALUE"""),1057.37)</f>
        <v>1057.37</v>
      </c>
      <c r="D4" s="2">
        <f>IFERROR(__xludf.DUMMYFUNCTION("""COMPUTED_VALUE"""),947.7400000000001)</f>
        <v>947.74</v>
      </c>
      <c r="E4" s="2">
        <f>IFERROR(__xludf.DUMMYFUNCTION("""COMPUTED_VALUE"""),725.8999999999999)</f>
        <v>725.9</v>
      </c>
      <c r="F4" s="2">
        <f>IFERROR(__xludf.DUMMYFUNCTION("""COMPUTED_VALUE"""),1347.8400000000004)</f>
        <v>1347.84</v>
      </c>
      <c r="G4" s="2">
        <f>IFERROR(__xludf.DUMMYFUNCTION("""COMPUTED_VALUE"""),351.88)</f>
        <v>351.88</v>
      </c>
      <c r="H4" s="2">
        <f>IFERROR(__xludf.DUMMYFUNCTION("""COMPUTED_VALUE"""),1106.58)</f>
        <v>1106.58</v>
      </c>
      <c r="I4" s="2">
        <f>IFERROR(__xludf.DUMMYFUNCTION("""COMPUTED_VALUE"""),1437.62)</f>
        <v>1437.62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tr">
        <f>IFERROR(__xludf.DUMMYFUNCTION("""COMPUTED_VALUE"""),"Supermercado")</f>
        <v>Supermercado</v>
      </c>
      <c r="B5" s="2">
        <f>IFERROR(__xludf.DUMMYFUNCTION("""COMPUTED_VALUE"""),345.71999999999997)</f>
        <v>345.72</v>
      </c>
      <c r="C5" s="2">
        <f>IFERROR(__xludf.DUMMYFUNCTION("""COMPUTED_VALUE"""),111.74000000000001)</f>
        <v>111.74</v>
      </c>
      <c r="D5" s="2">
        <f>IFERROR(__xludf.DUMMYFUNCTION("""COMPUTED_VALUE"""),304.83)</f>
        <v>304.83</v>
      </c>
      <c r="E5" s="2">
        <f>IFERROR(__xludf.DUMMYFUNCTION("""COMPUTED_VALUE"""),905.8999999999999)</f>
        <v>905.9</v>
      </c>
      <c r="F5" s="2">
        <f>IFERROR(__xludf.DUMMYFUNCTION("""COMPUTED_VALUE"""),569.19)</f>
        <v>569.19</v>
      </c>
      <c r="G5" s="2">
        <f>IFERROR(__xludf.DUMMYFUNCTION("""COMPUTED_VALUE"""),1026.1999999999998)</f>
        <v>1026.2</v>
      </c>
      <c r="H5" s="2">
        <f>IFERROR(__xludf.DUMMYFUNCTION("""COMPUTED_VALUE"""),419.21000000000004)</f>
        <v>419.21</v>
      </c>
      <c r="I5" s="2">
        <f>IFERROR(__xludf.DUMMYFUNCTION("""COMPUTED_VALUE"""),271.84000000000003)</f>
        <v>271.84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tr">
        <f>IFERROR(__xludf.DUMMYFUNCTION("""COMPUTED_VALUE"""),"Carro")</f>
        <v>Carro</v>
      </c>
      <c r="B6" s="2">
        <f>IFERROR(__xludf.DUMMYFUNCTION("""COMPUTED_VALUE"""),261.44)</f>
        <v>261.44</v>
      </c>
      <c r="C6" s="2">
        <f>IFERROR(__xludf.DUMMYFUNCTION("""COMPUTED_VALUE"""),195.8)</f>
        <v>195.8</v>
      </c>
      <c r="D6" s="2">
        <f>IFERROR(__xludf.DUMMYFUNCTION("""COMPUTED_VALUE"""),278.06)</f>
        <v>278.06</v>
      </c>
      <c r="E6" s="2">
        <f>IFERROR(__xludf.DUMMYFUNCTION("""COMPUTED_VALUE"""),0.0)</f>
        <v>0</v>
      </c>
      <c r="F6" s="2">
        <f>IFERROR(__xludf.DUMMYFUNCTION("""COMPUTED_VALUE"""),471.48)</f>
        <v>471.48</v>
      </c>
      <c r="G6" s="2">
        <f>IFERROR(__xludf.DUMMYFUNCTION("""COMPUTED_VALUE"""),0.0)</f>
        <v>0</v>
      </c>
      <c r="H6" s="2">
        <f>IFERROR(__xludf.DUMMYFUNCTION("""COMPUTED_VALUE"""),173.02)</f>
        <v>173.02</v>
      </c>
      <c r="I6" s="2">
        <f>IFERROR(__xludf.DUMMYFUNCTION("""COMPUTED_VALUE"""),783.18)</f>
        <v>783.18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tr">
        <f>IFERROR(__xludf.DUMMYFUNCTION("""COMPUTED_VALUE"""),"Compras")</f>
        <v>Compras</v>
      </c>
      <c r="B7" s="2">
        <f>IFERROR(__xludf.DUMMYFUNCTION("""COMPUTED_VALUE"""),1937.6100000000001)</f>
        <v>1937.61</v>
      </c>
      <c r="C7" s="2">
        <f>IFERROR(__xludf.DUMMYFUNCTION("""COMPUTED_VALUE"""),3552.620000000001)</f>
        <v>3552.62</v>
      </c>
      <c r="D7" s="2">
        <f>IFERROR(__xludf.DUMMYFUNCTION("""COMPUTED_VALUE"""),3497.949999999999)</f>
        <v>3497.95</v>
      </c>
      <c r="E7" s="2">
        <f>IFERROR(__xludf.DUMMYFUNCTION("""COMPUTED_VALUE"""),2260.32)</f>
        <v>2260.32</v>
      </c>
      <c r="F7" s="2">
        <f>IFERROR(__xludf.DUMMYFUNCTION("""COMPUTED_VALUE"""),1571.1999999999998)</f>
        <v>1571.2</v>
      </c>
      <c r="G7" s="2">
        <f>IFERROR(__xludf.DUMMYFUNCTION("""COMPUTED_VALUE"""),1969.4400000000003)</f>
        <v>1969.44</v>
      </c>
      <c r="H7" s="2">
        <f>IFERROR(__xludf.DUMMYFUNCTION("""COMPUTED_VALUE"""),4304.49)</f>
        <v>4304.49</v>
      </c>
      <c r="I7" s="2">
        <f>IFERROR(__xludf.DUMMYFUNCTION("""COMPUTED_VALUE"""),4681.139999999999)</f>
        <v>4681.14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tr">
        <f>IFERROR(__xludf.DUMMYFUNCTION("""COMPUTED_VALUE"""),"Uber/99")</f>
        <v>Uber/99</v>
      </c>
      <c r="B8" s="2">
        <f>IFERROR(__xludf.DUMMYFUNCTION("""COMPUTED_VALUE"""),0.0)</f>
        <v>0</v>
      </c>
      <c r="C8" s="2">
        <f>IFERROR(__xludf.DUMMYFUNCTION("""COMPUTED_VALUE"""),75.52)</f>
        <v>75.52</v>
      </c>
      <c r="D8" s="2">
        <f>IFERROR(__xludf.DUMMYFUNCTION("""COMPUTED_VALUE"""),82.69)</f>
        <v>82.69</v>
      </c>
      <c r="E8" s="2">
        <f>IFERROR(__xludf.DUMMYFUNCTION("""COMPUTED_VALUE"""),51.75)</f>
        <v>51.75</v>
      </c>
      <c r="F8" s="2">
        <f>IFERROR(__xludf.DUMMYFUNCTION("""COMPUTED_VALUE"""),546.18)</f>
        <v>546.18</v>
      </c>
      <c r="G8" s="2">
        <f>IFERROR(__xludf.DUMMYFUNCTION("""COMPUTED_VALUE"""),388.72000000000014)</f>
        <v>388.72</v>
      </c>
      <c r="H8" s="2">
        <f>IFERROR(__xludf.DUMMYFUNCTION("""COMPUTED_VALUE"""),134.71)</f>
        <v>134.71</v>
      </c>
      <c r="I8" s="2">
        <f>IFERROR(__xludf.DUMMYFUNCTION("""COMPUTED_VALUE"""),302.69000000000005)</f>
        <v>302.69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tr">
        <f>IFERROR(__xludf.DUMMYFUNCTION("""COMPUTED_VALUE"""),"Assinatura")</f>
        <v>Assinatura</v>
      </c>
      <c r="B9" s="2">
        <f>IFERROR(__xludf.DUMMYFUNCTION("""COMPUTED_VALUE"""),0.0)</f>
        <v>0</v>
      </c>
      <c r="C9" s="2">
        <f>IFERROR(__xludf.DUMMYFUNCTION("""COMPUTED_VALUE"""),100.64)</f>
        <v>100.64</v>
      </c>
      <c r="D9" s="2">
        <f>IFERROR(__xludf.DUMMYFUNCTION("""COMPUTED_VALUE"""),207.79000000000005)</f>
        <v>207.79</v>
      </c>
      <c r="E9" s="2">
        <f>IFERROR(__xludf.DUMMYFUNCTION("""COMPUTED_VALUE"""),54.89)</f>
        <v>54.89</v>
      </c>
      <c r="F9" s="2">
        <f>IFERROR(__xludf.DUMMYFUNCTION("""COMPUTED_VALUE"""),115.56999999999998)</f>
        <v>115.57</v>
      </c>
      <c r="G9" s="2">
        <f>IFERROR(__xludf.DUMMYFUNCTION("""COMPUTED_VALUE"""),60.89)</f>
        <v>60.89</v>
      </c>
      <c r="H9" s="2">
        <f>IFERROR(__xludf.DUMMYFUNCTION("""COMPUTED_VALUE"""),60.89)</f>
        <v>60.89</v>
      </c>
      <c r="I9" s="2">
        <f>IFERROR(__xludf.DUMMYFUNCTION("""COMPUTED_VALUE"""),60.89)</f>
        <v>60.89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tr">
        <f>IFERROR(__xludf.DUMMYFUNCTION("""COMPUTED_VALUE"""),"Farmácia")</f>
        <v>Farmácia</v>
      </c>
      <c r="B10" s="2">
        <f>IFERROR(__xludf.DUMMYFUNCTION("""COMPUTED_VALUE"""),0.0)</f>
        <v>0</v>
      </c>
      <c r="C10" s="2">
        <f>IFERROR(__xludf.DUMMYFUNCTION("""COMPUTED_VALUE"""),352.39000000000004)</f>
        <v>352.39</v>
      </c>
      <c r="D10" s="2">
        <f>IFERROR(__xludf.DUMMYFUNCTION("""COMPUTED_VALUE"""),973.19)</f>
        <v>973.19</v>
      </c>
      <c r="E10" s="2">
        <f>IFERROR(__xludf.DUMMYFUNCTION("""COMPUTED_VALUE"""),460.17)</f>
        <v>460.17</v>
      </c>
      <c r="F10" s="2">
        <f>IFERROR(__xludf.DUMMYFUNCTION("""COMPUTED_VALUE"""),494.84)</f>
        <v>494.84</v>
      </c>
      <c r="G10" s="2">
        <f>IFERROR(__xludf.DUMMYFUNCTION("""COMPUTED_VALUE"""),527.9399999999999)</f>
        <v>527.94</v>
      </c>
      <c r="H10" s="2">
        <f>IFERROR(__xludf.DUMMYFUNCTION("""COMPUTED_VALUE"""),491.12)</f>
        <v>491.12</v>
      </c>
      <c r="I10" s="2">
        <f>IFERROR(__xludf.DUMMYFUNCTION("""COMPUTED_VALUE"""),682.4499999999999)</f>
        <v>682.45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tr">
        <f>IFERROR(__xludf.DUMMYFUNCTION("""COMPUTED_VALUE"""),"Bianca")</f>
        <v>Bianca</v>
      </c>
      <c r="B11" s="2">
        <f>IFERROR(__xludf.DUMMYFUNCTION("""COMPUTED_VALUE"""),0.0)</f>
        <v>0</v>
      </c>
      <c r="C11" s="2">
        <f>IFERROR(__xludf.DUMMYFUNCTION("""COMPUTED_VALUE"""),0.0)</f>
        <v>0</v>
      </c>
      <c r="D11" s="2">
        <f>IFERROR(__xludf.DUMMYFUNCTION("""COMPUTED_VALUE"""),0.0)</f>
        <v>0</v>
      </c>
      <c r="E11" s="2">
        <f>IFERROR(__xludf.DUMMYFUNCTION("""COMPUTED_VALUE"""),0.0)</f>
        <v>0</v>
      </c>
      <c r="F11" s="2">
        <f>IFERROR(__xludf.DUMMYFUNCTION("""COMPUTED_VALUE"""),1350.0)</f>
        <v>1350</v>
      </c>
      <c r="G11" s="2">
        <f>IFERROR(__xludf.DUMMYFUNCTION("""COMPUTED_VALUE"""),1350.0)</f>
        <v>1350</v>
      </c>
      <c r="H11" s="2">
        <f>IFERROR(__xludf.DUMMYFUNCTION("""COMPUTED_VALUE"""),5400.0)</f>
        <v>5400</v>
      </c>
      <c r="I11" s="2">
        <f>IFERROR(__xludf.DUMMYFUNCTION("""COMPUTED_VALUE"""),0.0)</f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>
        <f>IFERROR(__xludf.DUMMYFUNCTION("""COMPUTED_VALUE"""),0.0)</f>
        <v>0</v>
      </c>
      <c r="C12" s="2">
        <f>IFERROR(__xludf.DUMMYFUNCTION("""COMPUTED_VALUE"""),0.0)</f>
        <v>0</v>
      </c>
      <c r="D12" s="2">
        <f>IFERROR(__xludf.DUMMYFUNCTION("""COMPUTED_VALUE"""),0.0)</f>
        <v>0</v>
      </c>
      <c r="E12" s="2">
        <f>IFERROR(__xludf.DUMMYFUNCTION("""COMPUTED_VALUE"""),0.0)</f>
        <v>0</v>
      </c>
      <c r="F12" s="2">
        <f>IFERROR(__xludf.DUMMYFUNCTION("""COMPUTED_VALUE"""),0.0)</f>
        <v>0</v>
      </c>
      <c r="G12" s="2">
        <f>IFERROR(__xludf.DUMMYFUNCTION("""COMPUTED_VALUE"""),0.0)</f>
        <v>0</v>
      </c>
      <c r="H12" s="2">
        <f>IFERROR(__xludf.DUMMYFUNCTION("""COMPUTED_VALUE"""),0.0)</f>
        <v>0</v>
      </c>
      <c r="I12" s="2">
        <f>IFERROR(__xludf.DUMMYFUNCTION("""COMPUTED_VALUE"""),0.0)</f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>
        <f>IFERROR(__xludf.DUMMYFUNCTION("""COMPUTED_VALUE"""),0.0)</f>
        <v>0</v>
      </c>
      <c r="C13" s="2">
        <f>IFERROR(__xludf.DUMMYFUNCTION("""COMPUTED_VALUE"""),0.0)</f>
        <v>0</v>
      </c>
      <c r="D13" s="2">
        <f>IFERROR(__xludf.DUMMYFUNCTION("""COMPUTED_VALUE"""),0.0)</f>
        <v>0</v>
      </c>
      <c r="E13" s="2">
        <f>IFERROR(__xludf.DUMMYFUNCTION("""COMPUTED_VALUE"""),0.0)</f>
        <v>0</v>
      </c>
      <c r="F13" s="2">
        <f>IFERROR(__xludf.DUMMYFUNCTION("""COMPUTED_VALUE"""),0.0)</f>
        <v>0</v>
      </c>
      <c r="G13" s="2">
        <f>IFERROR(__xludf.DUMMYFUNCTION("""COMPUTED_VALUE"""),0.0)</f>
        <v>0</v>
      </c>
      <c r="H13" s="2">
        <f>IFERROR(__xludf.DUMMYFUNCTION("""COMPUTED_VALUE"""),0.0)</f>
        <v>0</v>
      </c>
      <c r="I13" s="2">
        <f>IFERROR(__xludf.DUMMYFUNCTION("""COMPUTED_VALUE"""),0.0)</f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>
        <f>IFERROR(__xludf.DUMMYFUNCTION("""COMPUTED_VALUE"""),0.0)</f>
        <v>0</v>
      </c>
      <c r="C14" s="2">
        <f>IFERROR(__xludf.DUMMYFUNCTION("""COMPUTED_VALUE"""),0.0)</f>
        <v>0</v>
      </c>
      <c r="D14" s="2">
        <f>IFERROR(__xludf.DUMMYFUNCTION("""COMPUTED_VALUE"""),0.0)</f>
        <v>0</v>
      </c>
      <c r="E14" s="2">
        <f>IFERROR(__xludf.DUMMYFUNCTION("""COMPUTED_VALUE"""),0.0)</f>
        <v>0</v>
      </c>
      <c r="F14" s="2">
        <f>IFERROR(__xludf.DUMMYFUNCTION("""COMPUTED_VALUE"""),0.0)</f>
        <v>0</v>
      </c>
      <c r="G14" s="2">
        <f>IFERROR(__xludf.DUMMYFUNCTION("""COMPUTED_VALUE"""),0.0)</f>
        <v>0</v>
      </c>
      <c r="H14" s="2">
        <f>IFERROR(__xludf.DUMMYFUNCTION("""COMPUTED_VALUE"""),0.0)</f>
        <v>0</v>
      </c>
      <c r="I14" s="2">
        <f>IFERROR(__xludf.DUMMYFUNCTION("""COMPUTED_VALUE"""),0.0)</f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>
        <f>IFERROR(__xludf.DUMMYFUNCTION("""COMPUTED_VALUE"""),0.0)</f>
        <v>0</v>
      </c>
      <c r="C15" s="2">
        <f>IFERROR(__xludf.DUMMYFUNCTION("""COMPUTED_VALUE"""),0.0)</f>
        <v>0</v>
      </c>
      <c r="D15" s="2">
        <f>IFERROR(__xludf.DUMMYFUNCTION("""COMPUTED_VALUE"""),0.0)</f>
        <v>0</v>
      </c>
      <c r="E15" s="2">
        <f>IFERROR(__xludf.DUMMYFUNCTION("""COMPUTED_VALUE"""),0.0)</f>
        <v>0</v>
      </c>
      <c r="F15" s="2">
        <f>IFERROR(__xludf.DUMMYFUNCTION("""COMPUTED_VALUE"""),0.0)</f>
        <v>0</v>
      </c>
      <c r="G15" s="2">
        <f>IFERROR(__xludf.DUMMYFUNCTION("""COMPUTED_VALUE"""),0.0)</f>
        <v>0</v>
      </c>
      <c r="H15" s="2">
        <f>IFERROR(__xludf.DUMMYFUNCTION("""COMPUTED_VALUE"""),0.0)</f>
        <v>0</v>
      </c>
      <c r="I15" s="2">
        <f>IFERROR(__xludf.DUMMYFUNCTION("""COMPUTED_VALUE"""),0.0)</f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6.0"/>
    <col customWidth="1" min="3" max="3" width="25.88"/>
    <col customWidth="1" min="4" max="4" width="7.5"/>
    <col customWidth="1" min="5" max="5" width="7.13"/>
    <col customWidth="1" min="6" max="6" width="25.88"/>
    <col customWidth="1" min="7" max="7" width="10.88"/>
  </cols>
  <sheetData>
    <row r="1">
      <c r="A1" s="7" t="str">
        <f>IFERROR(__xludf.DUMMYFUNCTION("IMPORTRANGE(""https://docs.google.com/spreadsheets/d/1QEICpkTEbV1Z_LWeaMjl4KVDsEDLt2EDAtqOvRWsWng/edit?gid=520531123#gid=520531123"",""'BTG'!A:G"")"),"Fatura")</f>
        <v>Fatura</v>
      </c>
      <c r="B1" s="1" t="str">
        <f>IFERROR(__xludf.DUMMYFUNCTION("""COMPUTED_VALUE"""),"Mês")</f>
        <v>Mês</v>
      </c>
      <c r="C1" s="1" t="str">
        <f>IFERROR(__xludf.DUMMYFUNCTION("""COMPUTED_VALUE"""),"Estabelecimento")</f>
        <v>Estabelecimento</v>
      </c>
      <c r="D1" s="2" t="str">
        <f>IFERROR(__xludf.DUMMYFUNCTION("""COMPUTED_VALUE"""),"Valor")</f>
        <v>Valor</v>
      </c>
      <c r="E1" s="1" t="str">
        <f>IFERROR(__xludf.DUMMYFUNCTION("""COMPUTED_VALUE"""),"Cartão")</f>
        <v>Cartão</v>
      </c>
      <c r="F1" s="1" t="str">
        <f>IFERROR(__xludf.DUMMYFUNCTION("""COMPUTED_VALUE"""),"Estabelecimento Fmt")</f>
        <v>Estabelecimento Fmt</v>
      </c>
      <c r="G1" s="1" t="str">
        <f>IFERROR(__xludf.DUMMYFUNCTION("""COMPUTED_VALUE"""),"Grupo")</f>
        <v>Grupo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>
        <f>IFERROR(__xludf.DUMMYFUNCTION("""COMPUTED_VALUE"""),45778.0)</f>
        <v>45778</v>
      </c>
      <c r="B2" s="8">
        <f>IFERROR(__xludf.DUMMYFUNCTION("""COMPUTED_VALUE"""),45757.0)</f>
        <v>45757</v>
      </c>
      <c r="C2" s="1" t="str">
        <f>IFERROR(__xludf.DUMMYFUNCTION("""COMPUTED_VALUE"""),"Rodrigo De Souza")</f>
        <v>Rodrigo De Souza</v>
      </c>
      <c r="D2" s="2">
        <f>IFERROR(__xludf.DUMMYFUNCTION("""COMPUTED_VALUE"""),75.0)</f>
        <v>75</v>
      </c>
      <c r="E2" s="1" t="str">
        <f>IFERROR(__xludf.DUMMYFUNCTION("""COMPUTED_VALUE"""),"Físico")</f>
        <v>Físico</v>
      </c>
      <c r="F2" s="1" t="str">
        <f>IFERROR(__xludf.DUMMYFUNCTION("""COMPUTED_VALUE"""),"Rodrigo De Souza")</f>
        <v>Rodrigo De Souza</v>
      </c>
      <c r="G2" s="1" t="str">
        <f>IFERROR(__xludf.DUMMYFUNCTION("""COMPUTED_VALUE"""),"Bypass")</f>
        <v>Bypass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>
        <f>IFERROR(__xludf.DUMMYFUNCTION("""COMPUTED_VALUE"""),45778.0)</f>
        <v>45778</v>
      </c>
      <c r="B3" s="8">
        <f>IFERROR(__xludf.DUMMYFUNCTION("""COMPUTED_VALUE"""),45757.0)</f>
        <v>45757</v>
      </c>
      <c r="C3" s="1" t="str">
        <f>IFERROR(__xludf.DUMMYFUNCTION("""COMPUTED_VALUE"""),"Wesley")</f>
        <v>Wesley</v>
      </c>
      <c r="D3" s="2">
        <f>IFERROR(__xludf.DUMMYFUNCTION("""COMPUTED_VALUE"""),23.8)</f>
        <v>23.8</v>
      </c>
      <c r="E3" s="1" t="str">
        <f>IFERROR(__xludf.DUMMYFUNCTION("""COMPUTED_VALUE"""),"Físico")</f>
        <v>Físico</v>
      </c>
      <c r="F3" s="1" t="str">
        <f>IFERROR(__xludf.DUMMYFUNCTION("""COMPUTED_VALUE"""),"Wesley")</f>
        <v>Wesley</v>
      </c>
      <c r="G3" s="1" t="str">
        <f>IFERROR(__xludf.DUMMYFUNCTION("""COMPUTED_VALUE"""),"Bypass")</f>
        <v>Bypass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>
        <f>IFERROR(__xludf.DUMMYFUNCTION("""COMPUTED_VALUE"""),45778.0)</f>
        <v>45778</v>
      </c>
      <c r="B4" s="8">
        <f>IFERROR(__xludf.DUMMYFUNCTION("""COMPUTED_VALUE"""),45757.0)</f>
        <v>45757</v>
      </c>
      <c r="C4" s="1" t="str">
        <f>IFERROR(__xludf.DUMMYFUNCTION("""COMPUTED_VALUE"""),"Brave Community")</f>
        <v>Brave Community</v>
      </c>
      <c r="D4" s="2">
        <f>IFERROR(__xludf.DUMMYFUNCTION("""COMPUTED_VALUE"""),9.0)</f>
        <v>9</v>
      </c>
      <c r="E4" s="1" t="str">
        <f>IFERROR(__xludf.DUMMYFUNCTION("""COMPUTED_VALUE"""),"Físico")</f>
        <v>Físico</v>
      </c>
      <c r="F4" s="1" t="str">
        <f>IFERROR(__xludf.DUMMYFUNCTION("""COMPUTED_VALUE"""),"Brave Community")</f>
        <v>Brave Community</v>
      </c>
      <c r="G4" s="1" t="str">
        <f>IFERROR(__xludf.DUMMYFUNCTION("""COMPUTED_VALUE"""),"Brave")</f>
        <v>Brave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>
        <f>IFERROR(__xludf.DUMMYFUNCTION("""COMPUTED_VALUE"""),45778.0)</f>
        <v>45778</v>
      </c>
      <c r="B5" s="8">
        <f>IFERROR(__xludf.DUMMYFUNCTION("""COMPUTED_VALUE"""),45757.0)</f>
        <v>45757</v>
      </c>
      <c r="C5" s="1" t="str">
        <f>IFERROR(__xludf.DUMMYFUNCTION("""COMPUTED_VALUE"""),"Dma Distribuidora Sa")</f>
        <v>Dma Distribuidora Sa</v>
      </c>
      <c r="D5" s="2">
        <f>IFERROR(__xludf.DUMMYFUNCTION("""COMPUTED_VALUE"""),14.59)</f>
        <v>14.59</v>
      </c>
      <c r="E5" s="1" t="str">
        <f>IFERROR(__xludf.DUMMYFUNCTION("""COMPUTED_VALUE"""),"Físico")</f>
        <v>Físico</v>
      </c>
      <c r="F5" s="1" t="str">
        <f>IFERROR(__xludf.DUMMYFUNCTION("""COMPUTED_VALUE"""),"Dma Distribuidora Sa")</f>
        <v>Dma Distribuidora Sa</v>
      </c>
      <c r="G5" s="1" t="str">
        <f>IFERROR(__xludf.DUMMYFUNCTION("""COMPUTED_VALUE"""),"Bypass")</f>
        <v>Bypass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">
        <f>IFERROR(__xludf.DUMMYFUNCTION("""COMPUTED_VALUE"""),45778.0)</f>
        <v>45778</v>
      </c>
      <c r="B6" s="8">
        <f>IFERROR(__xludf.DUMMYFUNCTION("""COMPUTED_VALUE"""),45758.0)</f>
        <v>45758</v>
      </c>
      <c r="C6" s="1" t="str">
        <f>IFERROR(__xludf.DUMMYFUNCTION("""COMPUTED_VALUE"""),"Kanto Bar")</f>
        <v>Kanto Bar</v>
      </c>
      <c r="D6" s="2">
        <f>IFERROR(__xludf.DUMMYFUNCTION("""COMPUTED_VALUE"""),5.0)</f>
        <v>5</v>
      </c>
      <c r="E6" s="1" t="str">
        <f>IFERROR(__xludf.DUMMYFUNCTION("""COMPUTED_VALUE"""),"Físico")</f>
        <v>Físico</v>
      </c>
      <c r="F6" s="1" t="str">
        <f>IFERROR(__xludf.DUMMYFUNCTION("""COMPUTED_VALUE"""),"Kanto Bar")</f>
        <v>Kanto Bar</v>
      </c>
      <c r="G6" s="1" t="str">
        <f>IFERROR(__xludf.DUMMYFUNCTION("""COMPUTED_VALUE"""),"Bypass")</f>
        <v>Bypass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">
        <f>IFERROR(__xludf.DUMMYFUNCTION("""COMPUTED_VALUE"""),45778.0)</f>
        <v>45778</v>
      </c>
      <c r="B7" s="8">
        <f>IFERROR(__xludf.DUMMYFUNCTION("""COMPUTED_VALUE"""),45759.0)</f>
        <v>45759</v>
      </c>
      <c r="C7" s="1" t="str">
        <f>IFERROR(__xludf.DUMMYFUNCTION("""COMPUTED_VALUE"""),"Panif Mendes Sion")</f>
        <v>Panif Mendes Sion</v>
      </c>
      <c r="D7" s="2">
        <f>IFERROR(__xludf.DUMMYFUNCTION("""COMPUTED_VALUE"""),18.98)</f>
        <v>18.98</v>
      </c>
      <c r="E7" s="1" t="str">
        <f>IFERROR(__xludf.DUMMYFUNCTION("""COMPUTED_VALUE"""),"Físico")</f>
        <v>Físico</v>
      </c>
      <c r="F7" s="1" t="str">
        <f>IFERROR(__xludf.DUMMYFUNCTION("""COMPUTED_VALUE"""),"Panif Mendes Sion")</f>
        <v>Panif Mendes Sion</v>
      </c>
      <c r="G7" s="1" t="str">
        <f>IFERROR(__xludf.DUMMYFUNCTION("""COMPUTED_VALUE"""),"Comida")</f>
        <v>Comida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>
        <f>IFERROR(__xludf.DUMMYFUNCTION("""COMPUTED_VALUE"""),45778.0)</f>
        <v>45778</v>
      </c>
      <c r="B8" s="8">
        <f>IFERROR(__xludf.DUMMYFUNCTION("""COMPUTED_VALUE"""),45759.0)</f>
        <v>45759</v>
      </c>
      <c r="C8" s="1" t="str">
        <f>IFERROR(__xludf.DUMMYFUNCTION("""COMPUTED_VALUE"""),"Alimentar Foods Sao Pe (1/2)")</f>
        <v>Alimentar Foods Sao Pe (1/2)</v>
      </c>
      <c r="D8" s="2">
        <f>IFERROR(__xludf.DUMMYFUNCTION("""COMPUTED_VALUE"""),246.35)</f>
        <v>246.35</v>
      </c>
      <c r="E8" s="1" t="str">
        <f>IFERROR(__xludf.DUMMYFUNCTION("""COMPUTED_VALUE"""),"Físico")</f>
        <v>Físico</v>
      </c>
      <c r="F8" s="1" t="str">
        <f>IFERROR(__xludf.DUMMYFUNCTION("""COMPUTED_VALUE"""),"Alimentar Foods Sao Pe")</f>
        <v>Alimentar Foods Sao Pe</v>
      </c>
      <c r="G8" s="1" t="str">
        <f>IFERROR(__xludf.DUMMYFUNCTION("""COMPUTED_VALUE"""),"Bypass")</f>
        <v>Bypass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>
        <f>IFERROR(__xludf.DUMMYFUNCTION("""COMPUTED_VALUE"""),45778.0)</f>
        <v>45778</v>
      </c>
      <c r="B9" s="8">
        <f>IFERROR(__xludf.DUMMYFUNCTION("""COMPUTED_VALUE"""),45759.0)</f>
        <v>45759</v>
      </c>
      <c r="C9" s="1" t="str">
        <f>IFERROR(__xludf.DUMMYFUNCTION("""COMPUTED_VALUE"""),"Supermercado &amp; Padaria")</f>
        <v>Supermercado &amp; Padaria</v>
      </c>
      <c r="D9" s="2">
        <f>IFERROR(__xludf.DUMMYFUNCTION("""COMPUTED_VALUE"""),152.33)</f>
        <v>152.33</v>
      </c>
      <c r="E9" s="1" t="str">
        <f>IFERROR(__xludf.DUMMYFUNCTION("""COMPUTED_VALUE"""),"Físico")</f>
        <v>Físico</v>
      </c>
      <c r="F9" s="1" t="str">
        <f>IFERROR(__xludf.DUMMYFUNCTION("""COMPUTED_VALUE"""),"Supermercado &amp; Padaria")</f>
        <v>Supermercado &amp; Padaria</v>
      </c>
      <c r="G9" s="1" t="str">
        <f>IFERROR(__xludf.DUMMYFUNCTION("""COMPUTED_VALUE"""),"Comida")</f>
        <v>Comida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>
        <f>IFERROR(__xludf.DUMMYFUNCTION("""COMPUTED_VALUE"""),45778.0)</f>
        <v>45778</v>
      </c>
      <c r="B10" s="8">
        <f>IFERROR(__xludf.DUMMYFUNCTION("""COMPUTED_VALUE"""),45759.0)</f>
        <v>45759</v>
      </c>
      <c r="C10" s="1" t="str">
        <f>IFERROR(__xludf.DUMMYFUNCTION("""COMPUTED_VALUE"""),"Golden Pet")</f>
        <v>Golden Pet</v>
      </c>
      <c r="D10" s="2">
        <f>IFERROR(__xludf.DUMMYFUNCTION("""COMPUTED_VALUE"""),180.0)</f>
        <v>180</v>
      </c>
      <c r="E10" s="1" t="str">
        <f>IFERROR(__xludf.DUMMYFUNCTION("""COMPUTED_VALUE"""),"Físico")</f>
        <v>Físico</v>
      </c>
      <c r="F10" s="1" t="str">
        <f>IFERROR(__xludf.DUMMYFUNCTION("""COMPUTED_VALUE"""),"Golden Pet")</f>
        <v>Golden Pet</v>
      </c>
      <c r="G10" s="1" t="str">
        <f>IFERROR(__xludf.DUMMYFUNCTION("""COMPUTED_VALUE"""),"Hulk")</f>
        <v>Hulk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">
        <f>IFERROR(__xludf.DUMMYFUNCTION("""COMPUTED_VALUE"""),45778.0)</f>
        <v>45778</v>
      </c>
      <c r="B11" s="8">
        <f>IFERROR(__xludf.DUMMYFUNCTION("""COMPUTED_VALUE"""),45760.0)</f>
        <v>45760</v>
      </c>
      <c r="C11" s="1" t="str">
        <f>IFERROR(__xludf.DUMMYFUNCTION("""COMPUTED_VALUE"""),"Panif Mendes Sion")</f>
        <v>Panif Mendes Sion</v>
      </c>
      <c r="D11" s="2">
        <f>IFERROR(__xludf.DUMMYFUNCTION("""COMPUTED_VALUE"""),19.23)</f>
        <v>19.23</v>
      </c>
      <c r="E11" s="1" t="str">
        <f>IFERROR(__xludf.DUMMYFUNCTION("""COMPUTED_VALUE"""),"Físico")</f>
        <v>Físico</v>
      </c>
      <c r="F11" s="1" t="str">
        <f>IFERROR(__xludf.DUMMYFUNCTION("""COMPUTED_VALUE"""),"Panif Mendes Sion")</f>
        <v>Panif Mendes Sion</v>
      </c>
      <c r="G11" s="1" t="str">
        <f>IFERROR(__xludf.DUMMYFUNCTION("""COMPUTED_VALUE"""),"Comida")</f>
        <v>Comida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>
        <f>IFERROR(__xludf.DUMMYFUNCTION("""COMPUTED_VALUE"""),45778.0)</f>
        <v>45778</v>
      </c>
      <c r="B12" s="8">
        <f>IFERROR(__xludf.DUMMYFUNCTION("""COMPUTED_VALUE"""),45760.0)</f>
        <v>45760</v>
      </c>
      <c r="C12" s="1" t="str">
        <f>IFERROR(__xludf.DUMMYFUNCTION("""COMPUTED_VALUE"""),"Vila Aymore")</f>
        <v>Vila Aymore</v>
      </c>
      <c r="D12" s="2">
        <f>IFERROR(__xludf.DUMMYFUNCTION("""COMPUTED_VALUE"""),159.84)</f>
        <v>159.84</v>
      </c>
      <c r="E12" s="1" t="str">
        <f>IFERROR(__xludf.DUMMYFUNCTION("""COMPUTED_VALUE"""),"Físico")</f>
        <v>Físico</v>
      </c>
      <c r="F12" s="1" t="str">
        <f>IFERROR(__xludf.DUMMYFUNCTION("""COMPUTED_VALUE"""),"Vila Aymore")</f>
        <v>Vila Aymore</v>
      </c>
      <c r="G12" s="1" t="str">
        <f>IFERROR(__xludf.DUMMYFUNCTION("""COMPUTED_VALUE"""),"Bypass")</f>
        <v>Bypass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>
        <f>IFERROR(__xludf.DUMMYFUNCTION("""COMPUTED_VALUE"""),45778.0)</f>
        <v>45778</v>
      </c>
      <c r="B13" s="8">
        <f>IFERROR(__xludf.DUMMYFUNCTION("""COMPUTED_VALUE"""),45760.0)</f>
        <v>45760</v>
      </c>
      <c r="C13" s="1" t="str">
        <f>IFERROR(__xludf.DUMMYFUNCTION("""COMPUTED_VALUE"""),"Sam's Club")</f>
        <v>Sam's Club</v>
      </c>
      <c r="D13" s="2">
        <f>IFERROR(__xludf.DUMMYFUNCTION("""COMPUTED_VALUE"""),341.57)</f>
        <v>341.57</v>
      </c>
      <c r="E13" s="1" t="str">
        <f>IFERROR(__xludf.DUMMYFUNCTION("""COMPUTED_VALUE"""),"Físico")</f>
        <v>Físico</v>
      </c>
      <c r="F13" s="1" t="str">
        <f>IFERROR(__xludf.DUMMYFUNCTION("""COMPUTED_VALUE"""),"Sam's Club")</f>
        <v>Sam's Club</v>
      </c>
      <c r="G13" s="1" t="str">
        <f>IFERROR(__xludf.DUMMYFUNCTION("""COMPUTED_VALUE"""),"Supermercado")</f>
        <v>Supermercado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>
        <f>IFERROR(__xludf.DUMMYFUNCTION("""COMPUTED_VALUE"""),45778.0)</f>
        <v>45778</v>
      </c>
      <c r="B14" s="8">
        <f>IFERROR(__xludf.DUMMYFUNCTION("""COMPUTED_VALUE"""),45761.0)</f>
        <v>45761</v>
      </c>
      <c r="C14" s="1" t="str">
        <f>IFERROR(__xludf.DUMMYFUNCTION("""COMPUTED_VALUE"""),"Tc Pneus")</f>
        <v>Tc Pneus</v>
      </c>
      <c r="D14" s="2">
        <f>IFERROR(__xludf.DUMMYFUNCTION("""COMPUTED_VALUE"""),65.0)</f>
        <v>65</v>
      </c>
      <c r="E14" s="1" t="str">
        <f>IFERROR(__xludf.DUMMYFUNCTION("""COMPUTED_VALUE"""),"Físico")</f>
        <v>Físico</v>
      </c>
      <c r="F14" s="1" t="str">
        <f>IFERROR(__xludf.DUMMYFUNCTION("""COMPUTED_VALUE"""),"Tc Pneus")</f>
        <v>Tc Pneus</v>
      </c>
      <c r="G14" s="1" t="str">
        <f>IFERROR(__xludf.DUMMYFUNCTION("""COMPUTED_VALUE"""),"Carro")</f>
        <v>Carro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">
        <f>IFERROR(__xludf.DUMMYFUNCTION("""COMPUTED_VALUE"""),45778.0)</f>
        <v>45778</v>
      </c>
      <c r="B15" s="8">
        <f>IFERROR(__xludf.DUMMYFUNCTION("""COMPUTED_VALUE"""),45763.0)</f>
        <v>45763</v>
      </c>
      <c r="C15" s="1" t="str">
        <f>IFERROR(__xludf.DUMMYFUNCTION("""COMPUTED_VALUE"""),"Supermercado &amp; Padaria")</f>
        <v>Supermercado &amp; Padaria</v>
      </c>
      <c r="D15" s="2">
        <f>IFERROR(__xludf.DUMMYFUNCTION("""COMPUTED_VALUE"""),33.97)</f>
        <v>33.97</v>
      </c>
      <c r="E15" s="1" t="str">
        <f>IFERROR(__xludf.DUMMYFUNCTION("""COMPUTED_VALUE"""),"Físico")</f>
        <v>Físico</v>
      </c>
      <c r="F15" s="1" t="str">
        <f>IFERROR(__xludf.DUMMYFUNCTION("""COMPUTED_VALUE"""),"Supermercado &amp; Padaria")</f>
        <v>Supermercado &amp; Padaria</v>
      </c>
      <c r="G15" s="1" t="str">
        <f>IFERROR(__xludf.DUMMYFUNCTION("""COMPUTED_VALUE"""),"Comida")</f>
        <v>Comida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>
        <f>IFERROR(__xludf.DUMMYFUNCTION("""COMPUTED_VALUE"""),45778.0)</f>
        <v>45778</v>
      </c>
      <c r="B16" s="8">
        <f>IFERROR(__xludf.DUMMYFUNCTION("""COMPUTED_VALUE"""),45763.0)</f>
        <v>45763</v>
      </c>
      <c r="C16" s="1" t="str">
        <f>IFERROR(__xludf.DUMMYFUNCTION("""COMPUTED_VALUE"""),"Filial 9 Savassi")</f>
        <v>Filial 9 Savassi</v>
      </c>
      <c r="D16" s="2">
        <f>IFERROR(__xludf.DUMMYFUNCTION("""COMPUTED_VALUE"""),139.8)</f>
        <v>139.8</v>
      </c>
      <c r="E16" s="1" t="str">
        <f>IFERROR(__xludf.DUMMYFUNCTION("""COMPUTED_VALUE"""),"Físico")</f>
        <v>Físico</v>
      </c>
      <c r="F16" s="1" t="str">
        <f>IFERROR(__xludf.DUMMYFUNCTION("""COMPUTED_VALUE"""),"Filial 9 Savassi")</f>
        <v>Filial 9 Savassi</v>
      </c>
      <c r="G16" s="1" t="str">
        <f>IFERROR(__xludf.DUMMYFUNCTION("""COMPUTED_VALUE"""),"Bypass")</f>
        <v>Bypass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7">
        <f>IFERROR(__xludf.DUMMYFUNCTION("""COMPUTED_VALUE"""),45778.0)</f>
        <v>45778</v>
      </c>
      <c r="B17" s="8">
        <f>IFERROR(__xludf.DUMMYFUNCTION("""COMPUTED_VALUE"""),45763.0)</f>
        <v>45763</v>
      </c>
      <c r="C17" s="1" t="str">
        <f>IFERROR(__xludf.DUMMYFUNCTION("""COMPUTED_VALUE"""),"Deoclecio Gildo Olive")</f>
        <v>Deoclecio Gildo Olive</v>
      </c>
      <c r="D17" s="2">
        <f>IFERROR(__xludf.DUMMYFUNCTION("""COMPUTED_VALUE"""),13.9)</f>
        <v>13.9</v>
      </c>
      <c r="E17" s="1" t="str">
        <f>IFERROR(__xludf.DUMMYFUNCTION("""COMPUTED_VALUE"""),"Físico")</f>
        <v>Físico</v>
      </c>
      <c r="F17" s="1" t="str">
        <f>IFERROR(__xludf.DUMMYFUNCTION("""COMPUTED_VALUE"""),"Deoclecio Gildo Olive")</f>
        <v>Deoclecio Gildo Olive</v>
      </c>
      <c r="G17" s="1" t="str">
        <f>IFERROR(__xludf.DUMMYFUNCTION("""COMPUTED_VALUE"""),"Bypass")</f>
        <v>Bypass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">
        <f>IFERROR(__xludf.DUMMYFUNCTION("""COMPUTED_VALUE"""),45778.0)</f>
        <v>45778</v>
      </c>
      <c r="B18" s="8">
        <f>IFERROR(__xludf.DUMMYFUNCTION("""COMPUTED_VALUE"""),45764.0)</f>
        <v>45764</v>
      </c>
      <c r="C18" s="1" t="str">
        <f>IFERROR(__xludf.DUMMYFUNCTION("""COMPUTED_VALUE"""),"Nestlé")</f>
        <v>Nestlé</v>
      </c>
      <c r="D18" s="2">
        <f>IFERROR(__xludf.DUMMYFUNCTION("""COMPUTED_VALUE"""),16.2)</f>
        <v>16.2</v>
      </c>
      <c r="E18" s="1" t="str">
        <f>IFERROR(__xludf.DUMMYFUNCTION("""COMPUTED_VALUE"""),"Físico")</f>
        <v>Físico</v>
      </c>
      <c r="F18" s="1" t="str">
        <f>IFERROR(__xludf.DUMMYFUNCTION("""COMPUTED_VALUE"""),"Nestlé")</f>
        <v>Nestlé</v>
      </c>
      <c r="G18" s="1" t="str">
        <f>IFERROR(__xludf.DUMMYFUNCTION("""COMPUTED_VALUE"""),"Bypass")</f>
        <v>Bypass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7">
        <f>IFERROR(__xludf.DUMMYFUNCTION("""COMPUTED_VALUE"""),45778.0)</f>
        <v>45778</v>
      </c>
      <c r="B19" s="8">
        <f>IFERROR(__xludf.DUMMYFUNCTION("""COMPUTED_VALUE"""),45764.0)</f>
        <v>45764</v>
      </c>
      <c r="C19" s="1" t="str">
        <f>IFERROR(__xludf.DUMMYFUNCTION("""COMPUTED_VALUE"""),"Coco Bambu")</f>
        <v>Coco Bambu</v>
      </c>
      <c r="D19" s="2">
        <f>IFERROR(__xludf.DUMMYFUNCTION("""COMPUTED_VALUE"""),238.29)</f>
        <v>238.29</v>
      </c>
      <c r="E19" s="1" t="str">
        <f>IFERROR(__xludf.DUMMYFUNCTION("""COMPUTED_VALUE"""),"Físico")</f>
        <v>Físico</v>
      </c>
      <c r="F19" s="1" t="str">
        <f>IFERROR(__xludf.DUMMYFUNCTION("""COMPUTED_VALUE"""),"Coco Bambu")</f>
        <v>Coco Bambu</v>
      </c>
      <c r="G19" s="1" t="str">
        <f>IFERROR(__xludf.DUMMYFUNCTION("""COMPUTED_VALUE"""),"Comida")</f>
        <v>Comida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7">
        <f>IFERROR(__xludf.DUMMYFUNCTION("""COMPUTED_VALUE"""),45778.0)</f>
        <v>45778</v>
      </c>
      <c r="B20" s="8">
        <f>IFERROR(__xludf.DUMMYFUNCTION("""COMPUTED_VALUE"""),45764.0)</f>
        <v>45764</v>
      </c>
      <c r="C20" s="1" t="str">
        <f>IFERROR(__xludf.DUMMYFUNCTION("""COMPUTED_VALUE"""),"Multiplan")</f>
        <v>Multiplan</v>
      </c>
      <c r="D20" s="2">
        <f>IFERROR(__xludf.DUMMYFUNCTION("""COMPUTED_VALUE"""),19.0)</f>
        <v>19</v>
      </c>
      <c r="E20" s="1" t="str">
        <f>IFERROR(__xludf.DUMMYFUNCTION("""COMPUTED_VALUE"""),"Físico")</f>
        <v>Físico</v>
      </c>
      <c r="F20" s="1" t="str">
        <f>IFERROR(__xludf.DUMMYFUNCTION("""COMPUTED_VALUE"""),"Multiplan")</f>
        <v>Multiplan</v>
      </c>
      <c r="G20" s="1" t="str">
        <f>IFERROR(__xludf.DUMMYFUNCTION("""COMPUTED_VALUE"""),"Bypass")</f>
        <v>Bypass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">
        <f>IFERROR(__xludf.DUMMYFUNCTION("""COMPUTED_VALUE"""),45778.0)</f>
        <v>45778</v>
      </c>
      <c r="B21" s="8">
        <f>IFERROR(__xludf.DUMMYFUNCTION("""COMPUTED_VALUE"""),45765.0)</f>
        <v>45765</v>
      </c>
      <c r="C21" s="1" t="str">
        <f>IFERROR(__xludf.DUMMYFUNCTION("""COMPUTED_VALUE"""),"Pão Total")</f>
        <v>Pão Total</v>
      </c>
      <c r="D21" s="2">
        <f>IFERROR(__xludf.DUMMYFUNCTION("""COMPUTED_VALUE"""),24.42)</f>
        <v>24.42</v>
      </c>
      <c r="E21" s="1" t="str">
        <f>IFERROR(__xludf.DUMMYFUNCTION("""COMPUTED_VALUE"""),"Físico")</f>
        <v>Físico</v>
      </c>
      <c r="F21" s="1" t="str">
        <f>IFERROR(__xludf.DUMMYFUNCTION("""COMPUTED_VALUE"""),"Pão Total")</f>
        <v>Pão Total</v>
      </c>
      <c r="G21" s="1" t="str">
        <f>IFERROR(__xludf.DUMMYFUNCTION("""COMPUTED_VALUE"""),"Comida")</f>
        <v>Comida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7">
        <f>IFERROR(__xludf.DUMMYFUNCTION("""COMPUTED_VALUE"""),45778.0)</f>
        <v>45778</v>
      </c>
      <c r="B22" s="8">
        <f>IFERROR(__xludf.DUMMYFUNCTION("""COMPUTED_VALUE"""),45766.0)</f>
        <v>45766</v>
      </c>
      <c r="C22" s="1" t="str">
        <f>IFERROR(__xludf.DUMMYFUNCTION("""COMPUTED_VALUE"""),"Boacha")</f>
        <v>Boacha</v>
      </c>
      <c r="D22" s="2">
        <f>IFERROR(__xludf.DUMMYFUNCTION("""COMPUTED_VALUE"""),8.0)</f>
        <v>8</v>
      </c>
      <c r="E22" s="1" t="str">
        <f>IFERROR(__xludf.DUMMYFUNCTION("""COMPUTED_VALUE"""),"Físico")</f>
        <v>Físico</v>
      </c>
      <c r="F22" s="1" t="str">
        <f>IFERROR(__xludf.DUMMYFUNCTION("""COMPUTED_VALUE"""),"Boacha")</f>
        <v>Boacha</v>
      </c>
      <c r="G22" s="1" t="str">
        <f>IFERROR(__xludf.DUMMYFUNCTION("""COMPUTED_VALUE"""),"Comida")</f>
        <v>Comida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>
        <f>IFERROR(__xludf.DUMMYFUNCTION("""COMPUTED_VALUE"""),45778.0)</f>
        <v>45778</v>
      </c>
      <c r="B23" s="8">
        <f>IFERROR(__xludf.DUMMYFUNCTION("""COMPUTED_VALUE"""),45766.0)</f>
        <v>45766</v>
      </c>
      <c r="C23" s="1" t="str">
        <f>IFERROR(__xludf.DUMMYFUNCTION("""COMPUTED_VALUE"""),"Pecado Da Carne")</f>
        <v>Pecado Da Carne</v>
      </c>
      <c r="D23" s="2">
        <f>IFERROR(__xludf.DUMMYFUNCTION("""COMPUTED_VALUE"""),115.0)</f>
        <v>115</v>
      </c>
      <c r="E23" s="1" t="str">
        <f>IFERROR(__xludf.DUMMYFUNCTION("""COMPUTED_VALUE"""),"Físico")</f>
        <v>Físico</v>
      </c>
      <c r="F23" s="1" t="str">
        <f>IFERROR(__xludf.DUMMYFUNCTION("""COMPUTED_VALUE"""),"Pecado Da Carne")</f>
        <v>Pecado Da Carne</v>
      </c>
      <c r="G23" s="1" t="str">
        <f>IFERROR(__xludf.DUMMYFUNCTION("""COMPUTED_VALUE"""),"Comida")</f>
        <v>Comida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">
        <f>IFERROR(__xludf.DUMMYFUNCTION("""COMPUTED_VALUE"""),45778.0)</f>
        <v>45778</v>
      </c>
      <c r="B24" s="8">
        <f>IFERROR(__xludf.DUMMYFUNCTION("""COMPUTED_VALUE"""),45766.0)</f>
        <v>45766</v>
      </c>
      <c r="C24" s="1" t="str">
        <f>IFERROR(__xludf.DUMMYFUNCTION("""COMPUTED_VALUE"""),"Gran Burger")</f>
        <v>Gran Burger</v>
      </c>
      <c r="D24" s="2">
        <f>IFERROR(__xludf.DUMMYFUNCTION("""COMPUTED_VALUE"""),29.07)</f>
        <v>29.07</v>
      </c>
      <c r="E24" s="1" t="str">
        <f>IFERROR(__xludf.DUMMYFUNCTION("""COMPUTED_VALUE"""),"Físico")</f>
        <v>Físico</v>
      </c>
      <c r="F24" s="1" t="str">
        <f>IFERROR(__xludf.DUMMYFUNCTION("""COMPUTED_VALUE"""),"Gran Burger")</f>
        <v>Gran Burger</v>
      </c>
      <c r="G24" s="1" t="str">
        <f>IFERROR(__xludf.DUMMYFUNCTION("""COMPUTED_VALUE"""),"Comida")</f>
        <v>Comida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7">
        <f>IFERROR(__xludf.DUMMYFUNCTION("""COMPUTED_VALUE"""),45778.0)</f>
        <v>45778</v>
      </c>
      <c r="B25" s="8">
        <f>IFERROR(__xludf.DUMMYFUNCTION("""COMPUTED_VALUE"""),45766.0)</f>
        <v>45766</v>
      </c>
      <c r="C25" s="1" t="str">
        <f>IFERROR(__xludf.DUMMYFUNCTION("""COMPUTED_VALUE"""),"Pão Total")</f>
        <v>Pão Total</v>
      </c>
      <c r="D25" s="2">
        <f>IFERROR(__xludf.DUMMYFUNCTION("""COMPUTED_VALUE"""),13.64)</f>
        <v>13.64</v>
      </c>
      <c r="E25" s="1" t="str">
        <f>IFERROR(__xludf.DUMMYFUNCTION("""COMPUTED_VALUE"""),"Físico")</f>
        <v>Físico</v>
      </c>
      <c r="F25" s="1" t="str">
        <f>IFERROR(__xludf.DUMMYFUNCTION("""COMPUTED_VALUE"""),"Pão Total")</f>
        <v>Pão Total</v>
      </c>
      <c r="G25" s="1" t="str">
        <f>IFERROR(__xludf.DUMMYFUNCTION("""COMPUTED_VALUE"""),"Comida")</f>
        <v>Comida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7">
        <f>IFERROR(__xludf.DUMMYFUNCTION("""COMPUTED_VALUE"""),45778.0)</f>
        <v>45778</v>
      </c>
      <c r="B26" s="8">
        <f>IFERROR(__xludf.DUMMYFUNCTION("""COMPUTED_VALUE"""),45767.0)</f>
        <v>45767</v>
      </c>
      <c r="C26" s="1" t="str">
        <f>IFERROR(__xludf.DUMMYFUNCTION("""COMPUTED_VALUE"""),"Pizzaria Ltda")</f>
        <v>Pizzaria Ltda</v>
      </c>
      <c r="D26" s="2">
        <f>IFERROR(__xludf.DUMMYFUNCTION("""COMPUTED_VALUE"""),119.24)</f>
        <v>119.24</v>
      </c>
      <c r="E26" s="1" t="str">
        <f>IFERROR(__xludf.DUMMYFUNCTION("""COMPUTED_VALUE"""),"Físico")</f>
        <v>Físico</v>
      </c>
      <c r="F26" s="1" t="str">
        <f>IFERROR(__xludf.DUMMYFUNCTION("""COMPUTED_VALUE"""),"Pizzaria Ltda")</f>
        <v>Pizzaria Ltda</v>
      </c>
      <c r="G26" s="1" t="str">
        <f>IFERROR(__xludf.DUMMYFUNCTION("""COMPUTED_VALUE"""),"Comida")</f>
        <v>Comida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7">
        <f>IFERROR(__xludf.DUMMYFUNCTION("""COMPUTED_VALUE"""),45778.0)</f>
        <v>45778</v>
      </c>
      <c r="B27" s="8">
        <f>IFERROR(__xludf.DUMMYFUNCTION("""COMPUTED_VALUE"""),45767.0)</f>
        <v>45767</v>
      </c>
      <c r="C27" s="1" t="str">
        <f>IFERROR(__xludf.DUMMYFUNCTION("""COMPUTED_VALUE"""),"Beleus Lanches")</f>
        <v>Beleus Lanches</v>
      </c>
      <c r="D27" s="2">
        <f>IFERROR(__xludf.DUMMYFUNCTION("""COMPUTED_VALUE"""),28.5)</f>
        <v>28.5</v>
      </c>
      <c r="E27" s="1" t="str">
        <f>IFERROR(__xludf.DUMMYFUNCTION("""COMPUTED_VALUE"""),"Físico")</f>
        <v>Físico</v>
      </c>
      <c r="F27" s="1" t="str">
        <f>IFERROR(__xludf.DUMMYFUNCTION("""COMPUTED_VALUE"""),"Beleus Lanches")</f>
        <v>Beleus Lanches</v>
      </c>
      <c r="G27" s="1" t="str">
        <f>IFERROR(__xludf.DUMMYFUNCTION("""COMPUTED_VALUE"""),"Comida")</f>
        <v>Comida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>
        <f>IFERROR(__xludf.DUMMYFUNCTION("""COMPUTED_VALUE"""),45778.0)</f>
        <v>45778</v>
      </c>
      <c r="B28" s="8">
        <f>IFERROR(__xludf.DUMMYFUNCTION("""COMPUTED_VALUE"""),45768.0)</f>
        <v>45768</v>
      </c>
      <c r="C28" s="1" t="str">
        <f>IFERROR(__xludf.DUMMYFUNCTION("""COMPUTED_VALUE"""),"Empório Fazenda Velh")</f>
        <v>Empório Fazenda Velh</v>
      </c>
      <c r="D28" s="2">
        <f>IFERROR(__xludf.DUMMYFUNCTION("""COMPUTED_VALUE"""),67.5)</f>
        <v>67.5</v>
      </c>
      <c r="E28" s="1" t="str">
        <f>IFERROR(__xludf.DUMMYFUNCTION("""COMPUTED_VALUE"""),"Físico")</f>
        <v>Físico</v>
      </c>
      <c r="F28" s="1" t="str">
        <f>IFERROR(__xludf.DUMMYFUNCTION("""COMPUTED_VALUE"""),"Empório Fazenda Velh")</f>
        <v>Empório Fazenda Velh</v>
      </c>
      <c r="G28" s="1" t="str">
        <f>IFERROR(__xludf.DUMMYFUNCTION("""COMPUTED_VALUE"""),"Comida")</f>
        <v>Comida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7">
        <f>IFERROR(__xludf.DUMMYFUNCTION("""COMPUTED_VALUE"""),45778.0)</f>
        <v>45778</v>
      </c>
      <c r="B29" s="8">
        <f>IFERROR(__xludf.DUMMYFUNCTION("""COMPUTED_VALUE"""),45768.0)</f>
        <v>45768</v>
      </c>
      <c r="C29" s="1" t="str">
        <f>IFERROR(__xludf.DUMMYFUNCTION("""COMPUTED_VALUE"""),"Marcus Vinicius")</f>
        <v>Marcus Vinicius</v>
      </c>
      <c r="D29" s="2">
        <f>IFERROR(__xludf.DUMMYFUNCTION("""COMPUTED_VALUE"""),99.9)</f>
        <v>99.9</v>
      </c>
      <c r="E29" s="1" t="str">
        <f>IFERROR(__xludf.DUMMYFUNCTION("""COMPUTED_VALUE"""),"Físico")</f>
        <v>Físico</v>
      </c>
      <c r="F29" s="1" t="str">
        <f>IFERROR(__xludf.DUMMYFUNCTION("""COMPUTED_VALUE"""),"Marcus Vinicius")</f>
        <v>Marcus Vinicius</v>
      </c>
      <c r="G29" s="1" t="str">
        <f>IFERROR(__xludf.DUMMYFUNCTION("""COMPUTED_VALUE"""),"Bypass")</f>
        <v>Bypass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7">
        <f>IFERROR(__xludf.DUMMYFUNCTION("""COMPUTED_VALUE"""),45778.0)</f>
        <v>45778</v>
      </c>
      <c r="B30" s="8">
        <f>IFERROR(__xludf.DUMMYFUNCTION("""COMPUTED_VALUE"""),45768.0)</f>
        <v>45768</v>
      </c>
      <c r="C30" s="1" t="str">
        <f>IFERROR(__xludf.DUMMYFUNCTION("""COMPUTED_VALUE"""),"Panif Mendes Sion")</f>
        <v>Panif Mendes Sion</v>
      </c>
      <c r="D30" s="2">
        <f>IFERROR(__xludf.DUMMYFUNCTION("""COMPUTED_VALUE"""),15.72)</f>
        <v>15.72</v>
      </c>
      <c r="E30" s="1" t="str">
        <f>IFERROR(__xludf.DUMMYFUNCTION("""COMPUTED_VALUE"""),"Físico")</f>
        <v>Físico</v>
      </c>
      <c r="F30" s="1" t="str">
        <f>IFERROR(__xludf.DUMMYFUNCTION("""COMPUTED_VALUE"""),"Panif Mendes Sion")</f>
        <v>Panif Mendes Sion</v>
      </c>
      <c r="G30" s="1" t="str">
        <f>IFERROR(__xludf.DUMMYFUNCTION("""COMPUTED_VALUE"""),"Comida")</f>
        <v>Comida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7">
        <f>IFERROR(__xludf.DUMMYFUNCTION("""COMPUTED_VALUE"""),45778.0)</f>
        <v>45778</v>
      </c>
      <c r="B31" s="8">
        <f>IFERROR(__xludf.DUMMYFUNCTION("""COMPUTED_VALUE"""),45769.0)</f>
        <v>45769</v>
      </c>
      <c r="C31" s="1" t="str">
        <f>IFERROR(__xludf.DUMMYFUNCTION("""COMPUTED_VALUE"""),"Supermercado &amp; Padaria")</f>
        <v>Supermercado &amp; Padaria</v>
      </c>
      <c r="D31" s="2">
        <f>IFERROR(__xludf.DUMMYFUNCTION("""COMPUTED_VALUE"""),32.23)</f>
        <v>32.23</v>
      </c>
      <c r="E31" s="1" t="str">
        <f>IFERROR(__xludf.DUMMYFUNCTION("""COMPUTED_VALUE"""),"Físico")</f>
        <v>Físico</v>
      </c>
      <c r="F31" s="1" t="str">
        <f>IFERROR(__xludf.DUMMYFUNCTION("""COMPUTED_VALUE"""),"Supermercado &amp; Padaria")</f>
        <v>Supermercado &amp; Padaria</v>
      </c>
      <c r="G31" s="1" t="str">
        <f>IFERROR(__xludf.DUMMYFUNCTION("""COMPUTED_VALUE"""),"Comida")</f>
        <v>Comida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7">
        <f>IFERROR(__xludf.DUMMYFUNCTION("""COMPUTED_VALUE"""),45778.0)</f>
        <v>45778</v>
      </c>
      <c r="B32" s="8">
        <f>IFERROR(__xludf.DUMMYFUNCTION("""COMPUTED_VALUE"""),45771.0)</f>
        <v>45771</v>
      </c>
      <c r="C32" s="1" t="str">
        <f>IFERROR(__xludf.DUMMYFUNCTION("""COMPUTED_VALUE"""),"Moacyrbragafilho")</f>
        <v>Moacyrbragafilho</v>
      </c>
      <c r="D32" s="2">
        <f>IFERROR(__xludf.DUMMYFUNCTION("""COMPUTED_VALUE"""),31.97)</f>
        <v>31.97</v>
      </c>
      <c r="E32" s="1" t="str">
        <f>IFERROR(__xludf.DUMMYFUNCTION("""COMPUTED_VALUE"""),"Físico")</f>
        <v>Físico</v>
      </c>
      <c r="F32" s="1" t="str">
        <f>IFERROR(__xludf.DUMMYFUNCTION("""COMPUTED_VALUE"""),"Moacyrbragafilho")</f>
        <v>Moacyrbragafilho</v>
      </c>
      <c r="G32" s="1" t="str">
        <f>IFERROR(__xludf.DUMMYFUNCTION("""COMPUTED_VALUE"""),"Bypass")</f>
        <v>Bypass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7">
        <f>IFERROR(__xludf.DUMMYFUNCTION("""COMPUTED_VALUE"""),45778.0)</f>
        <v>45778</v>
      </c>
      <c r="B33" s="8">
        <f>IFERROR(__xludf.DUMMYFUNCTION("""COMPUTED_VALUE"""),45771.0)</f>
        <v>45771</v>
      </c>
      <c r="C33" s="1" t="str">
        <f>IFERROR(__xludf.DUMMYFUNCTION("""COMPUTED_VALUE"""),"Supermercado &amp; Padaria")</f>
        <v>Supermercado &amp; Padaria</v>
      </c>
      <c r="D33" s="2">
        <f>IFERROR(__xludf.DUMMYFUNCTION("""COMPUTED_VALUE"""),24.47)</f>
        <v>24.47</v>
      </c>
      <c r="E33" s="1" t="str">
        <f>IFERROR(__xludf.DUMMYFUNCTION("""COMPUTED_VALUE"""),"Físico")</f>
        <v>Físico</v>
      </c>
      <c r="F33" s="1" t="str">
        <f>IFERROR(__xludf.DUMMYFUNCTION("""COMPUTED_VALUE"""),"Supermercado &amp; Padaria")</f>
        <v>Supermercado &amp; Padaria</v>
      </c>
      <c r="G33" s="1" t="str">
        <f>IFERROR(__xludf.DUMMYFUNCTION("""COMPUTED_VALUE"""),"Comida")</f>
        <v>Comida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7">
        <f>IFERROR(__xludf.DUMMYFUNCTION("""COMPUTED_VALUE"""),45778.0)</f>
        <v>45778</v>
      </c>
      <c r="B34" s="8">
        <f>IFERROR(__xludf.DUMMYFUNCTION("""COMPUTED_VALUE"""),45771.0)</f>
        <v>45771</v>
      </c>
      <c r="C34" s="1" t="str">
        <f>IFERROR(__xludf.DUMMYFUNCTION("""COMPUTED_VALUE"""),"Supermercado &amp; Padaria")</f>
        <v>Supermercado &amp; Padaria</v>
      </c>
      <c r="D34" s="2">
        <f>IFERROR(__xludf.DUMMYFUNCTION("""COMPUTED_VALUE"""),62.61)</f>
        <v>62.61</v>
      </c>
      <c r="E34" s="1" t="str">
        <f>IFERROR(__xludf.DUMMYFUNCTION("""COMPUTED_VALUE"""),"Físico")</f>
        <v>Físico</v>
      </c>
      <c r="F34" s="1" t="str">
        <f>IFERROR(__xludf.DUMMYFUNCTION("""COMPUTED_VALUE"""),"Supermercado &amp; Padaria")</f>
        <v>Supermercado &amp; Padaria</v>
      </c>
      <c r="G34" s="1" t="str">
        <f>IFERROR(__xludf.DUMMYFUNCTION("""COMPUTED_VALUE"""),"Comida")</f>
        <v>Comida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7">
        <f>IFERROR(__xludf.DUMMYFUNCTION("""COMPUTED_VALUE"""),45778.0)</f>
        <v>45778</v>
      </c>
      <c r="B35" s="8">
        <f>IFERROR(__xludf.DUMMYFUNCTION("""COMPUTED_VALUE"""),45772.0)</f>
        <v>45772</v>
      </c>
      <c r="C35" s="1" t="str">
        <f>IFERROR(__xludf.DUMMYFUNCTION("""COMPUTED_VALUE"""),"Redentor")</f>
        <v>Redentor</v>
      </c>
      <c r="D35" s="2">
        <f>IFERROR(__xludf.DUMMYFUNCTION("""COMPUTED_VALUE"""),46.56)</f>
        <v>46.56</v>
      </c>
      <c r="E35" s="1" t="str">
        <f>IFERROR(__xludf.DUMMYFUNCTION("""COMPUTED_VALUE"""),"Físico")</f>
        <v>Físico</v>
      </c>
      <c r="F35" s="1" t="str">
        <f>IFERROR(__xludf.DUMMYFUNCTION("""COMPUTED_VALUE"""),"Redentor")</f>
        <v>Redentor</v>
      </c>
      <c r="G35" s="1" t="str">
        <f>IFERROR(__xludf.DUMMYFUNCTION("""COMPUTED_VALUE"""),"Comida")</f>
        <v>Comida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7">
        <f>IFERROR(__xludf.DUMMYFUNCTION("""COMPUTED_VALUE"""),45778.0)</f>
        <v>45778</v>
      </c>
      <c r="B36" s="8">
        <f>IFERROR(__xludf.DUMMYFUNCTION("""COMPUTED_VALUE"""),45772.0)</f>
        <v>45772</v>
      </c>
      <c r="C36" s="1" t="str">
        <f>IFERROR(__xludf.DUMMYFUNCTION("""COMPUTED_VALUE"""),"Café E Cia")</f>
        <v>Café E Cia</v>
      </c>
      <c r="D36" s="2">
        <f>IFERROR(__xludf.DUMMYFUNCTION("""COMPUTED_VALUE"""),8.0)</f>
        <v>8</v>
      </c>
      <c r="E36" s="1" t="str">
        <f>IFERROR(__xludf.DUMMYFUNCTION("""COMPUTED_VALUE"""),"Físico")</f>
        <v>Físico</v>
      </c>
      <c r="F36" s="1" t="str">
        <f>IFERROR(__xludf.DUMMYFUNCTION("""COMPUTED_VALUE"""),"Café E Cia")</f>
        <v>Café E Cia</v>
      </c>
      <c r="G36" s="1" t="str">
        <f>IFERROR(__xludf.DUMMYFUNCTION("""COMPUTED_VALUE"""),"Comida")</f>
        <v>Comida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7">
        <f>IFERROR(__xludf.DUMMYFUNCTION("""COMPUTED_VALUE"""),45778.0)</f>
        <v>45778</v>
      </c>
      <c r="B37" s="8">
        <f>IFERROR(__xludf.DUMMYFUNCTION("""COMPUTED_VALUE"""),45773.0)</f>
        <v>45773</v>
      </c>
      <c r="C37" s="1" t="str">
        <f>IFERROR(__xludf.DUMMYFUNCTION("""COMPUTED_VALUE"""),"Thais Ruas De Araujo")</f>
        <v>Thais Ruas De Araujo</v>
      </c>
      <c r="D37" s="2">
        <f>IFERROR(__xludf.DUMMYFUNCTION("""COMPUTED_VALUE"""),55.0)</f>
        <v>55</v>
      </c>
      <c r="E37" s="1" t="str">
        <f>IFERROR(__xludf.DUMMYFUNCTION("""COMPUTED_VALUE"""),"Físico")</f>
        <v>Físico</v>
      </c>
      <c r="F37" s="1" t="str">
        <f>IFERROR(__xludf.DUMMYFUNCTION("""COMPUTED_VALUE"""),"Thais Ruas De Araujo")</f>
        <v>Thais Ruas De Araujo</v>
      </c>
      <c r="G37" s="1" t="str">
        <f>IFERROR(__xludf.DUMMYFUNCTION("""COMPUTED_VALUE"""),"Bypass")</f>
        <v>Bypass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7">
        <f>IFERROR(__xludf.DUMMYFUNCTION("""COMPUTED_VALUE"""),45778.0)</f>
        <v>45778</v>
      </c>
      <c r="B38" s="8">
        <f>IFERROR(__xludf.DUMMYFUNCTION("""COMPUTED_VALUE"""),45757.0)</f>
        <v>45757</v>
      </c>
      <c r="C38" s="1" t="str">
        <f>IFERROR(__xludf.DUMMYFUNCTION("""COMPUTED_VALUE"""),"Amazonmktplc Delutecom (1/2)")</f>
        <v>Amazonmktplc Delutecom (1/2)</v>
      </c>
      <c r="D38" s="2">
        <f>IFERROR(__xludf.DUMMYFUNCTION("""COMPUTED_VALUE"""),74.95)</f>
        <v>74.95</v>
      </c>
      <c r="E38" s="1" t="str">
        <f>IFERROR(__xludf.DUMMYFUNCTION("""COMPUTED_VALUE"""),"Virtual")</f>
        <v>Virtual</v>
      </c>
      <c r="F38" s="1" t="str">
        <f>IFERROR(__xludf.DUMMYFUNCTION("""COMPUTED_VALUE"""),"Amazonmktplc")</f>
        <v>Amazonmktplc</v>
      </c>
      <c r="G38" s="1" t="str">
        <f>IFERROR(__xludf.DUMMYFUNCTION("""COMPUTED_VALUE"""),"Compras")</f>
        <v>Compras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7">
        <f>IFERROR(__xludf.DUMMYFUNCTION("""COMPUTED_VALUE"""),45778.0)</f>
        <v>45778</v>
      </c>
      <c r="B39" s="8">
        <f>IFERROR(__xludf.DUMMYFUNCTION("""COMPUTED_VALUE"""),45757.0)</f>
        <v>45757</v>
      </c>
      <c r="C39" s="1" t="str">
        <f>IFERROR(__xludf.DUMMYFUNCTION("""COMPUTED_VALUE"""),"Amazon (1/3)")</f>
        <v>Amazon (1/3)</v>
      </c>
      <c r="D39" s="2">
        <f>IFERROR(__xludf.DUMMYFUNCTION("""COMPUTED_VALUE"""),84.54)</f>
        <v>84.54</v>
      </c>
      <c r="E39" s="1" t="str">
        <f>IFERROR(__xludf.DUMMYFUNCTION("""COMPUTED_VALUE"""),"Virtual")</f>
        <v>Virtual</v>
      </c>
      <c r="F39" s="1" t="str">
        <f>IFERROR(__xludf.DUMMYFUNCTION("""COMPUTED_VALUE"""),"Amazon")</f>
        <v>Amazon</v>
      </c>
      <c r="G39" s="1" t="str">
        <f>IFERROR(__xludf.DUMMYFUNCTION("""COMPUTED_VALUE"""),"Compras")</f>
        <v>Compras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7">
        <f>IFERROR(__xludf.DUMMYFUNCTION("""COMPUTED_VALUE"""),45778.0)</f>
        <v>45778</v>
      </c>
      <c r="B40" s="8">
        <f>IFERROR(__xludf.DUMMYFUNCTION("""COMPUTED_VALUE"""),45757.0)</f>
        <v>45757</v>
      </c>
      <c r="C40" s="1" t="str">
        <f>IFERROR(__xludf.DUMMYFUNCTION("""COMPUTED_VALUE"""),"Amazon")</f>
        <v>Amazon</v>
      </c>
      <c r="D40" s="2">
        <f>IFERROR(__xludf.DUMMYFUNCTION("""COMPUTED_VALUE"""),79.61)</f>
        <v>79.61</v>
      </c>
      <c r="E40" s="1" t="str">
        <f>IFERROR(__xludf.DUMMYFUNCTION("""COMPUTED_VALUE"""),"Virtual")</f>
        <v>Virtual</v>
      </c>
      <c r="F40" s="1" t="str">
        <f>IFERROR(__xludf.DUMMYFUNCTION("""COMPUTED_VALUE"""),"Amazon")</f>
        <v>Amazon</v>
      </c>
      <c r="G40" s="1" t="str">
        <f>IFERROR(__xludf.DUMMYFUNCTION("""COMPUTED_VALUE"""),"Compras")</f>
        <v>Compras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7">
        <f>IFERROR(__xludf.DUMMYFUNCTION("""COMPUTED_VALUE"""),45778.0)</f>
        <v>45778</v>
      </c>
      <c r="B41" s="8">
        <f>IFERROR(__xludf.DUMMYFUNCTION("""COMPUTED_VALUE"""),45758.0)</f>
        <v>45758</v>
      </c>
      <c r="C41" s="1" t="str">
        <f>IFERROR(__xludf.DUMMYFUNCTION("""COMPUTED_VALUE"""),"Casas Bahia")</f>
        <v>Casas Bahia</v>
      </c>
      <c r="D41" s="2">
        <f>IFERROR(__xludf.DUMMYFUNCTION("""COMPUTED_VALUE"""),161.42)</f>
        <v>161.42</v>
      </c>
      <c r="E41" s="1" t="str">
        <f>IFERROR(__xludf.DUMMYFUNCTION("""COMPUTED_VALUE"""),"Virtual")</f>
        <v>Virtual</v>
      </c>
      <c r="F41" s="1" t="str">
        <f>IFERROR(__xludf.DUMMYFUNCTION("""COMPUTED_VALUE"""),"Casas Bahia")</f>
        <v>Casas Bahia</v>
      </c>
      <c r="G41" s="1" t="str">
        <f>IFERROR(__xludf.DUMMYFUNCTION("""COMPUTED_VALUE"""),"Compras")</f>
        <v>Compras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7">
        <f>IFERROR(__xludf.DUMMYFUNCTION("""COMPUTED_VALUE"""),45778.0)</f>
        <v>45778</v>
      </c>
      <c r="B42" s="8">
        <f>IFERROR(__xludf.DUMMYFUNCTION("""COMPUTED_VALUE"""),45761.0)</f>
        <v>45761</v>
      </c>
      <c r="C42" s="1" t="str">
        <f>IFERROR(__xludf.DUMMYFUNCTION("""COMPUTED_VALUE"""),"Amazon")</f>
        <v>Amazon</v>
      </c>
      <c r="D42" s="2">
        <f>IFERROR(__xludf.DUMMYFUNCTION("""COMPUTED_VALUE"""),19.9)</f>
        <v>19.9</v>
      </c>
      <c r="E42" s="1" t="str">
        <f>IFERROR(__xludf.DUMMYFUNCTION("""COMPUTED_VALUE"""),"Virtual")</f>
        <v>Virtual</v>
      </c>
      <c r="F42" s="1" t="str">
        <f>IFERROR(__xludf.DUMMYFUNCTION("""COMPUTED_VALUE"""),"Amazon")</f>
        <v>Amazon</v>
      </c>
      <c r="G42" s="1" t="str">
        <f>IFERROR(__xludf.DUMMYFUNCTION("""COMPUTED_VALUE"""),"Compras")</f>
        <v>Compras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7">
        <f>IFERROR(__xludf.DUMMYFUNCTION("""COMPUTED_VALUE"""),45778.0)</f>
        <v>45778</v>
      </c>
      <c r="B43" s="8">
        <f>IFERROR(__xludf.DUMMYFUNCTION("""COMPUTED_VALUE"""),45761.0)</f>
        <v>45761</v>
      </c>
      <c r="C43" s="1" t="str">
        <f>IFERROR(__xludf.DUMMYFUNCTION("""COMPUTED_VALUE"""),"Mercado Livre")</f>
        <v>Mercado Livre</v>
      </c>
      <c r="D43" s="2">
        <f>IFERROR(__xludf.DUMMYFUNCTION("""COMPUTED_VALUE"""),60.42)</f>
        <v>60.42</v>
      </c>
      <c r="E43" s="1" t="str">
        <f>IFERROR(__xludf.DUMMYFUNCTION("""COMPUTED_VALUE"""),"Virtual")</f>
        <v>Virtual</v>
      </c>
      <c r="F43" s="1" t="str">
        <f>IFERROR(__xludf.DUMMYFUNCTION("""COMPUTED_VALUE"""),"Mercado Livre")</f>
        <v>Mercado Livre</v>
      </c>
      <c r="G43" s="1" t="str">
        <f>IFERROR(__xludf.DUMMYFUNCTION("""COMPUTED_VALUE"""),"Compras")</f>
        <v>Compras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7">
        <f>IFERROR(__xludf.DUMMYFUNCTION("""COMPUTED_VALUE"""),45778.0)</f>
        <v>45778</v>
      </c>
      <c r="B44" s="8">
        <f>IFERROR(__xludf.DUMMYFUNCTION("""COMPUTED_VALUE"""),45762.0)</f>
        <v>45762</v>
      </c>
      <c r="C44" s="1" t="str">
        <f>IFERROR(__xludf.DUMMYFUNCTION("""COMPUTED_VALUE"""),"Amazon")</f>
        <v>Amazon</v>
      </c>
      <c r="D44" s="2">
        <f>IFERROR(__xludf.DUMMYFUNCTION("""COMPUTED_VALUE"""),9.99)</f>
        <v>9.99</v>
      </c>
      <c r="E44" s="1" t="str">
        <f>IFERROR(__xludf.DUMMYFUNCTION("""COMPUTED_VALUE"""),"Virtual")</f>
        <v>Virtual</v>
      </c>
      <c r="F44" s="1" t="str">
        <f>IFERROR(__xludf.DUMMYFUNCTION("""COMPUTED_VALUE"""),"Amazon")</f>
        <v>Amazon</v>
      </c>
      <c r="G44" s="1" t="str">
        <f>IFERROR(__xludf.DUMMYFUNCTION("""COMPUTED_VALUE"""),"Compras")</f>
        <v>Compras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7">
        <f>IFERROR(__xludf.DUMMYFUNCTION("""COMPUTED_VALUE"""),45778.0)</f>
        <v>45778</v>
      </c>
      <c r="B45" s="8">
        <f>IFERROR(__xludf.DUMMYFUNCTION("""COMPUTED_VALUE"""),45762.0)</f>
        <v>45762</v>
      </c>
      <c r="C45" s="1" t="str">
        <f>IFERROR(__xludf.DUMMYFUNCTION("""COMPUTED_VALUE"""),"Amazon")</f>
        <v>Amazon</v>
      </c>
      <c r="D45" s="2">
        <f>IFERROR(__xludf.DUMMYFUNCTION("""COMPUTED_VALUE"""),30.94)</f>
        <v>30.94</v>
      </c>
      <c r="E45" s="1" t="str">
        <f>IFERROR(__xludf.DUMMYFUNCTION("""COMPUTED_VALUE"""),"Virtual")</f>
        <v>Virtual</v>
      </c>
      <c r="F45" s="1" t="str">
        <f>IFERROR(__xludf.DUMMYFUNCTION("""COMPUTED_VALUE"""),"Amazon")</f>
        <v>Amazon</v>
      </c>
      <c r="G45" s="1" t="str">
        <f>IFERROR(__xludf.DUMMYFUNCTION("""COMPUTED_VALUE"""),"Compras")</f>
        <v>Compras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7">
        <f>IFERROR(__xludf.DUMMYFUNCTION("""COMPUTED_VALUE"""),45778.0)</f>
        <v>45778</v>
      </c>
      <c r="B46" s="8">
        <f>IFERROR(__xludf.DUMMYFUNCTION("""COMPUTED_VALUE"""),45762.0)</f>
        <v>45762</v>
      </c>
      <c r="C46" s="1" t="str">
        <f>IFERROR(__xludf.DUMMYFUNCTION("""COMPUTED_VALUE"""),"Lavo Ta Novo (1/2)")</f>
        <v>Lavo Ta Novo (1/2)</v>
      </c>
      <c r="D46" s="2">
        <f>IFERROR(__xludf.DUMMYFUNCTION("""COMPUTED_VALUE"""),217.5)</f>
        <v>217.5</v>
      </c>
      <c r="E46" s="1" t="str">
        <f>IFERROR(__xludf.DUMMYFUNCTION("""COMPUTED_VALUE"""),"Virtual")</f>
        <v>Virtual</v>
      </c>
      <c r="F46" s="1" t="str">
        <f>IFERROR(__xludf.DUMMYFUNCTION("""COMPUTED_VALUE"""),"Lavo Ta Novo")</f>
        <v>Lavo Ta Novo</v>
      </c>
      <c r="G46" s="1" t="str">
        <f>IFERROR(__xludf.DUMMYFUNCTION("""COMPUTED_VALUE"""),"Compras")</f>
        <v>Compras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7">
        <f>IFERROR(__xludf.DUMMYFUNCTION("""COMPUTED_VALUE"""),45778.0)</f>
        <v>45778</v>
      </c>
      <c r="B47" s="8">
        <f>IFERROR(__xludf.DUMMYFUNCTION("""COMPUTED_VALUE"""),45763.0)</f>
        <v>45763</v>
      </c>
      <c r="C47" s="1" t="str">
        <f>IFERROR(__xludf.DUMMYFUNCTION("""COMPUTED_VALUE"""),"Amazon")</f>
        <v>Amazon</v>
      </c>
      <c r="D47" s="2">
        <f>IFERROR(__xludf.DUMMYFUNCTION("""COMPUTED_VALUE"""),25.9)</f>
        <v>25.9</v>
      </c>
      <c r="E47" s="1" t="str">
        <f>IFERROR(__xludf.DUMMYFUNCTION("""COMPUTED_VALUE"""),"Virtual")</f>
        <v>Virtual</v>
      </c>
      <c r="F47" s="1" t="str">
        <f>IFERROR(__xludf.DUMMYFUNCTION("""COMPUTED_VALUE"""),"Amazon")</f>
        <v>Amazon</v>
      </c>
      <c r="G47" s="1" t="str">
        <f>IFERROR(__xludf.DUMMYFUNCTION("""COMPUTED_VALUE"""),"Compras")</f>
        <v>Compras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7">
        <f>IFERROR(__xludf.DUMMYFUNCTION("""COMPUTED_VALUE"""),45778.0)</f>
        <v>45778</v>
      </c>
      <c r="B48" s="8">
        <f>IFERROR(__xludf.DUMMYFUNCTION("""COMPUTED_VALUE"""),45764.0)</f>
        <v>45764</v>
      </c>
      <c r="C48" s="1" t="str">
        <f>IFERROR(__xludf.DUMMYFUNCTION("""COMPUTED_VALUE"""),"Rdsaude Online")</f>
        <v>Rdsaude Online</v>
      </c>
      <c r="D48" s="2">
        <f>IFERROR(__xludf.DUMMYFUNCTION("""COMPUTED_VALUE"""),48.79)</f>
        <v>48.79</v>
      </c>
      <c r="E48" s="1" t="str">
        <f>IFERROR(__xludf.DUMMYFUNCTION("""COMPUTED_VALUE"""),"Virtual")</f>
        <v>Virtual</v>
      </c>
      <c r="F48" s="1" t="str">
        <f>IFERROR(__xludf.DUMMYFUNCTION("""COMPUTED_VALUE"""),"Rdsaude Online")</f>
        <v>Rdsaude Online</v>
      </c>
      <c r="G48" s="1" t="str">
        <f>IFERROR(__xludf.DUMMYFUNCTION("""COMPUTED_VALUE"""),"Bypass")</f>
        <v>Bypass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7">
        <f>IFERROR(__xludf.DUMMYFUNCTION("""COMPUTED_VALUE"""),45778.0)</f>
        <v>45778</v>
      </c>
      <c r="B49" s="8">
        <f>IFERROR(__xludf.DUMMYFUNCTION("""COMPUTED_VALUE"""),45764.0)</f>
        <v>45764</v>
      </c>
      <c r="C49" s="1" t="str">
        <f>IFERROR(__xludf.DUMMYFUNCTION("""COMPUTED_VALUE"""),"Shopee")</f>
        <v>Shopee</v>
      </c>
      <c r="D49" s="2">
        <f>IFERROR(__xludf.DUMMYFUNCTION("""COMPUTED_VALUE"""),96.64)</f>
        <v>96.64</v>
      </c>
      <c r="E49" s="1" t="str">
        <f>IFERROR(__xludf.DUMMYFUNCTION("""COMPUTED_VALUE"""),"Virtual")</f>
        <v>Virtual</v>
      </c>
      <c r="F49" s="1" t="str">
        <f>IFERROR(__xludf.DUMMYFUNCTION("""COMPUTED_VALUE"""),"Shopee")</f>
        <v>Shopee</v>
      </c>
      <c r="G49" s="1" t="str">
        <f>IFERROR(__xludf.DUMMYFUNCTION("""COMPUTED_VALUE"""),"Compras")</f>
        <v>Compras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7">
        <f>IFERROR(__xludf.DUMMYFUNCTION("""COMPUTED_VALUE"""),45778.0)</f>
        <v>45778</v>
      </c>
      <c r="B50" s="8">
        <f>IFERROR(__xludf.DUMMYFUNCTION("""COMPUTED_VALUE"""),45765.0)</f>
        <v>45765</v>
      </c>
      <c r="C50" s="1" t="str">
        <f>IFERROR(__xludf.DUMMYFUNCTION("""COMPUTED_VALUE"""),"Casas Bahia (1/10)")</f>
        <v>Casas Bahia (1/10)</v>
      </c>
      <c r="D50" s="2">
        <f>IFERROR(__xludf.DUMMYFUNCTION("""COMPUTED_VALUE"""),361.48)</f>
        <v>361.48</v>
      </c>
      <c r="E50" s="1" t="str">
        <f>IFERROR(__xludf.DUMMYFUNCTION("""COMPUTED_VALUE"""),"Virtual")</f>
        <v>Virtual</v>
      </c>
      <c r="F50" s="1" t="str">
        <f>IFERROR(__xludf.DUMMYFUNCTION("""COMPUTED_VALUE"""),"Casas Bahia")</f>
        <v>Casas Bahia</v>
      </c>
      <c r="G50" s="1" t="str">
        <f>IFERROR(__xludf.DUMMYFUNCTION("""COMPUTED_VALUE"""),"Compras")</f>
        <v>Compras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7">
        <f>IFERROR(__xludf.DUMMYFUNCTION("""COMPUTED_VALUE"""),45778.0)</f>
        <v>45778</v>
      </c>
      <c r="B51" s="8">
        <f>IFERROR(__xludf.DUMMYFUNCTION("""COMPUTED_VALUE"""),45765.0)</f>
        <v>45765</v>
      </c>
      <c r="C51" s="1" t="str">
        <f>IFERROR(__xludf.DUMMYFUNCTION("""COMPUTED_VALUE"""),"Shopee (1/3)")</f>
        <v>Shopee (1/3)</v>
      </c>
      <c r="D51" s="2">
        <f>IFERROR(__xludf.DUMMYFUNCTION("""COMPUTED_VALUE"""),89.64)</f>
        <v>89.64</v>
      </c>
      <c r="E51" s="1" t="str">
        <f>IFERROR(__xludf.DUMMYFUNCTION("""COMPUTED_VALUE"""),"Virtual")</f>
        <v>Virtual</v>
      </c>
      <c r="F51" s="1" t="str">
        <f>IFERROR(__xludf.DUMMYFUNCTION("""COMPUTED_VALUE"""),"Shopee")</f>
        <v>Shopee</v>
      </c>
      <c r="G51" s="1" t="str">
        <f>IFERROR(__xludf.DUMMYFUNCTION("""COMPUTED_VALUE"""),"Compras")</f>
        <v>Compras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7">
        <f>IFERROR(__xludf.DUMMYFUNCTION("""COMPUTED_VALUE"""),45778.0)</f>
        <v>45778</v>
      </c>
      <c r="B52" s="8">
        <f>IFERROR(__xludf.DUMMYFUNCTION("""COMPUTED_VALUE"""),45765.0)</f>
        <v>45765</v>
      </c>
      <c r="C52" s="1" t="str">
        <f>IFERROR(__xludf.DUMMYFUNCTION("""COMPUTED_VALUE"""),"Yogi Baby (1/3)")</f>
        <v>Yogi Baby (1/3)</v>
      </c>
      <c r="D52" s="2">
        <f>IFERROR(__xludf.DUMMYFUNCTION("""COMPUTED_VALUE"""),24.49)</f>
        <v>24.49</v>
      </c>
      <c r="E52" s="1" t="str">
        <f>IFERROR(__xludf.DUMMYFUNCTION("""COMPUTED_VALUE"""),"Virtual")</f>
        <v>Virtual</v>
      </c>
      <c r="F52" s="1" t="str">
        <f>IFERROR(__xludf.DUMMYFUNCTION("""COMPUTED_VALUE"""),"Yogi Baby")</f>
        <v>Yogi Baby</v>
      </c>
      <c r="G52" s="1" t="str">
        <f>IFERROR(__xludf.DUMMYFUNCTION("""COMPUTED_VALUE"""),"Compras")</f>
        <v>Compras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7">
        <f>IFERROR(__xludf.DUMMYFUNCTION("""COMPUTED_VALUE"""),45778.0)</f>
        <v>45778</v>
      </c>
      <c r="B53" s="8">
        <f>IFERROR(__xludf.DUMMYFUNCTION("""COMPUTED_VALUE"""),45766.0)</f>
        <v>45766</v>
      </c>
      <c r="C53" s="1" t="str">
        <f>IFERROR(__xludf.DUMMYFUNCTION("""COMPUTED_VALUE"""),"Petlove (1/3)")</f>
        <v>Petlove (1/3)</v>
      </c>
      <c r="D53" s="2">
        <f>IFERROR(__xludf.DUMMYFUNCTION("""COMPUTED_VALUE"""),149.02)</f>
        <v>149.02</v>
      </c>
      <c r="E53" s="1" t="str">
        <f>IFERROR(__xludf.DUMMYFUNCTION("""COMPUTED_VALUE"""),"Virtual")</f>
        <v>Virtual</v>
      </c>
      <c r="F53" s="1" t="str">
        <f>IFERROR(__xludf.DUMMYFUNCTION("""COMPUTED_VALUE"""),"Petlove")</f>
        <v>Petlove</v>
      </c>
      <c r="G53" s="1" t="str">
        <f>IFERROR(__xludf.DUMMYFUNCTION("""COMPUTED_VALUE"""),"Hulk")</f>
        <v>Hulk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7">
        <f>IFERROR(__xludf.DUMMYFUNCTION("""COMPUTED_VALUE"""),45778.0)</f>
        <v>45778</v>
      </c>
      <c r="B54" s="8">
        <f>IFERROR(__xludf.DUMMYFUNCTION("""COMPUTED_VALUE"""),45767.0)</f>
        <v>45767</v>
      </c>
      <c r="C54" s="1" t="str">
        <f>IFERROR(__xludf.DUMMYFUNCTION("""COMPUTED_VALUE"""),"Shopee")</f>
        <v>Shopee</v>
      </c>
      <c r="D54" s="2">
        <f>IFERROR(__xludf.DUMMYFUNCTION("""COMPUTED_VALUE"""),81.71)</f>
        <v>81.71</v>
      </c>
      <c r="E54" s="1" t="str">
        <f>IFERROR(__xludf.DUMMYFUNCTION("""COMPUTED_VALUE"""),"Virtual")</f>
        <v>Virtual</v>
      </c>
      <c r="F54" s="1" t="str">
        <f>IFERROR(__xludf.DUMMYFUNCTION("""COMPUTED_VALUE"""),"Shopee")</f>
        <v>Shopee</v>
      </c>
      <c r="G54" s="1" t="str">
        <f>IFERROR(__xludf.DUMMYFUNCTION("""COMPUTED_VALUE"""),"Compras")</f>
        <v>Compras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7">
        <f>IFERROR(__xludf.DUMMYFUNCTION("""COMPUTED_VALUE"""),45778.0)</f>
        <v>45778</v>
      </c>
      <c r="B55" s="8">
        <f>IFERROR(__xludf.DUMMYFUNCTION("""COMPUTED_VALUE"""),45767.0)</f>
        <v>45767</v>
      </c>
      <c r="C55" s="1" t="str">
        <f>IFERROR(__xludf.DUMMYFUNCTION("""COMPUTED_VALUE"""),"Shopee")</f>
        <v>Shopee</v>
      </c>
      <c r="D55" s="2">
        <f>IFERROR(__xludf.DUMMYFUNCTION("""COMPUTED_VALUE"""),105.05)</f>
        <v>105.05</v>
      </c>
      <c r="E55" s="1" t="str">
        <f>IFERROR(__xludf.DUMMYFUNCTION("""COMPUTED_VALUE"""),"Virtual")</f>
        <v>Virtual</v>
      </c>
      <c r="F55" s="1" t="str">
        <f>IFERROR(__xludf.DUMMYFUNCTION("""COMPUTED_VALUE"""),"Shopee")</f>
        <v>Shopee</v>
      </c>
      <c r="G55" s="1" t="str">
        <f>IFERROR(__xludf.DUMMYFUNCTION("""COMPUTED_VALUE"""),"Compras")</f>
        <v>Compras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7">
        <f>IFERROR(__xludf.DUMMYFUNCTION("""COMPUTED_VALUE"""),45778.0)</f>
        <v>45778</v>
      </c>
      <c r="B56" s="8">
        <f>IFERROR(__xludf.DUMMYFUNCTION("""COMPUTED_VALUE"""),45768.0)</f>
        <v>45768</v>
      </c>
      <c r="C56" s="1" t="str">
        <f>IFERROR(__xludf.DUMMYFUNCTION("""COMPUTED_VALUE"""),"Lellis Baby (1/3)")</f>
        <v>Lellis Baby (1/3)</v>
      </c>
      <c r="D56" s="2">
        <f>IFERROR(__xludf.DUMMYFUNCTION("""COMPUTED_VALUE"""),137.14)</f>
        <v>137.14</v>
      </c>
      <c r="E56" s="1" t="str">
        <f>IFERROR(__xludf.DUMMYFUNCTION("""COMPUTED_VALUE"""),"Virtual")</f>
        <v>Virtual</v>
      </c>
      <c r="F56" s="1" t="str">
        <f>IFERROR(__xludf.DUMMYFUNCTION("""COMPUTED_VALUE"""),"Lellis Baby")</f>
        <v>Lellis Baby</v>
      </c>
      <c r="G56" s="1" t="str">
        <f>IFERROR(__xludf.DUMMYFUNCTION("""COMPUTED_VALUE"""),"Compras")</f>
        <v>Compras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7">
        <f>IFERROR(__xludf.DUMMYFUNCTION("""COMPUTED_VALUE"""),45778.0)</f>
        <v>45778</v>
      </c>
      <c r="B57" s="8">
        <f>IFERROR(__xludf.DUMMYFUNCTION("""COMPUTED_VALUE"""),45768.0)</f>
        <v>45768</v>
      </c>
      <c r="C57" s="1" t="str">
        <f>IFERROR(__xludf.DUMMYFUNCTION("""COMPUTED_VALUE"""),"Alce (1/3)")</f>
        <v>Alce (1/3)</v>
      </c>
      <c r="D57" s="2">
        <f>IFERROR(__xludf.DUMMYFUNCTION("""COMPUTED_VALUE"""),139.18)</f>
        <v>139.18</v>
      </c>
      <c r="E57" s="1" t="str">
        <f>IFERROR(__xludf.DUMMYFUNCTION("""COMPUTED_VALUE"""),"Virtual")</f>
        <v>Virtual</v>
      </c>
      <c r="F57" s="1" t="str">
        <f>IFERROR(__xludf.DUMMYFUNCTION("""COMPUTED_VALUE"""),"Alce")</f>
        <v>Alce</v>
      </c>
      <c r="G57" s="1" t="str">
        <f>IFERROR(__xludf.DUMMYFUNCTION("""COMPUTED_VALUE"""),"Compras")</f>
        <v>Compras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7">
        <f>IFERROR(__xludf.DUMMYFUNCTION("""COMPUTED_VALUE"""),45778.0)</f>
        <v>45778</v>
      </c>
      <c r="B58" s="8">
        <f>IFERROR(__xludf.DUMMYFUNCTION("""COMPUTED_VALUE"""),45770.0)</f>
        <v>45770</v>
      </c>
      <c r="C58" s="1" t="str">
        <f>IFERROR(__xludf.DUMMYFUNCTION("""COMPUTED_VALUE"""),"Amazonmktplc Bs Comerc")</f>
        <v>Amazonmktplc Bs Comerc</v>
      </c>
      <c r="D58" s="2">
        <f>IFERROR(__xludf.DUMMYFUNCTION("""COMPUTED_VALUE"""),67.11)</f>
        <v>67.11</v>
      </c>
      <c r="E58" s="1" t="str">
        <f>IFERROR(__xludf.DUMMYFUNCTION("""COMPUTED_VALUE"""),"Virtual")</f>
        <v>Virtual</v>
      </c>
      <c r="F58" s="1" t="str">
        <f>IFERROR(__xludf.DUMMYFUNCTION("""COMPUTED_VALUE"""),"Amazonmktplc")</f>
        <v>Amazonmktplc</v>
      </c>
      <c r="G58" s="1" t="str">
        <f>IFERROR(__xludf.DUMMYFUNCTION("""COMPUTED_VALUE"""),"Compras")</f>
        <v>Compras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7">
        <f>IFERROR(__xludf.DUMMYFUNCTION("""COMPUTED_VALUE"""),45778.0)</f>
        <v>45778</v>
      </c>
      <c r="B59" s="8">
        <f>IFERROR(__xludf.DUMMYFUNCTION("""COMPUTED_VALUE"""),45765.0)</f>
        <v>45765</v>
      </c>
      <c r="C59" s="1" t="str">
        <f>IFERROR(__xludf.DUMMYFUNCTION("""COMPUTED_VALUE"""),"Posto Casa Muzzi")</f>
        <v>Posto Casa Muzzi</v>
      </c>
      <c r="D59" s="2">
        <f>IFERROR(__xludf.DUMMYFUNCTION("""COMPUTED_VALUE"""),196.44)</f>
        <v>196.44</v>
      </c>
      <c r="E59" s="1" t="str">
        <f>IFERROR(__xludf.DUMMYFUNCTION("""COMPUTED_VALUE"""),"Adicional")</f>
        <v>Adicional</v>
      </c>
      <c r="F59" s="1" t="str">
        <f>IFERROR(__xludf.DUMMYFUNCTION("""COMPUTED_VALUE"""),"Posto Casa Muzzi")</f>
        <v>Posto Casa Muzzi</v>
      </c>
      <c r="G59" s="1" t="str">
        <f>IFERROR(__xludf.DUMMYFUNCTION("""COMPUTED_VALUE"""),"Carro")</f>
        <v>Carro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7">
        <f>IFERROR(__xludf.DUMMYFUNCTION("""COMPUTED_VALUE"""),45778.0)</f>
        <v>45778</v>
      </c>
      <c r="B60" s="8">
        <f>IFERROR(__xludf.DUMMYFUNCTION("""COMPUTED_VALUE"""),45770.0)</f>
        <v>45770</v>
      </c>
      <c r="C60" s="1" t="str">
        <f>IFERROR(__xludf.DUMMYFUNCTION("""COMPUTED_VALUE"""),"Super Nosso")</f>
        <v>Super Nosso</v>
      </c>
      <c r="D60" s="2">
        <f>IFERROR(__xludf.DUMMYFUNCTION("""COMPUTED_VALUE"""),4.15)</f>
        <v>4.15</v>
      </c>
      <c r="E60" s="1" t="str">
        <f>IFERROR(__xludf.DUMMYFUNCTION("""COMPUTED_VALUE"""),"Adicional")</f>
        <v>Adicional</v>
      </c>
      <c r="F60" s="1" t="str">
        <f>IFERROR(__xludf.DUMMYFUNCTION("""COMPUTED_VALUE"""),"Super Nosso")</f>
        <v>Super Nosso</v>
      </c>
      <c r="G60" s="1" t="str">
        <f>IFERROR(__xludf.DUMMYFUNCTION("""COMPUTED_VALUE"""),"Supermercado")</f>
        <v>Supermercado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7">
        <f>IFERROR(__xludf.DUMMYFUNCTION("""COMPUTED_VALUE"""),45778.0)</f>
        <v>45778</v>
      </c>
      <c r="B61" s="8">
        <f>IFERROR(__xludf.DUMMYFUNCTION("""COMPUTED_VALUE"""),45766.0)</f>
        <v>45766</v>
      </c>
      <c r="C61" s="1" t="str">
        <f>IFERROR(__xludf.DUMMYFUNCTION("""COMPUTED_VALUE"""),"Stop Celular")</f>
        <v>Stop Celular</v>
      </c>
      <c r="D61" s="2">
        <f>IFERROR(__xludf.DUMMYFUNCTION("""COMPUTED_VALUE"""),70.0)</f>
        <v>70</v>
      </c>
      <c r="E61" s="1" t="str">
        <f>IFERROR(__xludf.DUMMYFUNCTION("""COMPUTED_VALUE"""),"Físico")</f>
        <v>Físico</v>
      </c>
      <c r="F61" s="1" t="str">
        <f>IFERROR(__xludf.DUMMYFUNCTION("""COMPUTED_VALUE"""),"Stop Celular")</f>
        <v>Stop Celular</v>
      </c>
      <c r="G61" s="1" t="str">
        <f>IFERROR(__xludf.DUMMYFUNCTION("""COMPUTED_VALUE"""),"Compras")</f>
        <v>Compras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7">
        <f>IFERROR(__xludf.DUMMYFUNCTION("""COMPUTED_VALUE"""),45778.0)</f>
        <v>45778</v>
      </c>
      <c r="B62" s="8">
        <f>IFERROR(__xludf.DUMMYFUNCTION("""COMPUTED_VALUE"""),45766.0)</f>
        <v>45766</v>
      </c>
      <c r="C62" s="1" t="str">
        <f>IFERROR(__xludf.DUMMYFUNCTION("""COMPUTED_VALUE"""),"Mpm Comercio Filial")</f>
        <v>Mpm Comercio Filial</v>
      </c>
      <c r="D62" s="2">
        <f>IFERROR(__xludf.DUMMYFUNCTION("""COMPUTED_VALUE"""),129.9)</f>
        <v>129.9</v>
      </c>
      <c r="E62" s="1" t="str">
        <f>IFERROR(__xludf.DUMMYFUNCTION("""COMPUTED_VALUE"""),"Físico")</f>
        <v>Físico</v>
      </c>
      <c r="F62" s="1" t="str">
        <f>IFERROR(__xludf.DUMMYFUNCTION("""COMPUTED_VALUE"""),"Mpm Comercio Filial")</f>
        <v>Mpm Comercio Filial</v>
      </c>
      <c r="G62" s="1" t="str">
        <f>IFERROR(__xludf.DUMMYFUNCTION("""COMPUTED_VALUE"""),"Bypass")</f>
        <v>Bypass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7">
        <f>IFERROR(__xludf.DUMMYFUNCTION("""COMPUTED_VALUE"""),45778.0)</f>
        <v>45778</v>
      </c>
      <c r="B63" s="8">
        <f>IFERROR(__xludf.DUMMYFUNCTION("""COMPUTED_VALUE"""),45770.0)</f>
        <v>45770</v>
      </c>
      <c r="C63" s="1" t="str">
        <f>IFERROR(__xludf.DUMMYFUNCTION("""COMPUTED_VALUE"""),"Dma Distribuidora Sa")</f>
        <v>Dma Distribuidora Sa</v>
      </c>
      <c r="D63" s="2">
        <f>IFERROR(__xludf.DUMMYFUNCTION("""COMPUTED_VALUE"""),19.34)</f>
        <v>19.34</v>
      </c>
      <c r="E63" s="1" t="str">
        <f>IFERROR(__xludf.DUMMYFUNCTION("""COMPUTED_VALUE"""),"Físico")</f>
        <v>Físico</v>
      </c>
      <c r="F63" s="1" t="str">
        <f>IFERROR(__xludf.DUMMYFUNCTION("""COMPUTED_VALUE"""),"Dma Distribuidora Sa")</f>
        <v>Dma Distribuidora Sa</v>
      </c>
      <c r="G63" s="1" t="str">
        <f>IFERROR(__xludf.DUMMYFUNCTION("""COMPUTED_VALUE"""),"Bypass")</f>
        <v>Bypass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7">
        <f>IFERROR(__xludf.DUMMYFUNCTION("""COMPUTED_VALUE"""),45809.0)</f>
        <v>45809</v>
      </c>
      <c r="B64" s="8">
        <f>IFERROR(__xludf.DUMMYFUNCTION("""COMPUTED_VALUE"""),45759.0)</f>
        <v>45759</v>
      </c>
      <c r="C64" s="1" t="str">
        <f>IFERROR(__xludf.DUMMYFUNCTION("""COMPUTED_VALUE"""),"Alimentar Foods Sao Pe (2/2)")</f>
        <v>Alimentar Foods Sao Pe (2/2)</v>
      </c>
      <c r="D64" s="2">
        <f>IFERROR(__xludf.DUMMYFUNCTION("""COMPUTED_VALUE"""),246.34)</f>
        <v>246.34</v>
      </c>
      <c r="E64" s="1" t="str">
        <f>IFERROR(__xludf.DUMMYFUNCTION("""COMPUTED_VALUE"""),"-")</f>
        <v>-</v>
      </c>
      <c r="F64" s="1" t="str">
        <f>IFERROR(__xludf.DUMMYFUNCTION("""COMPUTED_VALUE"""),"Alimentar Foods Sao Pe")</f>
        <v>Alimentar Foods Sao Pe</v>
      </c>
      <c r="G64" s="1" t="str">
        <f>IFERROR(__xludf.DUMMYFUNCTION("""COMPUTED_VALUE"""),"-")</f>
        <v>-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7">
        <f>IFERROR(__xludf.DUMMYFUNCTION("""COMPUTED_VALUE"""),45809.0)</f>
        <v>45809</v>
      </c>
      <c r="B65" s="8">
        <f>IFERROR(__xludf.DUMMYFUNCTION("""COMPUTED_VALUE"""),45773.0)</f>
        <v>45773</v>
      </c>
      <c r="C65" s="1" t="str">
        <f>IFERROR(__xludf.DUMMYFUNCTION("""COMPUTED_VALUE"""),"Panif Mendes Sion")</f>
        <v>Panif Mendes Sion</v>
      </c>
      <c r="D65" s="2">
        <f>IFERROR(__xludf.DUMMYFUNCTION("""COMPUTED_VALUE"""),20.44)</f>
        <v>20.44</v>
      </c>
      <c r="E65" s="1" t="str">
        <f>IFERROR(__xludf.DUMMYFUNCTION("""COMPUTED_VALUE"""),"-")</f>
        <v>-</v>
      </c>
      <c r="F65" s="1" t="str">
        <f>IFERROR(__xludf.DUMMYFUNCTION("""COMPUTED_VALUE"""),"Panif Mendes Sion")</f>
        <v>Panif Mendes Sion</v>
      </c>
      <c r="G65" s="1" t="str">
        <f>IFERROR(__xludf.DUMMYFUNCTION("""COMPUTED_VALUE"""),"Comida")</f>
        <v>Comida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7">
        <f>IFERROR(__xludf.DUMMYFUNCTION("""COMPUTED_VALUE"""),45809.0)</f>
        <v>45809</v>
      </c>
      <c r="B66" s="8">
        <f>IFERROR(__xludf.DUMMYFUNCTION("""COMPUTED_VALUE"""),45773.0)</f>
        <v>45773</v>
      </c>
      <c r="C66" s="1" t="str">
        <f>IFERROR(__xludf.DUMMYFUNCTION("""COMPUTED_VALUE"""),"Panif Mendes Sion")</f>
        <v>Panif Mendes Sion</v>
      </c>
      <c r="D66" s="2">
        <f>IFERROR(__xludf.DUMMYFUNCTION("""COMPUTED_VALUE"""),4.09)</f>
        <v>4.09</v>
      </c>
      <c r="E66" s="1" t="str">
        <f>IFERROR(__xludf.DUMMYFUNCTION("""COMPUTED_VALUE"""),"-")</f>
        <v>-</v>
      </c>
      <c r="F66" s="1" t="str">
        <f>IFERROR(__xludf.DUMMYFUNCTION("""COMPUTED_VALUE"""),"Panif Mendes Sion")</f>
        <v>Panif Mendes Sion</v>
      </c>
      <c r="G66" s="1" t="str">
        <f>IFERROR(__xludf.DUMMYFUNCTION("""COMPUTED_VALUE"""),"Comida")</f>
        <v>Comida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">
        <f>IFERROR(__xludf.DUMMYFUNCTION("""COMPUTED_VALUE"""),45809.0)</f>
        <v>45809</v>
      </c>
      <c r="B67" s="8">
        <f>IFERROR(__xludf.DUMMYFUNCTION("""COMPUTED_VALUE"""),45774.0)</f>
        <v>45774</v>
      </c>
      <c r="C67" s="1" t="str">
        <f>IFERROR(__xludf.DUMMYFUNCTION("""COMPUTED_VALUE"""),"Betoeana34")</f>
        <v>Betoeana34</v>
      </c>
      <c r="D67" s="2">
        <f>IFERROR(__xludf.DUMMYFUNCTION("""COMPUTED_VALUE"""),72.0)</f>
        <v>72</v>
      </c>
      <c r="E67" s="1" t="str">
        <f>IFERROR(__xludf.DUMMYFUNCTION("""COMPUTED_VALUE"""),"-")</f>
        <v>-</v>
      </c>
      <c r="F67" s="1" t="str">
        <f>IFERROR(__xludf.DUMMYFUNCTION("""COMPUTED_VALUE"""),"Betoeana34")</f>
        <v>Betoeana34</v>
      </c>
      <c r="G67" s="1" t="str">
        <f>IFERROR(__xludf.DUMMYFUNCTION("""COMPUTED_VALUE"""),"dti")</f>
        <v>dti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7">
        <f>IFERROR(__xludf.DUMMYFUNCTION("""COMPUTED_VALUE"""),45809.0)</f>
        <v>45809</v>
      </c>
      <c r="B68" s="8">
        <f>IFERROR(__xludf.DUMMYFUNCTION("""COMPUTED_VALUE"""),45774.0)</f>
        <v>45774</v>
      </c>
      <c r="C68" s="1" t="str">
        <f>IFERROR(__xludf.DUMMYFUNCTION("""COMPUTED_VALUE"""),"Windsor Hotéis")</f>
        <v>Windsor Hotéis</v>
      </c>
      <c r="D68" s="2">
        <f>IFERROR(__xludf.DUMMYFUNCTION("""COMPUTED_VALUE"""),9.9)</f>
        <v>9.9</v>
      </c>
      <c r="E68" s="1" t="str">
        <f>IFERROR(__xludf.DUMMYFUNCTION("""COMPUTED_VALUE"""),"-")</f>
        <v>-</v>
      </c>
      <c r="F68" s="1" t="str">
        <f>IFERROR(__xludf.DUMMYFUNCTION("""COMPUTED_VALUE"""),"Windsor Hotéis")</f>
        <v>Windsor Hotéis</v>
      </c>
      <c r="G68" s="1" t="str">
        <f>IFERROR(__xludf.DUMMYFUNCTION("""COMPUTED_VALUE"""),"dti")</f>
        <v>dti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7">
        <f>IFERROR(__xludf.DUMMYFUNCTION("""COMPUTED_VALUE"""),45809.0)</f>
        <v>45809</v>
      </c>
      <c r="B69" s="8">
        <f>IFERROR(__xludf.DUMMYFUNCTION("""COMPUTED_VALUE"""),45776.0)</f>
        <v>45776</v>
      </c>
      <c r="C69" s="1" t="str">
        <f>IFERROR(__xludf.DUMMYFUNCTION("""COMPUTED_VALUE"""),"Butequim Beco Do Rato")</f>
        <v>Butequim Beco Do Rato</v>
      </c>
      <c r="D69" s="2">
        <f>IFERROR(__xludf.DUMMYFUNCTION("""COMPUTED_VALUE"""),8.8)</f>
        <v>8.8</v>
      </c>
      <c r="E69" s="1" t="str">
        <f>IFERROR(__xludf.DUMMYFUNCTION("""COMPUTED_VALUE"""),"-")</f>
        <v>-</v>
      </c>
      <c r="F69" s="1" t="str">
        <f>IFERROR(__xludf.DUMMYFUNCTION("""COMPUTED_VALUE"""),"Butequim Beco Do Rato")</f>
        <v>Butequim Beco Do Rato</v>
      </c>
      <c r="G69" s="1" t="str">
        <f>IFERROR(__xludf.DUMMYFUNCTION("""COMPUTED_VALUE"""),"dti")</f>
        <v>dti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7">
        <f>IFERROR(__xludf.DUMMYFUNCTION("""COMPUTED_VALUE"""),45809.0)</f>
        <v>45809</v>
      </c>
      <c r="B70" s="8">
        <f>IFERROR(__xludf.DUMMYFUNCTION("""COMPUTED_VALUE"""),45777.0)</f>
        <v>45777</v>
      </c>
      <c r="C70" s="1" t="str">
        <f>IFERROR(__xludf.DUMMYFUNCTION("""COMPUTED_VALUE"""),"Brasileirissima Galeao")</f>
        <v>Brasileirissima Galeao</v>
      </c>
      <c r="D70" s="2">
        <f>IFERROR(__xludf.DUMMYFUNCTION("""COMPUTED_VALUE"""),30.0)</f>
        <v>30</v>
      </c>
      <c r="E70" s="1" t="str">
        <f>IFERROR(__xludf.DUMMYFUNCTION("""COMPUTED_VALUE"""),"-")</f>
        <v>-</v>
      </c>
      <c r="F70" s="1" t="str">
        <f>IFERROR(__xludf.DUMMYFUNCTION("""COMPUTED_VALUE"""),"Brasileirissima Galeao")</f>
        <v>Brasileirissima Galeao</v>
      </c>
      <c r="G70" s="1" t="str">
        <f>IFERROR(__xludf.DUMMYFUNCTION("""COMPUTED_VALUE"""),"dti")</f>
        <v>dti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7">
        <f>IFERROR(__xludf.DUMMYFUNCTION("""COMPUTED_VALUE"""),45809.0)</f>
        <v>45809</v>
      </c>
      <c r="B71" s="8">
        <f>IFERROR(__xludf.DUMMYFUNCTION("""COMPUTED_VALUE"""),45778.0)</f>
        <v>45778</v>
      </c>
      <c r="C71" s="1" t="str">
        <f>IFERROR(__xludf.DUMMYFUNCTION("""COMPUTED_VALUE"""),"Panif Mendes Sion")</f>
        <v>Panif Mendes Sion</v>
      </c>
      <c r="D71" s="2">
        <f>IFERROR(__xludf.DUMMYFUNCTION("""COMPUTED_VALUE"""),37.1)</f>
        <v>37.1</v>
      </c>
      <c r="E71" s="1" t="str">
        <f>IFERROR(__xludf.DUMMYFUNCTION("""COMPUTED_VALUE"""),"-")</f>
        <v>-</v>
      </c>
      <c r="F71" s="1" t="str">
        <f>IFERROR(__xludf.DUMMYFUNCTION("""COMPUTED_VALUE"""),"Panif Mendes Sion")</f>
        <v>Panif Mendes Sion</v>
      </c>
      <c r="G71" s="1" t="str">
        <f>IFERROR(__xludf.DUMMYFUNCTION("""COMPUTED_VALUE"""),"Comida")</f>
        <v>Comida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7">
        <f>IFERROR(__xludf.DUMMYFUNCTION("""COMPUTED_VALUE"""),45809.0)</f>
        <v>45809</v>
      </c>
      <c r="B72" s="8">
        <f>IFERROR(__xludf.DUMMYFUNCTION("""COMPUTED_VALUE"""),45780.0)</f>
        <v>45780</v>
      </c>
      <c r="C72" s="1" t="str">
        <f>IFERROR(__xludf.DUMMYFUNCTION("""COMPUTED_VALUE"""),"O Bhar")</f>
        <v>O Bhar</v>
      </c>
      <c r="D72" s="2">
        <f>IFERROR(__xludf.DUMMYFUNCTION("""COMPUTED_VALUE"""),150.0)</f>
        <v>150</v>
      </c>
      <c r="E72" s="1" t="str">
        <f>IFERROR(__xludf.DUMMYFUNCTION("""COMPUTED_VALUE"""),"-")</f>
        <v>-</v>
      </c>
      <c r="F72" s="1" t="str">
        <f>IFERROR(__xludf.DUMMYFUNCTION("""COMPUTED_VALUE"""),"O Bhar")</f>
        <v>O Bhar</v>
      </c>
      <c r="G72" s="1" t="str">
        <f>IFERROR(__xludf.DUMMYFUNCTION("""COMPUTED_VALUE"""),"Comida")</f>
        <v>Comida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7">
        <f>IFERROR(__xludf.DUMMYFUNCTION("""COMPUTED_VALUE"""),45809.0)</f>
        <v>45809</v>
      </c>
      <c r="B73" s="8">
        <f>IFERROR(__xludf.DUMMYFUNCTION("""COMPUTED_VALUE"""),45780.0)</f>
        <v>45780</v>
      </c>
      <c r="C73" s="1" t="str">
        <f>IFERROR(__xludf.DUMMYFUNCTION("""COMPUTED_VALUE"""),"Pr Comercio De Bolsas")</f>
        <v>Pr Comercio De Bolsas</v>
      </c>
      <c r="D73" s="2">
        <f>IFERROR(__xludf.DUMMYFUNCTION("""COMPUTED_VALUE"""),4.99)</f>
        <v>4.99</v>
      </c>
      <c r="E73" s="1" t="str">
        <f>IFERROR(__xludf.DUMMYFUNCTION("""COMPUTED_VALUE"""),"-")</f>
        <v>-</v>
      </c>
      <c r="F73" s="1" t="str">
        <f>IFERROR(__xludf.DUMMYFUNCTION("""COMPUTED_VALUE"""),"Pr Comercio De Bolsas")</f>
        <v>Pr Comercio De Bolsas</v>
      </c>
      <c r="G73" s="1" t="str">
        <f>IFERROR(__xludf.DUMMYFUNCTION("""COMPUTED_VALUE"""),"-")</f>
        <v>-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7">
        <f>IFERROR(__xludf.DUMMYFUNCTION("""COMPUTED_VALUE"""),45809.0)</f>
        <v>45809</v>
      </c>
      <c r="B74" s="8">
        <f>IFERROR(__xludf.DUMMYFUNCTION("""COMPUTED_VALUE"""),45780.0)</f>
        <v>45780</v>
      </c>
      <c r="C74" s="1" t="str">
        <f>IFERROR(__xludf.DUMMYFUNCTION("""COMPUTED_VALUE"""),"Constance (1/2)")</f>
        <v>Constance (1/2)</v>
      </c>
      <c r="D74" s="2">
        <f>IFERROR(__xludf.DUMMYFUNCTION("""COMPUTED_VALUE"""),90.0)</f>
        <v>90</v>
      </c>
      <c r="E74" s="1" t="str">
        <f>IFERROR(__xludf.DUMMYFUNCTION("""COMPUTED_VALUE"""),"-")</f>
        <v>-</v>
      </c>
      <c r="F74" s="1" t="str">
        <f>IFERROR(__xludf.DUMMYFUNCTION("""COMPUTED_VALUE"""),"Constance")</f>
        <v>Constance</v>
      </c>
      <c r="G74" s="1" t="str">
        <f>IFERROR(__xludf.DUMMYFUNCTION("""COMPUTED_VALUE"""),"Compras")</f>
        <v>Compras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7">
        <f>IFERROR(__xludf.DUMMYFUNCTION("""COMPUTED_VALUE"""),45809.0)</f>
        <v>45809</v>
      </c>
      <c r="B75" s="8">
        <f>IFERROR(__xludf.DUMMYFUNCTION("""COMPUTED_VALUE"""),45780.0)</f>
        <v>45780</v>
      </c>
      <c r="C75" s="1" t="str">
        <f>IFERROR(__xludf.DUMMYFUNCTION("""COMPUTED_VALUE"""),"Oopcafe")</f>
        <v>Oopcafe</v>
      </c>
      <c r="D75" s="2">
        <f>IFERROR(__xludf.DUMMYFUNCTION("""COMPUTED_VALUE"""),79.2)</f>
        <v>79.2</v>
      </c>
      <c r="E75" s="1" t="str">
        <f>IFERROR(__xludf.DUMMYFUNCTION("""COMPUTED_VALUE"""),"-")</f>
        <v>-</v>
      </c>
      <c r="F75" s="1" t="str">
        <f>IFERROR(__xludf.DUMMYFUNCTION("""COMPUTED_VALUE"""),"Oopcafe")</f>
        <v>Oopcafe</v>
      </c>
      <c r="G75" s="1" t="str">
        <f>IFERROR(__xludf.DUMMYFUNCTION("""COMPUTED_VALUE"""),"Comida")</f>
        <v>Comida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7">
        <f>IFERROR(__xludf.DUMMYFUNCTION("""COMPUTED_VALUE"""),45809.0)</f>
        <v>45809</v>
      </c>
      <c r="B76" s="8">
        <f>IFERROR(__xludf.DUMMYFUNCTION("""COMPUTED_VALUE"""),45780.0)</f>
        <v>45780</v>
      </c>
      <c r="C76" s="1" t="str">
        <f>IFERROR(__xludf.DUMMYFUNCTION("""COMPUTED_VALUE"""),"Casa De Frios E Massas")</f>
        <v>Casa De Frios E Massas</v>
      </c>
      <c r="D76" s="2">
        <f>IFERROR(__xludf.DUMMYFUNCTION("""COMPUTED_VALUE"""),17.9)</f>
        <v>17.9</v>
      </c>
      <c r="E76" s="1" t="str">
        <f>IFERROR(__xludf.DUMMYFUNCTION("""COMPUTED_VALUE"""),"-")</f>
        <v>-</v>
      </c>
      <c r="F76" s="1" t="str">
        <f>IFERROR(__xludf.DUMMYFUNCTION("""COMPUTED_VALUE"""),"Casa De Frios E Massas")</f>
        <v>Casa De Frios E Massas</v>
      </c>
      <c r="G76" s="1" t="str">
        <f>IFERROR(__xludf.DUMMYFUNCTION("""COMPUTED_VALUE"""),"Comida")</f>
        <v>Comida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7">
        <f>IFERROR(__xludf.DUMMYFUNCTION("""COMPUTED_VALUE"""),45809.0)</f>
        <v>45809</v>
      </c>
      <c r="B77" s="8">
        <f>IFERROR(__xludf.DUMMYFUNCTION("""COMPUTED_VALUE"""),45781.0)</f>
        <v>45781</v>
      </c>
      <c r="C77" s="1" t="str">
        <f>IFERROR(__xludf.DUMMYFUNCTION("""COMPUTED_VALUE"""),"Panif Mendes Sion")</f>
        <v>Panif Mendes Sion</v>
      </c>
      <c r="D77" s="2">
        <f>IFERROR(__xludf.DUMMYFUNCTION("""COMPUTED_VALUE"""),10.92)</f>
        <v>10.92</v>
      </c>
      <c r="E77" s="1" t="str">
        <f>IFERROR(__xludf.DUMMYFUNCTION("""COMPUTED_VALUE"""),"-")</f>
        <v>-</v>
      </c>
      <c r="F77" s="1" t="str">
        <f>IFERROR(__xludf.DUMMYFUNCTION("""COMPUTED_VALUE"""),"Panif Mendes Sion")</f>
        <v>Panif Mendes Sion</v>
      </c>
      <c r="G77" s="1" t="str">
        <f>IFERROR(__xludf.DUMMYFUNCTION("""COMPUTED_VALUE"""),"Comida")</f>
        <v>Comida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7">
        <f>IFERROR(__xludf.DUMMYFUNCTION("""COMPUTED_VALUE"""),45809.0)</f>
        <v>45809</v>
      </c>
      <c r="B78" s="8">
        <f>IFERROR(__xludf.DUMMYFUNCTION("""COMPUTED_VALUE"""),45785.0)</f>
        <v>45785</v>
      </c>
      <c r="C78" s="1" t="str">
        <f>IFERROR(__xludf.DUMMYFUNCTION("""COMPUTED_VALUE"""),"Supermercado &amp; Padaria")</f>
        <v>Supermercado &amp; Padaria</v>
      </c>
      <c r="D78" s="2">
        <f>IFERROR(__xludf.DUMMYFUNCTION("""COMPUTED_VALUE"""),5.69)</f>
        <v>5.69</v>
      </c>
      <c r="E78" s="1" t="str">
        <f>IFERROR(__xludf.DUMMYFUNCTION("""COMPUTED_VALUE"""),"-")</f>
        <v>-</v>
      </c>
      <c r="F78" s="1" t="str">
        <f>IFERROR(__xludf.DUMMYFUNCTION("""COMPUTED_VALUE"""),"Supermercado &amp; Padaria")</f>
        <v>Supermercado &amp; Padaria</v>
      </c>
      <c r="G78" s="1" t="str">
        <f>IFERROR(__xludf.DUMMYFUNCTION("""COMPUTED_VALUE"""),"Comida")</f>
        <v>Comida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7">
        <f>IFERROR(__xludf.DUMMYFUNCTION("""COMPUTED_VALUE"""),45809.0)</f>
        <v>45809</v>
      </c>
      <c r="B79" s="8">
        <f>IFERROR(__xludf.DUMMYFUNCTION("""COMPUTED_VALUE"""),45786.0)</f>
        <v>45786</v>
      </c>
      <c r="C79" s="1" t="str">
        <f>IFERROR(__xludf.DUMMYFUNCTION("""COMPUTED_VALUE"""),"Supermercado &amp; Padaria")</f>
        <v>Supermercado &amp; Padaria</v>
      </c>
      <c r="D79" s="2">
        <f>IFERROR(__xludf.DUMMYFUNCTION("""COMPUTED_VALUE"""),5.69)</f>
        <v>5.69</v>
      </c>
      <c r="E79" s="1" t="str">
        <f>IFERROR(__xludf.DUMMYFUNCTION("""COMPUTED_VALUE"""),"-")</f>
        <v>-</v>
      </c>
      <c r="F79" s="1" t="str">
        <f>IFERROR(__xludf.DUMMYFUNCTION("""COMPUTED_VALUE"""),"Supermercado &amp; Padaria")</f>
        <v>Supermercado &amp; Padaria</v>
      </c>
      <c r="G79" s="1" t="str">
        <f>IFERROR(__xludf.DUMMYFUNCTION("""COMPUTED_VALUE"""),"Comida")</f>
        <v>Comida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7">
        <f>IFERROR(__xludf.DUMMYFUNCTION("""COMPUTED_VALUE"""),45809.0)</f>
        <v>45809</v>
      </c>
      <c r="B80" s="8">
        <f>IFERROR(__xludf.DUMMYFUNCTION("""COMPUTED_VALUE"""),45786.0)</f>
        <v>45786</v>
      </c>
      <c r="C80" s="1" t="str">
        <f>IFERROR(__xludf.DUMMYFUNCTION("""COMPUTED_VALUE"""),"Mac Savassi")</f>
        <v>Mac Savassi</v>
      </c>
      <c r="D80" s="2">
        <f>IFERROR(__xludf.DUMMYFUNCTION("""COMPUTED_VALUE"""),299.0)</f>
        <v>299</v>
      </c>
      <c r="E80" s="1" t="str">
        <f>IFERROR(__xludf.DUMMYFUNCTION("""COMPUTED_VALUE"""),"-")</f>
        <v>-</v>
      </c>
      <c r="F80" s="1" t="str">
        <f>IFERROR(__xludf.DUMMYFUNCTION("""COMPUTED_VALUE"""),"Mac Savassi")</f>
        <v>Mac Savassi</v>
      </c>
      <c r="G80" s="1" t="str">
        <f>IFERROR(__xludf.DUMMYFUNCTION("""COMPUTED_VALUE"""),"Compras")</f>
        <v>Compras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7">
        <f>IFERROR(__xludf.DUMMYFUNCTION("""COMPUTED_VALUE"""),45809.0)</f>
        <v>45809</v>
      </c>
      <c r="B81" s="8">
        <f>IFERROR(__xludf.DUMMYFUNCTION("""COMPUTED_VALUE"""),45787.0)</f>
        <v>45787</v>
      </c>
      <c r="C81" s="1" t="str">
        <f>IFERROR(__xludf.DUMMYFUNCTION("""COMPUTED_VALUE"""),"Panif Mendes Sion")</f>
        <v>Panif Mendes Sion</v>
      </c>
      <c r="D81" s="2">
        <f>IFERROR(__xludf.DUMMYFUNCTION("""COMPUTED_VALUE"""),5.72)</f>
        <v>5.72</v>
      </c>
      <c r="E81" s="1" t="str">
        <f>IFERROR(__xludf.DUMMYFUNCTION("""COMPUTED_VALUE"""),"-")</f>
        <v>-</v>
      </c>
      <c r="F81" s="1" t="str">
        <f>IFERROR(__xludf.DUMMYFUNCTION("""COMPUTED_VALUE"""),"Panif Mendes Sion")</f>
        <v>Panif Mendes Sion</v>
      </c>
      <c r="G81" s="1" t="str">
        <f>IFERROR(__xludf.DUMMYFUNCTION("""COMPUTED_VALUE"""),"Comida")</f>
        <v>Comida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7">
        <f>IFERROR(__xludf.DUMMYFUNCTION("""COMPUTED_VALUE"""),45809.0)</f>
        <v>45809</v>
      </c>
      <c r="B82" s="8">
        <f>IFERROR(__xludf.DUMMYFUNCTION("""COMPUTED_VALUE"""),45787.0)</f>
        <v>45787</v>
      </c>
      <c r="C82" s="1" t="str">
        <f>IFERROR(__xludf.DUMMYFUNCTION("""COMPUTED_VALUE"""),"Golden Pet")</f>
        <v>Golden Pet</v>
      </c>
      <c r="D82" s="2">
        <f>IFERROR(__xludf.DUMMYFUNCTION("""COMPUTED_VALUE"""),174.0)</f>
        <v>174</v>
      </c>
      <c r="E82" s="1" t="str">
        <f>IFERROR(__xludf.DUMMYFUNCTION("""COMPUTED_VALUE"""),"-")</f>
        <v>-</v>
      </c>
      <c r="F82" s="1" t="str">
        <f>IFERROR(__xludf.DUMMYFUNCTION("""COMPUTED_VALUE"""),"Golden Pet")</f>
        <v>Golden Pet</v>
      </c>
      <c r="G82" s="1" t="str">
        <f>IFERROR(__xludf.DUMMYFUNCTION("""COMPUTED_VALUE"""),"Hulk")</f>
        <v>Hulk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7">
        <f>IFERROR(__xludf.DUMMYFUNCTION("""COMPUTED_VALUE"""),45809.0)</f>
        <v>45809</v>
      </c>
      <c r="B83" s="8">
        <f>IFERROR(__xludf.DUMMYFUNCTION("""COMPUTED_VALUE"""),45787.0)</f>
        <v>45787</v>
      </c>
      <c r="C83" s="1" t="str">
        <f>IFERROR(__xludf.DUMMYFUNCTION("""COMPUTED_VALUE"""),"Posto Sigma")</f>
        <v>Posto Sigma</v>
      </c>
      <c r="D83" s="2">
        <f>IFERROR(__xludf.DUMMYFUNCTION("""COMPUTED_VALUE"""),100.0)</f>
        <v>100</v>
      </c>
      <c r="E83" s="1" t="str">
        <f>IFERROR(__xludf.DUMMYFUNCTION("""COMPUTED_VALUE"""),"-")</f>
        <v>-</v>
      </c>
      <c r="F83" s="1" t="str">
        <f>IFERROR(__xludf.DUMMYFUNCTION("""COMPUTED_VALUE"""),"Posto Sigma")</f>
        <v>Posto Sigma</v>
      </c>
      <c r="G83" s="1" t="str">
        <f>IFERROR(__xludf.DUMMYFUNCTION("""COMPUTED_VALUE"""),"Carro")</f>
        <v>Carro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7">
        <f>IFERROR(__xludf.DUMMYFUNCTION("""COMPUTED_VALUE"""),45809.0)</f>
        <v>45809</v>
      </c>
      <c r="B84" s="8">
        <f>IFERROR(__xludf.DUMMYFUNCTION("""COMPUTED_VALUE"""),45788.0)</f>
        <v>45788</v>
      </c>
      <c r="C84" s="1" t="str">
        <f>IFERROR(__xludf.DUMMYFUNCTION("""COMPUTED_VALUE"""),"Panif Mendes Sion")</f>
        <v>Panif Mendes Sion</v>
      </c>
      <c r="D84" s="2">
        <f>IFERROR(__xludf.DUMMYFUNCTION("""COMPUTED_VALUE"""),14.24)</f>
        <v>14.24</v>
      </c>
      <c r="E84" s="1" t="str">
        <f>IFERROR(__xludf.DUMMYFUNCTION("""COMPUTED_VALUE"""),"-")</f>
        <v>-</v>
      </c>
      <c r="F84" s="1" t="str">
        <f>IFERROR(__xludf.DUMMYFUNCTION("""COMPUTED_VALUE"""),"Panif Mendes Sion")</f>
        <v>Panif Mendes Sion</v>
      </c>
      <c r="G84" s="1" t="str">
        <f>IFERROR(__xludf.DUMMYFUNCTION("""COMPUTED_VALUE"""),"Comida")</f>
        <v>Comida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7">
        <f>IFERROR(__xludf.DUMMYFUNCTION("""COMPUTED_VALUE"""),45809.0)</f>
        <v>45809</v>
      </c>
      <c r="B85" s="8">
        <f>IFERROR(__xludf.DUMMYFUNCTION("""COMPUTED_VALUE"""),45789.0)</f>
        <v>45789</v>
      </c>
      <c r="C85" s="1" t="str">
        <f>IFERROR(__xludf.DUMMYFUNCTION("""COMPUTED_VALUE"""),"Panif Mendes Sion")</f>
        <v>Panif Mendes Sion</v>
      </c>
      <c r="D85" s="2">
        <f>IFERROR(__xludf.DUMMYFUNCTION("""COMPUTED_VALUE"""),10.44)</f>
        <v>10.44</v>
      </c>
      <c r="E85" s="1" t="str">
        <f>IFERROR(__xludf.DUMMYFUNCTION("""COMPUTED_VALUE"""),"-")</f>
        <v>-</v>
      </c>
      <c r="F85" s="1" t="str">
        <f>IFERROR(__xludf.DUMMYFUNCTION("""COMPUTED_VALUE"""),"Panif Mendes Sion")</f>
        <v>Panif Mendes Sion</v>
      </c>
      <c r="G85" s="1" t="str">
        <f>IFERROR(__xludf.DUMMYFUNCTION("""COMPUTED_VALUE"""),"Comida")</f>
        <v>Comida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7">
        <f>IFERROR(__xludf.DUMMYFUNCTION("""COMPUTED_VALUE"""),45809.0)</f>
        <v>45809</v>
      </c>
      <c r="B86" s="8">
        <f>IFERROR(__xludf.DUMMYFUNCTION("""COMPUTED_VALUE"""),45790.0)</f>
        <v>45790</v>
      </c>
      <c r="C86" s="1" t="str">
        <f>IFERROR(__xludf.DUMMYFUNCTION("""COMPUTED_VALUE"""),"Panif Mendes Sion")</f>
        <v>Panif Mendes Sion</v>
      </c>
      <c r="D86" s="2">
        <f>IFERROR(__xludf.DUMMYFUNCTION("""COMPUTED_VALUE"""),29.8)</f>
        <v>29.8</v>
      </c>
      <c r="E86" s="1" t="str">
        <f>IFERROR(__xludf.DUMMYFUNCTION("""COMPUTED_VALUE"""),"-")</f>
        <v>-</v>
      </c>
      <c r="F86" s="1" t="str">
        <f>IFERROR(__xludf.DUMMYFUNCTION("""COMPUTED_VALUE"""),"Panif Mendes Sion")</f>
        <v>Panif Mendes Sion</v>
      </c>
      <c r="G86" s="1" t="str">
        <f>IFERROR(__xludf.DUMMYFUNCTION("""COMPUTED_VALUE"""),"Comida")</f>
        <v>Comida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7">
        <f>IFERROR(__xludf.DUMMYFUNCTION("""COMPUTED_VALUE"""),45809.0)</f>
        <v>45809</v>
      </c>
      <c r="B87" s="8">
        <f>IFERROR(__xludf.DUMMYFUNCTION("""COMPUTED_VALUE"""),45790.0)</f>
        <v>45790</v>
      </c>
      <c r="C87" s="1" t="str">
        <f>IFERROR(__xludf.DUMMYFUNCTION("""COMPUTED_VALUE"""),"Panif Mendes Sion")</f>
        <v>Panif Mendes Sion</v>
      </c>
      <c r="D87" s="2">
        <f>IFERROR(__xludf.DUMMYFUNCTION("""COMPUTED_VALUE"""),6.28)</f>
        <v>6.28</v>
      </c>
      <c r="E87" s="1" t="str">
        <f>IFERROR(__xludf.DUMMYFUNCTION("""COMPUTED_VALUE"""),"-")</f>
        <v>-</v>
      </c>
      <c r="F87" s="1" t="str">
        <f>IFERROR(__xludf.DUMMYFUNCTION("""COMPUTED_VALUE"""),"Panif Mendes Sion")</f>
        <v>Panif Mendes Sion</v>
      </c>
      <c r="G87" s="1" t="str">
        <f>IFERROR(__xludf.DUMMYFUNCTION("""COMPUTED_VALUE"""),"Comida")</f>
        <v>Comida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7">
        <f>IFERROR(__xludf.DUMMYFUNCTION("""COMPUTED_VALUE"""),45809.0)</f>
        <v>45809</v>
      </c>
      <c r="B88" s="8">
        <f>IFERROR(__xludf.DUMMYFUNCTION("""COMPUTED_VALUE"""),45791.0)</f>
        <v>45791</v>
      </c>
      <c r="C88" s="1" t="str">
        <f>IFERROR(__xludf.DUMMYFUNCTION("""COMPUTED_VALUE"""),"Centro De Excelencia (1/2)")</f>
        <v>Centro De Excelencia (1/2)</v>
      </c>
      <c r="D88" s="2">
        <f>IFERROR(__xludf.DUMMYFUNCTION("""COMPUTED_VALUE"""),520.0)</f>
        <v>520</v>
      </c>
      <c r="E88" s="1" t="str">
        <f>IFERROR(__xludf.DUMMYFUNCTION("""COMPUTED_VALUE"""),"-")</f>
        <v>-</v>
      </c>
      <c r="F88" s="1" t="str">
        <f>IFERROR(__xludf.DUMMYFUNCTION("""COMPUTED_VALUE"""),"Centro De Excelencia")</f>
        <v>Centro De Excelencia</v>
      </c>
      <c r="G88" s="1" t="str">
        <f>IFERROR(__xludf.DUMMYFUNCTION("""COMPUTED_VALUE"""),"-")</f>
        <v>-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7">
        <f>IFERROR(__xludf.DUMMYFUNCTION("""COMPUTED_VALUE"""),45809.0)</f>
        <v>45809</v>
      </c>
      <c r="B89" s="8">
        <f>IFERROR(__xludf.DUMMYFUNCTION("""COMPUTED_VALUE"""),45791.0)</f>
        <v>45791</v>
      </c>
      <c r="C89" s="1" t="str">
        <f>IFERROR(__xludf.DUMMYFUNCTION("""COMPUTED_VALUE"""),"Supermercado &amp; Padaria")</f>
        <v>Supermercado &amp; Padaria</v>
      </c>
      <c r="D89" s="2">
        <f>IFERROR(__xludf.DUMMYFUNCTION("""COMPUTED_VALUE"""),66.82)</f>
        <v>66.82</v>
      </c>
      <c r="E89" s="1" t="str">
        <f>IFERROR(__xludf.DUMMYFUNCTION("""COMPUTED_VALUE"""),"-")</f>
        <v>-</v>
      </c>
      <c r="F89" s="1" t="str">
        <f>IFERROR(__xludf.DUMMYFUNCTION("""COMPUTED_VALUE"""),"Supermercado &amp; Padaria")</f>
        <v>Supermercado &amp; Padaria</v>
      </c>
      <c r="G89" s="1" t="str">
        <f>IFERROR(__xludf.DUMMYFUNCTION("""COMPUTED_VALUE"""),"Comida")</f>
        <v>Comida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7">
        <f>IFERROR(__xludf.DUMMYFUNCTION("""COMPUTED_VALUE"""),45809.0)</f>
        <v>45809</v>
      </c>
      <c r="B90" s="8">
        <f>IFERROR(__xludf.DUMMYFUNCTION("""COMPUTED_VALUE"""),45791.0)</f>
        <v>45791</v>
      </c>
      <c r="C90" s="1" t="str">
        <f>IFERROR(__xludf.DUMMYFUNCTION("""COMPUTED_VALUE"""),"Panif Mendes Sion")</f>
        <v>Panif Mendes Sion</v>
      </c>
      <c r="D90" s="2">
        <f>IFERROR(__xludf.DUMMYFUNCTION("""COMPUTED_VALUE"""),5.7)</f>
        <v>5.7</v>
      </c>
      <c r="E90" s="1" t="str">
        <f>IFERROR(__xludf.DUMMYFUNCTION("""COMPUTED_VALUE"""),"-")</f>
        <v>-</v>
      </c>
      <c r="F90" s="1" t="str">
        <f>IFERROR(__xludf.DUMMYFUNCTION("""COMPUTED_VALUE"""),"Panif Mendes Sion")</f>
        <v>Panif Mendes Sion</v>
      </c>
      <c r="G90" s="1" t="str">
        <f>IFERROR(__xludf.DUMMYFUNCTION("""COMPUTED_VALUE"""),"Comida")</f>
        <v>Comida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7">
        <f>IFERROR(__xludf.DUMMYFUNCTION("""COMPUTED_VALUE"""),45809.0)</f>
        <v>45809</v>
      </c>
      <c r="B91" s="8">
        <f>IFERROR(__xludf.DUMMYFUNCTION("""COMPUTED_VALUE"""),45792.0)</f>
        <v>45792</v>
      </c>
      <c r="C91" s="1" t="str">
        <f>IFERROR(__xludf.DUMMYFUNCTION("""COMPUTED_VALUE"""),"Posto Chefao")</f>
        <v>Posto Chefao</v>
      </c>
      <c r="D91" s="2">
        <f>IFERROR(__xludf.DUMMYFUNCTION("""COMPUTED_VALUE"""),100.0)</f>
        <v>100</v>
      </c>
      <c r="E91" s="1" t="str">
        <f>IFERROR(__xludf.DUMMYFUNCTION("""COMPUTED_VALUE"""),"-")</f>
        <v>-</v>
      </c>
      <c r="F91" s="1" t="str">
        <f>IFERROR(__xludf.DUMMYFUNCTION("""COMPUTED_VALUE"""),"Posto Chefao")</f>
        <v>Posto Chefao</v>
      </c>
      <c r="G91" s="1" t="str">
        <f>IFERROR(__xludf.DUMMYFUNCTION("""COMPUTED_VALUE"""),"Viagem")</f>
        <v>Viagem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7">
        <f>IFERROR(__xludf.DUMMYFUNCTION("""COMPUTED_VALUE"""),45809.0)</f>
        <v>45809</v>
      </c>
      <c r="B92" s="8">
        <f>IFERROR(__xludf.DUMMYFUNCTION("""COMPUTED_VALUE"""),45792.0)</f>
        <v>45792</v>
      </c>
      <c r="C92" s="1" t="str">
        <f>IFERROR(__xludf.DUMMYFUNCTION("""COMPUTED_VALUE"""),"Belvedere Combustiveis")</f>
        <v>Belvedere Combustiveis</v>
      </c>
      <c r="D92" s="2">
        <f>IFERROR(__xludf.DUMMYFUNCTION("""COMPUTED_VALUE"""),142.36)</f>
        <v>142.36</v>
      </c>
      <c r="E92" s="1" t="str">
        <f>IFERROR(__xludf.DUMMYFUNCTION("""COMPUTED_VALUE"""),"-")</f>
        <v>-</v>
      </c>
      <c r="F92" s="1" t="str">
        <f>IFERROR(__xludf.DUMMYFUNCTION("""COMPUTED_VALUE"""),"Belvedere Combustiveis")</f>
        <v>Belvedere Combustiveis</v>
      </c>
      <c r="G92" s="1" t="str">
        <f>IFERROR(__xludf.DUMMYFUNCTION("""COMPUTED_VALUE"""),"Viagem")</f>
        <v>Viagem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7">
        <f>IFERROR(__xludf.DUMMYFUNCTION("""COMPUTED_VALUE"""),45809.0)</f>
        <v>45809</v>
      </c>
      <c r="B93" s="8">
        <f>IFERROR(__xludf.DUMMYFUNCTION("""COMPUTED_VALUE"""),45792.0)</f>
        <v>45792</v>
      </c>
      <c r="C93" s="1" t="str">
        <f>IFERROR(__xludf.DUMMYFUNCTION("""COMPUTED_VALUE"""),"Sabor Da Empda")</f>
        <v>Sabor Da Empda</v>
      </c>
      <c r="D93" s="2">
        <f>IFERROR(__xludf.DUMMYFUNCTION("""COMPUTED_VALUE"""),19.5)</f>
        <v>19.5</v>
      </c>
      <c r="E93" s="1" t="str">
        <f>IFERROR(__xludf.DUMMYFUNCTION("""COMPUTED_VALUE"""),"-")</f>
        <v>-</v>
      </c>
      <c r="F93" s="1" t="str">
        <f>IFERROR(__xludf.DUMMYFUNCTION("""COMPUTED_VALUE"""),"Sabor Da Empda")</f>
        <v>Sabor Da Empda</v>
      </c>
      <c r="G93" s="1" t="str">
        <f>IFERROR(__xludf.DUMMYFUNCTION("""COMPUTED_VALUE"""),"Viagem")</f>
        <v>Viagem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7">
        <f>IFERROR(__xludf.DUMMYFUNCTION("""COMPUTED_VALUE"""),45809.0)</f>
        <v>45809</v>
      </c>
      <c r="B94" s="8">
        <f>IFERROR(__xludf.DUMMYFUNCTION("""COMPUTED_VALUE"""),45792.0)</f>
        <v>45792</v>
      </c>
      <c r="C94" s="1" t="str">
        <f>IFERROR(__xludf.DUMMYFUNCTION("""COMPUTED_VALUE"""),"Rocambole E Cia")</f>
        <v>Rocambole E Cia</v>
      </c>
      <c r="D94" s="2">
        <f>IFERROR(__xludf.DUMMYFUNCTION("""COMPUTED_VALUE"""),20.0)</f>
        <v>20</v>
      </c>
      <c r="E94" s="1" t="str">
        <f>IFERROR(__xludf.DUMMYFUNCTION("""COMPUTED_VALUE"""),"-")</f>
        <v>-</v>
      </c>
      <c r="F94" s="1" t="str">
        <f>IFERROR(__xludf.DUMMYFUNCTION("""COMPUTED_VALUE"""),"Rocambole E Cia")</f>
        <v>Rocambole E Cia</v>
      </c>
      <c r="G94" s="1" t="str">
        <f>IFERROR(__xludf.DUMMYFUNCTION("""COMPUTED_VALUE"""),"Viagem")</f>
        <v>Viagem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7">
        <f>IFERROR(__xludf.DUMMYFUNCTION("""COMPUTED_VALUE"""),45809.0)</f>
        <v>45809</v>
      </c>
      <c r="B95" s="8">
        <f>IFERROR(__xludf.DUMMYFUNCTION("""COMPUTED_VALUE"""),45792.0)</f>
        <v>45792</v>
      </c>
      <c r="C95" s="1" t="str">
        <f>IFERROR(__xludf.DUMMYFUNCTION("""COMPUTED_VALUE"""),"Pasta Basta")</f>
        <v>Pasta Basta</v>
      </c>
      <c r="D95" s="2">
        <f>IFERROR(__xludf.DUMMYFUNCTION("""COMPUTED_VALUE"""),163.9)</f>
        <v>163.9</v>
      </c>
      <c r="E95" s="1" t="str">
        <f>IFERROR(__xludf.DUMMYFUNCTION("""COMPUTED_VALUE"""),"-")</f>
        <v>-</v>
      </c>
      <c r="F95" s="1" t="str">
        <f>IFERROR(__xludf.DUMMYFUNCTION("""COMPUTED_VALUE"""),"Pasta Basta")</f>
        <v>Pasta Basta</v>
      </c>
      <c r="G95" s="1" t="str">
        <f>IFERROR(__xludf.DUMMYFUNCTION("""COMPUTED_VALUE"""),"Viagem")</f>
        <v>Viagem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7">
        <f>IFERROR(__xludf.DUMMYFUNCTION("""COMPUTED_VALUE"""),45809.0)</f>
        <v>45809</v>
      </c>
      <c r="B96" s="8">
        <f>IFERROR(__xludf.DUMMYFUNCTION("""COMPUTED_VALUE"""),45792.0)</f>
        <v>45792</v>
      </c>
      <c r="C96" s="1" t="str">
        <f>IFERROR(__xludf.DUMMYFUNCTION("""COMPUTED_VALUE"""),"Casa Das Latas Praca")</f>
        <v>Casa Das Latas Praca</v>
      </c>
      <c r="D96" s="2">
        <f>IFERROR(__xludf.DUMMYFUNCTION("""COMPUTED_VALUE"""),6.27)</f>
        <v>6.27</v>
      </c>
      <c r="E96" s="1" t="str">
        <f>IFERROR(__xludf.DUMMYFUNCTION("""COMPUTED_VALUE"""),"-")</f>
        <v>-</v>
      </c>
      <c r="F96" s="1" t="str">
        <f>IFERROR(__xludf.DUMMYFUNCTION("""COMPUTED_VALUE"""),"Casa Das Latas Praca")</f>
        <v>Casa Das Latas Praca</v>
      </c>
      <c r="G96" s="1" t="str">
        <f>IFERROR(__xludf.DUMMYFUNCTION("""COMPUTED_VALUE"""),"Viagem")</f>
        <v>Viagem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7">
        <f>IFERROR(__xludf.DUMMYFUNCTION("""COMPUTED_VALUE"""),45809.0)</f>
        <v>45809</v>
      </c>
      <c r="B97" s="8">
        <f>IFERROR(__xludf.DUMMYFUNCTION("""COMPUTED_VALUE"""),45792.0)</f>
        <v>45792</v>
      </c>
      <c r="C97" s="1" t="str">
        <f>IFERROR(__xludf.DUMMYFUNCTION("""COMPUTED_VALUE"""),"Lembranca")</f>
        <v>Lembranca</v>
      </c>
      <c r="D97" s="2">
        <f>IFERROR(__xludf.DUMMYFUNCTION("""COMPUTED_VALUE"""),95.0)</f>
        <v>95</v>
      </c>
      <c r="E97" s="1" t="str">
        <f>IFERROR(__xludf.DUMMYFUNCTION("""COMPUTED_VALUE"""),"-")</f>
        <v>-</v>
      </c>
      <c r="F97" s="1" t="str">
        <f>IFERROR(__xludf.DUMMYFUNCTION("""COMPUTED_VALUE"""),"Lembranca")</f>
        <v>Lembranca</v>
      </c>
      <c r="G97" s="1" t="str">
        <f>IFERROR(__xludf.DUMMYFUNCTION("""COMPUTED_VALUE"""),"Viagem")</f>
        <v>Viagem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7">
        <f>IFERROR(__xludf.DUMMYFUNCTION("""COMPUTED_VALUE"""),45809.0)</f>
        <v>45809</v>
      </c>
      <c r="B98" s="8">
        <f>IFERROR(__xludf.DUMMYFUNCTION("""COMPUTED_VALUE"""),45792.0)</f>
        <v>45792</v>
      </c>
      <c r="C98" s="1" t="str">
        <f>IFERROR(__xludf.DUMMYFUNCTION("""COMPUTED_VALUE"""),"Chocolateria Puro Caca")</f>
        <v>Chocolateria Puro Caca</v>
      </c>
      <c r="D98" s="2">
        <f>IFERROR(__xludf.DUMMYFUNCTION("""COMPUTED_VALUE"""),12.0)</f>
        <v>12</v>
      </c>
      <c r="E98" s="1" t="str">
        <f>IFERROR(__xludf.DUMMYFUNCTION("""COMPUTED_VALUE"""),"-")</f>
        <v>-</v>
      </c>
      <c r="F98" s="1" t="str">
        <f>IFERROR(__xludf.DUMMYFUNCTION("""COMPUTED_VALUE"""),"Chocolateria Puro Caca")</f>
        <v>Chocolateria Puro Caca</v>
      </c>
      <c r="G98" s="1" t="str">
        <f>IFERROR(__xludf.DUMMYFUNCTION("""COMPUTED_VALUE"""),"Viagem")</f>
        <v>Viagem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7">
        <f>IFERROR(__xludf.DUMMYFUNCTION("""COMPUTED_VALUE"""),45809.0)</f>
        <v>45809</v>
      </c>
      <c r="B99" s="8">
        <f>IFERROR(__xludf.DUMMYFUNCTION("""COMPUTED_VALUE"""),45793.0)</f>
        <v>45793</v>
      </c>
      <c r="C99" s="1" t="str">
        <f>IFERROR(__xludf.DUMMYFUNCTION("""COMPUTED_VALUE"""),"Barouk")</f>
        <v>Barouk</v>
      </c>
      <c r="D99" s="2">
        <f>IFERROR(__xludf.DUMMYFUNCTION("""COMPUTED_VALUE"""),301.04)</f>
        <v>301.04</v>
      </c>
      <c r="E99" s="1" t="str">
        <f>IFERROR(__xludf.DUMMYFUNCTION("""COMPUTED_VALUE"""),"-")</f>
        <v>-</v>
      </c>
      <c r="F99" s="1" t="str">
        <f>IFERROR(__xludf.DUMMYFUNCTION("""COMPUTED_VALUE"""),"Barouk")</f>
        <v>Barouk</v>
      </c>
      <c r="G99" s="1" t="str">
        <f>IFERROR(__xludf.DUMMYFUNCTION("""COMPUTED_VALUE"""),"Viagem")</f>
        <v>Viagem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7">
        <f>IFERROR(__xludf.DUMMYFUNCTION("""COMPUTED_VALUE"""),45809.0)</f>
        <v>45809</v>
      </c>
      <c r="B100" s="8">
        <f>IFERROR(__xludf.DUMMYFUNCTION("""COMPUTED_VALUE"""),45793.0)</f>
        <v>45793</v>
      </c>
      <c r="C100" s="1" t="str">
        <f>IFERROR(__xludf.DUMMYFUNCTION("""COMPUTED_VALUE"""),"Trembier Festival")</f>
        <v>Trembier Festival</v>
      </c>
      <c r="D100" s="2">
        <f>IFERROR(__xludf.DUMMYFUNCTION("""COMPUTED_VALUE"""),149.0)</f>
        <v>149</v>
      </c>
      <c r="E100" s="1" t="str">
        <f>IFERROR(__xludf.DUMMYFUNCTION("""COMPUTED_VALUE"""),"-")</f>
        <v>-</v>
      </c>
      <c r="F100" s="1" t="str">
        <f>IFERROR(__xludf.DUMMYFUNCTION("""COMPUTED_VALUE"""),"Trembier Festival")</f>
        <v>Trembier Festival</v>
      </c>
      <c r="G100" s="1" t="str">
        <f>IFERROR(__xludf.DUMMYFUNCTION("""COMPUTED_VALUE"""),"Viagem")</f>
        <v>Viagem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7">
        <f>IFERROR(__xludf.DUMMYFUNCTION("""COMPUTED_VALUE"""),45809.0)</f>
        <v>45809</v>
      </c>
      <c r="B101" s="8">
        <f>IFERROR(__xludf.DUMMYFUNCTION("""COMPUTED_VALUE"""),45793.0)</f>
        <v>45793</v>
      </c>
      <c r="C101" s="1" t="str">
        <f>IFERROR(__xludf.DUMMYFUNCTION("""COMPUTED_VALUE"""),"Montanhas Restaurante")</f>
        <v>Montanhas Restaurante</v>
      </c>
      <c r="D101" s="2">
        <f>IFERROR(__xludf.DUMMYFUNCTION("""COMPUTED_VALUE"""),3.0)</f>
        <v>3</v>
      </c>
      <c r="E101" s="1" t="str">
        <f>IFERROR(__xludf.DUMMYFUNCTION("""COMPUTED_VALUE"""),"-")</f>
        <v>-</v>
      </c>
      <c r="F101" s="1" t="str">
        <f>IFERROR(__xludf.DUMMYFUNCTION("""COMPUTED_VALUE"""),"Montanhas Restaurante")</f>
        <v>Montanhas Restaurante</v>
      </c>
      <c r="G101" s="1" t="str">
        <f>IFERROR(__xludf.DUMMYFUNCTION("""COMPUTED_VALUE"""),"Viagem")</f>
        <v>Viagem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7">
        <f>IFERROR(__xludf.DUMMYFUNCTION("""COMPUTED_VALUE"""),45809.0)</f>
        <v>45809</v>
      </c>
      <c r="B102" s="8">
        <f>IFERROR(__xludf.DUMMYFUNCTION("""COMPUTED_VALUE"""),45793.0)</f>
        <v>45793</v>
      </c>
      <c r="C102" s="1" t="str">
        <f>IFERROR(__xludf.DUMMYFUNCTION("""COMPUTED_VALUE"""),"Cafe Caramello")</f>
        <v>Cafe Caramello</v>
      </c>
      <c r="D102" s="2">
        <f>IFERROR(__xludf.DUMMYFUNCTION("""COMPUTED_VALUE"""),35.0)</f>
        <v>35</v>
      </c>
      <c r="E102" s="1" t="str">
        <f>IFERROR(__xludf.DUMMYFUNCTION("""COMPUTED_VALUE"""),"-")</f>
        <v>-</v>
      </c>
      <c r="F102" s="1" t="str">
        <f>IFERROR(__xludf.DUMMYFUNCTION("""COMPUTED_VALUE"""),"Cafe Caramello")</f>
        <v>Cafe Caramello</v>
      </c>
      <c r="G102" s="1" t="str">
        <f>IFERROR(__xludf.DUMMYFUNCTION("""COMPUTED_VALUE"""),"Viagem")</f>
        <v>Viagem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7">
        <f>IFERROR(__xludf.DUMMYFUNCTION("""COMPUTED_VALUE"""),45809.0)</f>
        <v>45809</v>
      </c>
      <c r="B103" s="8">
        <f>IFERROR(__xludf.DUMMYFUNCTION("""COMPUTED_VALUE"""),45793.0)</f>
        <v>45793</v>
      </c>
      <c r="C103" s="1" t="str">
        <f>IFERROR(__xludf.DUMMYFUNCTION("""COMPUTED_VALUE"""),"Supermercado Eskynao L")</f>
        <v>Supermercado Eskynao L</v>
      </c>
      <c r="D103" s="2">
        <f>IFERROR(__xludf.DUMMYFUNCTION("""COMPUTED_VALUE"""),75.98)</f>
        <v>75.98</v>
      </c>
      <c r="E103" s="1" t="str">
        <f>IFERROR(__xludf.DUMMYFUNCTION("""COMPUTED_VALUE"""),"-")</f>
        <v>-</v>
      </c>
      <c r="F103" s="1" t="str">
        <f>IFERROR(__xludf.DUMMYFUNCTION("""COMPUTED_VALUE"""),"Supermercado Eskynao L")</f>
        <v>Supermercado Eskynao L</v>
      </c>
      <c r="G103" s="1" t="str">
        <f>IFERROR(__xludf.DUMMYFUNCTION("""COMPUTED_VALUE"""),"Viagem")</f>
        <v>Viagem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7">
        <f>IFERROR(__xludf.DUMMYFUNCTION("""COMPUTED_VALUE"""),45809.0)</f>
        <v>45809</v>
      </c>
      <c r="B104" s="8">
        <f>IFERROR(__xludf.DUMMYFUNCTION("""COMPUTED_VALUE"""),45793.0)</f>
        <v>45793</v>
      </c>
      <c r="C104" s="1" t="str">
        <f>IFERROR(__xludf.DUMMYFUNCTION("""COMPUTED_VALUE"""),"Marcia Regina Pinheiro")</f>
        <v>Marcia Regina Pinheiro</v>
      </c>
      <c r="D104" s="2">
        <f>IFERROR(__xludf.DUMMYFUNCTION("""COMPUTED_VALUE"""),352.35)</f>
        <v>352.35</v>
      </c>
      <c r="E104" s="1" t="str">
        <f>IFERROR(__xludf.DUMMYFUNCTION("""COMPUTED_VALUE"""),"-")</f>
        <v>-</v>
      </c>
      <c r="F104" s="1" t="str">
        <f>IFERROR(__xludf.DUMMYFUNCTION("""COMPUTED_VALUE"""),"Marcia Regina Pinheiro")</f>
        <v>Marcia Regina Pinheiro</v>
      </c>
      <c r="G104" s="1" t="str">
        <f>IFERROR(__xludf.DUMMYFUNCTION("""COMPUTED_VALUE"""),"Viagem")</f>
        <v>Viagem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7">
        <f>IFERROR(__xludf.DUMMYFUNCTION("""COMPUTED_VALUE"""),45809.0)</f>
        <v>45809</v>
      </c>
      <c r="B105" s="8">
        <f>IFERROR(__xludf.DUMMYFUNCTION("""COMPUTED_VALUE"""),45793.0)</f>
        <v>45793</v>
      </c>
      <c r="C105" s="1" t="str">
        <f>IFERROR(__xludf.DUMMYFUNCTION("""COMPUTED_VALUE"""),"Lembranca")</f>
        <v>Lembranca</v>
      </c>
      <c r="D105" s="2">
        <f>IFERROR(__xludf.DUMMYFUNCTION("""COMPUTED_VALUE"""),95.0)</f>
        <v>95</v>
      </c>
      <c r="E105" s="1" t="str">
        <f>IFERROR(__xludf.DUMMYFUNCTION("""COMPUTED_VALUE"""),"-")</f>
        <v>-</v>
      </c>
      <c r="F105" s="1" t="str">
        <f>IFERROR(__xludf.DUMMYFUNCTION("""COMPUTED_VALUE"""),"Lembranca")</f>
        <v>Lembranca</v>
      </c>
      <c r="G105" s="1" t="str">
        <f>IFERROR(__xludf.DUMMYFUNCTION("""COMPUTED_VALUE"""),"Viagem")</f>
        <v>Viagem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7">
        <f>IFERROR(__xludf.DUMMYFUNCTION("""COMPUTED_VALUE"""),45809.0)</f>
        <v>45809</v>
      </c>
      <c r="B106" s="8">
        <f>IFERROR(__xludf.DUMMYFUNCTION("""COMPUTED_VALUE"""),45793.0)</f>
        <v>45793</v>
      </c>
      <c r="C106" s="1" t="str">
        <f>IFERROR(__xludf.DUMMYFUNCTION("""COMPUTED_VALUE"""),"Relicario Trem Bie")</f>
        <v>Relicario Trem Bie</v>
      </c>
      <c r="D106" s="2">
        <f>IFERROR(__xludf.DUMMYFUNCTION("""COMPUTED_VALUE"""),22.0)</f>
        <v>22</v>
      </c>
      <c r="E106" s="1" t="str">
        <f>IFERROR(__xludf.DUMMYFUNCTION("""COMPUTED_VALUE"""),"-")</f>
        <v>-</v>
      </c>
      <c r="F106" s="1" t="str">
        <f>IFERROR(__xludf.DUMMYFUNCTION("""COMPUTED_VALUE"""),"Relicario Trem Bie")</f>
        <v>Relicario Trem Bie</v>
      </c>
      <c r="G106" s="1" t="str">
        <f>IFERROR(__xludf.DUMMYFUNCTION("""COMPUTED_VALUE"""),"Viagem")</f>
        <v>Viagem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7">
        <f>IFERROR(__xludf.DUMMYFUNCTION("""COMPUTED_VALUE"""),45809.0)</f>
        <v>45809</v>
      </c>
      <c r="B107" s="8">
        <f>IFERROR(__xludf.DUMMYFUNCTION("""COMPUTED_VALUE"""),45793.0)</f>
        <v>45793</v>
      </c>
      <c r="C107" s="1" t="str">
        <f>IFERROR(__xludf.DUMMYFUNCTION("""COMPUTED_VALUE"""),"Relicario Trem Bie")</f>
        <v>Relicario Trem Bie</v>
      </c>
      <c r="D107" s="2">
        <f>IFERROR(__xludf.DUMMYFUNCTION("""COMPUTED_VALUE"""),18.0)</f>
        <v>18</v>
      </c>
      <c r="E107" s="1" t="str">
        <f>IFERROR(__xludf.DUMMYFUNCTION("""COMPUTED_VALUE"""),"-")</f>
        <v>-</v>
      </c>
      <c r="F107" s="1" t="str">
        <f>IFERROR(__xludf.DUMMYFUNCTION("""COMPUTED_VALUE"""),"Relicario Trem Bie")</f>
        <v>Relicario Trem Bie</v>
      </c>
      <c r="G107" s="1" t="str">
        <f>IFERROR(__xludf.DUMMYFUNCTION("""COMPUTED_VALUE"""),"Viagem")</f>
        <v>Viagem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7">
        <f>IFERROR(__xludf.DUMMYFUNCTION("""COMPUTED_VALUE"""),45809.0)</f>
        <v>45809</v>
      </c>
      <c r="B108" s="8">
        <f>IFERROR(__xludf.DUMMYFUNCTION("""COMPUTED_VALUE"""),45793.0)</f>
        <v>45793</v>
      </c>
      <c r="C108" s="1" t="str">
        <f>IFERROR(__xludf.DUMMYFUNCTION("""COMPUTED_VALUE"""),"Cafeteria Tiradentes")</f>
        <v>Cafeteria Tiradentes</v>
      </c>
      <c r="D108" s="2">
        <f>IFERROR(__xludf.DUMMYFUNCTION("""COMPUTED_VALUE"""),44.0)</f>
        <v>44</v>
      </c>
      <c r="E108" s="1" t="str">
        <f>IFERROR(__xludf.DUMMYFUNCTION("""COMPUTED_VALUE"""),"-")</f>
        <v>-</v>
      </c>
      <c r="F108" s="1" t="str">
        <f>IFERROR(__xludf.DUMMYFUNCTION("""COMPUTED_VALUE"""),"Cafeteria Tiradentes")</f>
        <v>Cafeteria Tiradentes</v>
      </c>
      <c r="G108" s="1" t="str">
        <f>IFERROR(__xludf.DUMMYFUNCTION("""COMPUTED_VALUE"""),"Viagem")</f>
        <v>Viagem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7">
        <f>IFERROR(__xludf.DUMMYFUNCTION("""COMPUTED_VALUE"""),45809.0)</f>
        <v>45809</v>
      </c>
      <c r="B109" s="8">
        <f>IFERROR(__xludf.DUMMYFUNCTION("""COMPUTED_VALUE"""),45794.0)</f>
        <v>45794</v>
      </c>
      <c r="C109" s="1" t="str">
        <f>IFERROR(__xludf.DUMMYFUNCTION("""COMPUTED_VALUE"""),"Espaco Faemam")</f>
        <v>Espaco Faemam</v>
      </c>
      <c r="D109" s="2">
        <f>IFERROR(__xludf.DUMMYFUNCTION("""COMPUTED_VALUE"""),162.21)</f>
        <v>162.21</v>
      </c>
      <c r="E109" s="1" t="str">
        <f>IFERROR(__xludf.DUMMYFUNCTION("""COMPUTED_VALUE"""),"-")</f>
        <v>-</v>
      </c>
      <c r="F109" s="1" t="str">
        <f>IFERROR(__xludf.DUMMYFUNCTION("""COMPUTED_VALUE"""),"Espaco Faemam")</f>
        <v>Espaco Faemam</v>
      </c>
      <c r="G109" s="1" t="str">
        <f>IFERROR(__xludf.DUMMYFUNCTION("""COMPUTED_VALUE"""),"Viagem")</f>
        <v>Viagem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7">
        <f>IFERROR(__xludf.DUMMYFUNCTION("""COMPUTED_VALUE"""),45809.0)</f>
        <v>45809</v>
      </c>
      <c r="B110" s="8">
        <f>IFERROR(__xludf.DUMMYFUNCTION("""COMPUTED_VALUE"""),45794.0)</f>
        <v>45794</v>
      </c>
      <c r="C110" s="1" t="str">
        <f>IFERROR(__xludf.DUMMYFUNCTION("""COMPUTED_VALUE"""),"América Burgers")</f>
        <v>América Burgers</v>
      </c>
      <c r="D110" s="2">
        <f>IFERROR(__xludf.DUMMYFUNCTION("""COMPUTED_VALUE"""),174.5)</f>
        <v>174.5</v>
      </c>
      <c r="E110" s="1" t="str">
        <f>IFERROR(__xludf.DUMMYFUNCTION("""COMPUTED_VALUE"""),"-")</f>
        <v>-</v>
      </c>
      <c r="F110" s="1" t="str">
        <f>IFERROR(__xludf.DUMMYFUNCTION("""COMPUTED_VALUE"""),"América Burgers")</f>
        <v>América Burgers</v>
      </c>
      <c r="G110" s="1" t="str">
        <f>IFERROR(__xludf.DUMMYFUNCTION("""COMPUTED_VALUE"""),"Viagem")</f>
        <v>Viagem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7">
        <f>IFERROR(__xludf.DUMMYFUNCTION("""COMPUTED_VALUE"""),45809.0)</f>
        <v>45809</v>
      </c>
      <c r="B111" s="8">
        <f>IFERROR(__xludf.DUMMYFUNCTION("""COMPUTED_VALUE"""),45795.0)</f>
        <v>45795</v>
      </c>
      <c r="C111" s="1" t="str">
        <f>IFERROR(__xludf.DUMMYFUNCTION("""COMPUTED_VALUE"""),"Chocolate Do Rei")</f>
        <v>Chocolate Do Rei</v>
      </c>
      <c r="D111" s="2">
        <f>IFERROR(__xludf.DUMMYFUNCTION("""COMPUTED_VALUE"""),49.84)</f>
        <v>49.84</v>
      </c>
      <c r="E111" s="1" t="str">
        <f>IFERROR(__xludf.DUMMYFUNCTION("""COMPUTED_VALUE"""),"-")</f>
        <v>-</v>
      </c>
      <c r="F111" s="1" t="str">
        <f>IFERROR(__xludf.DUMMYFUNCTION("""COMPUTED_VALUE"""),"Chocolate Do Rei")</f>
        <v>Chocolate Do Rei</v>
      </c>
      <c r="G111" s="1" t="str">
        <f>IFERROR(__xludf.DUMMYFUNCTION("""COMPUTED_VALUE"""),"Viagem")</f>
        <v>Viagem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7">
        <f>IFERROR(__xludf.DUMMYFUNCTION("""COMPUTED_VALUE"""),45809.0)</f>
        <v>45809</v>
      </c>
      <c r="B112" s="8">
        <f>IFERROR(__xludf.DUMMYFUNCTION("""COMPUTED_VALUE"""),45795.0)</f>
        <v>45795</v>
      </c>
      <c r="C112" s="1" t="str">
        <f>IFERROR(__xludf.DUMMYFUNCTION("""COMPUTED_VALUE"""),"Posto Bernardo Ltda")</f>
        <v>Posto Bernardo Ltda</v>
      </c>
      <c r="D112" s="2">
        <f>IFERROR(__xludf.DUMMYFUNCTION("""COMPUTED_VALUE"""),142.02)</f>
        <v>142.02</v>
      </c>
      <c r="E112" s="1" t="str">
        <f>IFERROR(__xludf.DUMMYFUNCTION("""COMPUTED_VALUE"""),"-")</f>
        <v>-</v>
      </c>
      <c r="F112" s="1" t="str">
        <f>IFERROR(__xludf.DUMMYFUNCTION("""COMPUTED_VALUE"""),"Posto Bernardo Ltda")</f>
        <v>Posto Bernardo Ltda</v>
      </c>
      <c r="G112" s="1" t="str">
        <f>IFERROR(__xludf.DUMMYFUNCTION("""COMPUTED_VALUE"""),"Viagem")</f>
        <v>Viagem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7">
        <f>IFERROR(__xludf.DUMMYFUNCTION("""COMPUTED_VALUE"""),45809.0)</f>
        <v>45809</v>
      </c>
      <c r="B113" s="8">
        <f>IFERROR(__xludf.DUMMYFUNCTION("""COMPUTED_VALUE"""),45795.0)</f>
        <v>45795</v>
      </c>
      <c r="C113" s="1" t="str">
        <f>IFERROR(__xludf.DUMMYFUNCTION("""COMPUTED_VALUE"""),"Super Nosso")</f>
        <v>Super Nosso</v>
      </c>
      <c r="D113" s="2">
        <f>IFERROR(__xludf.DUMMYFUNCTION("""COMPUTED_VALUE"""),302.65)</f>
        <v>302.65</v>
      </c>
      <c r="E113" s="1" t="str">
        <f>IFERROR(__xludf.DUMMYFUNCTION("""COMPUTED_VALUE"""),"-")</f>
        <v>-</v>
      </c>
      <c r="F113" s="1" t="str">
        <f>IFERROR(__xludf.DUMMYFUNCTION("""COMPUTED_VALUE"""),"Super Nosso")</f>
        <v>Super Nosso</v>
      </c>
      <c r="G113" s="1" t="str">
        <f>IFERROR(__xludf.DUMMYFUNCTION("""COMPUTED_VALUE"""),"Viagem")</f>
        <v>Viagem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7">
        <f>IFERROR(__xludf.DUMMYFUNCTION("""COMPUTED_VALUE"""),45809.0)</f>
        <v>45809</v>
      </c>
      <c r="B114" s="8">
        <f>IFERROR(__xludf.DUMMYFUNCTION("""COMPUTED_VALUE"""),45797.0)</f>
        <v>45797</v>
      </c>
      <c r="C114" s="1" t="str">
        <f>IFERROR(__xludf.DUMMYFUNCTION("""COMPUTED_VALUE"""),"Café E Cia")</f>
        <v>Café E Cia</v>
      </c>
      <c r="D114" s="2">
        <f>IFERROR(__xludf.DUMMYFUNCTION("""COMPUTED_VALUE"""),4.0)</f>
        <v>4</v>
      </c>
      <c r="E114" s="1" t="str">
        <f>IFERROR(__xludf.DUMMYFUNCTION("""COMPUTED_VALUE"""),"-")</f>
        <v>-</v>
      </c>
      <c r="F114" s="1" t="str">
        <f>IFERROR(__xludf.DUMMYFUNCTION("""COMPUTED_VALUE"""),"Café E Cia")</f>
        <v>Café E Cia</v>
      </c>
      <c r="G114" s="1" t="str">
        <f>IFERROR(__xludf.DUMMYFUNCTION("""COMPUTED_VALUE"""),"Comida")</f>
        <v>Comida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7">
        <f>IFERROR(__xludf.DUMMYFUNCTION("""COMPUTED_VALUE"""),45809.0)</f>
        <v>45809</v>
      </c>
      <c r="B115" s="8">
        <f>IFERROR(__xludf.DUMMYFUNCTION("""COMPUTED_VALUE"""),45797.0)</f>
        <v>45797</v>
      </c>
      <c r="C115" s="1" t="str">
        <f>IFERROR(__xludf.DUMMYFUNCTION("""COMPUTED_VALUE"""),"Panif Mendes Sion")</f>
        <v>Panif Mendes Sion</v>
      </c>
      <c r="D115" s="2">
        <f>IFERROR(__xludf.DUMMYFUNCTION("""COMPUTED_VALUE"""),4.4)</f>
        <v>4.4</v>
      </c>
      <c r="E115" s="1" t="str">
        <f>IFERROR(__xludf.DUMMYFUNCTION("""COMPUTED_VALUE"""),"-")</f>
        <v>-</v>
      </c>
      <c r="F115" s="1" t="str">
        <f>IFERROR(__xludf.DUMMYFUNCTION("""COMPUTED_VALUE"""),"Panif Mendes Sion")</f>
        <v>Panif Mendes Sion</v>
      </c>
      <c r="G115" s="1" t="str">
        <f>IFERROR(__xludf.DUMMYFUNCTION("""COMPUTED_VALUE"""),"Comida")</f>
        <v>Comida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7">
        <f>IFERROR(__xludf.DUMMYFUNCTION("""COMPUTED_VALUE"""),45809.0)</f>
        <v>45809</v>
      </c>
      <c r="B116" s="8">
        <f>IFERROR(__xludf.DUMMYFUNCTION("""COMPUTED_VALUE"""),45798.0)</f>
        <v>45798</v>
      </c>
      <c r="C116" s="1" t="str">
        <f>IFERROR(__xludf.DUMMYFUNCTION("""COMPUTED_VALUE"""),"Panif Mendes Sion")</f>
        <v>Panif Mendes Sion</v>
      </c>
      <c r="D116" s="2">
        <f>IFERROR(__xludf.DUMMYFUNCTION("""COMPUTED_VALUE"""),14.52)</f>
        <v>14.52</v>
      </c>
      <c r="E116" s="1" t="str">
        <f>IFERROR(__xludf.DUMMYFUNCTION("""COMPUTED_VALUE"""),"-")</f>
        <v>-</v>
      </c>
      <c r="F116" s="1" t="str">
        <f>IFERROR(__xludf.DUMMYFUNCTION("""COMPUTED_VALUE"""),"Panif Mendes Sion")</f>
        <v>Panif Mendes Sion</v>
      </c>
      <c r="G116" s="1" t="str">
        <f>IFERROR(__xludf.DUMMYFUNCTION("""COMPUTED_VALUE"""),"Comida")</f>
        <v>Comida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7">
        <f>IFERROR(__xludf.DUMMYFUNCTION("""COMPUTED_VALUE"""),45809.0)</f>
        <v>45809</v>
      </c>
      <c r="B117" s="8">
        <f>IFERROR(__xludf.DUMMYFUNCTION("""COMPUTED_VALUE"""),45798.0)</f>
        <v>45798</v>
      </c>
      <c r="C117" s="1" t="str">
        <f>IFERROR(__xludf.DUMMYFUNCTION("""COMPUTED_VALUE"""),"Recanto Sion")</f>
        <v>Recanto Sion</v>
      </c>
      <c r="D117" s="2">
        <f>IFERROR(__xludf.DUMMYFUNCTION("""COMPUTED_VALUE"""),53.5)</f>
        <v>53.5</v>
      </c>
      <c r="E117" s="1" t="str">
        <f>IFERROR(__xludf.DUMMYFUNCTION("""COMPUTED_VALUE"""),"-")</f>
        <v>-</v>
      </c>
      <c r="F117" s="1" t="str">
        <f>IFERROR(__xludf.DUMMYFUNCTION("""COMPUTED_VALUE"""),"Recanto Sion")</f>
        <v>Recanto Sion</v>
      </c>
      <c r="G117" s="1" t="str">
        <f>IFERROR(__xludf.DUMMYFUNCTION("""COMPUTED_VALUE"""),"Comida")</f>
        <v>Comida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7">
        <f>IFERROR(__xludf.DUMMYFUNCTION("""COMPUTED_VALUE"""),45809.0)</f>
        <v>45809</v>
      </c>
      <c r="B118" s="8">
        <f>IFERROR(__xludf.DUMMYFUNCTION("""COMPUTED_VALUE"""),45799.0)</f>
        <v>45799</v>
      </c>
      <c r="C118" s="1" t="str">
        <f>IFERROR(__xludf.DUMMYFUNCTION("""COMPUTED_VALUE"""),"Panif Mendes Sion")</f>
        <v>Panif Mendes Sion</v>
      </c>
      <c r="D118" s="2">
        <f>IFERROR(__xludf.DUMMYFUNCTION("""COMPUTED_VALUE"""),18.48)</f>
        <v>18.48</v>
      </c>
      <c r="E118" s="1" t="str">
        <f>IFERROR(__xludf.DUMMYFUNCTION("""COMPUTED_VALUE"""),"-")</f>
        <v>-</v>
      </c>
      <c r="F118" s="1" t="str">
        <f>IFERROR(__xludf.DUMMYFUNCTION("""COMPUTED_VALUE"""),"Panif Mendes Sion")</f>
        <v>Panif Mendes Sion</v>
      </c>
      <c r="G118" s="1" t="str">
        <f>IFERROR(__xludf.DUMMYFUNCTION("""COMPUTED_VALUE"""),"Comida")</f>
        <v>Comida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7">
        <f>IFERROR(__xludf.DUMMYFUNCTION("""COMPUTED_VALUE"""),45809.0)</f>
        <v>45809</v>
      </c>
      <c r="B119" s="8">
        <f>IFERROR(__xludf.DUMMYFUNCTION("""COMPUTED_VALUE"""),45799.0)</f>
        <v>45799</v>
      </c>
      <c r="C119" s="1" t="str">
        <f>IFERROR(__xludf.DUMMYFUNCTION("""COMPUTED_VALUE"""),"Drogaria Araujo")</f>
        <v>Drogaria Araujo</v>
      </c>
      <c r="D119" s="2">
        <f>IFERROR(__xludf.DUMMYFUNCTION("""COMPUTED_VALUE"""),35.88)</f>
        <v>35.88</v>
      </c>
      <c r="E119" s="1" t="str">
        <f>IFERROR(__xludf.DUMMYFUNCTION("""COMPUTED_VALUE"""),"-")</f>
        <v>-</v>
      </c>
      <c r="F119" s="1" t="str">
        <f>IFERROR(__xludf.DUMMYFUNCTION("""COMPUTED_VALUE"""),"Drogaria Araujo")</f>
        <v>Drogaria Araujo</v>
      </c>
      <c r="G119" s="1" t="str">
        <f>IFERROR(__xludf.DUMMYFUNCTION("""COMPUTED_VALUE"""),"Farmácia")</f>
        <v>Farmácia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7">
        <f>IFERROR(__xludf.DUMMYFUNCTION("""COMPUTED_VALUE"""),45809.0)</f>
        <v>45809</v>
      </c>
      <c r="B120" s="8">
        <f>IFERROR(__xludf.DUMMYFUNCTION("""COMPUTED_VALUE"""),45799.0)</f>
        <v>45799</v>
      </c>
      <c r="C120" s="1" t="str">
        <f>IFERROR(__xludf.DUMMYFUNCTION("""COMPUTED_VALUE"""),"Espassogourmet")</f>
        <v>Espassogourmet</v>
      </c>
      <c r="D120" s="2">
        <f>IFERROR(__xludf.DUMMYFUNCTION("""COMPUTED_VALUE"""),59.8)</f>
        <v>59.8</v>
      </c>
      <c r="E120" s="1" t="str">
        <f>IFERROR(__xludf.DUMMYFUNCTION("""COMPUTED_VALUE"""),"-")</f>
        <v>-</v>
      </c>
      <c r="F120" s="1" t="str">
        <f>IFERROR(__xludf.DUMMYFUNCTION("""COMPUTED_VALUE"""),"Espassogourmet")</f>
        <v>Espassogourmet</v>
      </c>
      <c r="G120" s="1" t="str">
        <f>IFERROR(__xludf.DUMMYFUNCTION("""COMPUTED_VALUE"""),"Comida")</f>
        <v>Comida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7">
        <f>IFERROR(__xludf.DUMMYFUNCTION("""COMPUTED_VALUE"""),45809.0)</f>
        <v>45809</v>
      </c>
      <c r="B121" s="8">
        <f>IFERROR(__xludf.DUMMYFUNCTION("""COMPUTED_VALUE"""),45799.0)</f>
        <v>45799</v>
      </c>
      <c r="C121" s="1" t="str">
        <f>IFERROR(__xludf.DUMMYFUNCTION("""COMPUTED_VALUE"""),"Bem Oriente")</f>
        <v>Bem Oriente</v>
      </c>
      <c r="D121" s="2">
        <f>IFERROR(__xludf.DUMMYFUNCTION("""COMPUTED_VALUE"""),37.96)</f>
        <v>37.96</v>
      </c>
      <c r="E121" s="1" t="str">
        <f>IFERROR(__xludf.DUMMYFUNCTION("""COMPUTED_VALUE"""),"-")</f>
        <v>-</v>
      </c>
      <c r="F121" s="1" t="str">
        <f>IFERROR(__xludf.DUMMYFUNCTION("""COMPUTED_VALUE"""),"Bem Oriente")</f>
        <v>Bem Oriente</v>
      </c>
      <c r="G121" s="1" t="str">
        <f>IFERROR(__xludf.DUMMYFUNCTION("""COMPUTED_VALUE"""),"-")</f>
        <v>-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7">
        <f>IFERROR(__xludf.DUMMYFUNCTION("""COMPUTED_VALUE"""),45809.0)</f>
        <v>45809</v>
      </c>
      <c r="B122" s="8">
        <f>IFERROR(__xludf.DUMMYFUNCTION("""COMPUTED_VALUE"""),45799.0)</f>
        <v>45799</v>
      </c>
      <c r="C122" s="1" t="str">
        <f>IFERROR(__xludf.DUMMYFUNCTION("""COMPUTED_VALUE"""),"Bem Oriente")</f>
        <v>Bem Oriente</v>
      </c>
      <c r="D122" s="2">
        <f>IFERROR(__xludf.DUMMYFUNCTION("""COMPUTED_VALUE"""),7.31)</f>
        <v>7.31</v>
      </c>
      <c r="E122" s="1" t="str">
        <f>IFERROR(__xludf.DUMMYFUNCTION("""COMPUTED_VALUE"""),"-")</f>
        <v>-</v>
      </c>
      <c r="F122" s="1" t="str">
        <f>IFERROR(__xludf.DUMMYFUNCTION("""COMPUTED_VALUE"""),"Bem Oriente")</f>
        <v>Bem Oriente</v>
      </c>
      <c r="G122" s="1" t="str">
        <f>IFERROR(__xludf.DUMMYFUNCTION("""COMPUTED_VALUE"""),"-")</f>
        <v>-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7">
        <f>IFERROR(__xludf.DUMMYFUNCTION("""COMPUTED_VALUE"""),45809.0)</f>
        <v>45809</v>
      </c>
      <c r="B123" s="8">
        <f>IFERROR(__xludf.DUMMYFUNCTION("""COMPUTED_VALUE"""),45799.0)</f>
        <v>45799</v>
      </c>
      <c r="C123" s="1" t="str">
        <f>IFERROR(__xludf.DUMMYFUNCTION("""COMPUTED_VALUE"""),"Pizza Do Douglas")</f>
        <v>Pizza Do Douglas</v>
      </c>
      <c r="D123" s="2">
        <f>IFERROR(__xludf.DUMMYFUNCTION("""COMPUTED_VALUE"""),40.0)</f>
        <v>40</v>
      </c>
      <c r="E123" s="1" t="str">
        <f>IFERROR(__xludf.DUMMYFUNCTION("""COMPUTED_VALUE"""),"-")</f>
        <v>-</v>
      </c>
      <c r="F123" s="1" t="str">
        <f>IFERROR(__xludf.DUMMYFUNCTION("""COMPUTED_VALUE"""),"Pizza Do Douglas")</f>
        <v>Pizza Do Douglas</v>
      </c>
      <c r="G123" s="1" t="str">
        <f>IFERROR(__xludf.DUMMYFUNCTION("""COMPUTED_VALUE"""),"Comida")</f>
        <v>Comida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7">
        <f>IFERROR(__xludf.DUMMYFUNCTION("""COMPUTED_VALUE"""),45809.0)</f>
        <v>45809</v>
      </c>
      <c r="B124" s="8">
        <f>IFERROR(__xludf.DUMMYFUNCTION("""COMPUTED_VALUE"""),45799.0)</f>
        <v>45799</v>
      </c>
      <c r="C124" s="1" t="str">
        <f>IFERROR(__xludf.DUMMYFUNCTION("""COMPUTED_VALUE"""),"Drogaria Pacheco")</f>
        <v>Drogaria Pacheco</v>
      </c>
      <c r="D124" s="2">
        <f>IFERROR(__xludf.DUMMYFUNCTION("""COMPUTED_VALUE"""),78.89)</f>
        <v>78.89</v>
      </c>
      <c r="E124" s="1" t="str">
        <f>IFERROR(__xludf.DUMMYFUNCTION("""COMPUTED_VALUE"""),"-")</f>
        <v>-</v>
      </c>
      <c r="F124" s="1" t="str">
        <f>IFERROR(__xludf.DUMMYFUNCTION("""COMPUTED_VALUE"""),"Drogaria Pacheco")</f>
        <v>Drogaria Pacheco</v>
      </c>
      <c r="G124" s="1" t="str">
        <f>IFERROR(__xludf.DUMMYFUNCTION("""COMPUTED_VALUE"""),"Farmácia")</f>
        <v>Farmácia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7">
        <f>IFERROR(__xludf.DUMMYFUNCTION("""COMPUTED_VALUE"""),45809.0)</f>
        <v>45809</v>
      </c>
      <c r="B125" s="8">
        <f>IFERROR(__xludf.DUMMYFUNCTION("""COMPUTED_VALUE"""),45800.0)</f>
        <v>45800</v>
      </c>
      <c r="C125" s="1" t="str">
        <f>IFERROR(__xludf.DUMMYFUNCTION("""COMPUTED_VALUE"""),"Cacarolinha")</f>
        <v>Cacarolinha</v>
      </c>
      <c r="D125" s="2">
        <f>IFERROR(__xludf.DUMMYFUNCTION("""COMPUTED_VALUE"""),27.25)</f>
        <v>27.25</v>
      </c>
      <c r="E125" s="1" t="str">
        <f>IFERROR(__xludf.DUMMYFUNCTION("""COMPUTED_VALUE"""),"-")</f>
        <v>-</v>
      </c>
      <c r="F125" s="1" t="str">
        <f>IFERROR(__xludf.DUMMYFUNCTION("""COMPUTED_VALUE"""),"Cacarolinha")</f>
        <v>Cacarolinha</v>
      </c>
      <c r="G125" s="1" t="str">
        <f>IFERROR(__xludf.DUMMYFUNCTION("""COMPUTED_VALUE"""),"Comida")</f>
        <v>Comida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7">
        <f>IFERROR(__xludf.DUMMYFUNCTION("""COMPUTED_VALUE"""),45809.0)</f>
        <v>45809</v>
      </c>
      <c r="B126" s="8">
        <f>IFERROR(__xludf.DUMMYFUNCTION("""COMPUTED_VALUE"""),45801.0)</f>
        <v>45801</v>
      </c>
      <c r="C126" s="1" t="str">
        <f>IFERROR(__xludf.DUMMYFUNCTION("""COMPUTED_VALUE"""),"Panif Mendes Sion")</f>
        <v>Panif Mendes Sion</v>
      </c>
      <c r="D126" s="2">
        <f>IFERROR(__xludf.DUMMYFUNCTION("""COMPUTED_VALUE"""),21.05)</f>
        <v>21.05</v>
      </c>
      <c r="E126" s="1" t="str">
        <f>IFERROR(__xludf.DUMMYFUNCTION("""COMPUTED_VALUE"""),"-")</f>
        <v>-</v>
      </c>
      <c r="F126" s="1" t="str">
        <f>IFERROR(__xludf.DUMMYFUNCTION("""COMPUTED_VALUE"""),"Panif Mendes Sion")</f>
        <v>Panif Mendes Sion</v>
      </c>
      <c r="G126" s="1" t="str">
        <f>IFERROR(__xludf.DUMMYFUNCTION("""COMPUTED_VALUE"""),"Comida")</f>
        <v>Comida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7">
        <f>IFERROR(__xludf.DUMMYFUNCTION("""COMPUTED_VALUE"""),45809.0)</f>
        <v>45809</v>
      </c>
      <c r="B127" s="8">
        <f>IFERROR(__xludf.DUMMYFUNCTION("""COMPUTED_VALUE"""),45801.0)</f>
        <v>45801</v>
      </c>
      <c r="C127" s="1" t="str">
        <f>IFERROR(__xludf.DUMMYFUNCTION("""COMPUTED_VALUE"""),"Golden Pet")</f>
        <v>Golden Pet</v>
      </c>
      <c r="D127" s="2">
        <f>IFERROR(__xludf.DUMMYFUNCTION("""COMPUTED_VALUE"""),124.0)</f>
        <v>124</v>
      </c>
      <c r="E127" s="1" t="str">
        <f>IFERROR(__xludf.DUMMYFUNCTION("""COMPUTED_VALUE"""),"-")</f>
        <v>-</v>
      </c>
      <c r="F127" s="1" t="str">
        <f>IFERROR(__xludf.DUMMYFUNCTION("""COMPUTED_VALUE"""),"Golden Pet")</f>
        <v>Golden Pet</v>
      </c>
      <c r="G127" s="1" t="str">
        <f>IFERROR(__xludf.DUMMYFUNCTION("""COMPUTED_VALUE"""),"Hulk")</f>
        <v>Hulk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7">
        <f>IFERROR(__xludf.DUMMYFUNCTION("""COMPUTED_VALUE"""),45809.0)</f>
        <v>45809</v>
      </c>
      <c r="B128" s="8">
        <f>IFERROR(__xludf.DUMMYFUNCTION("""COMPUTED_VALUE"""),45801.0)</f>
        <v>45801</v>
      </c>
      <c r="C128" s="1" t="str">
        <f>IFERROR(__xludf.DUMMYFUNCTION("""COMPUTED_VALUE"""),"480 Mg Bh Boulevard")</f>
        <v>480 Mg Bh Boulevard</v>
      </c>
      <c r="D128" s="2">
        <f>IFERROR(__xludf.DUMMYFUNCTION("""COMPUTED_VALUE"""),419.98)</f>
        <v>419.98</v>
      </c>
      <c r="E128" s="1" t="str">
        <f>IFERROR(__xludf.DUMMYFUNCTION("""COMPUTED_VALUE"""),"-")</f>
        <v>-</v>
      </c>
      <c r="F128" s="1" t="str">
        <f>IFERROR(__xludf.DUMMYFUNCTION("""COMPUTED_VALUE"""),"480 Mg Bh Boulevard")</f>
        <v>480 Mg Bh Boulevard</v>
      </c>
      <c r="G128" s="1" t="str">
        <f>IFERROR(__xludf.DUMMYFUNCTION("""COMPUTED_VALUE"""),"Compras")</f>
        <v>Compras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7">
        <f>IFERROR(__xludf.DUMMYFUNCTION("""COMPUTED_VALUE"""),45809.0)</f>
        <v>45809</v>
      </c>
      <c r="B129" s="8">
        <f>IFERROR(__xludf.DUMMYFUNCTION("""COMPUTED_VALUE"""),45801.0)</f>
        <v>45801</v>
      </c>
      <c r="C129" s="1" t="str">
        <f>IFERROR(__xludf.DUMMYFUNCTION("""COMPUTED_VALUE"""),"Direcao")</f>
        <v>Direcao</v>
      </c>
      <c r="D129" s="2">
        <f>IFERROR(__xludf.DUMMYFUNCTION("""COMPUTED_VALUE"""),15.75)</f>
        <v>15.75</v>
      </c>
      <c r="E129" s="1" t="str">
        <f>IFERROR(__xludf.DUMMYFUNCTION("""COMPUTED_VALUE"""),"-")</f>
        <v>-</v>
      </c>
      <c r="F129" s="1" t="str">
        <f>IFERROR(__xludf.DUMMYFUNCTION("""COMPUTED_VALUE"""),"Direcao")</f>
        <v>Direcao</v>
      </c>
      <c r="G129" s="1" t="str">
        <f>IFERROR(__xludf.DUMMYFUNCTION("""COMPUTED_VALUE"""),"-")</f>
        <v>-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7">
        <f>IFERROR(__xludf.DUMMYFUNCTION("""COMPUTED_VALUE"""),45809.0)</f>
        <v>45809</v>
      </c>
      <c r="B130" s="8">
        <f>IFERROR(__xludf.DUMMYFUNCTION("""COMPUTED_VALUE"""),45801.0)</f>
        <v>45801</v>
      </c>
      <c r="C130" s="1" t="str">
        <f>IFERROR(__xludf.DUMMYFUNCTION("""COMPUTED_VALUE"""),"O Bhar")</f>
        <v>O Bhar</v>
      </c>
      <c r="D130" s="2">
        <f>IFERROR(__xludf.DUMMYFUNCTION("""COMPUTED_VALUE"""),56.1)</f>
        <v>56.1</v>
      </c>
      <c r="E130" s="1" t="str">
        <f>IFERROR(__xludf.DUMMYFUNCTION("""COMPUTED_VALUE"""),"-")</f>
        <v>-</v>
      </c>
      <c r="F130" s="1" t="str">
        <f>IFERROR(__xludf.DUMMYFUNCTION("""COMPUTED_VALUE"""),"O Bhar")</f>
        <v>O Bhar</v>
      </c>
      <c r="G130" s="1" t="str">
        <f>IFERROR(__xludf.DUMMYFUNCTION("""COMPUTED_VALUE"""),"Comida")</f>
        <v>Comida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7">
        <f>IFERROR(__xludf.DUMMYFUNCTION("""COMPUTED_VALUE"""),45809.0)</f>
        <v>45809</v>
      </c>
      <c r="B131" s="8">
        <f>IFERROR(__xludf.DUMMYFUNCTION("""COMPUTED_VALUE"""),45802.0)</f>
        <v>45802</v>
      </c>
      <c r="C131" s="1" t="str">
        <f>IFERROR(__xludf.DUMMYFUNCTION("""COMPUTED_VALUE"""),"Assaí Atacadista")</f>
        <v>Assaí Atacadista</v>
      </c>
      <c r="D131" s="2">
        <f>IFERROR(__xludf.DUMMYFUNCTION("""COMPUTED_VALUE"""),68.78)</f>
        <v>68.78</v>
      </c>
      <c r="E131" s="1" t="str">
        <f>IFERROR(__xludf.DUMMYFUNCTION("""COMPUTED_VALUE"""),"-")</f>
        <v>-</v>
      </c>
      <c r="F131" s="1" t="str">
        <f>IFERROR(__xludf.DUMMYFUNCTION("""COMPUTED_VALUE"""),"Assaí Atacadista")</f>
        <v>Assaí Atacadista</v>
      </c>
      <c r="G131" s="1" t="str">
        <f>IFERROR(__xludf.DUMMYFUNCTION("""COMPUTED_VALUE"""),"Supermercado")</f>
        <v>Supermercado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7">
        <f>IFERROR(__xludf.DUMMYFUNCTION("""COMPUTED_VALUE"""),45809.0)</f>
        <v>45809</v>
      </c>
      <c r="B132" s="8">
        <f>IFERROR(__xludf.DUMMYFUNCTION("""COMPUTED_VALUE"""),45802.0)</f>
        <v>45802</v>
      </c>
      <c r="C132" s="1" t="str">
        <f>IFERROR(__xludf.DUMMYFUNCTION("""COMPUTED_VALUE"""),"Assaí Atacadista")</f>
        <v>Assaí Atacadista</v>
      </c>
      <c r="D132" s="2">
        <f>IFERROR(__xludf.DUMMYFUNCTION("""COMPUTED_VALUE"""),16.05)</f>
        <v>16.05</v>
      </c>
      <c r="E132" s="1" t="str">
        <f>IFERROR(__xludf.DUMMYFUNCTION("""COMPUTED_VALUE"""),"-")</f>
        <v>-</v>
      </c>
      <c r="F132" s="1" t="str">
        <f>IFERROR(__xludf.DUMMYFUNCTION("""COMPUTED_VALUE"""),"Assaí Atacadista")</f>
        <v>Assaí Atacadista</v>
      </c>
      <c r="G132" s="1" t="str">
        <f>IFERROR(__xludf.DUMMYFUNCTION("""COMPUTED_VALUE"""),"Supermercado")</f>
        <v>Supermercado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7">
        <f>IFERROR(__xludf.DUMMYFUNCTION("""COMPUTED_VALUE"""),45809.0)</f>
        <v>45809</v>
      </c>
      <c r="B133" s="8">
        <f>IFERROR(__xludf.DUMMYFUNCTION("""COMPUTED_VALUE"""),45802.0)</f>
        <v>45802</v>
      </c>
      <c r="C133" s="1" t="str">
        <f>IFERROR(__xludf.DUMMYFUNCTION("""COMPUTED_VALUE"""),"Panif Mendes Sion")</f>
        <v>Panif Mendes Sion</v>
      </c>
      <c r="D133" s="2">
        <f>IFERROR(__xludf.DUMMYFUNCTION("""COMPUTED_VALUE"""),15.65)</f>
        <v>15.65</v>
      </c>
      <c r="E133" s="1" t="str">
        <f>IFERROR(__xludf.DUMMYFUNCTION("""COMPUTED_VALUE"""),"-")</f>
        <v>-</v>
      </c>
      <c r="F133" s="1" t="str">
        <f>IFERROR(__xludf.DUMMYFUNCTION("""COMPUTED_VALUE"""),"Panif Mendes Sion")</f>
        <v>Panif Mendes Sion</v>
      </c>
      <c r="G133" s="1" t="str">
        <f>IFERROR(__xludf.DUMMYFUNCTION("""COMPUTED_VALUE"""),"Comida")</f>
        <v>Comida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7">
        <f>IFERROR(__xludf.DUMMYFUNCTION("""COMPUTED_VALUE"""),45809.0)</f>
        <v>45809</v>
      </c>
      <c r="B134" s="8">
        <f>IFERROR(__xludf.DUMMYFUNCTION("""COMPUTED_VALUE"""),45804.0)</f>
        <v>45804</v>
      </c>
      <c r="C134" s="1" t="str">
        <f>IFERROR(__xludf.DUMMYFUNCTION("""COMPUTED_VALUE"""),"Redentor")</f>
        <v>Redentor</v>
      </c>
      <c r="D134" s="2">
        <f>IFERROR(__xludf.DUMMYFUNCTION("""COMPUTED_VALUE"""),46.01)</f>
        <v>46.01</v>
      </c>
      <c r="E134" s="1" t="str">
        <f>IFERROR(__xludf.DUMMYFUNCTION("""COMPUTED_VALUE"""),"-")</f>
        <v>-</v>
      </c>
      <c r="F134" s="1" t="str">
        <f>IFERROR(__xludf.DUMMYFUNCTION("""COMPUTED_VALUE"""),"Redentor")</f>
        <v>Redentor</v>
      </c>
      <c r="G134" s="1" t="str">
        <f>IFERROR(__xludf.DUMMYFUNCTION("""COMPUTED_VALUE"""),"Comida")</f>
        <v>Comida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7">
        <f>IFERROR(__xludf.DUMMYFUNCTION("""COMPUTED_VALUE"""),45809.0)</f>
        <v>45809</v>
      </c>
      <c r="B135" s="8">
        <f>IFERROR(__xludf.DUMMYFUNCTION("""COMPUTED_VALUE"""),45804.0)</f>
        <v>45804</v>
      </c>
      <c r="C135" s="1" t="str">
        <f>IFERROR(__xludf.DUMMYFUNCTION("""COMPUTED_VALUE"""),"Amo Burger")</f>
        <v>Amo Burger</v>
      </c>
      <c r="D135" s="2">
        <f>IFERROR(__xludf.DUMMYFUNCTION("""COMPUTED_VALUE"""),98.78)</f>
        <v>98.78</v>
      </c>
      <c r="E135" s="1" t="str">
        <f>IFERROR(__xludf.DUMMYFUNCTION("""COMPUTED_VALUE"""),"-")</f>
        <v>-</v>
      </c>
      <c r="F135" s="1" t="str">
        <f>IFERROR(__xludf.DUMMYFUNCTION("""COMPUTED_VALUE"""),"Amo Burger")</f>
        <v>Amo Burger</v>
      </c>
      <c r="G135" s="1" t="str">
        <f>IFERROR(__xludf.DUMMYFUNCTION("""COMPUTED_VALUE"""),"Comida")</f>
        <v>Comida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7">
        <f>IFERROR(__xludf.DUMMYFUNCTION("""COMPUTED_VALUE"""),45809.0)</f>
        <v>45809</v>
      </c>
      <c r="B136" s="8">
        <f>IFERROR(__xludf.DUMMYFUNCTION("""COMPUTED_VALUE"""),45793.0)</f>
        <v>45793</v>
      </c>
      <c r="C136" s="1" t="str">
        <f>IFERROR(__xludf.DUMMYFUNCTION("""COMPUTED_VALUE"""),"Mai Tiradentes")</f>
        <v>Mai Tiradentes</v>
      </c>
      <c r="D136" s="2">
        <f>IFERROR(__xludf.DUMMYFUNCTION("""COMPUTED_VALUE"""),36.97)</f>
        <v>36.97</v>
      </c>
      <c r="E136" s="1" t="str">
        <f>IFERROR(__xludf.DUMMYFUNCTION("""COMPUTED_VALUE"""),"-")</f>
        <v>-</v>
      </c>
      <c r="F136" s="1" t="str">
        <f>IFERROR(__xludf.DUMMYFUNCTION("""COMPUTED_VALUE"""),"Mai Tiradentes")</f>
        <v>Mai Tiradentes</v>
      </c>
      <c r="G136" s="1" t="str">
        <f>IFERROR(__xludf.DUMMYFUNCTION("""COMPUTED_VALUE"""),"Viagem")</f>
        <v>Viagem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7">
        <f>IFERROR(__xludf.DUMMYFUNCTION("""COMPUTED_VALUE"""),45809.0)</f>
        <v>45809</v>
      </c>
      <c r="B137" s="8">
        <f>IFERROR(__xludf.DUMMYFUNCTION("""COMPUTED_VALUE"""),45757.0)</f>
        <v>45757</v>
      </c>
      <c r="C137" s="1" t="str">
        <f>IFERROR(__xludf.DUMMYFUNCTION("""COMPUTED_VALUE"""),"Amazonmktplc Delutecom (2/2)")</f>
        <v>Amazonmktplc Delutecom (2/2)</v>
      </c>
      <c r="D137" s="2">
        <f>IFERROR(__xludf.DUMMYFUNCTION("""COMPUTED_VALUE"""),74.95)</f>
        <v>74.95</v>
      </c>
      <c r="E137" s="1" t="str">
        <f>IFERROR(__xludf.DUMMYFUNCTION("""COMPUTED_VALUE"""),"-")</f>
        <v>-</v>
      </c>
      <c r="F137" s="1" t="str">
        <f>IFERROR(__xludf.DUMMYFUNCTION("""COMPUTED_VALUE"""),"Amazonmktplc")</f>
        <v>Amazonmktplc</v>
      </c>
      <c r="G137" s="1" t="str">
        <f>IFERROR(__xludf.DUMMYFUNCTION("""COMPUTED_VALUE"""),"Compras")</f>
        <v>Compras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7">
        <f>IFERROR(__xludf.DUMMYFUNCTION("""COMPUTED_VALUE"""),45809.0)</f>
        <v>45809</v>
      </c>
      <c r="B138" s="8">
        <f>IFERROR(__xludf.DUMMYFUNCTION("""COMPUTED_VALUE"""),45757.0)</f>
        <v>45757</v>
      </c>
      <c r="C138" s="1" t="str">
        <f>IFERROR(__xludf.DUMMYFUNCTION("""COMPUTED_VALUE"""),"Amazon (2/3)")</f>
        <v>Amazon (2/3)</v>
      </c>
      <c r="D138" s="2">
        <f>IFERROR(__xludf.DUMMYFUNCTION("""COMPUTED_VALUE"""),84.53)</f>
        <v>84.53</v>
      </c>
      <c r="E138" s="1" t="str">
        <f>IFERROR(__xludf.DUMMYFUNCTION("""COMPUTED_VALUE"""),"-")</f>
        <v>-</v>
      </c>
      <c r="F138" s="1" t="str">
        <f>IFERROR(__xludf.DUMMYFUNCTION("""COMPUTED_VALUE"""),"Amazon")</f>
        <v>Amazon</v>
      </c>
      <c r="G138" s="1" t="str">
        <f>IFERROR(__xludf.DUMMYFUNCTION("""COMPUTED_VALUE"""),"Compras")</f>
        <v>Compras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7">
        <f>IFERROR(__xludf.DUMMYFUNCTION("""COMPUTED_VALUE"""),45809.0)</f>
        <v>45809</v>
      </c>
      <c r="B139" s="8">
        <f>IFERROR(__xludf.DUMMYFUNCTION("""COMPUTED_VALUE"""),45762.0)</f>
        <v>45762</v>
      </c>
      <c r="C139" s="1" t="str">
        <f>IFERROR(__xludf.DUMMYFUNCTION("""COMPUTED_VALUE"""),"Lavo Ta Novo (2/2)")</f>
        <v>Lavo Ta Novo (2/2)</v>
      </c>
      <c r="D139" s="2">
        <f>IFERROR(__xludf.DUMMYFUNCTION("""COMPUTED_VALUE"""),217.5)</f>
        <v>217.5</v>
      </c>
      <c r="E139" s="1" t="str">
        <f>IFERROR(__xludf.DUMMYFUNCTION("""COMPUTED_VALUE"""),"-")</f>
        <v>-</v>
      </c>
      <c r="F139" s="1" t="str">
        <f>IFERROR(__xludf.DUMMYFUNCTION("""COMPUTED_VALUE"""),"Lavo Ta Novo")</f>
        <v>Lavo Ta Novo</v>
      </c>
      <c r="G139" s="1" t="str">
        <f>IFERROR(__xludf.DUMMYFUNCTION("""COMPUTED_VALUE"""),"Compras")</f>
        <v>Compras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7">
        <f>IFERROR(__xludf.DUMMYFUNCTION("""COMPUTED_VALUE"""),45809.0)</f>
        <v>45809</v>
      </c>
      <c r="B140" s="8">
        <f>IFERROR(__xludf.DUMMYFUNCTION("""COMPUTED_VALUE"""),45765.0)</f>
        <v>45765</v>
      </c>
      <c r="C140" s="1" t="str">
        <f>IFERROR(__xludf.DUMMYFUNCTION("""COMPUTED_VALUE"""),"Casas Bahia (2/10)")</f>
        <v>Casas Bahia (2/10)</v>
      </c>
      <c r="D140" s="2">
        <f>IFERROR(__xludf.DUMMYFUNCTION("""COMPUTED_VALUE"""),361.46)</f>
        <v>361.46</v>
      </c>
      <c r="E140" s="1" t="str">
        <f>IFERROR(__xludf.DUMMYFUNCTION("""COMPUTED_VALUE"""),"-")</f>
        <v>-</v>
      </c>
      <c r="F140" s="1" t="str">
        <f>IFERROR(__xludf.DUMMYFUNCTION("""COMPUTED_VALUE"""),"Casas Bahia")</f>
        <v>Casas Bahia</v>
      </c>
      <c r="G140" s="1" t="str">
        <f>IFERROR(__xludf.DUMMYFUNCTION("""COMPUTED_VALUE"""),"Compras")</f>
        <v>Compras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7">
        <f>IFERROR(__xludf.DUMMYFUNCTION("""COMPUTED_VALUE"""),45809.0)</f>
        <v>45809</v>
      </c>
      <c r="B141" s="8">
        <f>IFERROR(__xludf.DUMMYFUNCTION("""COMPUTED_VALUE"""),45765.0)</f>
        <v>45765</v>
      </c>
      <c r="C141" s="1" t="str">
        <f>IFERROR(__xludf.DUMMYFUNCTION("""COMPUTED_VALUE"""),"Shopee (2/3)")</f>
        <v>Shopee (2/3)</v>
      </c>
      <c r="D141" s="2">
        <f>IFERROR(__xludf.DUMMYFUNCTION("""COMPUTED_VALUE"""),89.63)</f>
        <v>89.63</v>
      </c>
      <c r="E141" s="1" t="str">
        <f>IFERROR(__xludf.DUMMYFUNCTION("""COMPUTED_VALUE"""),"-")</f>
        <v>-</v>
      </c>
      <c r="F141" s="1" t="str">
        <f>IFERROR(__xludf.DUMMYFUNCTION("""COMPUTED_VALUE"""),"Shopee")</f>
        <v>Shopee</v>
      </c>
      <c r="G141" s="1" t="str">
        <f>IFERROR(__xludf.DUMMYFUNCTION("""COMPUTED_VALUE"""),"Compras")</f>
        <v>Compras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7">
        <f>IFERROR(__xludf.DUMMYFUNCTION("""COMPUTED_VALUE"""),45809.0)</f>
        <v>45809</v>
      </c>
      <c r="B142" s="8">
        <f>IFERROR(__xludf.DUMMYFUNCTION("""COMPUTED_VALUE"""),45765.0)</f>
        <v>45765</v>
      </c>
      <c r="C142" s="1" t="str">
        <f>IFERROR(__xludf.DUMMYFUNCTION("""COMPUTED_VALUE"""),"Yogi Baby (2/3)")</f>
        <v>Yogi Baby (2/3)</v>
      </c>
      <c r="D142" s="2">
        <f>IFERROR(__xludf.DUMMYFUNCTION("""COMPUTED_VALUE"""),24.48)</f>
        <v>24.48</v>
      </c>
      <c r="E142" s="1" t="str">
        <f>IFERROR(__xludf.DUMMYFUNCTION("""COMPUTED_VALUE"""),"-")</f>
        <v>-</v>
      </c>
      <c r="F142" s="1" t="str">
        <f>IFERROR(__xludf.DUMMYFUNCTION("""COMPUTED_VALUE"""),"Yogi Baby")</f>
        <v>Yogi Baby</v>
      </c>
      <c r="G142" s="1" t="str">
        <f>IFERROR(__xludf.DUMMYFUNCTION("""COMPUTED_VALUE"""),"Compras")</f>
        <v>Compras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7">
        <f>IFERROR(__xludf.DUMMYFUNCTION("""COMPUTED_VALUE"""),45809.0)</f>
        <v>45809</v>
      </c>
      <c r="B143" s="8">
        <f>IFERROR(__xludf.DUMMYFUNCTION("""COMPUTED_VALUE"""),45766.0)</f>
        <v>45766</v>
      </c>
      <c r="C143" s="1" t="str">
        <f>IFERROR(__xludf.DUMMYFUNCTION("""COMPUTED_VALUE"""),"Petlove (2/3)")</f>
        <v>Petlove (2/3)</v>
      </c>
      <c r="D143" s="2">
        <f>IFERROR(__xludf.DUMMYFUNCTION("""COMPUTED_VALUE"""),149.0)</f>
        <v>149</v>
      </c>
      <c r="E143" s="1" t="str">
        <f>IFERROR(__xludf.DUMMYFUNCTION("""COMPUTED_VALUE"""),"-")</f>
        <v>-</v>
      </c>
      <c r="F143" s="1" t="str">
        <f>IFERROR(__xludf.DUMMYFUNCTION("""COMPUTED_VALUE"""),"Petlove")</f>
        <v>Petlove</v>
      </c>
      <c r="G143" s="1" t="str">
        <f>IFERROR(__xludf.DUMMYFUNCTION("""COMPUTED_VALUE"""),"Hulk")</f>
        <v>Hulk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7">
        <f>IFERROR(__xludf.DUMMYFUNCTION("""COMPUTED_VALUE"""),45809.0)</f>
        <v>45809</v>
      </c>
      <c r="B144" s="8">
        <f>IFERROR(__xludf.DUMMYFUNCTION("""COMPUTED_VALUE"""),45768.0)</f>
        <v>45768</v>
      </c>
      <c r="C144" s="1" t="str">
        <f>IFERROR(__xludf.DUMMYFUNCTION("""COMPUTED_VALUE"""),"Lellis Baby (2/3)")</f>
        <v>Lellis Baby (2/3)</v>
      </c>
      <c r="D144" s="2">
        <f>IFERROR(__xludf.DUMMYFUNCTION("""COMPUTED_VALUE"""),137.13)</f>
        <v>137.13</v>
      </c>
      <c r="E144" s="1" t="str">
        <f>IFERROR(__xludf.DUMMYFUNCTION("""COMPUTED_VALUE"""),"-")</f>
        <v>-</v>
      </c>
      <c r="F144" s="1" t="str">
        <f>IFERROR(__xludf.DUMMYFUNCTION("""COMPUTED_VALUE"""),"Lellis Baby")</f>
        <v>Lellis Baby</v>
      </c>
      <c r="G144" s="1" t="str">
        <f>IFERROR(__xludf.DUMMYFUNCTION("""COMPUTED_VALUE"""),"Compras")</f>
        <v>Compras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7">
        <f>IFERROR(__xludf.DUMMYFUNCTION("""COMPUTED_VALUE"""),45809.0)</f>
        <v>45809</v>
      </c>
      <c r="B145" s="8">
        <f>IFERROR(__xludf.DUMMYFUNCTION("""COMPUTED_VALUE"""),45768.0)</f>
        <v>45768</v>
      </c>
      <c r="C145" s="1" t="str">
        <f>IFERROR(__xludf.DUMMYFUNCTION("""COMPUTED_VALUE"""),"Alce (2/3)")</f>
        <v>Alce (2/3)</v>
      </c>
      <c r="D145" s="2">
        <f>IFERROR(__xludf.DUMMYFUNCTION("""COMPUTED_VALUE"""),139.17)</f>
        <v>139.17</v>
      </c>
      <c r="E145" s="1" t="str">
        <f>IFERROR(__xludf.DUMMYFUNCTION("""COMPUTED_VALUE"""),"-")</f>
        <v>-</v>
      </c>
      <c r="F145" s="1" t="str">
        <f>IFERROR(__xludf.DUMMYFUNCTION("""COMPUTED_VALUE"""),"Alce")</f>
        <v>Alce</v>
      </c>
      <c r="G145" s="1" t="str">
        <f>IFERROR(__xludf.DUMMYFUNCTION("""COMPUTED_VALUE"""),"Compras")</f>
        <v>Compras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7">
        <f>IFERROR(__xludf.DUMMYFUNCTION("""COMPUTED_VALUE"""),45809.0)</f>
        <v>45809</v>
      </c>
      <c r="B146" s="8">
        <f>IFERROR(__xludf.DUMMYFUNCTION("""COMPUTED_VALUE"""),45776.0)</f>
        <v>45776</v>
      </c>
      <c r="C146" s="1" t="str">
        <f>IFERROR(__xludf.DUMMYFUNCTION("""COMPUTED_VALUE"""),"Uber")</f>
        <v>Uber</v>
      </c>
      <c r="D146" s="2">
        <f>IFERROR(__xludf.DUMMYFUNCTION("""COMPUTED_VALUE"""),43.99)</f>
        <v>43.99</v>
      </c>
      <c r="E146" s="1" t="str">
        <f>IFERROR(__xludf.DUMMYFUNCTION("""COMPUTED_VALUE"""),"-")</f>
        <v>-</v>
      </c>
      <c r="F146" s="1" t="str">
        <f>IFERROR(__xludf.DUMMYFUNCTION("""COMPUTED_VALUE"""),"Uber")</f>
        <v>Uber</v>
      </c>
      <c r="G146" s="1" t="str">
        <f>IFERROR(__xludf.DUMMYFUNCTION("""COMPUTED_VALUE"""),"dti")</f>
        <v>dti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7">
        <f>IFERROR(__xludf.DUMMYFUNCTION("""COMPUTED_VALUE"""),45809.0)</f>
        <v>45809</v>
      </c>
      <c r="B147" s="8">
        <f>IFERROR(__xludf.DUMMYFUNCTION("""COMPUTED_VALUE"""),45776.0)</f>
        <v>45776</v>
      </c>
      <c r="C147" s="1" t="str">
        <f>IFERROR(__xludf.DUMMYFUNCTION("""COMPUTED_VALUE"""),"Uber")</f>
        <v>Uber</v>
      </c>
      <c r="D147" s="2">
        <f>IFERROR(__xludf.DUMMYFUNCTION("""COMPUTED_VALUE"""),114.29)</f>
        <v>114.29</v>
      </c>
      <c r="E147" s="1" t="str">
        <f>IFERROR(__xludf.DUMMYFUNCTION("""COMPUTED_VALUE"""),"-")</f>
        <v>-</v>
      </c>
      <c r="F147" s="1" t="str">
        <f>IFERROR(__xludf.DUMMYFUNCTION("""COMPUTED_VALUE"""),"Uber")</f>
        <v>Uber</v>
      </c>
      <c r="G147" s="1" t="str">
        <f>IFERROR(__xludf.DUMMYFUNCTION("""COMPUTED_VALUE"""),"dti")</f>
        <v>dti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7">
        <f>IFERROR(__xludf.DUMMYFUNCTION("""COMPUTED_VALUE"""),45809.0)</f>
        <v>45809</v>
      </c>
      <c r="B148" s="8">
        <f>IFERROR(__xludf.DUMMYFUNCTION("""COMPUTED_VALUE"""),45776.0)</f>
        <v>45776</v>
      </c>
      <c r="C148" s="1" t="str">
        <f>IFERROR(__xludf.DUMMYFUNCTION("""COMPUTED_VALUE"""),"Uber")</f>
        <v>Uber</v>
      </c>
      <c r="D148" s="2">
        <f>IFERROR(__xludf.DUMMYFUNCTION("""COMPUTED_VALUE"""),74.89)</f>
        <v>74.89</v>
      </c>
      <c r="E148" s="1" t="str">
        <f>IFERROR(__xludf.DUMMYFUNCTION("""COMPUTED_VALUE"""),"-")</f>
        <v>-</v>
      </c>
      <c r="F148" s="1" t="str">
        <f>IFERROR(__xludf.DUMMYFUNCTION("""COMPUTED_VALUE"""),"Uber")</f>
        <v>Uber</v>
      </c>
      <c r="G148" s="1" t="str">
        <f>IFERROR(__xludf.DUMMYFUNCTION("""COMPUTED_VALUE"""),"dti")</f>
        <v>dti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7">
        <f>IFERROR(__xludf.DUMMYFUNCTION("""COMPUTED_VALUE"""),45809.0)</f>
        <v>45809</v>
      </c>
      <c r="B149" s="8">
        <f>IFERROR(__xludf.DUMMYFUNCTION("""COMPUTED_VALUE"""),45777.0)</f>
        <v>45777</v>
      </c>
      <c r="C149" s="1" t="str">
        <f>IFERROR(__xludf.DUMMYFUNCTION("""COMPUTED_VALUE"""),"Uber")</f>
        <v>Uber</v>
      </c>
      <c r="D149" s="2">
        <f>IFERROR(__xludf.DUMMYFUNCTION("""COMPUTED_VALUE"""),109.12)</f>
        <v>109.12</v>
      </c>
      <c r="E149" s="1" t="str">
        <f>IFERROR(__xludf.DUMMYFUNCTION("""COMPUTED_VALUE"""),"-")</f>
        <v>-</v>
      </c>
      <c r="F149" s="1" t="str">
        <f>IFERROR(__xludf.DUMMYFUNCTION("""COMPUTED_VALUE"""),"Uber")</f>
        <v>Uber</v>
      </c>
      <c r="G149" s="1" t="str">
        <f>IFERROR(__xludf.DUMMYFUNCTION("""COMPUTED_VALUE"""),"dti")</f>
        <v>dti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7">
        <f>IFERROR(__xludf.DUMMYFUNCTION("""COMPUTED_VALUE"""),45809.0)</f>
        <v>45809</v>
      </c>
      <c r="B150" s="8">
        <f>IFERROR(__xludf.DUMMYFUNCTION("""COMPUTED_VALUE"""),45779.0)</f>
        <v>45779</v>
      </c>
      <c r="C150" s="1" t="str">
        <f>IFERROR(__xludf.DUMMYFUNCTION("""COMPUTED_VALUE"""),"Amazon")</f>
        <v>Amazon</v>
      </c>
      <c r="D150" s="2">
        <f>IFERROR(__xludf.DUMMYFUNCTION("""COMPUTED_VALUE"""),46.2)</f>
        <v>46.2</v>
      </c>
      <c r="E150" s="1" t="str">
        <f>IFERROR(__xludf.DUMMYFUNCTION("""COMPUTED_VALUE"""),"-")</f>
        <v>-</v>
      </c>
      <c r="F150" s="1" t="str">
        <f>IFERROR(__xludf.DUMMYFUNCTION("""COMPUTED_VALUE"""),"Amazon")</f>
        <v>Amazon</v>
      </c>
      <c r="G150" s="1" t="str">
        <f>IFERROR(__xludf.DUMMYFUNCTION("""COMPUTED_VALUE"""),"Compras")</f>
        <v>Compras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7">
        <f>IFERROR(__xludf.DUMMYFUNCTION("""COMPUTED_VALUE"""),45809.0)</f>
        <v>45809</v>
      </c>
      <c r="B151" s="8">
        <f>IFERROR(__xludf.DUMMYFUNCTION("""COMPUTED_VALUE"""),45781.0)</f>
        <v>45781</v>
      </c>
      <c r="C151" s="1" t="str">
        <f>IFERROR(__xludf.DUMMYFUNCTION("""COMPUTED_VALUE"""),"Amazon")</f>
        <v>Amazon</v>
      </c>
      <c r="D151" s="2">
        <f>IFERROR(__xludf.DUMMYFUNCTION("""COMPUTED_VALUE"""),29.05)</f>
        <v>29.05</v>
      </c>
      <c r="E151" s="1" t="str">
        <f>IFERROR(__xludf.DUMMYFUNCTION("""COMPUTED_VALUE"""),"-")</f>
        <v>-</v>
      </c>
      <c r="F151" s="1" t="str">
        <f>IFERROR(__xludf.DUMMYFUNCTION("""COMPUTED_VALUE"""),"Amazon")</f>
        <v>Amazon</v>
      </c>
      <c r="G151" s="1" t="str">
        <f>IFERROR(__xludf.DUMMYFUNCTION("""COMPUTED_VALUE"""),"Compras")</f>
        <v>Compras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7">
        <f>IFERROR(__xludf.DUMMYFUNCTION("""COMPUTED_VALUE"""),45809.0)</f>
        <v>45809</v>
      </c>
      <c r="B152" s="8">
        <f>IFERROR(__xludf.DUMMYFUNCTION("""COMPUTED_VALUE"""),45783.0)</f>
        <v>45783</v>
      </c>
      <c r="C152" s="1" t="str">
        <f>IFERROR(__xludf.DUMMYFUNCTION("""COMPUTED_VALUE"""),"Shopee")</f>
        <v>Shopee</v>
      </c>
      <c r="D152" s="2">
        <f>IFERROR(__xludf.DUMMYFUNCTION("""COMPUTED_VALUE"""),69.9)</f>
        <v>69.9</v>
      </c>
      <c r="E152" s="1" t="str">
        <f>IFERROR(__xludf.DUMMYFUNCTION("""COMPUTED_VALUE"""),"-")</f>
        <v>-</v>
      </c>
      <c r="F152" s="1" t="str">
        <f>IFERROR(__xludf.DUMMYFUNCTION("""COMPUTED_VALUE"""),"Shopee")</f>
        <v>Shopee</v>
      </c>
      <c r="G152" s="1" t="str">
        <f>IFERROR(__xludf.DUMMYFUNCTION("""COMPUTED_VALUE"""),"Compras")</f>
        <v>Compras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7">
        <f>IFERROR(__xludf.DUMMYFUNCTION("""COMPUTED_VALUE"""),45809.0)</f>
        <v>45809</v>
      </c>
      <c r="B153" s="8">
        <f>IFERROR(__xludf.DUMMYFUNCTION("""COMPUTED_VALUE"""),45783.0)</f>
        <v>45783</v>
      </c>
      <c r="C153" s="1">
        <f>IFERROR(__xludf.DUMMYFUNCTION("""COMPUTED_VALUE"""),99.0)</f>
        <v>99</v>
      </c>
      <c r="D153" s="2">
        <f>IFERROR(__xludf.DUMMYFUNCTION("""COMPUTED_VALUE"""),13.4)</f>
        <v>13.4</v>
      </c>
      <c r="E153" s="1" t="str">
        <f>IFERROR(__xludf.DUMMYFUNCTION("""COMPUTED_VALUE"""),"-")</f>
        <v>-</v>
      </c>
      <c r="F153" s="1" t="str">
        <f>IFERROR(__xludf.DUMMYFUNCTION("""COMPUTED_VALUE"""),"99")</f>
        <v>99</v>
      </c>
      <c r="G153" s="1" t="str">
        <f>IFERROR(__xludf.DUMMYFUNCTION("""COMPUTED_VALUE"""),"Uber/99")</f>
        <v>Uber/99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7">
        <f>IFERROR(__xludf.DUMMYFUNCTION("""COMPUTED_VALUE"""),45809.0)</f>
        <v>45809</v>
      </c>
      <c r="B154" s="8">
        <f>IFERROR(__xludf.DUMMYFUNCTION("""COMPUTED_VALUE"""),45784.0)</f>
        <v>45784</v>
      </c>
      <c r="C154" s="1" t="str">
        <f>IFERROR(__xludf.DUMMYFUNCTION("""COMPUTED_VALUE"""),"Amazon Prime (1/12)")</f>
        <v>Amazon Prime (1/12)</v>
      </c>
      <c r="D154" s="2">
        <f>IFERROR(__xludf.DUMMYFUNCTION("""COMPUTED_VALUE"""),13.9)</f>
        <v>13.9</v>
      </c>
      <c r="E154" s="1" t="str">
        <f>IFERROR(__xludf.DUMMYFUNCTION("""COMPUTED_VALUE"""),"-")</f>
        <v>-</v>
      </c>
      <c r="F154" s="1" t="str">
        <f>IFERROR(__xludf.DUMMYFUNCTION("""COMPUTED_VALUE"""),"Amazon Prime")</f>
        <v>Amazon Prime</v>
      </c>
      <c r="G154" s="1" t="str">
        <f>IFERROR(__xludf.DUMMYFUNCTION("""COMPUTED_VALUE"""),"Assinatura")</f>
        <v>Assinatura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7">
        <f>IFERROR(__xludf.DUMMYFUNCTION("""COMPUTED_VALUE"""),45809.0)</f>
        <v>45809</v>
      </c>
      <c r="B155" s="8">
        <f>IFERROR(__xludf.DUMMYFUNCTION("""COMPUTED_VALUE"""),45785.0)</f>
        <v>45785</v>
      </c>
      <c r="C155" s="1" t="str">
        <f>IFERROR(__xludf.DUMMYFUNCTION("""COMPUTED_VALUE"""),"Unisant")</f>
        <v>Unisant</v>
      </c>
      <c r="D155" s="2">
        <f>IFERROR(__xludf.DUMMYFUNCTION("""COMPUTED_VALUE"""),225.53)</f>
        <v>225.53</v>
      </c>
      <c r="E155" s="1" t="str">
        <f>IFERROR(__xludf.DUMMYFUNCTION("""COMPUTED_VALUE"""),"-")</f>
        <v>-</v>
      </c>
      <c r="F155" s="1" t="str">
        <f>IFERROR(__xludf.DUMMYFUNCTION("""COMPUTED_VALUE"""),"Unisant")</f>
        <v>Unisant</v>
      </c>
      <c r="G155" s="1" t="str">
        <f>IFERROR(__xludf.DUMMYFUNCTION("""COMPUTED_VALUE"""),"-")</f>
        <v>-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7">
        <f>IFERROR(__xludf.DUMMYFUNCTION("""COMPUTED_VALUE"""),45809.0)</f>
        <v>45809</v>
      </c>
      <c r="B156" s="8">
        <f>IFERROR(__xludf.DUMMYFUNCTION("""COMPUTED_VALUE"""),45786.0)</f>
        <v>45786</v>
      </c>
      <c r="C156" s="1" t="str">
        <f>IFERROR(__xludf.DUMMYFUNCTION("""COMPUTED_VALUE"""),"Shopee (1/2)")</f>
        <v>Shopee (1/2)</v>
      </c>
      <c r="D156" s="2">
        <f>IFERROR(__xludf.DUMMYFUNCTION("""COMPUTED_VALUE"""),60.54)</f>
        <v>60.54</v>
      </c>
      <c r="E156" s="1" t="str">
        <f>IFERROR(__xludf.DUMMYFUNCTION("""COMPUTED_VALUE"""),"-")</f>
        <v>-</v>
      </c>
      <c r="F156" s="1" t="str">
        <f>IFERROR(__xludf.DUMMYFUNCTION("""COMPUTED_VALUE"""),"Shopee")</f>
        <v>Shopee</v>
      </c>
      <c r="G156" s="1" t="str">
        <f>IFERROR(__xludf.DUMMYFUNCTION("""COMPUTED_VALUE"""),"Compras")</f>
        <v>Compras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7">
        <f>IFERROR(__xludf.DUMMYFUNCTION("""COMPUTED_VALUE"""),45809.0)</f>
        <v>45809</v>
      </c>
      <c r="B157" s="8">
        <f>IFERROR(__xludf.DUMMYFUNCTION("""COMPUTED_VALUE"""),45786.0)</f>
        <v>45786</v>
      </c>
      <c r="C157" s="1" t="str">
        <f>IFERROR(__xludf.DUMMYFUNCTION("""COMPUTED_VALUE"""),"Microsoft")</f>
        <v>Microsoft</v>
      </c>
      <c r="D157" s="2">
        <f>IFERROR(__xludf.DUMMYFUNCTION("""COMPUTED_VALUE"""),31.85)</f>
        <v>31.85</v>
      </c>
      <c r="E157" s="1" t="str">
        <f>IFERROR(__xludf.DUMMYFUNCTION("""COMPUTED_VALUE"""),"-")</f>
        <v>-</v>
      </c>
      <c r="F157" s="1" t="str">
        <f>IFERROR(__xludf.DUMMYFUNCTION("""COMPUTED_VALUE"""),"Microsoft")</f>
        <v>Microsoft</v>
      </c>
      <c r="G157" s="1" t="str">
        <f>IFERROR(__xludf.DUMMYFUNCTION("""COMPUTED_VALUE"""),"Assinatura")</f>
        <v>Assinatura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7">
        <f>IFERROR(__xludf.DUMMYFUNCTION("""COMPUTED_VALUE"""),45809.0)</f>
        <v>45809</v>
      </c>
      <c r="B158" s="8">
        <f>IFERROR(__xludf.DUMMYFUNCTION("""COMPUTED_VALUE"""),45786.0)</f>
        <v>45786</v>
      </c>
      <c r="C158" s="1" t="str">
        <f>IFERROR(__xludf.DUMMYFUNCTION("""COMPUTED_VALUE"""),"Uber")</f>
        <v>Uber</v>
      </c>
      <c r="D158" s="2">
        <f>IFERROR(__xludf.DUMMYFUNCTION("""COMPUTED_VALUE"""),26.06)</f>
        <v>26.06</v>
      </c>
      <c r="E158" s="1" t="str">
        <f>IFERROR(__xludf.DUMMYFUNCTION("""COMPUTED_VALUE"""),"-")</f>
        <v>-</v>
      </c>
      <c r="F158" s="1" t="str">
        <f>IFERROR(__xludf.DUMMYFUNCTION("""COMPUTED_VALUE"""),"Uber")</f>
        <v>Uber</v>
      </c>
      <c r="G158" s="1" t="str">
        <f>IFERROR(__xludf.DUMMYFUNCTION("""COMPUTED_VALUE"""),"Uber/99")</f>
        <v>Uber/99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7">
        <f>IFERROR(__xludf.DUMMYFUNCTION("""COMPUTED_VALUE"""),45809.0)</f>
        <v>45809</v>
      </c>
      <c r="B159" s="8">
        <f>IFERROR(__xludf.DUMMYFUNCTION("""COMPUTED_VALUE"""),45787.0)</f>
        <v>45787</v>
      </c>
      <c r="C159" s="1" t="str">
        <f>IFERROR(__xludf.DUMMYFUNCTION("""COMPUTED_VALUE"""),"Uber")</f>
        <v>Uber</v>
      </c>
      <c r="D159" s="2">
        <f>IFERROR(__xludf.DUMMYFUNCTION("""COMPUTED_VALUE"""),13.59)</f>
        <v>13.59</v>
      </c>
      <c r="E159" s="1" t="str">
        <f>IFERROR(__xludf.DUMMYFUNCTION("""COMPUTED_VALUE"""),"-")</f>
        <v>-</v>
      </c>
      <c r="F159" s="1" t="str">
        <f>IFERROR(__xludf.DUMMYFUNCTION("""COMPUTED_VALUE"""),"Uber")</f>
        <v>Uber</v>
      </c>
      <c r="G159" s="1" t="str">
        <f>IFERROR(__xludf.DUMMYFUNCTION("""COMPUTED_VALUE"""),"Uber/99")</f>
        <v>Uber/99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7">
        <f>IFERROR(__xludf.DUMMYFUNCTION("""COMPUTED_VALUE"""),45809.0)</f>
        <v>45809</v>
      </c>
      <c r="B160" s="8">
        <f>IFERROR(__xludf.DUMMYFUNCTION("""COMPUTED_VALUE"""),45787.0)</f>
        <v>45787</v>
      </c>
      <c r="C160" s="1" t="str">
        <f>IFERROR(__xludf.DUMMYFUNCTION("""COMPUTED_VALUE"""),"Uber")</f>
        <v>Uber</v>
      </c>
      <c r="D160" s="2">
        <f>IFERROR(__xludf.DUMMYFUNCTION("""COMPUTED_VALUE"""),22.47)</f>
        <v>22.47</v>
      </c>
      <c r="E160" s="1" t="str">
        <f>IFERROR(__xludf.DUMMYFUNCTION("""COMPUTED_VALUE"""),"-")</f>
        <v>-</v>
      </c>
      <c r="F160" s="1" t="str">
        <f>IFERROR(__xludf.DUMMYFUNCTION("""COMPUTED_VALUE"""),"Uber")</f>
        <v>Uber</v>
      </c>
      <c r="G160" s="1" t="str">
        <f>IFERROR(__xludf.DUMMYFUNCTION("""COMPUTED_VALUE"""),"Uber/99")</f>
        <v>Uber/99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7">
        <f>IFERROR(__xludf.DUMMYFUNCTION("""COMPUTED_VALUE"""),45809.0)</f>
        <v>45809</v>
      </c>
      <c r="B161" s="8">
        <f>IFERROR(__xludf.DUMMYFUNCTION("""COMPUTED_VALUE"""),45787.0)</f>
        <v>45787</v>
      </c>
      <c r="C161" s="1" t="str">
        <f>IFERROR(__xludf.DUMMYFUNCTION("""COMPUTED_VALUE"""),"Spotify")</f>
        <v>Spotify</v>
      </c>
      <c r="D161" s="2">
        <f>IFERROR(__xludf.DUMMYFUNCTION("""COMPUTED_VALUE"""),34.9)</f>
        <v>34.9</v>
      </c>
      <c r="E161" s="1" t="str">
        <f>IFERROR(__xludf.DUMMYFUNCTION("""COMPUTED_VALUE"""),"-")</f>
        <v>-</v>
      </c>
      <c r="F161" s="1" t="str">
        <f>IFERROR(__xludf.DUMMYFUNCTION("""COMPUTED_VALUE"""),"Spotify")</f>
        <v>Spotify</v>
      </c>
      <c r="G161" s="1" t="str">
        <f>IFERROR(__xludf.DUMMYFUNCTION("""COMPUTED_VALUE"""),"Assinatura")</f>
        <v>Assinatura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7">
        <f>IFERROR(__xludf.DUMMYFUNCTION("""COMPUTED_VALUE"""),45809.0)</f>
        <v>45809</v>
      </c>
      <c r="B162" s="8">
        <f>IFERROR(__xludf.DUMMYFUNCTION("""COMPUTED_VALUE"""),45787.0)</f>
        <v>45787</v>
      </c>
      <c r="C162" s="1" t="str">
        <f>IFERROR(__xludf.DUMMYFUNCTION("""COMPUTED_VALUE"""),"Amazon")</f>
        <v>Amazon</v>
      </c>
      <c r="D162" s="2">
        <f>IFERROR(__xludf.DUMMYFUNCTION("""COMPUTED_VALUE"""),34.9)</f>
        <v>34.9</v>
      </c>
      <c r="E162" s="1" t="str">
        <f>IFERROR(__xludf.DUMMYFUNCTION("""COMPUTED_VALUE"""),"-")</f>
        <v>-</v>
      </c>
      <c r="F162" s="1" t="str">
        <f>IFERROR(__xludf.DUMMYFUNCTION("""COMPUTED_VALUE"""),"Amazon")</f>
        <v>Amazon</v>
      </c>
      <c r="G162" s="1" t="str">
        <f>IFERROR(__xludf.DUMMYFUNCTION("""COMPUTED_VALUE"""),"Compras")</f>
        <v>Compras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7">
        <f>IFERROR(__xludf.DUMMYFUNCTION("""COMPUTED_VALUE"""),45809.0)</f>
        <v>45809</v>
      </c>
      <c r="B163" s="8">
        <f>IFERROR(__xludf.DUMMYFUNCTION("""COMPUTED_VALUE"""),45788.0)</f>
        <v>45788</v>
      </c>
      <c r="C163" s="1" t="str">
        <f>IFERROR(__xludf.DUMMYFUNCTION("""COMPUTED_VALUE"""),"Shopee")</f>
        <v>Shopee</v>
      </c>
      <c r="D163" s="2">
        <f>IFERROR(__xludf.DUMMYFUNCTION("""COMPUTED_VALUE"""),101.38)</f>
        <v>101.38</v>
      </c>
      <c r="E163" s="1" t="str">
        <f>IFERROR(__xludf.DUMMYFUNCTION("""COMPUTED_VALUE"""),"-")</f>
        <v>-</v>
      </c>
      <c r="F163" s="1" t="str">
        <f>IFERROR(__xludf.DUMMYFUNCTION("""COMPUTED_VALUE"""),"Shopee")</f>
        <v>Shopee</v>
      </c>
      <c r="G163" s="1" t="str">
        <f>IFERROR(__xludf.DUMMYFUNCTION("""COMPUTED_VALUE"""),"Compras")</f>
        <v>Compras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7">
        <f>IFERROR(__xludf.DUMMYFUNCTION("""COMPUTED_VALUE"""),45809.0)</f>
        <v>45809</v>
      </c>
      <c r="B164" s="8">
        <f>IFERROR(__xludf.DUMMYFUNCTION("""COMPUTED_VALUE"""),45788.0)</f>
        <v>45788</v>
      </c>
      <c r="C164" s="1" t="str">
        <f>IFERROR(__xludf.DUMMYFUNCTION("""COMPUTED_VALUE"""),"Amazon")</f>
        <v>Amazon</v>
      </c>
      <c r="D164" s="2">
        <f>IFERROR(__xludf.DUMMYFUNCTION("""COMPUTED_VALUE"""),22.29)</f>
        <v>22.29</v>
      </c>
      <c r="E164" s="1" t="str">
        <f>IFERROR(__xludf.DUMMYFUNCTION("""COMPUTED_VALUE"""),"-")</f>
        <v>-</v>
      </c>
      <c r="F164" s="1" t="str">
        <f>IFERROR(__xludf.DUMMYFUNCTION("""COMPUTED_VALUE"""),"Amazon")</f>
        <v>Amazon</v>
      </c>
      <c r="G164" s="1" t="str">
        <f>IFERROR(__xludf.DUMMYFUNCTION("""COMPUTED_VALUE"""),"Compras")</f>
        <v>Compras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7">
        <f>IFERROR(__xludf.DUMMYFUNCTION("""COMPUTED_VALUE"""),45809.0)</f>
        <v>45809</v>
      </c>
      <c r="B165" s="8">
        <f>IFERROR(__xludf.DUMMYFUNCTION("""COMPUTED_VALUE"""),45788.0)</f>
        <v>45788</v>
      </c>
      <c r="C165" s="1" t="str">
        <f>IFERROR(__xludf.DUMMYFUNCTION("""COMPUTED_VALUE"""),"Amazon")</f>
        <v>Amazon</v>
      </c>
      <c r="D165" s="2">
        <f>IFERROR(__xludf.DUMMYFUNCTION("""COMPUTED_VALUE"""),63.11)</f>
        <v>63.11</v>
      </c>
      <c r="E165" s="1" t="str">
        <f>IFERROR(__xludf.DUMMYFUNCTION("""COMPUTED_VALUE"""),"-")</f>
        <v>-</v>
      </c>
      <c r="F165" s="1" t="str">
        <f>IFERROR(__xludf.DUMMYFUNCTION("""COMPUTED_VALUE"""),"Amazon")</f>
        <v>Amazon</v>
      </c>
      <c r="G165" s="1" t="str">
        <f>IFERROR(__xludf.DUMMYFUNCTION("""COMPUTED_VALUE"""),"Compras")</f>
        <v>Compras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7">
        <f>IFERROR(__xludf.DUMMYFUNCTION("""COMPUTED_VALUE"""),45809.0)</f>
        <v>45809</v>
      </c>
      <c r="B166" s="8">
        <f>IFERROR(__xludf.DUMMYFUNCTION("""COMPUTED_VALUE"""),45788.0)</f>
        <v>45788</v>
      </c>
      <c r="C166" s="1" t="str">
        <f>IFERROR(__xludf.DUMMYFUNCTION("""COMPUTED_VALUE"""),"Shopee")</f>
        <v>Shopee</v>
      </c>
      <c r="D166" s="2">
        <f>IFERROR(__xludf.DUMMYFUNCTION("""COMPUTED_VALUE"""),26.8)</f>
        <v>26.8</v>
      </c>
      <c r="E166" s="1" t="str">
        <f>IFERROR(__xludf.DUMMYFUNCTION("""COMPUTED_VALUE"""),"-")</f>
        <v>-</v>
      </c>
      <c r="F166" s="1" t="str">
        <f>IFERROR(__xludf.DUMMYFUNCTION("""COMPUTED_VALUE"""),"Shopee")</f>
        <v>Shopee</v>
      </c>
      <c r="G166" s="1" t="str">
        <f>IFERROR(__xludf.DUMMYFUNCTION("""COMPUTED_VALUE"""),"Compras")</f>
        <v>Compras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7">
        <f>IFERROR(__xludf.DUMMYFUNCTION("""COMPUTED_VALUE"""),45809.0)</f>
        <v>45809</v>
      </c>
      <c r="B167" s="8">
        <f>IFERROR(__xludf.DUMMYFUNCTION("""COMPUTED_VALUE"""),45788.0)</f>
        <v>45788</v>
      </c>
      <c r="C167" s="1" t="str">
        <f>IFERROR(__xludf.DUMMYFUNCTION("""COMPUTED_VALUE"""),"Shopee")</f>
        <v>Shopee</v>
      </c>
      <c r="D167" s="2">
        <f>IFERROR(__xludf.DUMMYFUNCTION("""COMPUTED_VALUE"""),59.9)</f>
        <v>59.9</v>
      </c>
      <c r="E167" s="1" t="str">
        <f>IFERROR(__xludf.DUMMYFUNCTION("""COMPUTED_VALUE"""),"-")</f>
        <v>-</v>
      </c>
      <c r="F167" s="1" t="str">
        <f>IFERROR(__xludf.DUMMYFUNCTION("""COMPUTED_VALUE"""),"Shopee")</f>
        <v>Shopee</v>
      </c>
      <c r="G167" s="1" t="str">
        <f>IFERROR(__xludf.DUMMYFUNCTION("""COMPUTED_VALUE"""),"Compras")</f>
        <v>Compras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7">
        <f>IFERROR(__xludf.DUMMYFUNCTION("""COMPUTED_VALUE"""),45809.0)</f>
        <v>45809</v>
      </c>
      <c r="B168" s="8">
        <f>IFERROR(__xludf.DUMMYFUNCTION("""COMPUTED_VALUE"""),45790.0)</f>
        <v>45790</v>
      </c>
      <c r="C168" s="1" t="str">
        <f>IFERROR(__xludf.DUMMYFUNCTION("""COMPUTED_VALUE"""),"Amazonmktplc Rtocomerc")</f>
        <v>Amazonmktplc Rtocomerc</v>
      </c>
      <c r="D168" s="2">
        <f>IFERROR(__xludf.DUMMYFUNCTION("""COMPUTED_VALUE"""),119.99)</f>
        <v>119.99</v>
      </c>
      <c r="E168" s="1" t="str">
        <f>IFERROR(__xludf.DUMMYFUNCTION("""COMPUTED_VALUE"""),"-")</f>
        <v>-</v>
      </c>
      <c r="F168" s="1" t="str">
        <f>IFERROR(__xludf.DUMMYFUNCTION("""COMPUTED_VALUE"""),"Amazonmktplc")</f>
        <v>Amazonmktplc</v>
      </c>
      <c r="G168" s="1" t="str">
        <f>IFERROR(__xludf.DUMMYFUNCTION("""COMPUTED_VALUE"""),"Compras")</f>
        <v>Compras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7">
        <f>IFERROR(__xludf.DUMMYFUNCTION("""COMPUTED_VALUE"""),45809.0)</f>
        <v>45809</v>
      </c>
      <c r="B169" s="8">
        <f>IFERROR(__xludf.DUMMYFUNCTION("""COMPUTED_VALUE"""),45790.0)</f>
        <v>45790</v>
      </c>
      <c r="C169" s="1" t="str">
        <f>IFERROR(__xludf.DUMMYFUNCTION("""COMPUTED_VALUE"""),"Amazonmktplc Pdncomerc")</f>
        <v>Amazonmktplc Pdncomerc</v>
      </c>
      <c r="D169" s="2">
        <f>IFERROR(__xludf.DUMMYFUNCTION("""COMPUTED_VALUE"""),43.9)</f>
        <v>43.9</v>
      </c>
      <c r="E169" s="1" t="str">
        <f>IFERROR(__xludf.DUMMYFUNCTION("""COMPUTED_VALUE"""),"-")</f>
        <v>-</v>
      </c>
      <c r="F169" s="1" t="str">
        <f>IFERROR(__xludf.DUMMYFUNCTION("""COMPUTED_VALUE"""),"Amazonmktplc")</f>
        <v>Amazonmktplc</v>
      </c>
      <c r="G169" s="1" t="str">
        <f>IFERROR(__xludf.DUMMYFUNCTION("""COMPUTED_VALUE"""),"Compras")</f>
        <v>Compras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7">
        <f>IFERROR(__xludf.DUMMYFUNCTION("""COMPUTED_VALUE"""),45809.0)</f>
        <v>45809</v>
      </c>
      <c r="B170" s="8">
        <f>IFERROR(__xludf.DUMMYFUNCTION("""COMPUTED_VALUE"""),45790.0)</f>
        <v>45790</v>
      </c>
      <c r="C170" s="1" t="str">
        <f>IFERROR(__xludf.DUMMYFUNCTION("""COMPUTED_VALUE"""),"Petrobrasprem")</f>
        <v>Petrobrasprem</v>
      </c>
      <c r="D170" s="2">
        <f>IFERROR(__xludf.DUMMYFUNCTION("""COMPUTED_VALUE"""),95.8)</f>
        <v>95.8</v>
      </c>
      <c r="E170" s="1" t="str">
        <f>IFERROR(__xludf.DUMMYFUNCTION("""COMPUTED_VALUE"""),"-")</f>
        <v>-</v>
      </c>
      <c r="F170" s="1" t="str">
        <f>IFERROR(__xludf.DUMMYFUNCTION("""COMPUTED_VALUE"""),"Petrobrasprem")</f>
        <v>Petrobrasprem</v>
      </c>
      <c r="G170" s="1" t="str">
        <f>IFERROR(__xludf.DUMMYFUNCTION("""COMPUTED_VALUE"""),"Carro")</f>
        <v>Carro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7">
        <f>IFERROR(__xludf.DUMMYFUNCTION("""COMPUTED_VALUE"""),45809.0)</f>
        <v>45809</v>
      </c>
      <c r="B171" s="8">
        <f>IFERROR(__xludf.DUMMYFUNCTION("""COMPUTED_VALUE"""),45791.0)</f>
        <v>45791</v>
      </c>
      <c r="C171" s="1" t="str">
        <f>IFERROR(__xludf.DUMMYFUNCTION("""COMPUTED_VALUE"""),"Youtube")</f>
        <v>Youtube</v>
      </c>
      <c r="D171" s="2">
        <f>IFERROR(__xludf.DUMMYFUNCTION("""COMPUTED_VALUE"""),19.99)</f>
        <v>19.99</v>
      </c>
      <c r="E171" s="1" t="str">
        <f>IFERROR(__xludf.DUMMYFUNCTION("""COMPUTED_VALUE"""),"-")</f>
        <v>-</v>
      </c>
      <c r="F171" s="1" t="str">
        <f>IFERROR(__xludf.DUMMYFUNCTION("""COMPUTED_VALUE"""),"Youtube")</f>
        <v>Youtube</v>
      </c>
      <c r="G171" s="1" t="str">
        <f>IFERROR(__xludf.DUMMYFUNCTION("""COMPUTED_VALUE"""),"Assinatura")</f>
        <v>Assinatura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7">
        <f>IFERROR(__xludf.DUMMYFUNCTION("""COMPUTED_VALUE"""),45809.0)</f>
        <v>45809</v>
      </c>
      <c r="B172" s="8">
        <f>IFERROR(__xludf.DUMMYFUNCTION("""COMPUTED_VALUE"""),45795.0)</f>
        <v>45795</v>
      </c>
      <c r="C172" s="1" t="str">
        <f>IFERROR(__xludf.DUMMYFUNCTION("""COMPUTED_VALUE"""),"Rdsaude Online")</f>
        <v>Rdsaude Online</v>
      </c>
      <c r="D172" s="2">
        <f>IFERROR(__xludf.DUMMYFUNCTION("""COMPUTED_VALUE"""),285.99)</f>
        <v>285.99</v>
      </c>
      <c r="E172" s="1" t="str">
        <f>IFERROR(__xludf.DUMMYFUNCTION("""COMPUTED_VALUE"""),"-")</f>
        <v>-</v>
      </c>
      <c r="F172" s="1" t="str">
        <f>IFERROR(__xludf.DUMMYFUNCTION("""COMPUTED_VALUE"""),"Rdsaude Online")</f>
        <v>Rdsaude Online</v>
      </c>
      <c r="G172" s="1" t="str">
        <f>IFERROR(__xludf.DUMMYFUNCTION("""COMPUTED_VALUE"""),"Viagem")</f>
        <v>Viagem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7">
        <f>IFERROR(__xludf.DUMMYFUNCTION("""COMPUTED_VALUE"""),45809.0)</f>
        <v>45809</v>
      </c>
      <c r="B173" s="8">
        <f>IFERROR(__xludf.DUMMYFUNCTION("""COMPUTED_VALUE"""),45796.0)</f>
        <v>45796</v>
      </c>
      <c r="C173" s="1" t="str">
        <f>IFERROR(__xludf.DUMMYFUNCTION("""COMPUTED_VALUE"""),"Shopee (1/2)")</f>
        <v>Shopee (1/2)</v>
      </c>
      <c r="D173" s="2">
        <f>IFERROR(__xludf.DUMMYFUNCTION("""COMPUTED_VALUE"""),127.56)</f>
        <v>127.56</v>
      </c>
      <c r="E173" s="1" t="str">
        <f>IFERROR(__xludf.DUMMYFUNCTION("""COMPUTED_VALUE"""),"-")</f>
        <v>-</v>
      </c>
      <c r="F173" s="1" t="str">
        <f>IFERROR(__xludf.DUMMYFUNCTION("""COMPUTED_VALUE"""),"Shopee")</f>
        <v>Shopee</v>
      </c>
      <c r="G173" s="1" t="str">
        <f>IFERROR(__xludf.DUMMYFUNCTION("""COMPUTED_VALUE"""),"Compras")</f>
        <v>Compras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7">
        <f>IFERROR(__xludf.DUMMYFUNCTION("""COMPUTED_VALUE"""),45809.0)</f>
        <v>45809</v>
      </c>
      <c r="B174" s="8">
        <f>IFERROR(__xludf.DUMMYFUNCTION("""COMPUTED_VALUE"""),45796.0)</f>
        <v>45796</v>
      </c>
      <c r="C174" s="1" t="str">
        <f>IFERROR(__xludf.DUMMYFUNCTION("""COMPUTED_VALUE"""),"Amazon")</f>
        <v>Amazon</v>
      </c>
      <c r="D174" s="2">
        <f>IFERROR(__xludf.DUMMYFUNCTION("""COMPUTED_VALUE"""),9.2)</f>
        <v>9.2</v>
      </c>
      <c r="E174" s="1" t="str">
        <f>IFERROR(__xludf.DUMMYFUNCTION("""COMPUTED_VALUE"""),"-")</f>
        <v>-</v>
      </c>
      <c r="F174" s="1" t="str">
        <f>IFERROR(__xludf.DUMMYFUNCTION("""COMPUTED_VALUE"""),"Amazon")</f>
        <v>Amazon</v>
      </c>
      <c r="G174" s="1" t="str">
        <f>IFERROR(__xludf.DUMMYFUNCTION("""COMPUTED_VALUE"""),"Compras")</f>
        <v>Compras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7">
        <f>IFERROR(__xludf.DUMMYFUNCTION("""COMPUTED_VALUE"""),45809.0)</f>
        <v>45809</v>
      </c>
      <c r="B175" s="8">
        <f>IFERROR(__xludf.DUMMYFUNCTION("""COMPUTED_VALUE"""),45796.0)</f>
        <v>45796</v>
      </c>
      <c r="C175" s="1" t="str">
        <f>IFERROR(__xludf.DUMMYFUNCTION("""COMPUTED_VALUE"""),"Mercado Livre")</f>
        <v>Mercado Livre</v>
      </c>
      <c r="D175" s="2">
        <f>IFERROR(__xludf.DUMMYFUNCTION("""COMPUTED_VALUE"""),24.9)</f>
        <v>24.9</v>
      </c>
      <c r="E175" s="1" t="str">
        <f>IFERROR(__xludf.DUMMYFUNCTION("""COMPUTED_VALUE"""),"-")</f>
        <v>-</v>
      </c>
      <c r="F175" s="1" t="str">
        <f>IFERROR(__xludf.DUMMYFUNCTION("""COMPUTED_VALUE"""),"Mercado Livre")</f>
        <v>Mercado Livre</v>
      </c>
      <c r="G175" s="1" t="str">
        <f>IFERROR(__xludf.DUMMYFUNCTION("""COMPUTED_VALUE"""),"Compras")</f>
        <v>Compras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7">
        <f>IFERROR(__xludf.DUMMYFUNCTION("""COMPUTED_VALUE"""),45809.0)</f>
        <v>45809</v>
      </c>
      <c r="B176" s="8">
        <f>IFERROR(__xludf.DUMMYFUNCTION("""COMPUTED_VALUE"""),45796.0)</f>
        <v>45796</v>
      </c>
      <c r="C176" s="1" t="str">
        <f>IFERROR(__xludf.DUMMYFUNCTION("""COMPUTED_VALUE"""),"Shopee")</f>
        <v>Shopee</v>
      </c>
      <c r="D176" s="2">
        <f>IFERROR(__xludf.DUMMYFUNCTION("""COMPUTED_VALUE"""),74.57)</f>
        <v>74.57</v>
      </c>
      <c r="E176" s="1" t="str">
        <f>IFERROR(__xludf.DUMMYFUNCTION("""COMPUTED_VALUE"""),"-")</f>
        <v>-</v>
      </c>
      <c r="F176" s="1" t="str">
        <f>IFERROR(__xludf.DUMMYFUNCTION("""COMPUTED_VALUE"""),"Shopee")</f>
        <v>Shopee</v>
      </c>
      <c r="G176" s="1" t="str">
        <f>IFERROR(__xludf.DUMMYFUNCTION("""COMPUTED_VALUE"""),"Compras")</f>
        <v>Compras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7">
        <f>IFERROR(__xludf.DUMMYFUNCTION("""COMPUTED_VALUE"""),45809.0)</f>
        <v>45809</v>
      </c>
      <c r="B177" s="8">
        <f>IFERROR(__xludf.DUMMYFUNCTION("""COMPUTED_VALUE"""),45796.0)</f>
        <v>45796</v>
      </c>
      <c r="C177" s="1" t="str">
        <f>IFERROR(__xludf.DUMMYFUNCTION("""COMPUTED_VALUE"""),"Shopee")</f>
        <v>Shopee</v>
      </c>
      <c r="D177" s="2">
        <f>IFERROR(__xludf.DUMMYFUNCTION("""COMPUTED_VALUE"""),20.93)</f>
        <v>20.93</v>
      </c>
      <c r="E177" s="1" t="str">
        <f>IFERROR(__xludf.DUMMYFUNCTION("""COMPUTED_VALUE"""),"-")</f>
        <v>-</v>
      </c>
      <c r="F177" s="1" t="str">
        <f>IFERROR(__xludf.DUMMYFUNCTION("""COMPUTED_VALUE"""),"Shopee")</f>
        <v>Shopee</v>
      </c>
      <c r="G177" s="1" t="str">
        <f>IFERROR(__xludf.DUMMYFUNCTION("""COMPUTED_VALUE"""),"Compras")</f>
        <v>Compras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7">
        <f>IFERROR(__xludf.DUMMYFUNCTION("""COMPUTED_VALUE"""),45809.0)</f>
        <v>45809</v>
      </c>
      <c r="B178" s="8">
        <f>IFERROR(__xludf.DUMMYFUNCTION("""COMPUTED_VALUE"""),45796.0)</f>
        <v>45796</v>
      </c>
      <c r="C178" s="1" t="str">
        <f>IFERROR(__xludf.DUMMYFUNCTION("""COMPUTED_VALUE"""),"Shopee")</f>
        <v>Shopee</v>
      </c>
      <c r="D178" s="2">
        <f>IFERROR(__xludf.DUMMYFUNCTION("""COMPUTED_VALUE"""),22.0)</f>
        <v>22</v>
      </c>
      <c r="E178" s="1" t="str">
        <f>IFERROR(__xludf.DUMMYFUNCTION("""COMPUTED_VALUE"""),"-")</f>
        <v>-</v>
      </c>
      <c r="F178" s="1" t="str">
        <f>IFERROR(__xludf.DUMMYFUNCTION("""COMPUTED_VALUE"""),"Shopee")</f>
        <v>Shopee</v>
      </c>
      <c r="G178" s="1" t="str">
        <f>IFERROR(__xludf.DUMMYFUNCTION("""COMPUTED_VALUE"""),"Compras")</f>
        <v>Compras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7">
        <f>IFERROR(__xludf.DUMMYFUNCTION("""COMPUTED_VALUE"""),45809.0)</f>
        <v>45809</v>
      </c>
      <c r="B179" s="8">
        <f>IFERROR(__xludf.DUMMYFUNCTION("""COMPUTED_VALUE"""),45797.0)</f>
        <v>45797</v>
      </c>
      <c r="C179" s="1" t="str">
        <f>IFERROR(__xludf.DUMMYFUNCTION("""COMPUTED_VALUE"""),"Riachuelo Lo Riachuelo")</f>
        <v>Riachuelo Lo Riachuelo</v>
      </c>
      <c r="D179" s="2">
        <f>IFERROR(__xludf.DUMMYFUNCTION("""COMPUTED_VALUE"""),179.99)</f>
        <v>179.99</v>
      </c>
      <c r="E179" s="1" t="str">
        <f>IFERROR(__xludf.DUMMYFUNCTION("""COMPUTED_VALUE"""),"-")</f>
        <v>-</v>
      </c>
      <c r="F179" s="1" t="str">
        <f>IFERROR(__xludf.DUMMYFUNCTION("""COMPUTED_VALUE"""),"Riachuelo Lo Riachuelo")</f>
        <v>Riachuelo Lo Riachuelo</v>
      </c>
      <c r="G179" s="1" t="str">
        <f>IFERROR(__xludf.DUMMYFUNCTION("""COMPUTED_VALUE"""),"Compras")</f>
        <v>Compras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7">
        <f>IFERROR(__xludf.DUMMYFUNCTION("""COMPUTED_VALUE"""),45809.0)</f>
        <v>45809</v>
      </c>
      <c r="B180" s="8">
        <f>IFERROR(__xludf.DUMMYFUNCTION("""COMPUTED_VALUE"""),45797.0)</f>
        <v>45797</v>
      </c>
      <c r="C180" s="1" t="str">
        <f>IFERROR(__xludf.DUMMYFUNCTION("""COMPUTED_VALUE"""),"Petlove")</f>
        <v>Petlove</v>
      </c>
      <c r="D180" s="2">
        <f>IFERROR(__xludf.DUMMYFUNCTION("""COMPUTED_VALUE"""),119.88)</f>
        <v>119.88</v>
      </c>
      <c r="E180" s="1" t="str">
        <f>IFERROR(__xludf.DUMMYFUNCTION("""COMPUTED_VALUE"""),"-")</f>
        <v>-</v>
      </c>
      <c r="F180" s="1" t="str">
        <f>IFERROR(__xludf.DUMMYFUNCTION("""COMPUTED_VALUE"""),"Petlove")</f>
        <v>Petlove</v>
      </c>
      <c r="G180" s="1" t="str">
        <f>IFERROR(__xludf.DUMMYFUNCTION("""COMPUTED_VALUE"""),"Hulk")</f>
        <v>Hulk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7">
        <f>IFERROR(__xludf.DUMMYFUNCTION("""COMPUTED_VALUE"""),45809.0)</f>
        <v>45809</v>
      </c>
      <c r="B181" s="8">
        <f>IFERROR(__xludf.DUMMYFUNCTION("""COMPUTED_VALUE"""),45797.0)</f>
        <v>45797</v>
      </c>
      <c r="C181" s="1" t="str">
        <f>IFERROR(__xludf.DUMMYFUNCTION("""COMPUTED_VALUE"""),"Paypal Mj In")</f>
        <v>Paypal Mj In</v>
      </c>
      <c r="D181" s="2">
        <f>IFERROR(__xludf.DUMMYFUNCTION("""COMPUTED_VALUE"""),132.17)</f>
        <v>132.17</v>
      </c>
      <c r="E181" s="1" t="str">
        <f>IFERROR(__xludf.DUMMYFUNCTION("""COMPUTED_VALUE"""),"-")</f>
        <v>-</v>
      </c>
      <c r="F181" s="1" t="str">
        <f>IFERROR(__xludf.DUMMYFUNCTION("""COMPUTED_VALUE"""),"Paypal Mj In")</f>
        <v>Paypal Mj In</v>
      </c>
      <c r="G181" s="1" t="str">
        <f>IFERROR(__xludf.DUMMYFUNCTION("""COMPUTED_VALUE"""),"-")</f>
        <v>-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7">
        <f>IFERROR(__xludf.DUMMYFUNCTION("""COMPUTED_VALUE"""),45809.0)</f>
        <v>45809</v>
      </c>
      <c r="B182" s="8">
        <f>IFERROR(__xludf.DUMMYFUNCTION("""COMPUTED_VALUE"""),45799.0)</f>
        <v>45799</v>
      </c>
      <c r="C182" s="1" t="str">
        <f>IFERROR(__xludf.DUMMYFUNCTION("""COMPUTED_VALUE"""),"Drogaria Araujo")</f>
        <v>Drogaria Araujo</v>
      </c>
      <c r="D182" s="2">
        <f>IFERROR(__xludf.DUMMYFUNCTION("""COMPUTED_VALUE"""),25.99)</f>
        <v>25.99</v>
      </c>
      <c r="E182" s="1" t="str">
        <f>IFERROR(__xludf.DUMMYFUNCTION("""COMPUTED_VALUE"""),"-")</f>
        <v>-</v>
      </c>
      <c r="F182" s="1" t="str">
        <f>IFERROR(__xludf.DUMMYFUNCTION("""COMPUTED_VALUE"""),"Drogaria Araujo")</f>
        <v>Drogaria Araujo</v>
      </c>
      <c r="G182" s="1" t="str">
        <f>IFERROR(__xludf.DUMMYFUNCTION("""COMPUTED_VALUE"""),"Farmácia")</f>
        <v>Farmácia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7">
        <f>IFERROR(__xludf.DUMMYFUNCTION("""COMPUTED_VALUE"""),45809.0)</f>
        <v>45809</v>
      </c>
      <c r="B183" s="8">
        <f>IFERROR(__xludf.DUMMYFUNCTION("""COMPUTED_VALUE"""),45801.0)</f>
        <v>45801</v>
      </c>
      <c r="C183" s="1" t="str">
        <f>IFERROR(__xludf.DUMMYFUNCTION("""COMPUTED_VALUE"""),"Magalu")</f>
        <v>Magalu</v>
      </c>
      <c r="D183" s="2">
        <f>IFERROR(__xludf.DUMMYFUNCTION("""COMPUTED_VALUE"""),100.9)</f>
        <v>100.9</v>
      </c>
      <c r="E183" s="1" t="str">
        <f>IFERROR(__xludf.DUMMYFUNCTION("""COMPUTED_VALUE"""),"-")</f>
        <v>-</v>
      </c>
      <c r="F183" s="1" t="str">
        <f>IFERROR(__xludf.DUMMYFUNCTION("""COMPUTED_VALUE"""),"Magalu")</f>
        <v>Magalu</v>
      </c>
      <c r="G183" s="1" t="str">
        <f>IFERROR(__xludf.DUMMYFUNCTION("""COMPUTED_VALUE"""),"Compras")</f>
        <v>Compras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7">
        <f>IFERROR(__xludf.DUMMYFUNCTION("""COMPUTED_VALUE"""),45809.0)</f>
        <v>45809</v>
      </c>
      <c r="B184" s="8">
        <f>IFERROR(__xludf.DUMMYFUNCTION("""COMPUTED_VALUE"""),45801.0)</f>
        <v>45801</v>
      </c>
      <c r="C184" s="1" t="str">
        <f>IFERROR(__xludf.DUMMYFUNCTION("""COMPUTED_VALUE"""),"Shopee")</f>
        <v>Shopee</v>
      </c>
      <c r="D184" s="2">
        <f>IFERROR(__xludf.DUMMYFUNCTION("""COMPUTED_VALUE"""),41.21)</f>
        <v>41.21</v>
      </c>
      <c r="E184" s="1" t="str">
        <f>IFERROR(__xludf.DUMMYFUNCTION("""COMPUTED_VALUE"""),"-")</f>
        <v>-</v>
      </c>
      <c r="F184" s="1" t="str">
        <f>IFERROR(__xludf.DUMMYFUNCTION("""COMPUTED_VALUE"""),"Shopee")</f>
        <v>Shopee</v>
      </c>
      <c r="G184" s="1" t="str">
        <f>IFERROR(__xludf.DUMMYFUNCTION("""COMPUTED_VALUE"""),"Compras")</f>
        <v>Compras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7">
        <f>IFERROR(__xludf.DUMMYFUNCTION("""COMPUTED_VALUE"""),45809.0)</f>
        <v>45809</v>
      </c>
      <c r="B185" s="8">
        <f>IFERROR(__xludf.DUMMYFUNCTION("""COMPUTED_VALUE"""),45802.0)</f>
        <v>45802</v>
      </c>
      <c r="C185" s="1" t="str">
        <f>IFERROR(__xludf.DUMMYFUNCTION("""COMPUTED_VALUE"""),"Orthocrin")</f>
        <v>Orthocrin</v>
      </c>
      <c r="D185" s="2">
        <f>IFERROR(__xludf.DUMMYFUNCTION("""COMPUTED_VALUE"""),64.13)</f>
        <v>64.13</v>
      </c>
      <c r="E185" s="1" t="str">
        <f>IFERROR(__xludf.DUMMYFUNCTION("""COMPUTED_VALUE"""),"-")</f>
        <v>-</v>
      </c>
      <c r="F185" s="1" t="str">
        <f>IFERROR(__xludf.DUMMYFUNCTION("""COMPUTED_VALUE"""),"Orthocrin")</f>
        <v>Orthocrin</v>
      </c>
      <c r="G185" s="1" t="str">
        <f>IFERROR(__xludf.DUMMYFUNCTION("""COMPUTED_VALUE"""),"Compras")</f>
        <v>Compras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7">
        <f>IFERROR(__xludf.DUMMYFUNCTION("""COMPUTED_VALUE"""),45809.0)</f>
        <v>45809</v>
      </c>
      <c r="B186" s="8">
        <f>IFERROR(__xludf.DUMMYFUNCTION("""COMPUTED_VALUE"""),45802.0)</f>
        <v>45802</v>
      </c>
      <c r="C186" s="1" t="str">
        <f>IFERROR(__xludf.DUMMYFUNCTION("""COMPUTED_VALUE"""),"Farmácias Pa")</f>
        <v>Farmácias Pa</v>
      </c>
      <c r="D186" s="2">
        <f>IFERROR(__xludf.DUMMYFUNCTION("""COMPUTED_VALUE"""),79.84)</f>
        <v>79.84</v>
      </c>
      <c r="E186" s="1" t="str">
        <f>IFERROR(__xludf.DUMMYFUNCTION("""COMPUTED_VALUE"""),"-")</f>
        <v>-</v>
      </c>
      <c r="F186" s="1" t="str">
        <f>IFERROR(__xludf.DUMMYFUNCTION("""COMPUTED_VALUE"""),"Farmácias Pa")</f>
        <v>Farmácias Pa</v>
      </c>
      <c r="G186" s="1" t="str">
        <f>IFERROR(__xludf.DUMMYFUNCTION("""COMPUTED_VALUE"""),"Farmácia")</f>
        <v>Farmácia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7">
        <f>IFERROR(__xludf.DUMMYFUNCTION("""COMPUTED_VALUE"""),45809.0)</f>
        <v>45809</v>
      </c>
      <c r="B187" s="8">
        <f>IFERROR(__xludf.DUMMYFUNCTION("""COMPUTED_VALUE"""),45803.0)</f>
        <v>45803</v>
      </c>
      <c r="C187" s="1" t="str">
        <f>IFERROR(__xludf.DUMMYFUNCTION("""COMPUTED_VALUE"""),"Amazonmktplc Ghscomerc")</f>
        <v>Amazonmktplc Ghscomerc</v>
      </c>
      <c r="D187" s="2">
        <f>IFERROR(__xludf.DUMMYFUNCTION("""COMPUTED_VALUE"""),59.9)</f>
        <v>59.9</v>
      </c>
      <c r="E187" s="1" t="str">
        <f>IFERROR(__xludf.DUMMYFUNCTION("""COMPUTED_VALUE"""),"-")</f>
        <v>-</v>
      </c>
      <c r="F187" s="1" t="str">
        <f>IFERROR(__xludf.DUMMYFUNCTION("""COMPUTED_VALUE"""),"Amazonmktplc")</f>
        <v>Amazonmktplc</v>
      </c>
      <c r="G187" s="1" t="str">
        <f>IFERROR(__xludf.DUMMYFUNCTION("""COMPUTED_VALUE"""),"Compras")</f>
        <v>Compras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7">
        <f>IFERROR(__xludf.DUMMYFUNCTION("""COMPUTED_VALUE"""),45809.0)</f>
        <v>45809</v>
      </c>
      <c r="B188" s="8">
        <f>IFERROR(__xludf.DUMMYFUNCTION("""COMPUTED_VALUE"""),45773.0)</f>
        <v>45773</v>
      </c>
      <c r="C188" s="1" t="str">
        <f>IFERROR(__xludf.DUMMYFUNCTION("""COMPUTED_VALUE"""),"Drogaria Araujo")</f>
        <v>Drogaria Araujo</v>
      </c>
      <c r="D188" s="2">
        <f>IFERROR(__xludf.DUMMYFUNCTION("""COMPUTED_VALUE"""),2.99)</f>
        <v>2.99</v>
      </c>
      <c r="E188" s="1" t="str">
        <f>IFERROR(__xludf.DUMMYFUNCTION("""COMPUTED_VALUE"""),"-")</f>
        <v>-</v>
      </c>
      <c r="F188" s="1" t="str">
        <f>IFERROR(__xludf.DUMMYFUNCTION("""COMPUTED_VALUE"""),"Drogaria Araujo")</f>
        <v>Drogaria Araujo</v>
      </c>
      <c r="G188" s="1" t="str">
        <f>IFERROR(__xludf.DUMMYFUNCTION("""COMPUTED_VALUE"""),"Farmácia")</f>
        <v>Farmácia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7">
        <f>IFERROR(__xludf.DUMMYFUNCTION("""COMPUTED_VALUE"""),45809.0)</f>
        <v>45809</v>
      </c>
      <c r="B189" s="8">
        <f>IFERROR(__xludf.DUMMYFUNCTION("""COMPUTED_VALUE"""),45775.0)</f>
        <v>45775</v>
      </c>
      <c r="C189" s="1" t="str">
        <f>IFERROR(__xludf.DUMMYFUNCTION("""COMPUTED_VALUE"""),"Super Nosso")</f>
        <v>Super Nosso</v>
      </c>
      <c r="D189" s="2">
        <f>IFERROR(__xludf.DUMMYFUNCTION("""COMPUTED_VALUE"""),16.23)</f>
        <v>16.23</v>
      </c>
      <c r="E189" s="1" t="str">
        <f>IFERROR(__xludf.DUMMYFUNCTION("""COMPUTED_VALUE"""),"-")</f>
        <v>-</v>
      </c>
      <c r="F189" s="1" t="str">
        <f>IFERROR(__xludf.DUMMYFUNCTION("""COMPUTED_VALUE"""),"Super Nosso")</f>
        <v>Super Nosso</v>
      </c>
      <c r="G189" s="1" t="str">
        <f>IFERROR(__xludf.DUMMYFUNCTION("""COMPUTED_VALUE"""),"Supermercado")</f>
        <v>Supermercado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7">
        <f>IFERROR(__xludf.DUMMYFUNCTION("""COMPUTED_VALUE"""),45809.0)</f>
        <v>45809</v>
      </c>
      <c r="B190" s="8">
        <f>IFERROR(__xludf.DUMMYFUNCTION("""COMPUTED_VALUE"""),45776.0)</f>
        <v>45776</v>
      </c>
      <c r="C190" s="1" t="str">
        <f>IFERROR(__xludf.DUMMYFUNCTION("""COMPUTED_VALUE"""),"Lojas Rede")</f>
        <v>Lojas Rede</v>
      </c>
      <c r="D190" s="2">
        <f>IFERROR(__xludf.DUMMYFUNCTION("""COMPUTED_VALUE"""),9.18)</f>
        <v>9.18</v>
      </c>
      <c r="E190" s="1" t="str">
        <f>IFERROR(__xludf.DUMMYFUNCTION("""COMPUTED_VALUE"""),"-")</f>
        <v>-</v>
      </c>
      <c r="F190" s="1" t="str">
        <f>IFERROR(__xludf.DUMMYFUNCTION("""COMPUTED_VALUE"""),"Lojas Rede")</f>
        <v>Lojas Rede</v>
      </c>
      <c r="G190" s="1" t="str">
        <f>IFERROR(__xludf.DUMMYFUNCTION("""COMPUTED_VALUE"""),"dti")</f>
        <v>dti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7">
        <f>IFERROR(__xludf.DUMMYFUNCTION("""COMPUTED_VALUE"""),45809.0)</f>
        <v>45809</v>
      </c>
      <c r="B191" s="8">
        <f>IFERROR(__xludf.DUMMYFUNCTION("""COMPUTED_VALUE"""),45777.0)</f>
        <v>45777</v>
      </c>
      <c r="C191" s="1" t="str">
        <f>IFERROR(__xludf.DUMMYFUNCTION("""COMPUTED_VALUE"""),"Dma Distribuidora Sa")</f>
        <v>Dma Distribuidora Sa</v>
      </c>
      <c r="D191" s="2">
        <f>IFERROR(__xludf.DUMMYFUNCTION("""COMPUTED_VALUE"""),64.8)</f>
        <v>64.8</v>
      </c>
      <c r="E191" s="1" t="str">
        <f>IFERROR(__xludf.DUMMYFUNCTION("""COMPUTED_VALUE"""),"-")</f>
        <v>-</v>
      </c>
      <c r="F191" s="1" t="str">
        <f>IFERROR(__xludf.DUMMYFUNCTION("""COMPUTED_VALUE"""),"Dma Distribuidora Sa")</f>
        <v>Dma Distribuidora Sa</v>
      </c>
      <c r="G191" s="1" t="str">
        <f>IFERROR(__xludf.DUMMYFUNCTION("""COMPUTED_VALUE"""),"dti")</f>
        <v>dti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7">
        <f>IFERROR(__xludf.DUMMYFUNCTION("""COMPUTED_VALUE"""),45809.0)</f>
        <v>45809</v>
      </c>
      <c r="B192" s="8">
        <f>IFERROR(__xludf.DUMMYFUNCTION("""COMPUTED_VALUE"""),45779.0)</f>
        <v>45779</v>
      </c>
      <c r="C192" s="1" t="str">
        <f>IFERROR(__xludf.DUMMYFUNCTION("""COMPUTED_VALUE"""),"Alameda 288")</f>
        <v>Alameda 288</v>
      </c>
      <c r="D192" s="2">
        <f>IFERROR(__xludf.DUMMYFUNCTION("""COMPUTED_VALUE"""),37.25)</f>
        <v>37.25</v>
      </c>
      <c r="E192" s="1" t="str">
        <f>IFERROR(__xludf.DUMMYFUNCTION("""COMPUTED_VALUE"""),"-")</f>
        <v>-</v>
      </c>
      <c r="F192" s="1" t="str">
        <f>IFERROR(__xludf.DUMMYFUNCTION("""COMPUTED_VALUE"""),"Alameda 288")</f>
        <v>Alameda 288</v>
      </c>
      <c r="G192" s="1" t="str">
        <f>IFERROR(__xludf.DUMMYFUNCTION("""COMPUTED_VALUE"""),"Comida")</f>
        <v>Comida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7">
        <f>IFERROR(__xludf.DUMMYFUNCTION("""COMPUTED_VALUE"""),45809.0)</f>
        <v>45809</v>
      </c>
      <c r="B193" s="8">
        <f>IFERROR(__xludf.DUMMYFUNCTION("""COMPUTED_VALUE"""),45786.0)</f>
        <v>45786</v>
      </c>
      <c r="C193" s="1" t="str">
        <f>IFERROR(__xludf.DUMMYFUNCTION("""COMPUTED_VALUE"""),"L Amour Restaurante L")</f>
        <v>L Amour Restaurante L</v>
      </c>
      <c r="D193" s="2">
        <f>IFERROR(__xludf.DUMMYFUNCTION("""COMPUTED_VALUE"""),37.26)</f>
        <v>37.26</v>
      </c>
      <c r="E193" s="1" t="str">
        <f>IFERROR(__xludf.DUMMYFUNCTION("""COMPUTED_VALUE"""),"-")</f>
        <v>-</v>
      </c>
      <c r="F193" s="1" t="str">
        <f>IFERROR(__xludf.DUMMYFUNCTION("""COMPUTED_VALUE"""),"L Amour Restaurante L")</f>
        <v>L Amour Restaurante L</v>
      </c>
      <c r="G193" s="1" t="str">
        <f>IFERROR(__xludf.DUMMYFUNCTION("""COMPUTED_VALUE"""),"Comida")</f>
        <v>Comida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7">
        <f>IFERROR(__xludf.DUMMYFUNCTION("""COMPUTED_VALUE"""),45809.0)</f>
        <v>45809</v>
      </c>
      <c r="B194" s="8">
        <f>IFERROR(__xludf.DUMMYFUNCTION("""COMPUTED_VALUE"""),45786.0)</f>
        <v>45786</v>
      </c>
      <c r="C194" s="1" t="str">
        <f>IFERROR(__xludf.DUMMYFUNCTION("""COMPUTED_VALUE"""),"Lojas Rede")</f>
        <v>Lojas Rede</v>
      </c>
      <c r="D194" s="2">
        <f>IFERROR(__xludf.DUMMYFUNCTION("""COMPUTED_VALUE"""),9.75)</f>
        <v>9.75</v>
      </c>
      <c r="E194" s="1" t="str">
        <f>IFERROR(__xludf.DUMMYFUNCTION("""COMPUTED_VALUE"""),"-")</f>
        <v>-</v>
      </c>
      <c r="F194" s="1" t="str">
        <f>IFERROR(__xludf.DUMMYFUNCTION("""COMPUTED_VALUE"""),"Lojas Rede")</f>
        <v>Lojas Rede</v>
      </c>
      <c r="G194" s="1" t="str">
        <f>IFERROR(__xludf.DUMMYFUNCTION("""COMPUTED_VALUE"""),"Compras")</f>
        <v>Compras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7">
        <f>IFERROR(__xludf.DUMMYFUNCTION("""COMPUTED_VALUE"""),45809.0)</f>
        <v>45809</v>
      </c>
      <c r="B195" s="8">
        <f>IFERROR(__xludf.DUMMYFUNCTION("""COMPUTED_VALUE"""),45789.0)</f>
        <v>45789</v>
      </c>
      <c r="C195" s="1" t="str">
        <f>IFERROR(__xludf.DUMMYFUNCTION("""COMPUTED_VALUE"""),"Lavih Spa")</f>
        <v>Lavih Spa</v>
      </c>
      <c r="D195" s="2">
        <f>IFERROR(__xludf.DUMMYFUNCTION("""COMPUTED_VALUE"""),224.1)</f>
        <v>224.1</v>
      </c>
      <c r="E195" s="1" t="str">
        <f>IFERROR(__xludf.DUMMYFUNCTION("""COMPUTED_VALUE"""),"-")</f>
        <v>-</v>
      </c>
      <c r="F195" s="1" t="str">
        <f>IFERROR(__xludf.DUMMYFUNCTION("""COMPUTED_VALUE"""),"Lavih Spa")</f>
        <v>Lavih Spa</v>
      </c>
      <c r="G195" s="1" t="str">
        <f>IFERROR(__xludf.DUMMYFUNCTION("""COMPUTED_VALUE"""),"-")</f>
        <v>-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7">
        <f>IFERROR(__xludf.DUMMYFUNCTION("""COMPUTED_VALUE"""),45809.0)</f>
        <v>45809</v>
      </c>
      <c r="B196" s="8">
        <f>IFERROR(__xludf.DUMMYFUNCTION("""COMPUTED_VALUE"""),45789.0)</f>
        <v>45789</v>
      </c>
      <c r="C196" s="1" t="str">
        <f>IFERROR(__xludf.DUMMYFUNCTION("""COMPUTED_VALUE"""),"Franquia Lupo")</f>
        <v>Franquia Lupo</v>
      </c>
      <c r="D196" s="2">
        <f>IFERROR(__xludf.DUMMYFUNCTION("""COMPUTED_VALUE"""),46.9)</f>
        <v>46.9</v>
      </c>
      <c r="E196" s="1" t="str">
        <f>IFERROR(__xludf.DUMMYFUNCTION("""COMPUTED_VALUE"""),"-")</f>
        <v>-</v>
      </c>
      <c r="F196" s="1" t="str">
        <f>IFERROR(__xludf.DUMMYFUNCTION("""COMPUTED_VALUE"""),"Franquia Lupo")</f>
        <v>Franquia Lupo</v>
      </c>
      <c r="G196" s="1" t="str">
        <f>IFERROR(__xludf.DUMMYFUNCTION("""COMPUTED_VALUE"""),"Compras")</f>
        <v>Compras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7">
        <f>IFERROR(__xludf.DUMMYFUNCTION("""COMPUTED_VALUE"""),45809.0)</f>
        <v>45809</v>
      </c>
      <c r="B197" s="8">
        <f>IFERROR(__xludf.DUMMYFUNCTION("""COMPUTED_VALUE"""),45789.0)</f>
        <v>45789</v>
      </c>
      <c r="C197" s="1" t="str">
        <f>IFERROR(__xludf.DUMMYFUNCTION("""COMPUTED_VALUE"""),"Mg Bh Savassi Sh (1/2)")</f>
        <v>Mg Bh Savassi Sh (1/2)</v>
      </c>
      <c r="D197" s="2">
        <f>IFERROR(__xludf.DUMMYFUNCTION("""COMPUTED_VALUE"""),100.0)</f>
        <v>100</v>
      </c>
      <c r="E197" s="1" t="str">
        <f>IFERROR(__xludf.DUMMYFUNCTION("""COMPUTED_VALUE"""),"-")</f>
        <v>-</v>
      </c>
      <c r="F197" s="1" t="str">
        <f>IFERROR(__xludf.DUMMYFUNCTION("""COMPUTED_VALUE"""),"Mg Bh Savassi Sh")</f>
        <v>Mg Bh Savassi Sh</v>
      </c>
      <c r="G197" s="1" t="str">
        <f>IFERROR(__xludf.DUMMYFUNCTION("""COMPUTED_VALUE"""),"Compras")</f>
        <v>Compras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7">
        <f>IFERROR(__xludf.DUMMYFUNCTION("""COMPUTED_VALUE"""),45809.0)</f>
        <v>45809</v>
      </c>
      <c r="B198" s="8">
        <f>IFERROR(__xludf.DUMMYFUNCTION("""COMPUTED_VALUE"""),45781.0)</f>
        <v>45781</v>
      </c>
      <c r="C198" s="1" t="str">
        <f>IFERROR(__xludf.DUMMYFUNCTION("""COMPUTED_VALUE"""),"Magazine Mangabeiras")</f>
        <v>Magazine Mangabeiras</v>
      </c>
      <c r="D198" s="2">
        <f>IFERROR(__xludf.DUMMYFUNCTION("""COMPUTED_VALUE"""),14.99)</f>
        <v>14.99</v>
      </c>
      <c r="E198" s="1" t="str">
        <f>IFERROR(__xludf.DUMMYFUNCTION("""COMPUTED_VALUE"""),"-")</f>
        <v>-</v>
      </c>
      <c r="F198" s="1" t="str">
        <f>IFERROR(__xludf.DUMMYFUNCTION("""COMPUTED_VALUE"""),"Magazine Mangabeiras")</f>
        <v>Magazine Mangabeiras</v>
      </c>
      <c r="G198" s="1" t="str">
        <f>IFERROR(__xludf.DUMMYFUNCTION("""COMPUTED_VALUE"""),"Compras")</f>
        <v>Compras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7">
        <f>IFERROR(__xludf.DUMMYFUNCTION("""COMPUTED_VALUE"""),45809.0)</f>
        <v>45809</v>
      </c>
      <c r="B199" s="8">
        <f>IFERROR(__xludf.DUMMYFUNCTION("""COMPUTED_VALUE"""),45782.0)</f>
        <v>45782</v>
      </c>
      <c r="C199" s="1" t="str">
        <f>IFERROR(__xludf.DUMMYFUNCTION("""COMPUTED_VALUE"""),"Super Nosso")</f>
        <v>Super Nosso</v>
      </c>
      <c r="D199" s="2">
        <f>IFERROR(__xludf.DUMMYFUNCTION("""COMPUTED_VALUE"""),10.68)</f>
        <v>10.68</v>
      </c>
      <c r="E199" s="1" t="str">
        <f>IFERROR(__xludf.DUMMYFUNCTION("""COMPUTED_VALUE"""),"-")</f>
        <v>-</v>
      </c>
      <c r="F199" s="1" t="str">
        <f>IFERROR(__xludf.DUMMYFUNCTION("""COMPUTED_VALUE"""),"Super Nosso")</f>
        <v>Super Nosso</v>
      </c>
      <c r="G199" s="1" t="str">
        <f>IFERROR(__xludf.DUMMYFUNCTION("""COMPUTED_VALUE"""),"Supermercado")</f>
        <v>Supermercado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7">
        <f>IFERROR(__xludf.DUMMYFUNCTION("""COMPUTED_VALUE"""),45809.0)</f>
        <v>45809</v>
      </c>
      <c r="B200" s="8">
        <f>IFERROR(__xludf.DUMMYFUNCTION("""COMPUTED_VALUE"""),45783.0)</f>
        <v>45783</v>
      </c>
      <c r="C200" s="1" t="str">
        <f>IFERROR(__xludf.DUMMYFUNCTION("""COMPUTED_VALUE"""),"Megapark")</f>
        <v>Megapark</v>
      </c>
      <c r="D200" s="2">
        <f>IFERROR(__xludf.DUMMYFUNCTION("""COMPUTED_VALUE"""),285.0)</f>
        <v>285</v>
      </c>
      <c r="E200" s="1" t="str">
        <f>IFERROR(__xludf.DUMMYFUNCTION("""COMPUTED_VALUE"""),"-")</f>
        <v>-</v>
      </c>
      <c r="F200" s="1" t="str">
        <f>IFERROR(__xludf.DUMMYFUNCTION("""COMPUTED_VALUE"""),"Megapark")</f>
        <v>Megapark</v>
      </c>
      <c r="G200" s="1" t="str">
        <f>IFERROR(__xludf.DUMMYFUNCTION("""COMPUTED_VALUE"""),"-")</f>
        <v>-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7">
        <f>IFERROR(__xludf.DUMMYFUNCTION("""COMPUTED_VALUE"""),45809.0)</f>
        <v>45809</v>
      </c>
      <c r="B201" s="8">
        <f>IFERROR(__xludf.DUMMYFUNCTION("""COMPUTED_VALUE"""),45784.0)</f>
        <v>45784</v>
      </c>
      <c r="C201" s="1" t="str">
        <f>IFERROR(__xludf.DUMMYFUNCTION("""COMPUTED_VALUE"""),"Droga Raia")</f>
        <v>Droga Raia</v>
      </c>
      <c r="D201" s="2">
        <f>IFERROR(__xludf.DUMMYFUNCTION("""COMPUTED_VALUE"""),20.09)</f>
        <v>20.09</v>
      </c>
      <c r="E201" s="1" t="str">
        <f>IFERROR(__xludf.DUMMYFUNCTION("""COMPUTED_VALUE"""),"-")</f>
        <v>-</v>
      </c>
      <c r="F201" s="1" t="str">
        <f>IFERROR(__xludf.DUMMYFUNCTION("""COMPUTED_VALUE"""),"Droga Raia")</f>
        <v>Droga Raia</v>
      </c>
      <c r="G201" s="1" t="str">
        <f>IFERROR(__xludf.DUMMYFUNCTION("""COMPUTED_VALUE"""),"Farmácia")</f>
        <v>Farmácia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7">
        <f>IFERROR(__xludf.DUMMYFUNCTION("""COMPUTED_VALUE"""),45809.0)</f>
        <v>45809</v>
      </c>
      <c r="B202" s="8">
        <f>IFERROR(__xludf.DUMMYFUNCTION("""COMPUTED_VALUE"""),45785.0)</f>
        <v>45785</v>
      </c>
      <c r="C202" s="1" t="str">
        <f>IFERROR(__xludf.DUMMYFUNCTION("""COMPUTED_VALUE"""),"Vila 21 Restaurante")</f>
        <v>Vila 21 Restaurante</v>
      </c>
      <c r="D202" s="2">
        <f>IFERROR(__xludf.DUMMYFUNCTION("""COMPUTED_VALUE"""),30.29)</f>
        <v>30.29</v>
      </c>
      <c r="E202" s="1" t="str">
        <f>IFERROR(__xludf.DUMMYFUNCTION("""COMPUTED_VALUE"""),"-")</f>
        <v>-</v>
      </c>
      <c r="F202" s="1" t="str">
        <f>IFERROR(__xludf.DUMMYFUNCTION("""COMPUTED_VALUE"""),"Vila 21 Restaurante")</f>
        <v>Vila 21 Restaurante</v>
      </c>
      <c r="G202" s="1" t="str">
        <f>IFERROR(__xludf.DUMMYFUNCTION("""COMPUTED_VALUE"""),"Comida")</f>
        <v>Comida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7">
        <f>IFERROR(__xludf.DUMMYFUNCTION("""COMPUTED_VALUE"""),45809.0)</f>
        <v>45809</v>
      </c>
      <c r="B203" s="8">
        <f>IFERROR(__xludf.DUMMYFUNCTION("""COMPUTED_VALUE"""),45785.0)</f>
        <v>45785</v>
      </c>
      <c r="C203" s="1" t="str">
        <f>IFERROR(__xludf.DUMMYFUNCTION("""COMPUTED_VALUE"""),"Drogaria Araujo")</f>
        <v>Drogaria Araujo</v>
      </c>
      <c r="D203" s="2">
        <f>IFERROR(__xludf.DUMMYFUNCTION("""COMPUTED_VALUE"""),12.26)</f>
        <v>12.26</v>
      </c>
      <c r="E203" s="1" t="str">
        <f>IFERROR(__xludf.DUMMYFUNCTION("""COMPUTED_VALUE"""),"-")</f>
        <v>-</v>
      </c>
      <c r="F203" s="1" t="str">
        <f>IFERROR(__xludf.DUMMYFUNCTION("""COMPUTED_VALUE"""),"Drogaria Araujo")</f>
        <v>Drogaria Araujo</v>
      </c>
      <c r="G203" s="1" t="str">
        <f>IFERROR(__xludf.DUMMYFUNCTION("""COMPUTED_VALUE"""),"Farmácia")</f>
        <v>Farmácia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7">
        <f>IFERROR(__xludf.DUMMYFUNCTION("""COMPUTED_VALUE"""),45809.0)</f>
        <v>45809</v>
      </c>
      <c r="B204" s="8">
        <f>IFERROR(__xludf.DUMMYFUNCTION("""COMPUTED_VALUE"""),45789.0)</f>
        <v>45789</v>
      </c>
      <c r="C204" s="1" t="str">
        <f>IFERROR(__xludf.DUMMYFUNCTION("""COMPUTED_VALUE"""),"Kiko Cosméticos")</f>
        <v>Kiko Cosméticos</v>
      </c>
      <c r="D204" s="2">
        <f>IFERROR(__xludf.DUMMYFUNCTION("""COMPUTED_VALUE"""),39.9)</f>
        <v>39.9</v>
      </c>
      <c r="E204" s="1" t="str">
        <f>IFERROR(__xludf.DUMMYFUNCTION("""COMPUTED_VALUE"""),"-")</f>
        <v>-</v>
      </c>
      <c r="F204" s="1" t="str">
        <f>IFERROR(__xludf.DUMMYFUNCTION("""COMPUTED_VALUE"""),"Kiko Cosméticos")</f>
        <v>Kiko Cosméticos</v>
      </c>
      <c r="G204" s="1" t="str">
        <f>IFERROR(__xludf.DUMMYFUNCTION("""COMPUTED_VALUE"""),"Compras")</f>
        <v>Compras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7">
        <f>IFERROR(__xludf.DUMMYFUNCTION("""COMPUTED_VALUE"""),45809.0)</f>
        <v>45809</v>
      </c>
      <c r="B205" s="8">
        <f>IFERROR(__xludf.DUMMYFUNCTION("""COMPUTED_VALUE"""),45790.0)</f>
        <v>45790</v>
      </c>
      <c r="C205" s="1" t="str">
        <f>IFERROR(__xludf.DUMMYFUNCTION("""COMPUTED_VALUE"""),"Barnabe Emporio")</f>
        <v>Barnabe Emporio</v>
      </c>
      <c r="D205" s="2">
        <f>IFERROR(__xludf.DUMMYFUNCTION("""COMPUTED_VALUE"""),23.0)</f>
        <v>23</v>
      </c>
      <c r="E205" s="1" t="str">
        <f>IFERROR(__xludf.DUMMYFUNCTION("""COMPUTED_VALUE"""),"-")</f>
        <v>-</v>
      </c>
      <c r="F205" s="1" t="str">
        <f>IFERROR(__xludf.DUMMYFUNCTION("""COMPUTED_VALUE"""),"Barnabe Emporio")</f>
        <v>Barnabe Emporio</v>
      </c>
      <c r="G205" s="1" t="str">
        <f>IFERROR(__xludf.DUMMYFUNCTION("""COMPUTED_VALUE"""),"Comida")</f>
        <v>Comida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7">
        <f>IFERROR(__xludf.DUMMYFUNCTION("""COMPUTED_VALUE"""),45809.0)</f>
        <v>45809</v>
      </c>
      <c r="B206" s="8">
        <f>IFERROR(__xludf.DUMMYFUNCTION("""COMPUTED_VALUE"""),45793.0)</f>
        <v>45793</v>
      </c>
      <c r="C206" s="1" t="str">
        <f>IFERROR(__xludf.DUMMYFUNCTION("""COMPUTED_VALUE"""),"Relicario Trem Bie")</f>
        <v>Relicario Trem Bie</v>
      </c>
      <c r="D206" s="2">
        <f>IFERROR(__xludf.DUMMYFUNCTION("""COMPUTED_VALUE"""),8.0)</f>
        <v>8</v>
      </c>
      <c r="E206" s="1" t="str">
        <f>IFERROR(__xludf.DUMMYFUNCTION("""COMPUTED_VALUE"""),"-")</f>
        <v>-</v>
      </c>
      <c r="F206" s="1" t="str">
        <f>IFERROR(__xludf.DUMMYFUNCTION("""COMPUTED_VALUE"""),"Relicario Trem Bie")</f>
        <v>Relicario Trem Bie</v>
      </c>
      <c r="G206" s="1" t="str">
        <f>IFERROR(__xludf.DUMMYFUNCTION("""COMPUTED_VALUE"""),"Viagem")</f>
        <v>Viagem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7">
        <f>IFERROR(__xludf.DUMMYFUNCTION("""COMPUTED_VALUE"""),45809.0)</f>
        <v>45809</v>
      </c>
      <c r="B207" s="8">
        <f>IFERROR(__xludf.DUMMYFUNCTION("""COMPUTED_VALUE"""),45795.0)</f>
        <v>45795</v>
      </c>
      <c r="C207" s="1" t="str">
        <f>IFERROR(__xludf.DUMMYFUNCTION("""COMPUTED_VALUE"""),"Sabor Da Empda")</f>
        <v>Sabor Da Empda</v>
      </c>
      <c r="D207" s="2">
        <f>IFERROR(__xludf.DUMMYFUNCTION("""COMPUTED_VALUE"""),19.5)</f>
        <v>19.5</v>
      </c>
      <c r="E207" s="1" t="str">
        <f>IFERROR(__xludf.DUMMYFUNCTION("""COMPUTED_VALUE"""),"-")</f>
        <v>-</v>
      </c>
      <c r="F207" s="1" t="str">
        <f>IFERROR(__xludf.DUMMYFUNCTION("""COMPUTED_VALUE"""),"Sabor Da Empda")</f>
        <v>Sabor Da Empda</v>
      </c>
      <c r="G207" s="1" t="str">
        <f>IFERROR(__xludf.DUMMYFUNCTION("""COMPUTED_VALUE"""),"Viagem")</f>
        <v>Viagem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7">
        <f>IFERROR(__xludf.DUMMYFUNCTION("""COMPUTED_VALUE"""),45809.0)</f>
        <v>45809</v>
      </c>
      <c r="B208" s="8">
        <f>IFERROR(__xludf.DUMMYFUNCTION("""COMPUTED_VALUE"""),45801.0)</f>
        <v>45801</v>
      </c>
      <c r="C208" s="1" t="str">
        <f>IFERROR(__xludf.DUMMYFUNCTION("""COMPUTED_VALUE"""),"Sangiorgi E Franca Com")</f>
        <v>Sangiorgi E Franca Com</v>
      </c>
      <c r="D208" s="2">
        <f>IFERROR(__xludf.DUMMYFUNCTION("""COMPUTED_VALUE"""),12.1)</f>
        <v>12.1</v>
      </c>
      <c r="E208" s="1" t="str">
        <f>IFERROR(__xludf.DUMMYFUNCTION("""COMPUTED_VALUE"""),"-")</f>
        <v>-</v>
      </c>
      <c r="F208" s="1" t="str">
        <f>IFERROR(__xludf.DUMMYFUNCTION("""COMPUTED_VALUE"""),"Sangiorgi E Franca Com")</f>
        <v>Sangiorgi E Franca Com</v>
      </c>
      <c r="G208" s="1" t="str">
        <f>IFERROR(__xludf.DUMMYFUNCTION("""COMPUTED_VALUE"""),"-")</f>
        <v>-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7">
        <f>IFERROR(__xludf.DUMMYFUNCTION("""COMPUTED_VALUE"""),45809.0)</f>
        <v>45809</v>
      </c>
      <c r="B209" s="8">
        <f>IFERROR(__xludf.DUMMYFUNCTION("""COMPUTED_VALUE"""),45801.0)</f>
        <v>45801</v>
      </c>
      <c r="C209" s="1" t="str">
        <f>IFERROR(__xludf.DUMMYFUNCTION("""COMPUTED_VALUE"""),"Drogaria Araujo")</f>
        <v>Drogaria Araujo</v>
      </c>
      <c r="D209" s="2">
        <f>IFERROR(__xludf.DUMMYFUNCTION("""COMPUTED_VALUE"""),96.45)</f>
        <v>96.45</v>
      </c>
      <c r="E209" s="1" t="str">
        <f>IFERROR(__xludf.DUMMYFUNCTION("""COMPUTED_VALUE"""),"-")</f>
        <v>-</v>
      </c>
      <c r="F209" s="1" t="str">
        <f>IFERROR(__xludf.DUMMYFUNCTION("""COMPUTED_VALUE"""),"Drogaria Araujo")</f>
        <v>Drogaria Araujo</v>
      </c>
      <c r="G209" s="1" t="str">
        <f>IFERROR(__xludf.DUMMYFUNCTION("""COMPUTED_VALUE"""),"Farmácia")</f>
        <v>Farmácia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7">
        <f>IFERROR(__xludf.DUMMYFUNCTION("""COMPUTED_VALUE"""),45839.0)</f>
        <v>45839</v>
      </c>
      <c r="B210" s="8">
        <f>IFERROR(__xludf.DUMMYFUNCTION("""COMPUTED_VALUE"""),45831.0)</f>
        <v>45831</v>
      </c>
      <c r="C210" s="1" t="str">
        <f>IFERROR(__xludf.DUMMYFUNCTION("""COMPUTED_VALUE"""),"Cancelamento - Shopee -")</f>
        <v>Cancelamento - Shopee -</v>
      </c>
      <c r="D210" s="2">
        <f>IFERROR(__xludf.DUMMYFUNCTION("""COMPUTED_VALUE"""),-10.1)</f>
        <v>-10.1</v>
      </c>
      <c r="E210" s="1" t="str">
        <f>IFERROR(__xludf.DUMMYFUNCTION("""COMPUTED_VALUE"""),"-")</f>
        <v>-</v>
      </c>
      <c r="F210" s="1" t="str">
        <f>IFERROR(__xludf.DUMMYFUNCTION("""COMPUTED_VALUE"""),"Cancelamento - Shopee -")</f>
        <v>Cancelamento - Shopee -</v>
      </c>
      <c r="G210" s="1" t="str">
        <f>IFERROR(__xludf.DUMMYFUNCTION("""COMPUTED_VALUE"""),"Shopee")</f>
        <v>Shopee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7">
        <f>IFERROR(__xludf.DUMMYFUNCTION("""COMPUTED_VALUE"""),45839.0)</f>
        <v>45839</v>
      </c>
      <c r="B211" s="8">
        <f>IFERROR(__xludf.DUMMYFUNCTION("""COMPUTED_VALUE"""),45831.0)</f>
        <v>45831</v>
      </c>
      <c r="C211" s="1" t="str">
        <f>IFERROR(__xludf.DUMMYFUNCTION("""COMPUTED_VALUE"""),"Cancelamento - Shopee -")</f>
        <v>Cancelamento - Shopee -</v>
      </c>
      <c r="D211" s="2">
        <f>IFERROR(__xludf.DUMMYFUNCTION("""COMPUTED_VALUE"""),-26.9)</f>
        <v>-26.9</v>
      </c>
      <c r="E211" s="1" t="str">
        <f>IFERROR(__xludf.DUMMYFUNCTION("""COMPUTED_VALUE"""),"-")</f>
        <v>-</v>
      </c>
      <c r="F211" s="1" t="str">
        <f>IFERROR(__xludf.DUMMYFUNCTION("""COMPUTED_VALUE"""),"Cancelamento - Shopee -")</f>
        <v>Cancelamento - Shopee -</v>
      </c>
      <c r="G211" s="1" t="str">
        <f>IFERROR(__xludf.DUMMYFUNCTION("""COMPUTED_VALUE"""),"Shopee")</f>
        <v>Shopee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7">
        <f>IFERROR(__xludf.DUMMYFUNCTION("""COMPUTED_VALUE"""),45839.0)</f>
        <v>45839</v>
      </c>
      <c r="B212" s="8">
        <f>IFERROR(__xludf.DUMMYFUNCTION("""COMPUTED_VALUE"""),45831.0)</f>
        <v>45831</v>
      </c>
      <c r="C212" s="1" t="str">
        <f>IFERROR(__xludf.DUMMYFUNCTION("""COMPUTED_VALUE"""),"Cancelamento - Shopee -")</f>
        <v>Cancelamento - Shopee -</v>
      </c>
      <c r="D212" s="2">
        <f>IFERROR(__xludf.DUMMYFUNCTION("""COMPUTED_VALUE"""),-29.99)</f>
        <v>-29.99</v>
      </c>
      <c r="E212" s="1" t="str">
        <f>IFERROR(__xludf.DUMMYFUNCTION("""COMPUTED_VALUE"""),"-")</f>
        <v>-</v>
      </c>
      <c r="F212" s="1" t="str">
        <f>IFERROR(__xludf.DUMMYFUNCTION("""COMPUTED_VALUE"""),"Cancelamento - Shopee -")</f>
        <v>Cancelamento - Shopee -</v>
      </c>
      <c r="G212" s="1" t="str">
        <f>IFERROR(__xludf.DUMMYFUNCTION("""COMPUTED_VALUE"""),"Shopee")</f>
        <v>Shopee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7">
        <f>IFERROR(__xludf.DUMMYFUNCTION("""COMPUTED_VALUE"""),45839.0)</f>
        <v>45839</v>
      </c>
      <c r="B213" s="8">
        <f>IFERROR(__xludf.DUMMYFUNCTION("""COMPUTED_VALUE"""),45831.0)</f>
        <v>45831</v>
      </c>
      <c r="C213" s="1" t="str">
        <f>IFERROR(__xludf.DUMMYFUNCTION("""COMPUTED_VALUE"""),"Cancelamento - Shopee -")</f>
        <v>Cancelamento - Shopee -</v>
      </c>
      <c r="D213" s="2">
        <f>IFERROR(__xludf.DUMMYFUNCTION("""COMPUTED_VALUE"""),-32.89)</f>
        <v>-32.89</v>
      </c>
      <c r="E213" s="1" t="str">
        <f>IFERROR(__xludf.DUMMYFUNCTION("""COMPUTED_VALUE"""),"-")</f>
        <v>-</v>
      </c>
      <c r="F213" s="1" t="str">
        <f>IFERROR(__xludf.DUMMYFUNCTION("""COMPUTED_VALUE"""),"Cancelamento - Shopee -")</f>
        <v>Cancelamento - Shopee -</v>
      </c>
      <c r="G213" s="1" t="str">
        <f>IFERROR(__xludf.DUMMYFUNCTION("""COMPUTED_VALUE"""),"Shopee")</f>
        <v>Shopee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7">
        <f>IFERROR(__xludf.DUMMYFUNCTION("""COMPUTED_VALUE"""),45839.0)</f>
        <v>45839</v>
      </c>
      <c r="B214" s="8">
        <f>IFERROR(__xludf.DUMMYFUNCTION("""COMPUTED_VALUE"""),45831.0)</f>
        <v>45831</v>
      </c>
      <c r="C214" s="1" t="str">
        <f>IFERROR(__xludf.DUMMYFUNCTION("""COMPUTED_VALUE"""),"Cancelamento - Shopee -")</f>
        <v>Cancelamento - Shopee -</v>
      </c>
      <c r="D214" s="2">
        <f>IFERROR(__xludf.DUMMYFUNCTION("""COMPUTED_VALUE"""),-34.9)</f>
        <v>-34.9</v>
      </c>
      <c r="E214" s="1" t="str">
        <f>IFERROR(__xludf.DUMMYFUNCTION("""COMPUTED_VALUE"""),"-")</f>
        <v>-</v>
      </c>
      <c r="F214" s="1" t="str">
        <f>IFERROR(__xludf.DUMMYFUNCTION("""COMPUTED_VALUE"""),"Cancelamento - Shopee -")</f>
        <v>Cancelamento - Shopee -</v>
      </c>
      <c r="G214" s="1" t="str">
        <f>IFERROR(__xludf.DUMMYFUNCTION("""COMPUTED_VALUE"""),"Shopee")</f>
        <v>Shopee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7">
        <f>IFERROR(__xludf.DUMMYFUNCTION("""COMPUTED_VALUE"""),45839.0)</f>
        <v>45839</v>
      </c>
      <c r="B215" s="8">
        <f>IFERROR(__xludf.DUMMYFUNCTION("""COMPUTED_VALUE"""),45831.0)</f>
        <v>45831</v>
      </c>
      <c r="C215" s="1" t="str">
        <f>IFERROR(__xludf.DUMMYFUNCTION("""COMPUTED_VALUE"""),"Cancelamento - Copkosto -")</f>
        <v>Cancelamento - Copkosto -</v>
      </c>
      <c r="D215" s="2">
        <f>IFERROR(__xludf.DUMMYFUNCTION("""COMPUTED_VALUE"""),-32.78)</f>
        <v>-32.78</v>
      </c>
      <c r="E215" s="1" t="str">
        <f>IFERROR(__xludf.DUMMYFUNCTION("""COMPUTED_VALUE"""),"-")</f>
        <v>-</v>
      </c>
      <c r="F215" s="1" t="str">
        <f>IFERROR(__xludf.DUMMYFUNCTION("""COMPUTED_VALUE"""),"Cancelamento - Copkosto -")</f>
        <v>Cancelamento - Copkosto -</v>
      </c>
      <c r="G215" s="1" t="str">
        <f>IFERROR(__xludf.DUMMYFUNCTION("""COMPUTED_VALUE"""),"Shopee")</f>
        <v>Shopee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7">
        <f>IFERROR(__xludf.DUMMYFUNCTION("""COMPUTED_VALUE"""),45839.0)</f>
        <v>45839</v>
      </c>
      <c r="B216" s="8">
        <f>IFERROR(__xludf.DUMMYFUNCTION("""COMPUTED_VALUE"""),45835.0)</f>
        <v>45835</v>
      </c>
      <c r="C216" s="1" t="str">
        <f>IFERROR(__xludf.DUMMYFUNCTION("""COMPUTED_VALUE"""),"Desconto Na Parcela 10 De 12 -")</f>
        <v>Desconto Na Parcela 10 De 12 -</v>
      </c>
      <c r="D216" s="2">
        <f>IFERROR(__xludf.DUMMYFUNCTION("""COMPUTED_VALUE"""),-0.4)</f>
        <v>-0.4</v>
      </c>
      <c r="E216" s="1" t="str">
        <f>IFERROR(__xludf.DUMMYFUNCTION("""COMPUTED_VALUE"""),"-")</f>
        <v>-</v>
      </c>
      <c r="F216" s="1" t="str">
        <f>IFERROR(__xludf.DUMMYFUNCTION("""COMPUTED_VALUE"""),"Desconto Na Parcela 10 De 12 -")</f>
        <v>Desconto Na Parcela 10 De 12 -</v>
      </c>
      <c r="G216" s="1" t="str">
        <f>IFERROR(__xludf.DUMMYFUNCTION("""COMPUTED_VALUE"""),"-")</f>
        <v>-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7">
        <f>IFERROR(__xludf.DUMMYFUNCTION("""COMPUTED_VALUE"""),45839.0)</f>
        <v>45839</v>
      </c>
      <c r="B217" s="8">
        <f>IFERROR(__xludf.DUMMYFUNCTION("""COMPUTED_VALUE"""),45835.0)</f>
        <v>45835</v>
      </c>
      <c r="C217" s="1" t="str">
        <f>IFERROR(__xludf.DUMMYFUNCTION("""COMPUTED_VALUE"""),"Desconto Na Parcela 11 De 12 -")</f>
        <v>Desconto Na Parcela 11 De 12 -</v>
      </c>
      <c r="D217" s="2">
        <f>IFERROR(__xludf.DUMMYFUNCTION("""COMPUTED_VALUE"""),-0.46)</f>
        <v>-0.46</v>
      </c>
      <c r="E217" s="1" t="str">
        <f>IFERROR(__xludf.DUMMYFUNCTION("""COMPUTED_VALUE"""),"-")</f>
        <v>-</v>
      </c>
      <c r="F217" s="1" t="str">
        <f>IFERROR(__xludf.DUMMYFUNCTION("""COMPUTED_VALUE"""),"Desconto Na Parcela 11 De 12 -")</f>
        <v>Desconto Na Parcela 11 De 12 -</v>
      </c>
      <c r="G217" s="1" t="str">
        <f>IFERROR(__xludf.DUMMYFUNCTION("""COMPUTED_VALUE"""),"-")</f>
        <v>-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7">
        <f>IFERROR(__xludf.DUMMYFUNCTION("""COMPUTED_VALUE"""),45839.0)</f>
        <v>45839</v>
      </c>
      <c r="B218" s="8">
        <f>IFERROR(__xludf.DUMMYFUNCTION("""COMPUTED_VALUE"""),45835.0)</f>
        <v>45835</v>
      </c>
      <c r="C218" s="1" t="str">
        <f>IFERROR(__xludf.DUMMYFUNCTION("""COMPUTED_VALUE"""),"Desconto Na Parcela 12 De 12 -")</f>
        <v>Desconto Na Parcela 12 De 12 -</v>
      </c>
      <c r="D218" s="2">
        <f>IFERROR(__xludf.DUMMYFUNCTION("""COMPUTED_VALUE"""),-0.5)</f>
        <v>-0.5</v>
      </c>
      <c r="E218" s="1" t="str">
        <f>IFERROR(__xludf.DUMMYFUNCTION("""COMPUTED_VALUE"""),"-")</f>
        <v>-</v>
      </c>
      <c r="F218" s="1" t="str">
        <f>IFERROR(__xludf.DUMMYFUNCTION("""COMPUTED_VALUE"""),"Desconto Na Parcela 12 De 12 -")</f>
        <v>Desconto Na Parcela 12 De 12 -</v>
      </c>
      <c r="G218" s="1" t="str">
        <f>IFERROR(__xludf.DUMMYFUNCTION("""COMPUTED_VALUE"""),"-")</f>
        <v>-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7">
        <f>IFERROR(__xludf.DUMMYFUNCTION("""COMPUTED_VALUE"""),45839.0)</f>
        <v>45839</v>
      </c>
      <c r="B219" s="8">
        <f>IFERROR(__xludf.DUMMYFUNCTION("""COMPUTED_VALUE"""),45835.0)</f>
        <v>45835</v>
      </c>
      <c r="C219" s="1" t="str">
        <f>IFERROR(__xludf.DUMMYFUNCTION("""COMPUTED_VALUE"""),"Desconto Na Parcela 8 De 12 -")</f>
        <v>Desconto Na Parcela 8 De 12 -</v>
      </c>
      <c r="D219" s="2">
        <f>IFERROR(__xludf.DUMMYFUNCTION("""COMPUTED_VALUE"""),-0.31)</f>
        <v>-0.31</v>
      </c>
      <c r="E219" s="1" t="str">
        <f>IFERROR(__xludf.DUMMYFUNCTION("""COMPUTED_VALUE"""),"-")</f>
        <v>-</v>
      </c>
      <c r="F219" s="1" t="str">
        <f>IFERROR(__xludf.DUMMYFUNCTION("""COMPUTED_VALUE"""),"Desconto Na Parcela 8 De 12 -")</f>
        <v>Desconto Na Parcela 8 De 12 -</v>
      </c>
      <c r="G219" s="1" t="str">
        <f>IFERROR(__xludf.DUMMYFUNCTION("""COMPUTED_VALUE"""),"-")</f>
        <v>-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7">
        <f>IFERROR(__xludf.DUMMYFUNCTION("""COMPUTED_VALUE"""),45839.0)</f>
        <v>45839</v>
      </c>
      <c r="B220" s="8">
        <f>IFERROR(__xludf.DUMMYFUNCTION("""COMPUTED_VALUE"""),45835.0)</f>
        <v>45835</v>
      </c>
      <c r="C220" s="1" t="str">
        <f>IFERROR(__xludf.DUMMYFUNCTION("""COMPUTED_VALUE"""),"Desconto Na Parcela 9 De 12 -")</f>
        <v>Desconto Na Parcela 9 De 12 -</v>
      </c>
      <c r="D220" s="2">
        <f>IFERROR(__xludf.DUMMYFUNCTION("""COMPUTED_VALUE"""),-0.36)</f>
        <v>-0.36</v>
      </c>
      <c r="E220" s="1" t="str">
        <f>IFERROR(__xludf.DUMMYFUNCTION("""COMPUTED_VALUE"""),"-")</f>
        <v>-</v>
      </c>
      <c r="F220" s="1" t="str">
        <f>IFERROR(__xludf.DUMMYFUNCTION("""COMPUTED_VALUE"""),"Desconto Na Parcela 9 De 12 -")</f>
        <v>Desconto Na Parcela 9 De 12 -</v>
      </c>
      <c r="G220" s="1" t="str">
        <f>IFERROR(__xludf.DUMMYFUNCTION("""COMPUTED_VALUE"""),"-")</f>
        <v>-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7">
        <f>IFERROR(__xludf.DUMMYFUNCTION("""COMPUTED_VALUE"""),45839.0)</f>
        <v>45839</v>
      </c>
      <c r="B221" s="8">
        <f>IFERROR(__xludf.DUMMYFUNCTION("""COMPUTED_VALUE"""),45835.0)</f>
        <v>45835</v>
      </c>
      <c r="C221" s="1" t="str">
        <f>IFERROR(__xludf.DUMMYFUNCTION("""COMPUTED_VALUE"""),"Desconto Na Parcela 6 De 12 -")</f>
        <v>Desconto Na Parcela 6 De 12 -</v>
      </c>
      <c r="D221" s="2">
        <f>IFERROR(__xludf.DUMMYFUNCTION("""COMPUTED_VALUE"""),-0.21)</f>
        <v>-0.21</v>
      </c>
      <c r="E221" s="1" t="str">
        <f>IFERROR(__xludf.DUMMYFUNCTION("""COMPUTED_VALUE"""),"-")</f>
        <v>-</v>
      </c>
      <c r="F221" s="1" t="str">
        <f>IFERROR(__xludf.DUMMYFUNCTION("""COMPUTED_VALUE"""),"Desconto Na Parcela 6 De 12 -")</f>
        <v>Desconto Na Parcela 6 De 12 -</v>
      </c>
      <c r="G221" s="1" t="str">
        <f>IFERROR(__xludf.DUMMYFUNCTION("""COMPUTED_VALUE"""),"-")</f>
        <v>-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7">
        <f>IFERROR(__xludf.DUMMYFUNCTION("""COMPUTED_VALUE"""),45839.0)</f>
        <v>45839</v>
      </c>
      <c r="B222" s="8">
        <f>IFERROR(__xludf.DUMMYFUNCTION("""COMPUTED_VALUE"""),45835.0)</f>
        <v>45835</v>
      </c>
      <c r="C222" s="1" t="str">
        <f>IFERROR(__xludf.DUMMYFUNCTION("""COMPUTED_VALUE"""),"Desconto Na Parcela 7 De 12 -")</f>
        <v>Desconto Na Parcela 7 De 12 -</v>
      </c>
      <c r="D222" s="2">
        <f>IFERROR(__xludf.DUMMYFUNCTION("""COMPUTED_VALUE"""),-0.26)</f>
        <v>-0.26</v>
      </c>
      <c r="E222" s="1" t="str">
        <f>IFERROR(__xludf.DUMMYFUNCTION("""COMPUTED_VALUE"""),"-")</f>
        <v>-</v>
      </c>
      <c r="F222" s="1" t="str">
        <f>IFERROR(__xludf.DUMMYFUNCTION("""COMPUTED_VALUE"""),"Desconto Na Parcela 7 De 12 -")</f>
        <v>Desconto Na Parcela 7 De 12 -</v>
      </c>
      <c r="G222" s="1" t="str">
        <f>IFERROR(__xludf.DUMMYFUNCTION("""COMPUTED_VALUE"""),"-")</f>
        <v>-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7">
        <f>IFERROR(__xludf.DUMMYFUNCTION("""COMPUTED_VALUE"""),45839.0)</f>
        <v>45839</v>
      </c>
      <c r="B223" s="8">
        <f>IFERROR(__xludf.DUMMYFUNCTION("""COMPUTED_VALUE"""),45835.0)</f>
        <v>45835</v>
      </c>
      <c r="C223" s="1" t="str">
        <f>IFERROR(__xludf.DUMMYFUNCTION("""COMPUTED_VALUE"""),"Desconto Na Parcela 4 De 12 -")</f>
        <v>Desconto Na Parcela 4 De 12 -</v>
      </c>
      <c r="D223" s="2">
        <f>IFERROR(__xludf.DUMMYFUNCTION("""COMPUTED_VALUE"""),-0.1)</f>
        <v>-0.1</v>
      </c>
      <c r="E223" s="1" t="str">
        <f>IFERROR(__xludf.DUMMYFUNCTION("""COMPUTED_VALUE"""),"-")</f>
        <v>-</v>
      </c>
      <c r="F223" s="1" t="str">
        <f>IFERROR(__xludf.DUMMYFUNCTION("""COMPUTED_VALUE"""),"Desconto Na Parcela 4 De 12 -")</f>
        <v>Desconto Na Parcela 4 De 12 -</v>
      </c>
      <c r="G223" s="1" t="str">
        <f>IFERROR(__xludf.DUMMYFUNCTION("""COMPUTED_VALUE"""),"-")</f>
        <v>-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7">
        <f>IFERROR(__xludf.DUMMYFUNCTION("""COMPUTED_VALUE"""),45839.0)</f>
        <v>45839</v>
      </c>
      <c r="B224" s="8">
        <f>IFERROR(__xludf.DUMMYFUNCTION("""COMPUTED_VALUE"""),45835.0)</f>
        <v>45835</v>
      </c>
      <c r="C224" s="1" t="str">
        <f>IFERROR(__xludf.DUMMYFUNCTION("""COMPUTED_VALUE"""),"Desconto Na Parcela 5 De 12 -")</f>
        <v>Desconto Na Parcela 5 De 12 -</v>
      </c>
      <c r="D224" s="2">
        <f>IFERROR(__xludf.DUMMYFUNCTION("""COMPUTED_VALUE"""),-0.15)</f>
        <v>-0.15</v>
      </c>
      <c r="E224" s="1" t="str">
        <f>IFERROR(__xludf.DUMMYFUNCTION("""COMPUTED_VALUE"""),"-")</f>
        <v>-</v>
      </c>
      <c r="F224" s="1" t="str">
        <f>IFERROR(__xludf.DUMMYFUNCTION("""COMPUTED_VALUE"""),"Desconto Na Parcela 5 De 12 -")</f>
        <v>Desconto Na Parcela 5 De 12 -</v>
      </c>
      <c r="G224" s="1" t="str">
        <f>IFERROR(__xludf.DUMMYFUNCTION("""COMPUTED_VALUE"""),"-")</f>
        <v>-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7">
        <f>IFERROR(__xludf.DUMMYFUNCTION("""COMPUTED_VALUE"""),45839.0)</f>
        <v>45839</v>
      </c>
      <c r="B225" s="8">
        <f>IFERROR(__xludf.DUMMYFUNCTION("""COMPUTED_VALUE"""),45835.0)</f>
        <v>45835</v>
      </c>
      <c r="C225" s="1" t="str">
        <f>IFERROR(__xludf.DUMMYFUNCTION("""COMPUTED_VALUE"""),"Desconto Na Parcela 3 De 12 -")</f>
        <v>Desconto Na Parcela 3 De 12 -</v>
      </c>
      <c r="D225" s="2">
        <f>IFERROR(__xludf.DUMMYFUNCTION("""COMPUTED_VALUE"""),-0.05)</f>
        <v>-0.05</v>
      </c>
      <c r="E225" s="1" t="str">
        <f>IFERROR(__xludf.DUMMYFUNCTION("""COMPUTED_VALUE"""),"-")</f>
        <v>-</v>
      </c>
      <c r="F225" s="1" t="str">
        <f>IFERROR(__xludf.DUMMYFUNCTION("""COMPUTED_VALUE"""),"Desconto Na Parcela 3 De 12 -")</f>
        <v>Desconto Na Parcela 3 De 12 -</v>
      </c>
      <c r="G225" s="1" t="str">
        <f>IFERROR(__xludf.DUMMYFUNCTION("""COMPUTED_VALUE"""),"-")</f>
        <v>-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7">
        <f>IFERROR(__xludf.DUMMYFUNCTION("""COMPUTED_VALUE"""),45839.0)</f>
        <v>45839</v>
      </c>
      <c r="B226" s="8">
        <f>IFERROR(__xludf.DUMMYFUNCTION("""COMPUTED_VALUE"""),45837.0)</f>
        <v>45837</v>
      </c>
      <c r="C226" s="1" t="str">
        <f>IFERROR(__xludf.DUMMYFUNCTION("""COMPUTED_VALUE"""),"Desconto Na Parcela 5 De 5 Simple -")</f>
        <v>Desconto Na Parcela 5 De 5 Simple -</v>
      </c>
      <c r="D226" s="2">
        <f>IFERROR(__xludf.DUMMYFUNCTION("""COMPUTED_VALUE"""),-0.36)</f>
        <v>-0.36</v>
      </c>
      <c r="E226" s="1" t="str">
        <f>IFERROR(__xludf.DUMMYFUNCTION("""COMPUTED_VALUE"""),"-")</f>
        <v>-</v>
      </c>
      <c r="F226" s="1" t="str">
        <f>IFERROR(__xludf.DUMMYFUNCTION("""COMPUTED_VALUE"""),"Desconto Na Parcela 5 De 5 Simple -")</f>
        <v>Desconto Na Parcela 5 De 5 Simple -</v>
      </c>
      <c r="G226" s="1" t="str">
        <f>IFERROR(__xludf.DUMMYFUNCTION("""COMPUTED_VALUE"""),"-")</f>
        <v>-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7">
        <f>IFERROR(__xludf.DUMMYFUNCTION("""COMPUTED_VALUE"""),45839.0)</f>
        <v>45839</v>
      </c>
      <c r="B227" s="8">
        <f>IFERROR(__xludf.DUMMYFUNCTION("""COMPUTED_VALUE"""),45837.0)</f>
        <v>45837</v>
      </c>
      <c r="C227" s="1" t="str">
        <f>IFERROR(__xludf.DUMMYFUNCTION("""COMPUTED_VALUE"""),"Desconto Na Parcela 2 De 5 Simple -")</f>
        <v>Desconto Na Parcela 2 De 5 Simple -</v>
      </c>
      <c r="D227" s="2">
        <f>IFERROR(__xludf.DUMMYFUNCTION("""COMPUTED_VALUE"""),-0.09)</f>
        <v>-0.09</v>
      </c>
      <c r="E227" s="1" t="str">
        <f>IFERROR(__xludf.DUMMYFUNCTION("""COMPUTED_VALUE"""),"-")</f>
        <v>-</v>
      </c>
      <c r="F227" s="1" t="str">
        <f>IFERROR(__xludf.DUMMYFUNCTION("""COMPUTED_VALUE"""),"Desconto Na Parcela 2 De 5 Simple -")</f>
        <v>Desconto Na Parcela 2 De 5 Simple -</v>
      </c>
      <c r="G227" s="1" t="str">
        <f>IFERROR(__xludf.DUMMYFUNCTION("""COMPUTED_VALUE"""),"-")</f>
        <v>-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7">
        <f>IFERROR(__xludf.DUMMYFUNCTION("""COMPUTED_VALUE"""),45839.0)</f>
        <v>45839</v>
      </c>
      <c r="B228" s="8">
        <f>IFERROR(__xludf.DUMMYFUNCTION("""COMPUTED_VALUE"""),45837.0)</f>
        <v>45837</v>
      </c>
      <c r="C228" s="1" t="str">
        <f>IFERROR(__xludf.DUMMYFUNCTION("""COMPUTED_VALUE"""),"Desconto Na Parcela 3 De 5 Simple -")</f>
        <v>Desconto Na Parcela 3 De 5 Simple -</v>
      </c>
      <c r="D228" s="2">
        <f>IFERROR(__xludf.DUMMYFUNCTION("""COMPUTED_VALUE"""),-0.18)</f>
        <v>-0.18</v>
      </c>
      <c r="E228" s="1" t="str">
        <f>IFERROR(__xludf.DUMMYFUNCTION("""COMPUTED_VALUE"""),"-")</f>
        <v>-</v>
      </c>
      <c r="F228" s="1" t="str">
        <f>IFERROR(__xludf.DUMMYFUNCTION("""COMPUTED_VALUE"""),"Desconto Na Parcela 3 De 5 Simple -")</f>
        <v>Desconto Na Parcela 3 De 5 Simple -</v>
      </c>
      <c r="G228" s="1" t="str">
        <f>IFERROR(__xludf.DUMMYFUNCTION("""COMPUTED_VALUE"""),"-")</f>
        <v>-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7">
        <f>IFERROR(__xludf.DUMMYFUNCTION("""COMPUTED_VALUE"""),45839.0)</f>
        <v>45839</v>
      </c>
      <c r="B229" s="8">
        <f>IFERROR(__xludf.DUMMYFUNCTION("""COMPUTED_VALUE"""),45837.0)</f>
        <v>45837</v>
      </c>
      <c r="C229" s="1" t="str">
        <f>IFERROR(__xludf.DUMMYFUNCTION("""COMPUTED_VALUE"""),"Desconto Na Parcela 4 De 5 Simple -")</f>
        <v>Desconto Na Parcela 4 De 5 Simple -</v>
      </c>
      <c r="D229" s="2">
        <f>IFERROR(__xludf.DUMMYFUNCTION("""COMPUTED_VALUE"""),-0.27)</f>
        <v>-0.27</v>
      </c>
      <c r="E229" s="1" t="str">
        <f>IFERROR(__xludf.DUMMYFUNCTION("""COMPUTED_VALUE"""),"-")</f>
        <v>-</v>
      </c>
      <c r="F229" s="1" t="str">
        <f>IFERROR(__xludf.DUMMYFUNCTION("""COMPUTED_VALUE"""),"Desconto Na Parcela 4 De 5 Simple -")</f>
        <v>Desconto Na Parcela 4 De 5 Simple -</v>
      </c>
      <c r="G229" s="1" t="str">
        <f>IFERROR(__xludf.DUMMYFUNCTION("""COMPUTED_VALUE"""),"-")</f>
        <v>-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7">
        <f>IFERROR(__xludf.DUMMYFUNCTION("""COMPUTED_VALUE"""),45839.0)</f>
        <v>45839</v>
      </c>
      <c r="B230" s="8">
        <f>IFERROR(__xludf.DUMMYFUNCTION("""COMPUTED_VALUE"""),45837.0)</f>
        <v>45837</v>
      </c>
      <c r="C230" s="1" t="str">
        <f>IFERROR(__xludf.DUMMYFUNCTION("""COMPUTED_VALUE"""),"Desconto Na Parcela 2 De 2 -")</f>
        <v>Desconto Na Parcela 2 De 2 -</v>
      </c>
      <c r="D230" s="2">
        <f>IFERROR(__xludf.DUMMYFUNCTION("""COMPUTED_VALUE"""),-0.09)</f>
        <v>-0.09</v>
      </c>
      <c r="E230" s="1" t="str">
        <f>IFERROR(__xludf.DUMMYFUNCTION("""COMPUTED_VALUE"""),"-")</f>
        <v>-</v>
      </c>
      <c r="F230" s="1" t="str">
        <f>IFERROR(__xludf.DUMMYFUNCTION("""COMPUTED_VALUE"""),"Desconto Na Parcela 2 De 2 -")</f>
        <v>Desconto Na Parcela 2 De 2 -</v>
      </c>
      <c r="G230" s="1" t="str">
        <f>IFERROR(__xludf.DUMMYFUNCTION("""COMPUTED_VALUE"""),"-")</f>
        <v>-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7">
        <f>IFERROR(__xludf.DUMMYFUNCTION("""COMPUTED_VALUE"""),45839.0)</f>
        <v>45839</v>
      </c>
      <c r="B231" s="8">
        <f>IFERROR(__xludf.DUMMYFUNCTION("""COMPUTED_VALUE"""),45837.0)</f>
        <v>45837</v>
      </c>
      <c r="C231" s="1" t="str">
        <f>IFERROR(__xludf.DUMMYFUNCTION("""COMPUTED_VALUE"""),"Desconto Na Parcela 3 De 3 Dma -")</f>
        <v>Desconto Na Parcela 3 De 3 Dma -</v>
      </c>
      <c r="D231" s="2">
        <f>IFERROR(__xludf.DUMMYFUNCTION("""COMPUTED_VALUE"""),-0.28)</f>
        <v>-0.28</v>
      </c>
      <c r="E231" s="1" t="str">
        <f>IFERROR(__xludf.DUMMYFUNCTION("""COMPUTED_VALUE"""),"-")</f>
        <v>-</v>
      </c>
      <c r="F231" s="1" t="str">
        <f>IFERROR(__xludf.DUMMYFUNCTION("""COMPUTED_VALUE"""),"Desconto Na Parcela 3 De 3 Dma -")</f>
        <v>Desconto Na Parcela 3 De 3 Dma -</v>
      </c>
      <c r="G231" s="1" t="str">
        <f>IFERROR(__xludf.DUMMYFUNCTION("""COMPUTED_VALUE"""),"-")</f>
        <v>-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7">
        <f>IFERROR(__xludf.DUMMYFUNCTION("""COMPUTED_VALUE"""),45839.0)</f>
        <v>45839</v>
      </c>
      <c r="B232" s="8">
        <f>IFERROR(__xludf.DUMMYFUNCTION("""COMPUTED_VALUE"""),45837.0)</f>
        <v>45837</v>
      </c>
      <c r="C232" s="1" t="str">
        <f>IFERROR(__xludf.DUMMYFUNCTION("""COMPUTED_VALUE"""),"Desconto Na Parcela 2 De 3 Dma -")</f>
        <v>Desconto Na Parcela 2 De 3 Dma -</v>
      </c>
      <c r="D232" s="2">
        <f>IFERROR(__xludf.DUMMYFUNCTION("""COMPUTED_VALUE"""),-0.14)</f>
        <v>-0.14</v>
      </c>
      <c r="E232" s="1" t="str">
        <f>IFERROR(__xludf.DUMMYFUNCTION("""COMPUTED_VALUE"""),"-")</f>
        <v>-</v>
      </c>
      <c r="F232" s="1" t="str">
        <f>IFERROR(__xludf.DUMMYFUNCTION("""COMPUTED_VALUE"""),"Desconto Na Parcela 2 De 3 Dma -")</f>
        <v>Desconto Na Parcela 2 De 3 Dma -</v>
      </c>
      <c r="G232" s="1" t="str">
        <f>IFERROR(__xludf.DUMMYFUNCTION("""COMPUTED_VALUE"""),"-")</f>
        <v>-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7">
        <f>IFERROR(__xludf.DUMMYFUNCTION("""COMPUTED_VALUE"""),45839.0)</f>
        <v>45839</v>
      </c>
      <c r="B233" s="8">
        <f>IFERROR(__xludf.DUMMYFUNCTION("""COMPUTED_VALUE"""),45839.0)</f>
        <v>45839</v>
      </c>
      <c r="C233" s="1" t="str">
        <f>IFERROR(__xludf.DUMMYFUNCTION("""COMPUTED_VALUE"""),"Desconto Na Parcela 3 De 3 -")</f>
        <v>Desconto Na Parcela 3 De 3 -</v>
      </c>
      <c r="D233" s="2">
        <f>IFERROR(__xludf.DUMMYFUNCTION("""COMPUTED_VALUE"""),-0.31)</f>
        <v>-0.31</v>
      </c>
      <c r="E233" s="1" t="str">
        <f>IFERROR(__xludf.DUMMYFUNCTION("""COMPUTED_VALUE"""),"-")</f>
        <v>-</v>
      </c>
      <c r="F233" s="1" t="str">
        <f>IFERROR(__xludf.DUMMYFUNCTION("""COMPUTED_VALUE"""),"Desconto Na Parcela 3 De 3 -")</f>
        <v>Desconto Na Parcela 3 De 3 -</v>
      </c>
      <c r="G233" s="1" t="str">
        <f>IFERROR(__xludf.DUMMYFUNCTION("""COMPUTED_VALUE"""),"-")</f>
        <v>-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7">
        <f>IFERROR(__xludf.DUMMYFUNCTION("""COMPUTED_VALUE"""),45839.0)</f>
        <v>45839</v>
      </c>
      <c r="B234" s="8">
        <f>IFERROR(__xludf.DUMMYFUNCTION("""COMPUTED_VALUE"""),45839.0)</f>
        <v>45839</v>
      </c>
      <c r="C234" s="1" t="str">
        <f>IFERROR(__xludf.DUMMYFUNCTION("""COMPUTED_VALUE"""),"Desconto Na Parcela 2 De 3 -")</f>
        <v>Desconto Na Parcela 2 De 3 -</v>
      </c>
      <c r="D234" s="2">
        <f>IFERROR(__xludf.DUMMYFUNCTION("""COMPUTED_VALUE"""),-0.15)</f>
        <v>-0.15</v>
      </c>
      <c r="E234" s="1" t="str">
        <f>IFERROR(__xludf.DUMMYFUNCTION("""COMPUTED_VALUE"""),"-")</f>
        <v>-</v>
      </c>
      <c r="F234" s="1" t="str">
        <f>IFERROR(__xludf.DUMMYFUNCTION("""COMPUTED_VALUE"""),"Desconto Na Parcela 2 De 3 -")</f>
        <v>Desconto Na Parcela 2 De 3 -</v>
      </c>
      <c r="G234" s="1" t="str">
        <f>IFERROR(__xludf.DUMMYFUNCTION("""COMPUTED_VALUE"""),"-")</f>
        <v>-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7">
        <f>IFERROR(__xludf.DUMMYFUNCTION("""COMPUTED_VALUE"""),45839.0)</f>
        <v>45839</v>
      </c>
      <c r="B235" s="8">
        <f>IFERROR(__xludf.DUMMYFUNCTION("""COMPUTED_VALUE"""),45780.0)</f>
        <v>45780</v>
      </c>
      <c r="C235" s="1" t="str">
        <f>IFERROR(__xludf.DUMMYFUNCTION("""COMPUTED_VALUE"""),"Constance (2/2)")</f>
        <v>Constance (2/2)</v>
      </c>
      <c r="D235" s="2">
        <f>IFERROR(__xludf.DUMMYFUNCTION("""COMPUTED_VALUE"""),89.99)</f>
        <v>89.99</v>
      </c>
      <c r="E235" s="1" t="str">
        <f>IFERROR(__xludf.DUMMYFUNCTION("""COMPUTED_VALUE"""),"-")</f>
        <v>-</v>
      </c>
      <c r="F235" s="1" t="str">
        <f>IFERROR(__xludf.DUMMYFUNCTION("""COMPUTED_VALUE"""),"Constance")</f>
        <v>Constance</v>
      </c>
      <c r="G235" s="1" t="str">
        <f>IFERROR(__xludf.DUMMYFUNCTION("""COMPUTED_VALUE"""),"Compras")</f>
        <v>Compras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7">
        <f>IFERROR(__xludf.DUMMYFUNCTION("""COMPUTED_VALUE"""),45839.0)</f>
        <v>45839</v>
      </c>
      <c r="B236" s="8">
        <f>IFERROR(__xludf.DUMMYFUNCTION("""COMPUTED_VALUE"""),45791.0)</f>
        <v>45791</v>
      </c>
      <c r="C236" s="1" t="str">
        <f>IFERROR(__xludf.DUMMYFUNCTION("""COMPUTED_VALUE"""),"Centro De Excelencia (2/2)")</f>
        <v>Centro De Excelencia (2/2)</v>
      </c>
      <c r="D236" s="2">
        <f>IFERROR(__xludf.DUMMYFUNCTION("""COMPUTED_VALUE"""),520.0)</f>
        <v>520</v>
      </c>
      <c r="E236" s="1" t="str">
        <f>IFERROR(__xludf.DUMMYFUNCTION("""COMPUTED_VALUE"""),"-")</f>
        <v>-</v>
      </c>
      <c r="F236" s="1" t="str">
        <f>IFERROR(__xludf.DUMMYFUNCTION("""COMPUTED_VALUE"""),"Centro De Excelencia")</f>
        <v>Centro De Excelencia</v>
      </c>
      <c r="G236" s="1" t="str">
        <f>IFERROR(__xludf.DUMMYFUNCTION("""COMPUTED_VALUE"""),"-")</f>
        <v>-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7">
        <f>IFERROR(__xludf.DUMMYFUNCTION("""COMPUTED_VALUE"""),45839.0)</f>
        <v>45839</v>
      </c>
      <c r="B237" s="8">
        <f>IFERROR(__xludf.DUMMYFUNCTION("""COMPUTED_VALUE"""),45804.0)</f>
        <v>45804</v>
      </c>
      <c r="C237" s="1" t="str">
        <f>IFERROR(__xludf.DUMMYFUNCTION("""COMPUTED_VALUE"""),"Copiar")</f>
        <v>Copiar</v>
      </c>
      <c r="D237" s="2">
        <f>IFERROR(__xludf.DUMMYFUNCTION("""COMPUTED_VALUE"""),23.5)</f>
        <v>23.5</v>
      </c>
      <c r="E237" s="1" t="str">
        <f>IFERROR(__xludf.DUMMYFUNCTION("""COMPUTED_VALUE"""),"-")</f>
        <v>-</v>
      </c>
      <c r="F237" s="1" t="str">
        <f>IFERROR(__xludf.DUMMYFUNCTION("""COMPUTED_VALUE"""),"Copiar")</f>
        <v>Copiar</v>
      </c>
      <c r="G237" s="1" t="str">
        <f>IFERROR(__xludf.DUMMYFUNCTION("""COMPUTED_VALUE"""),"-")</f>
        <v>-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7">
        <f>IFERROR(__xludf.DUMMYFUNCTION("""COMPUTED_VALUE"""),45839.0)</f>
        <v>45839</v>
      </c>
      <c r="B238" s="8">
        <f>IFERROR(__xludf.DUMMYFUNCTION("""COMPUTED_VALUE"""),45804.0)</f>
        <v>45804</v>
      </c>
      <c r="C238" s="1" t="str">
        <f>IFERROR(__xludf.DUMMYFUNCTION("""COMPUTED_VALUE"""),"Multiplan")</f>
        <v>Multiplan</v>
      </c>
      <c r="D238" s="2">
        <f>IFERROR(__xludf.DUMMYFUNCTION("""COMPUTED_VALUE"""),10.5)</f>
        <v>10.5</v>
      </c>
      <c r="E238" s="1" t="str">
        <f>IFERROR(__xludf.DUMMYFUNCTION("""COMPUTED_VALUE"""),"-")</f>
        <v>-</v>
      </c>
      <c r="F238" s="1" t="str">
        <f>IFERROR(__xludf.DUMMYFUNCTION("""COMPUTED_VALUE"""),"Multiplan")</f>
        <v>Multiplan</v>
      </c>
      <c r="G238" s="1" t="str">
        <f>IFERROR(__xludf.DUMMYFUNCTION("""COMPUTED_VALUE"""),"-")</f>
        <v>-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7">
        <f>IFERROR(__xludf.DUMMYFUNCTION("""COMPUTED_VALUE"""),45839.0)</f>
        <v>45839</v>
      </c>
      <c r="B239" s="8">
        <f>IFERROR(__xludf.DUMMYFUNCTION("""COMPUTED_VALUE"""),45804.0)</f>
        <v>45804</v>
      </c>
      <c r="C239" s="1" t="str">
        <f>IFERROR(__xludf.DUMMYFUNCTION("""COMPUTED_VALUE"""),"Panif Mendes Sion")</f>
        <v>Panif Mendes Sion</v>
      </c>
      <c r="D239" s="2">
        <f>IFERROR(__xludf.DUMMYFUNCTION("""COMPUTED_VALUE"""),9.9)</f>
        <v>9.9</v>
      </c>
      <c r="E239" s="1" t="str">
        <f>IFERROR(__xludf.DUMMYFUNCTION("""COMPUTED_VALUE"""),"-")</f>
        <v>-</v>
      </c>
      <c r="F239" s="1" t="str">
        <f>IFERROR(__xludf.DUMMYFUNCTION("""COMPUTED_VALUE"""),"Panif Mendes Sion")</f>
        <v>Panif Mendes Sion</v>
      </c>
      <c r="G239" s="1" t="str">
        <f>IFERROR(__xludf.DUMMYFUNCTION("""COMPUTED_VALUE"""),"Comida")</f>
        <v>Comida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7">
        <f>IFERROR(__xludf.DUMMYFUNCTION("""COMPUTED_VALUE"""),45839.0)</f>
        <v>45839</v>
      </c>
      <c r="B240" s="8">
        <f>IFERROR(__xludf.DUMMYFUNCTION("""COMPUTED_VALUE"""),45805.0)</f>
        <v>45805</v>
      </c>
      <c r="C240" s="1" t="str">
        <f>IFERROR(__xludf.DUMMYFUNCTION("""COMPUTED_VALUE"""),"Panif Mendes Sion")</f>
        <v>Panif Mendes Sion</v>
      </c>
      <c r="D240" s="2">
        <f>IFERROR(__xludf.DUMMYFUNCTION("""COMPUTED_VALUE"""),6.8)</f>
        <v>6.8</v>
      </c>
      <c r="E240" s="1" t="str">
        <f>IFERROR(__xludf.DUMMYFUNCTION("""COMPUTED_VALUE"""),"-")</f>
        <v>-</v>
      </c>
      <c r="F240" s="1" t="str">
        <f>IFERROR(__xludf.DUMMYFUNCTION("""COMPUTED_VALUE"""),"Panif Mendes Sion")</f>
        <v>Panif Mendes Sion</v>
      </c>
      <c r="G240" s="1" t="str">
        <f>IFERROR(__xludf.DUMMYFUNCTION("""COMPUTED_VALUE"""),"Comida")</f>
        <v>Comida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7">
        <f>IFERROR(__xludf.DUMMYFUNCTION("""COMPUTED_VALUE"""),45839.0)</f>
        <v>45839</v>
      </c>
      <c r="B241" s="8">
        <f>IFERROR(__xludf.DUMMYFUNCTION("""COMPUTED_VALUE"""),45805.0)</f>
        <v>45805</v>
      </c>
      <c r="C241" s="1" t="str">
        <f>IFERROR(__xludf.DUMMYFUNCTION("""COMPUTED_VALUE"""),"Sion 1001 Festas")</f>
        <v>Sion 1001 Festas</v>
      </c>
      <c r="D241" s="2">
        <f>IFERROR(__xludf.DUMMYFUNCTION("""COMPUTED_VALUE"""),488.6)</f>
        <v>488.6</v>
      </c>
      <c r="E241" s="1" t="str">
        <f>IFERROR(__xludf.DUMMYFUNCTION("""COMPUTED_VALUE"""),"-")</f>
        <v>-</v>
      </c>
      <c r="F241" s="1" t="str">
        <f>IFERROR(__xludf.DUMMYFUNCTION("""COMPUTED_VALUE"""),"Sion 1001 Festas")</f>
        <v>Sion 1001 Festas</v>
      </c>
      <c r="G241" s="1" t="str">
        <f>IFERROR(__xludf.DUMMYFUNCTION("""COMPUTED_VALUE"""),"-")</f>
        <v>-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7">
        <f>IFERROR(__xludf.DUMMYFUNCTION("""COMPUTED_VALUE"""),45839.0)</f>
        <v>45839</v>
      </c>
      <c r="B242" s="8">
        <f>IFERROR(__xludf.DUMMYFUNCTION("""COMPUTED_VALUE"""),45805.0)</f>
        <v>45805</v>
      </c>
      <c r="C242" s="1" t="str">
        <f>IFERROR(__xludf.DUMMYFUNCTION("""COMPUTED_VALUE"""),"Supermercado &amp; Padaria")</f>
        <v>Supermercado &amp; Padaria</v>
      </c>
      <c r="D242" s="2">
        <f>IFERROR(__xludf.DUMMYFUNCTION("""COMPUTED_VALUE"""),33.05)</f>
        <v>33.05</v>
      </c>
      <c r="E242" s="1" t="str">
        <f>IFERROR(__xludf.DUMMYFUNCTION("""COMPUTED_VALUE"""),"-")</f>
        <v>-</v>
      </c>
      <c r="F242" s="1" t="str">
        <f>IFERROR(__xludf.DUMMYFUNCTION("""COMPUTED_VALUE"""),"Supermercado &amp; Padaria")</f>
        <v>Supermercado &amp; Padaria</v>
      </c>
      <c r="G242" s="1" t="str">
        <f>IFERROR(__xludf.DUMMYFUNCTION("""COMPUTED_VALUE"""),"Comida")</f>
        <v>Comida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7">
        <f>IFERROR(__xludf.DUMMYFUNCTION("""COMPUTED_VALUE"""),45839.0)</f>
        <v>45839</v>
      </c>
      <c r="B243" s="8">
        <f>IFERROR(__xludf.DUMMYFUNCTION("""COMPUTED_VALUE"""),45806.0)</f>
        <v>45806</v>
      </c>
      <c r="C243" s="1" t="str">
        <f>IFERROR(__xludf.DUMMYFUNCTION("""COMPUTED_VALUE"""),"Dma Distribuidora Sa")</f>
        <v>Dma Distribuidora Sa</v>
      </c>
      <c r="D243" s="2">
        <f>IFERROR(__xludf.DUMMYFUNCTION("""COMPUTED_VALUE"""),173.03)</f>
        <v>173.03</v>
      </c>
      <c r="E243" s="1" t="str">
        <f>IFERROR(__xludf.DUMMYFUNCTION("""COMPUTED_VALUE"""),"-")</f>
        <v>-</v>
      </c>
      <c r="F243" s="1" t="str">
        <f>IFERROR(__xludf.DUMMYFUNCTION("""COMPUTED_VALUE"""),"Dma Distribuidora Sa")</f>
        <v>Dma Distribuidora Sa</v>
      </c>
      <c r="G243" s="1" t="str">
        <f>IFERROR(__xludf.DUMMYFUNCTION("""COMPUTED_VALUE"""),"Supermercado")</f>
        <v>Supermercado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7">
        <f>IFERROR(__xludf.DUMMYFUNCTION("""COMPUTED_VALUE"""),45839.0)</f>
        <v>45839</v>
      </c>
      <c r="B244" s="8">
        <f>IFERROR(__xludf.DUMMYFUNCTION("""COMPUTED_VALUE"""),45807.0)</f>
        <v>45807</v>
      </c>
      <c r="C244" s="1" t="str">
        <f>IFERROR(__xludf.DUMMYFUNCTION("""COMPUTED_VALUE"""),"Vila Arabe Lourdes")</f>
        <v>Vila Arabe Lourdes</v>
      </c>
      <c r="D244" s="2">
        <f>IFERROR(__xludf.DUMMYFUNCTION("""COMPUTED_VALUE"""),37.58)</f>
        <v>37.58</v>
      </c>
      <c r="E244" s="1" t="str">
        <f>IFERROR(__xludf.DUMMYFUNCTION("""COMPUTED_VALUE"""),"-")</f>
        <v>-</v>
      </c>
      <c r="F244" s="1" t="str">
        <f>IFERROR(__xludf.DUMMYFUNCTION("""COMPUTED_VALUE"""),"Vila Arabe Lourdes")</f>
        <v>Vila Arabe Lourdes</v>
      </c>
      <c r="G244" s="1" t="str">
        <f>IFERROR(__xludf.DUMMYFUNCTION("""COMPUTED_VALUE"""),"-")</f>
        <v>-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7">
        <f>IFERROR(__xludf.DUMMYFUNCTION("""COMPUTED_VALUE"""),45839.0)</f>
        <v>45839</v>
      </c>
      <c r="B245" s="8">
        <f>IFERROR(__xludf.DUMMYFUNCTION("""COMPUTED_VALUE"""),45807.0)</f>
        <v>45807</v>
      </c>
      <c r="C245" s="1" t="str">
        <f>IFERROR(__xludf.DUMMYFUNCTION("""COMPUTED_VALUE"""),"Gelateria Mfps Mg2")</f>
        <v>Gelateria Mfps Mg2</v>
      </c>
      <c r="D245" s="2">
        <f>IFERROR(__xludf.DUMMYFUNCTION("""COMPUTED_VALUE"""),21.0)</f>
        <v>21</v>
      </c>
      <c r="E245" s="1" t="str">
        <f>IFERROR(__xludf.DUMMYFUNCTION("""COMPUTED_VALUE"""),"-")</f>
        <v>-</v>
      </c>
      <c r="F245" s="1" t="str">
        <f>IFERROR(__xludf.DUMMYFUNCTION("""COMPUTED_VALUE"""),"Gelateria Mfps Mg2")</f>
        <v>Gelateria Mfps Mg2</v>
      </c>
      <c r="G245" s="1" t="str">
        <f>IFERROR(__xludf.DUMMYFUNCTION("""COMPUTED_VALUE"""),"-")</f>
        <v>-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7">
        <f>IFERROR(__xludf.DUMMYFUNCTION("""COMPUTED_VALUE"""),45839.0)</f>
        <v>45839</v>
      </c>
      <c r="B246" s="8">
        <f>IFERROR(__xludf.DUMMYFUNCTION("""COMPUTED_VALUE"""),45807.0)</f>
        <v>45807</v>
      </c>
      <c r="C246" s="1" t="str">
        <f>IFERROR(__xludf.DUMMYFUNCTION("""COMPUTED_VALUE"""),"Oakberry")</f>
        <v>Oakberry</v>
      </c>
      <c r="D246" s="2">
        <f>IFERROR(__xludf.DUMMYFUNCTION("""COMPUTED_VALUE"""),33.98)</f>
        <v>33.98</v>
      </c>
      <c r="E246" s="1" t="str">
        <f>IFERROR(__xludf.DUMMYFUNCTION("""COMPUTED_VALUE"""),"-")</f>
        <v>-</v>
      </c>
      <c r="F246" s="1" t="str">
        <f>IFERROR(__xludf.DUMMYFUNCTION("""COMPUTED_VALUE"""),"Oakberry")</f>
        <v>Oakberry</v>
      </c>
      <c r="G246" s="1" t="str">
        <f>IFERROR(__xludf.DUMMYFUNCTION("""COMPUTED_VALUE"""),"-")</f>
        <v>-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7">
        <f>IFERROR(__xludf.DUMMYFUNCTION("""COMPUTED_VALUE"""),45839.0)</f>
        <v>45839</v>
      </c>
      <c r="B247" s="8">
        <f>IFERROR(__xludf.DUMMYFUNCTION("""COMPUTED_VALUE"""),45807.0)</f>
        <v>45807</v>
      </c>
      <c r="C247" s="1" t="str">
        <f>IFERROR(__xludf.DUMMYFUNCTION("""COMPUTED_VALUE"""),"Oakberry")</f>
        <v>Oakberry</v>
      </c>
      <c r="D247" s="2">
        <f>IFERROR(__xludf.DUMMYFUNCTION("""COMPUTED_VALUE"""),27.89)</f>
        <v>27.89</v>
      </c>
      <c r="E247" s="1" t="str">
        <f>IFERROR(__xludf.DUMMYFUNCTION("""COMPUTED_VALUE"""),"-")</f>
        <v>-</v>
      </c>
      <c r="F247" s="1" t="str">
        <f>IFERROR(__xludf.DUMMYFUNCTION("""COMPUTED_VALUE"""),"Oakberry")</f>
        <v>Oakberry</v>
      </c>
      <c r="G247" s="1" t="str">
        <f>IFERROR(__xludf.DUMMYFUNCTION("""COMPUTED_VALUE"""),"-")</f>
        <v>-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7">
        <f>IFERROR(__xludf.DUMMYFUNCTION("""COMPUTED_VALUE"""),45839.0)</f>
        <v>45839</v>
      </c>
      <c r="B248" s="8">
        <f>IFERROR(__xludf.DUMMYFUNCTION("""COMPUTED_VALUE"""),45807.0)</f>
        <v>45807</v>
      </c>
      <c r="C248" s="1" t="str">
        <f>IFERROR(__xludf.DUMMYFUNCTION("""COMPUTED_VALUE"""),"Cobasi")</f>
        <v>Cobasi</v>
      </c>
      <c r="D248" s="2">
        <f>IFERROR(__xludf.DUMMYFUNCTION("""COMPUTED_VALUE"""),108.8)</f>
        <v>108.8</v>
      </c>
      <c r="E248" s="1" t="str">
        <f>IFERROR(__xludf.DUMMYFUNCTION("""COMPUTED_VALUE"""),"-")</f>
        <v>-</v>
      </c>
      <c r="F248" s="1" t="str">
        <f>IFERROR(__xludf.DUMMYFUNCTION("""COMPUTED_VALUE"""),"Cobasi")</f>
        <v>Cobasi</v>
      </c>
      <c r="G248" s="1" t="str">
        <f>IFERROR(__xludf.DUMMYFUNCTION("""COMPUTED_VALUE"""),"-")</f>
        <v>-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7">
        <f>IFERROR(__xludf.DUMMYFUNCTION("""COMPUTED_VALUE"""),45839.0)</f>
        <v>45839</v>
      </c>
      <c r="B249" s="8">
        <f>IFERROR(__xludf.DUMMYFUNCTION("""COMPUTED_VALUE"""),45808.0)</f>
        <v>45808</v>
      </c>
      <c r="C249" s="1" t="str">
        <f>IFERROR(__xludf.DUMMYFUNCTION("""COMPUTED_VALUE"""),"Panif Mendes Sion")</f>
        <v>Panif Mendes Sion</v>
      </c>
      <c r="D249" s="2">
        <f>IFERROR(__xludf.DUMMYFUNCTION("""COMPUTED_VALUE"""),12.4)</f>
        <v>12.4</v>
      </c>
      <c r="E249" s="1" t="str">
        <f>IFERROR(__xludf.DUMMYFUNCTION("""COMPUTED_VALUE"""),"-")</f>
        <v>-</v>
      </c>
      <c r="F249" s="1" t="str">
        <f>IFERROR(__xludf.DUMMYFUNCTION("""COMPUTED_VALUE"""),"Panif Mendes Sion")</f>
        <v>Panif Mendes Sion</v>
      </c>
      <c r="G249" s="1" t="str">
        <f>IFERROR(__xludf.DUMMYFUNCTION("""COMPUTED_VALUE"""),"Comida")</f>
        <v>Comida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7">
        <f>IFERROR(__xludf.DUMMYFUNCTION("""COMPUTED_VALUE"""),45839.0)</f>
        <v>45839</v>
      </c>
      <c r="B250" s="8">
        <f>IFERROR(__xludf.DUMMYFUNCTION("""COMPUTED_VALUE"""),45808.0)</f>
        <v>45808</v>
      </c>
      <c r="C250" s="1" t="str">
        <f>IFERROR(__xludf.DUMMYFUNCTION("""COMPUTED_VALUE"""),"Sion 1001 Festas")</f>
        <v>Sion 1001 Festas</v>
      </c>
      <c r="D250" s="2">
        <f>IFERROR(__xludf.DUMMYFUNCTION("""COMPUTED_VALUE"""),88.98)</f>
        <v>88.98</v>
      </c>
      <c r="E250" s="1" t="str">
        <f>IFERROR(__xludf.DUMMYFUNCTION("""COMPUTED_VALUE"""),"-")</f>
        <v>-</v>
      </c>
      <c r="F250" s="1" t="str">
        <f>IFERROR(__xludf.DUMMYFUNCTION("""COMPUTED_VALUE"""),"Sion 1001 Festas")</f>
        <v>Sion 1001 Festas</v>
      </c>
      <c r="G250" s="1" t="str">
        <f>IFERROR(__xludf.DUMMYFUNCTION("""COMPUTED_VALUE"""),"-")</f>
        <v>-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7">
        <f>IFERROR(__xludf.DUMMYFUNCTION("""COMPUTED_VALUE"""),45839.0)</f>
        <v>45839</v>
      </c>
      <c r="B251" s="8">
        <f>IFERROR(__xludf.DUMMYFUNCTION("""COMPUTED_VALUE"""),45808.0)</f>
        <v>45808</v>
      </c>
      <c r="C251" s="1" t="str">
        <f>IFERROR(__xludf.DUMMYFUNCTION("""COMPUTED_VALUE"""),"Cobasi")</f>
        <v>Cobasi</v>
      </c>
      <c r="D251" s="2">
        <f>IFERROR(__xludf.DUMMYFUNCTION("""COMPUTED_VALUE"""),15.6)</f>
        <v>15.6</v>
      </c>
      <c r="E251" s="1" t="str">
        <f>IFERROR(__xludf.DUMMYFUNCTION("""COMPUTED_VALUE"""),"-")</f>
        <v>-</v>
      </c>
      <c r="F251" s="1" t="str">
        <f>IFERROR(__xludf.DUMMYFUNCTION("""COMPUTED_VALUE"""),"Cobasi")</f>
        <v>Cobasi</v>
      </c>
      <c r="G251" s="1" t="str">
        <f>IFERROR(__xludf.DUMMYFUNCTION("""COMPUTED_VALUE"""),"-")</f>
        <v>-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7">
        <f>IFERROR(__xludf.DUMMYFUNCTION("""COMPUTED_VALUE"""),45839.0)</f>
        <v>45839</v>
      </c>
      <c r="B252" s="8">
        <f>IFERROR(__xludf.DUMMYFUNCTION("""COMPUTED_VALUE"""),45808.0)</f>
        <v>45808</v>
      </c>
      <c r="C252" s="1" t="str">
        <f>IFERROR(__xludf.DUMMYFUNCTION("""COMPUTED_VALUE"""),"Supermercado &amp; Padaria")</f>
        <v>Supermercado &amp; Padaria</v>
      </c>
      <c r="D252" s="2">
        <f>IFERROR(__xludf.DUMMYFUNCTION("""COMPUTED_VALUE"""),431.29)</f>
        <v>431.29</v>
      </c>
      <c r="E252" s="1" t="str">
        <f>IFERROR(__xludf.DUMMYFUNCTION("""COMPUTED_VALUE"""),"-")</f>
        <v>-</v>
      </c>
      <c r="F252" s="1" t="str">
        <f>IFERROR(__xludf.DUMMYFUNCTION("""COMPUTED_VALUE"""),"Supermercado &amp; Padaria")</f>
        <v>Supermercado &amp; Padaria</v>
      </c>
      <c r="G252" s="1" t="str">
        <f>IFERROR(__xludf.DUMMYFUNCTION("""COMPUTED_VALUE"""),"Comida")</f>
        <v>Comida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7">
        <f>IFERROR(__xludf.DUMMYFUNCTION("""COMPUTED_VALUE"""),45839.0)</f>
        <v>45839</v>
      </c>
      <c r="B253" s="8">
        <f>IFERROR(__xludf.DUMMYFUNCTION("""COMPUTED_VALUE"""),45808.0)</f>
        <v>45808</v>
      </c>
      <c r="C253" s="1" t="str">
        <f>IFERROR(__xludf.DUMMYFUNCTION("""COMPUTED_VALUE"""),"Estufa Mangabera Butiq")</f>
        <v>Estufa Mangabera Butiq</v>
      </c>
      <c r="D253" s="2">
        <f>IFERROR(__xludf.DUMMYFUNCTION("""COMPUTED_VALUE"""),69.96)</f>
        <v>69.96</v>
      </c>
      <c r="E253" s="1" t="str">
        <f>IFERROR(__xludf.DUMMYFUNCTION("""COMPUTED_VALUE"""),"-")</f>
        <v>-</v>
      </c>
      <c r="F253" s="1" t="str">
        <f>IFERROR(__xludf.DUMMYFUNCTION("""COMPUTED_VALUE"""),"Estufa Mangabera Butiq")</f>
        <v>Estufa Mangabera Butiq</v>
      </c>
      <c r="G253" s="1" t="str">
        <f>IFERROR(__xludf.DUMMYFUNCTION("""COMPUTED_VALUE"""),"-")</f>
        <v>-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7">
        <f>IFERROR(__xludf.DUMMYFUNCTION("""COMPUTED_VALUE"""),45839.0)</f>
        <v>45839</v>
      </c>
      <c r="B254" s="8">
        <f>IFERROR(__xludf.DUMMYFUNCTION("""COMPUTED_VALUE"""),45809.0)</f>
        <v>45809</v>
      </c>
      <c r="C254" s="1" t="str">
        <f>IFERROR(__xludf.DUMMYFUNCTION("""COMPUTED_VALUE"""),"Panif Mendes Sion")</f>
        <v>Panif Mendes Sion</v>
      </c>
      <c r="D254" s="2">
        <f>IFERROR(__xludf.DUMMYFUNCTION("""COMPUTED_VALUE"""),29.6)</f>
        <v>29.6</v>
      </c>
      <c r="E254" s="1" t="str">
        <f>IFERROR(__xludf.DUMMYFUNCTION("""COMPUTED_VALUE"""),"-")</f>
        <v>-</v>
      </c>
      <c r="F254" s="1" t="str">
        <f>IFERROR(__xludf.DUMMYFUNCTION("""COMPUTED_VALUE"""),"Panif Mendes Sion")</f>
        <v>Panif Mendes Sion</v>
      </c>
      <c r="G254" s="1" t="str">
        <f>IFERROR(__xludf.DUMMYFUNCTION("""COMPUTED_VALUE"""),"Comida")</f>
        <v>Comida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7">
        <f>IFERROR(__xludf.DUMMYFUNCTION("""COMPUTED_VALUE"""),45839.0)</f>
        <v>45839</v>
      </c>
      <c r="B255" s="8">
        <f>IFERROR(__xludf.DUMMYFUNCTION("""COMPUTED_VALUE"""),45810.0)</f>
        <v>45810</v>
      </c>
      <c r="C255" s="1" t="str">
        <f>IFERROR(__xludf.DUMMYFUNCTION("""COMPUTED_VALUE"""),"Sion 1001 Festas")</f>
        <v>Sion 1001 Festas</v>
      </c>
      <c r="D255" s="2">
        <f>IFERROR(__xludf.DUMMYFUNCTION("""COMPUTED_VALUE"""),5.19)</f>
        <v>5.19</v>
      </c>
      <c r="E255" s="1" t="str">
        <f>IFERROR(__xludf.DUMMYFUNCTION("""COMPUTED_VALUE"""),"-")</f>
        <v>-</v>
      </c>
      <c r="F255" s="1" t="str">
        <f>IFERROR(__xludf.DUMMYFUNCTION("""COMPUTED_VALUE"""),"Sion 1001 Festas")</f>
        <v>Sion 1001 Festas</v>
      </c>
      <c r="G255" s="1" t="str">
        <f>IFERROR(__xludf.DUMMYFUNCTION("""COMPUTED_VALUE"""),"-")</f>
        <v>-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7">
        <f>IFERROR(__xludf.DUMMYFUNCTION("""COMPUTED_VALUE"""),45839.0)</f>
        <v>45839</v>
      </c>
      <c r="B256" s="8">
        <f>IFERROR(__xludf.DUMMYFUNCTION("""COMPUTED_VALUE"""),45820.0)</f>
        <v>45820</v>
      </c>
      <c r="C256" s="1" t="str">
        <f>IFERROR(__xludf.DUMMYFUNCTION("""COMPUTED_VALUE"""),"Panif Mendes Sion")</f>
        <v>Panif Mendes Sion</v>
      </c>
      <c r="D256" s="2">
        <f>IFERROR(__xludf.DUMMYFUNCTION("""COMPUTED_VALUE"""),25.12)</f>
        <v>25.12</v>
      </c>
      <c r="E256" s="1" t="str">
        <f>IFERROR(__xludf.DUMMYFUNCTION("""COMPUTED_VALUE"""),"-")</f>
        <v>-</v>
      </c>
      <c r="F256" s="1" t="str">
        <f>IFERROR(__xludf.DUMMYFUNCTION("""COMPUTED_VALUE"""),"Panif Mendes Sion")</f>
        <v>Panif Mendes Sion</v>
      </c>
      <c r="G256" s="1" t="str">
        <f>IFERROR(__xludf.DUMMYFUNCTION("""COMPUTED_VALUE"""),"Comida")</f>
        <v>Comida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7">
        <f>IFERROR(__xludf.DUMMYFUNCTION("""COMPUTED_VALUE"""),45839.0)</f>
        <v>45839</v>
      </c>
      <c r="B257" s="8">
        <f>IFERROR(__xludf.DUMMYFUNCTION("""COMPUTED_VALUE"""),45820.0)</f>
        <v>45820</v>
      </c>
      <c r="C257" s="1" t="str">
        <f>IFERROR(__xludf.DUMMYFUNCTION("""COMPUTED_VALUE"""),"Drogaria Araujo")</f>
        <v>Drogaria Araujo</v>
      </c>
      <c r="D257" s="2">
        <f>IFERROR(__xludf.DUMMYFUNCTION("""COMPUTED_VALUE"""),31.46)</f>
        <v>31.46</v>
      </c>
      <c r="E257" s="1" t="str">
        <f>IFERROR(__xludf.DUMMYFUNCTION("""COMPUTED_VALUE"""),"-")</f>
        <v>-</v>
      </c>
      <c r="F257" s="1" t="str">
        <f>IFERROR(__xludf.DUMMYFUNCTION("""COMPUTED_VALUE"""),"Drogaria Araujo")</f>
        <v>Drogaria Araujo</v>
      </c>
      <c r="G257" s="1" t="str">
        <f>IFERROR(__xludf.DUMMYFUNCTION("""COMPUTED_VALUE"""),"Farmácia")</f>
        <v>Farmácia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7">
        <f>IFERROR(__xludf.DUMMYFUNCTION("""COMPUTED_VALUE"""),45839.0)</f>
        <v>45839</v>
      </c>
      <c r="B258" s="8">
        <f>IFERROR(__xludf.DUMMYFUNCTION("""COMPUTED_VALUE"""),45820.0)</f>
        <v>45820</v>
      </c>
      <c r="C258" s="1" t="str">
        <f>IFERROR(__xludf.DUMMYFUNCTION("""COMPUTED_VALUE"""),"Super Sacolao")</f>
        <v>Super Sacolao</v>
      </c>
      <c r="D258" s="2">
        <f>IFERROR(__xludf.DUMMYFUNCTION("""COMPUTED_VALUE"""),88.68)</f>
        <v>88.68</v>
      </c>
      <c r="E258" s="1" t="str">
        <f>IFERROR(__xludf.DUMMYFUNCTION("""COMPUTED_VALUE"""),"-")</f>
        <v>-</v>
      </c>
      <c r="F258" s="1" t="str">
        <f>IFERROR(__xludf.DUMMYFUNCTION("""COMPUTED_VALUE"""),"Super Sacolao")</f>
        <v>Super Sacolao</v>
      </c>
      <c r="G258" s="1" t="str">
        <f>IFERROR(__xludf.DUMMYFUNCTION("""COMPUTED_VALUE"""),"-")</f>
        <v>-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7">
        <f>IFERROR(__xludf.DUMMYFUNCTION("""COMPUTED_VALUE"""),45839.0)</f>
        <v>45839</v>
      </c>
      <c r="B259" s="8">
        <f>IFERROR(__xludf.DUMMYFUNCTION("""COMPUTED_VALUE"""),45822.0)</f>
        <v>45822</v>
      </c>
      <c r="C259" s="1" t="str">
        <f>IFERROR(__xludf.DUMMYFUNCTION("""COMPUTED_VALUE"""),"Santa Rosa Acabamentos")</f>
        <v>Santa Rosa Acabamentos</v>
      </c>
      <c r="D259" s="2">
        <f>IFERROR(__xludf.DUMMYFUNCTION("""COMPUTED_VALUE"""),7.8)</f>
        <v>7.8</v>
      </c>
      <c r="E259" s="1" t="str">
        <f>IFERROR(__xludf.DUMMYFUNCTION("""COMPUTED_VALUE"""),"-")</f>
        <v>-</v>
      </c>
      <c r="F259" s="1" t="str">
        <f>IFERROR(__xludf.DUMMYFUNCTION("""COMPUTED_VALUE"""),"Santa Rosa Acabamentos")</f>
        <v>Santa Rosa Acabamentos</v>
      </c>
      <c r="G259" s="1" t="str">
        <f>IFERROR(__xludf.DUMMYFUNCTION("""COMPUTED_VALUE"""),"-")</f>
        <v>-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7">
        <f>IFERROR(__xludf.DUMMYFUNCTION("""COMPUTED_VALUE"""),45839.0)</f>
        <v>45839</v>
      </c>
      <c r="B260" s="8">
        <f>IFERROR(__xludf.DUMMYFUNCTION("""COMPUTED_VALUE"""),45822.0)</f>
        <v>45822</v>
      </c>
      <c r="C260" s="1" t="str">
        <f>IFERROR(__xludf.DUMMYFUNCTION("""COMPUTED_VALUE"""),"Santissimo Pao")</f>
        <v>Santissimo Pao</v>
      </c>
      <c r="D260" s="2">
        <f>IFERROR(__xludf.DUMMYFUNCTION("""COMPUTED_VALUE"""),23.0)</f>
        <v>23</v>
      </c>
      <c r="E260" s="1" t="str">
        <f>IFERROR(__xludf.DUMMYFUNCTION("""COMPUTED_VALUE"""),"-")</f>
        <v>-</v>
      </c>
      <c r="F260" s="1" t="str">
        <f>IFERROR(__xludf.DUMMYFUNCTION("""COMPUTED_VALUE"""),"Santissimo Pao")</f>
        <v>Santissimo Pao</v>
      </c>
      <c r="G260" s="1" t="str">
        <f>IFERROR(__xludf.DUMMYFUNCTION("""COMPUTED_VALUE"""),"Comida")</f>
        <v>Comida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7">
        <f>IFERROR(__xludf.DUMMYFUNCTION("""COMPUTED_VALUE"""),45839.0)</f>
        <v>45839</v>
      </c>
      <c r="B261" s="8">
        <f>IFERROR(__xludf.DUMMYFUNCTION("""COMPUTED_VALUE"""),45822.0)</f>
        <v>45822</v>
      </c>
      <c r="C261" s="1" t="str">
        <f>IFERROR(__xludf.DUMMYFUNCTION("""COMPUTED_VALUE"""),"Golden Pet")</f>
        <v>Golden Pet</v>
      </c>
      <c r="D261" s="2">
        <f>IFERROR(__xludf.DUMMYFUNCTION("""COMPUTED_VALUE"""),85.5)</f>
        <v>85.5</v>
      </c>
      <c r="E261" s="1" t="str">
        <f>IFERROR(__xludf.DUMMYFUNCTION("""COMPUTED_VALUE"""),"-")</f>
        <v>-</v>
      </c>
      <c r="F261" s="1" t="str">
        <f>IFERROR(__xludf.DUMMYFUNCTION("""COMPUTED_VALUE"""),"Golden Pet")</f>
        <v>Golden Pet</v>
      </c>
      <c r="G261" s="1" t="str">
        <f>IFERROR(__xludf.DUMMYFUNCTION("""COMPUTED_VALUE"""),"Hulk")</f>
        <v>Hulk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7">
        <f>IFERROR(__xludf.DUMMYFUNCTION("""COMPUTED_VALUE"""),45839.0)</f>
        <v>45839</v>
      </c>
      <c r="B262" s="8">
        <f>IFERROR(__xludf.DUMMYFUNCTION("""COMPUTED_VALUE"""),45822.0)</f>
        <v>45822</v>
      </c>
      <c r="C262" s="1" t="str">
        <f>IFERROR(__xludf.DUMMYFUNCTION("""COMPUTED_VALUE"""),"Panif Mendes Sion")</f>
        <v>Panif Mendes Sion</v>
      </c>
      <c r="D262" s="2">
        <f>IFERROR(__xludf.DUMMYFUNCTION("""COMPUTED_VALUE"""),10.84)</f>
        <v>10.84</v>
      </c>
      <c r="E262" s="1" t="str">
        <f>IFERROR(__xludf.DUMMYFUNCTION("""COMPUTED_VALUE"""),"-")</f>
        <v>-</v>
      </c>
      <c r="F262" s="1" t="str">
        <f>IFERROR(__xludf.DUMMYFUNCTION("""COMPUTED_VALUE"""),"Panif Mendes Sion")</f>
        <v>Panif Mendes Sion</v>
      </c>
      <c r="G262" s="1" t="str">
        <f>IFERROR(__xludf.DUMMYFUNCTION("""COMPUTED_VALUE"""),"Comida")</f>
        <v>Comida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7">
        <f>IFERROR(__xludf.DUMMYFUNCTION("""COMPUTED_VALUE"""),45839.0)</f>
        <v>45839</v>
      </c>
      <c r="B263" s="8">
        <f>IFERROR(__xludf.DUMMYFUNCTION("""COMPUTED_VALUE"""),45823.0)</f>
        <v>45823</v>
      </c>
      <c r="C263" s="1" t="str">
        <f>IFERROR(__xludf.DUMMYFUNCTION("""COMPUTED_VALUE"""),"Panif Mendes Sion")</f>
        <v>Panif Mendes Sion</v>
      </c>
      <c r="D263" s="2">
        <f>IFERROR(__xludf.DUMMYFUNCTION("""COMPUTED_VALUE"""),41.61)</f>
        <v>41.61</v>
      </c>
      <c r="E263" s="1" t="str">
        <f>IFERROR(__xludf.DUMMYFUNCTION("""COMPUTED_VALUE"""),"-")</f>
        <v>-</v>
      </c>
      <c r="F263" s="1" t="str">
        <f>IFERROR(__xludf.DUMMYFUNCTION("""COMPUTED_VALUE"""),"Panif Mendes Sion")</f>
        <v>Panif Mendes Sion</v>
      </c>
      <c r="G263" s="1" t="str">
        <f>IFERROR(__xludf.DUMMYFUNCTION("""COMPUTED_VALUE"""),"Comida")</f>
        <v>Comida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7">
        <f>IFERROR(__xludf.DUMMYFUNCTION("""COMPUTED_VALUE"""),45839.0)</f>
        <v>45839</v>
      </c>
      <c r="B264" s="8">
        <f>IFERROR(__xludf.DUMMYFUNCTION("""COMPUTED_VALUE"""),45823.0)</f>
        <v>45823</v>
      </c>
      <c r="C264" s="1" t="str">
        <f>IFERROR(__xludf.DUMMYFUNCTION("""COMPUTED_VALUE"""),"Bem Hortifruti")</f>
        <v>Bem Hortifruti</v>
      </c>
      <c r="D264" s="2">
        <f>IFERROR(__xludf.DUMMYFUNCTION("""COMPUTED_VALUE"""),84.96)</f>
        <v>84.96</v>
      </c>
      <c r="E264" s="1" t="str">
        <f>IFERROR(__xludf.DUMMYFUNCTION("""COMPUTED_VALUE"""),"-")</f>
        <v>-</v>
      </c>
      <c r="F264" s="1" t="str">
        <f>IFERROR(__xludf.DUMMYFUNCTION("""COMPUTED_VALUE"""),"Bem Hortifruti")</f>
        <v>Bem Hortifruti</v>
      </c>
      <c r="G264" s="1" t="str">
        <f>IFERROR(__xludf.DUMMYFUNCTION("""COMPUTED_VALUE"""),"Comida")</f>
        <v>Comida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7">
        <f>IFERROR(__xludf.DUMMYFUNCTION("""COMPUTED_VALUE"""),45839.0)</f>
        <v>45839</v>
      </c>
      <c r="B265" s="8">
        <f>IFERROR(__xludf.DUMMYFUNCTION("""COMPUTED_VALUE"""),45823.0)</f>
        <v>45823</v>
      </c>
      <c r="C265" s="1" t="str">
        <f>IFERROR(__xludf.DUMMYFUNCTION("""COMPUTED_VALUE"""),"Drogaria Araujo")</f>
        <v>Drogaria Araujo</v>
      </c>
      <c r="D265" s="2">
        <f>IFERROR(__xludf.DUMMYFUNCTION("""COMPUTED_VALUE"""),18.99)</f>
        <v>18.99</v>
      </c>
      <c r="E265" s="1" t="str">
        <f>IFERROR(__xludf.DUMMYFUNCTION("""COMPUTED_VALUE"""),"-")</f>
        <v>-</v>
      </c>
      <c r="F265" s="1" t="str">
        <f>IFERROR(__xludf.DUMMYFUNCTION("""COMPUTED_VALUE"""),"Drogaria Araujo")</f>
        <v>Drogaria Araujo</v>
      </c>
      <c r="G265" s="1" t="str">
        <f>IFERROR(__xludf.DUMMYFUNCTION("""COMPUTED_VALUE"""),"Farmácia")</f>
        <v>Farmácia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7">
        <f>IFERROR(__xludf.DUMMYFUNCTION("""COMPUTED_VALUE"""),45839.0)</f>
        <v>45839</v>
      </c>
      <c r="B266" s="8">
        <f>IFERROR(__xludf.DUMMYFUNCTION("""COMPUTED_VALUE"""),45823.0)</f>
        <v>45823</v>
      </c>
      <c r="C266" s="1" t="str">
        <f>IFERROR(__xludf.DUMMYFUNCTION("""COMPUTED_VALUE"""),"Panif Mendes Sion")</f>
        <v>Panif Mendes Sion</v>
      </c>
      <c r="D266" s="2">
        <f>IFERROR(__xludf.DUMMYFUNCTION("""COMPUTED_VALUE"""),24.9)</f>
        <v>24.9</v>
      </c>
      <c r="E266" s="1" t="str">
        <f>IFERROR(__xludf.DUMMYFUNCTION("""COMPUTED_VALUE"""),"-")</f>
        <v>-</v>
      </c>
      <c r="F266" s="1" t="str">
        <f>IFERROR(__xludf.DUMMYFUNCTION("""COMPUTED_VALUE"""),"Panif Mendes Sion")</f>
        <v>Panif Mendes Sion</v>
      </c>
      <c r="G266" s="1" t="str">
        <f>IFERROR(__xludf.DUMMYFUNCTION("""COMPUTED_VALUE"""),"Comida")</f>
        <v>Comida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7">
        <f>IFERROR(__xludf.DUMMYFUNCTION("""COMPUTED_VALUE"""),45839.0)</f>
        <v>45839</v>
      </c>
      <c r="B267" s="8">
        <f>IFERROR(__xludf.DUMMYFUNCTION("""COMPUTED_VALUE"""),45825.0)</f>
        <v>45825</v>
      </c>
      <c r="C267" s="1" t="str">
        <f>IFERROR(__xludf.DUMMYFUNCTION("""COMPUTED_VALUE"""),"Panif Mendes Sion")</f>
        <v>Panif Mendes Sion</v>
      </c>
      <c r="D267" s="2">
        <f>IFERROR(__xludf.DUMMYFUNCTION("""COMPUTED_VALUE"""),14.02)</f>
        <v>14.02</v>
      </c>
      <c r="E267" s="1" t="str">
        <f>IFERROR(__xludf.DUMMYFUNCTION("""COMPUTED_VALUE"""),"-")</f>
        <v>-</v>
      </c>
      <c r="F267" s="1" t="str">
        <f>IFERROR(__xludf.DUMMYFUNCTION("""COMPUTED_VALUE"""),"Panif Mendes Sion")</f>
        <v>Panif Mendes Sion</v>
      </c>
      <c r="G267" s="1" t="str">
        <f>IFERROR(__xludf.DUMMYFUNCTION("""COMPUTED_VALUE"""),"Comida")</f>
        <v>Comida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7">
        <f>IFERROR(__xludf.DUMMYFUNCTION("""COMPUTED_VALUE"""),45839.0)</f>
        <v>45839</v>
      </c>
      <c r="B268" s="8">
        <f>IFERROR(__xludf.DUMMYFUNCTION("""COMPUTED_VALUE"""),45825.0)</f>
        <v>45825</v>
      </c>
      <c r="C268" s="1" t="str">
        <f>IFERROR(__xludf.DUMMYFUNCTION("""COMPUTED_VALUE"""),"B1 Sist Ester De Lima")</f>
        <v>B1 Sist Ester De Lima</v>
      </c>
      <c r="D268" s="2">
        <f>IFERROR(__xludf.DUMMYFUNCTION("""COMPUTED_VALUE"""),353.2)</f>
        <v>353.2</v>
      </c>
      <c r="E268" s="1" t="str">
        <f>IFERROR(__xludf.DUMMYFUNCTION("""COMPUTED_VALUE"""),"-")</f>
        <v>-</v>
      </c>
      <c r="F268" s="1" t="str">
        <f>IFERROR(__xludf.DUMMYFUNCTION("""COMPUTED_VALUE"""),"B1 Sist Ester De Lima")</f>
        <v>B1 Sist Ester De Lima</v>
      </c>
      <c r="G268" s="1" t="str">
        <f>IFERROR(__xludf.DUMMYFUNCTION("""COMPUTED_VALUE"""),"-")</f>
        <v>-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7">
        <f>IFERROR(__xludf.DUMMYFUNCTION("""COMPUTED_VALUE"""),45839.0)</f>
        <v>45839</v>
      </c>
      <c r="B269" s="8">
        <f>IFERROR(__xludf.DUMMYFUNCTION("""COMPUTED_VALUE"""),45825.0)</f>
        <v>45825</v>
      </c>
      <c r="C269" s="1" t="str">
        <f>IFERROR(__xludf.DUMMYFUNCTION("""COMPUTED_VALUE"""),"Soul De Queijo")</f>
        <v>Soul De Queijo</v>
      </c>
      <c r="D269" s="2">
        <f>IFERROR(__xludf.DUMMYFUNCTION("""COMPUTED_VALUE"""),7.0)</f>
        <v>7</v>
      </c>
      <c r="E269" s="1" t="str">
        <f>IFERROR(__xludf.DUMMYFUNCTION("""COMPUTED_VALUE"""),"-")</f>
        <v>-</v>
      </c>
      <c r="F269" s="1" t="str">
        <f>IFERROR(__xludf.DUMMYFUNCTION("""COMPUTED_VALUE"""),"Soul De Queijo")</f>
        <v>Soul De Queijo</v>
      </c>
      <c r="G269" s="1" t="str">
        <f>IFERROR(__xludf.DUMMYFUNCTION("""COMPUTED_VALUE"""),"-")</f>
        <v>-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7">
        <f>IFERROR(__xludf.DUMMYFUNCTION("""COMPUTED_VALUE"""),45839.0)</f>
        <v>45839</v>
      </c>
      <c r="B270" s="8">
        <f>IFERROR(__xludf.DUMMYFUNCTION("""COMPUTED_VALUE"""),45825.0)</f>
        <v>45825</v>
      </c>
      <c r="C270" s="1" t="str">
        <f>IFERROR(__xludf.DUMMYFUNCTION("""COMPUTED_VALUE"""),"Drogaria Araujo")</f>
        <v>Drogaria Araujo</v>
      </c>
      <c r="D270" s="2">
        <f>IFERROR(__xludf.DUMMYFUNCTION("""COMPUTED_VALUE"""),10.59)</f>
        <v>10.59</v>
      </c>
      <c r="E270" s="1" t="str">
        <f>IFERROR(__xludf.DUMMYFUNCTION("""COMPUTED_VALUE"""),"-")</f>
        <v>-</v>
      </c>
      <c r="F270" s="1" t="str">
        <f>IFERROR(__xludf.DUMMYFUNCTION("""COMPUTED_VALUE"""),"Drogaria Araujo")</f>
        <v>Drogaria Araujo</v>
      </c>
      <c r="G270" s="1" t="str">
        <f>IFERROR(__xludf.DUMMYFUNCTION("""COMPUTED_VALUE"""),"Farmácia")</f>
        <v>Farmácia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7">
        <f>IFERROR(__xludf.DUMMYFUNCTION("""COMPUTED_VALUE"""),45839.0)</f>
        <v>45839</v>
      </c>
      <c r="B271" s="8">
        <f>IFERROR(__xludf.DUMMYFUNCTION("""COMPUTED_VALUE"""),45825.0)</f>
        <v>45825</v>
      </c>
      <c r="C271" s="1" t="str">
        <f>IFERROR(__xludf.DUMMYFUNCTION("""COMPUTED_VALUE"""),"Panif Mendes Sion")</f>
        <v>Panif Mendes Sion</v>
      </c>
      <c r="D271" s="2">
        <f>IFERROR(__xludf.DUMMYFUNCTION("""COMPUTED_VALUE"""),5.7)</f>
        <v>5.7</v>
      </c>
      <c r="E271" s="1" t="str">
        <f>IFERROR(__xludf.DUMMYFUNCTION("""COMPUTED_VALUE"""),"-")</f>
        <v>-</v>
      </c>
      <c r="F271" s="1" t="str">
        <f>IFERROR(__xludf.DUMMYFUNCTION("""COMPUTED_VALUE"""),"Panif Mendes Sion")</f>
        <v>Panif Mendes Sion</v>
      </c>
      <c r="G271" s="1" t="str">
        <f>IFERROR(__xludf.DUMMYFUNCTION("""COMPUTED_VALUE"""),"Comida")</f>
        <v>Comida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7">
        <f>IFERROR(__xludf.DUMMYFUNCTION("""COMPUTED_VALUE"""),45839.0)</f>
        <v>45839</v>
      </c>
      <c r="B272" s="8">
        <f>IFERROR(__xludf.DUMMYFUNCTION("""COMPUTED_VALUE"""),45826.0)</f>
        <v>45826</v>
      </c>
      <c r="C272" s="1" t="str">
        <f>IFERROR(__xludf.DUMMYFUNCTION("""COMPUTED_VALUE"""),"Eletirca Llrd")</f>
        <v>Eletirca Llrd</v>
      </c>
      <c r="D272" s="2">
        <f>IFERROR(__xludf.DUMMYFUNCTION("""COMPUTED_VALUE"""),148.99)</f>
        <v>148.99</v>
      </c>
      <c r="E272" s="1" t="str">
        <f>IFERROR(__xludf.DUMMYFUNCTION("""COMPUTED_VALUE"""),"-")</f>
        <v>-</v>
      </c>
      <c r="F272" s="1" t="str">
        <f>IFERROR(__xludf.DUMMYFUNCTION("""COMPUTED_VALUE"""),"Eletirca Llrd")</f>
        <v>Eletirca Llrd</v>
      </c>
      <c r="G272" s="1" t="str">
        <f>IFERROR(__xludf.DUMMYFUNCTION("""COMPUTED_VALUE"""),"-")</f>
        <v>-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7">
        <f>IFERROR(__xludf.DUMMYFUNCTION("""COMPUTED_VALUE"""),45839.0)</f>
        <v>45839</v>
      </c>
      <c r="B273" s="8">
        <f>IFERROR(__xludf.DUMMYFUNCTION("""COMPUTED_VALUE"""),45827.0)</f>
        <v>45827</v>
      </c>
      <c r="C273" s="1" t="str">
        <f>IFERROR(__xludf.DUMMYFUNCTION("""COMPUTED_VALUE"""),"Drogaria Araujo")</f>
        <v>Drogaria Araujo</v>
      </c>
      <c r="D273" s="2">
        <f>IFERROR(__xludf.DUMMYFUNCTION("""COMPUTED_VALUE"""),0.49)</f>
        <v>0.49</v>
      </c>
      <c r="E273" s="1" t="str">
        <f>IFERROR(__xludf.DUMMYFUNCTION("""COMPUTED_VALUE"""),"-")</f>
        <v>-</v>
      </c>
      <c r="F273" s="1" t="str">
        <f>IFERROR(__xludf.DUMMYFUNCTION("""COMPUTED_VALUE"""),"Drogaria Araujo")</f>
        <v>Drogaria Araujo</v>
      </c>
      <c r="G273" s="1" t="str">
        <f>IFERROR(__xludf.DUMMYFUNCTION("""COMPUTED_VALUE"""),"Farmácia")</f>
        <v>Farmácia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7">
        <f>IFERROR(__xludf.DUMMYFUNCTION("""COMPUTED_VALUE"""),45839.0)</f>
        <v>45839</v>
      </c>
      <c r="B274" s="8">
        <f>IFERROR(__xludf.DUMMYFUNCTION("""COMPUTED_VALUE"""),45827.0)</f>
        <v>45827</v>
      </c>
      <c r="C274" s="1" t="str">
        <f>IFERROR(__xludf.DUMMYFUNCTION("""COMPUTED_VALUE"""),"Panif Mendes Sion")</f>
        <v>Panif Mendes Sion</v>
      </c>
      <c r="D274" s="2">
        <f>IFERROR(__xludf.DUMMYFUNCTION("""COMPUTED_VALUE"""),5.33)</f>
        <v>5.33</v>
      </c>
      <c r="E274" s="1" t="str">
        <f>IFERROR(__xludf.DUMMYFUNCTION("""COMPUTED_VALUE"""),"-")</f>
        <v>-</v>
      </c>
      <c r="F274" s="1" t="str">
        <f>IFERROR(__xludf.DUMMYFUNCTION("""COMPUTED_VALUE"""),"Panif Mendes Sion")</f>
        <v>Panif Mendes Sion</v>
      </c>
      <c r="G274" s="1" t="str">
        <f>IFERROR(__xludf.DUMMYFUNCTION("""COMPUTED_VALUE"""),"Comida")</f>
        <v>Comida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7">
        <f>IFERROR(__xludf.DUMMYFUNCTION("""COMPUTED_VALUE"""),45839.0)</f>
        <v>45839</v>
      </c>
      <c r="B275" s="8">
        <f>IFERROR(__xludf.DUMMYFUNCTION("""COMPUTED_VALUE"""),45831.0)</f>
        <v>45831</v>
      </c>
      <c r="C275" s="1" t="str">
        <f>IFERROR(__xludf.DUMMYFUNCTION("""COMPUTED_VALUE"""),"Leroy Merlin")</f>
        <v>Leroy Merlin</v>
      </c>
      <c r="D275" s="2">
        <f>IFERROR(__xludf.DUMMYFUNCTION("""COMPUTED_VALUE"""),542.78)</f>
        <v>542.78</v>
      </c>
      <c r="E275" s="1" t="str">
        <f>IFERROR(__xludf.DUMMYFUNCTION("""COMPUTED_VALUE"""),"-")</f>
        <v>-</v>
      </c>
      <c r="F275" s="1" t="str">
        <f>IFERROR(__xludf.DUMMYFUNCTION("""COMPUTED_VALUE"""),"Leroy Merlin")</f>
        <v>Leroy Merlin</v>
      </c>
      <c r="G275" s="1" t="str">
        <f>IFERROR(__xludf.DUMMYFUNCTION("""COMPUTED_VALUE"""),"-")</f>
        <v>-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7">
        <f>IFERROR(__xludf.DUMMYFUNCTION("""COMPUTED_VALUE"""),45839.0)</f>
        <v>45839</v>
      </c>
      <c r="B276" s="8">
        <f>IFERROR(__xludf.DUMMYFUNCTION("""COMPUTED_VALUE"""),45831.0)</f>
        <v>45831</v>
      </c>
      <c r="C276" s="1" t="str">
        <f>IFERROR(__xludf.DUMMYFUNCTION("""COMPUTED_VALUE"""),"Drogaria Araujo")</f>
        <v>Drogaria Araujo</v>
      </c>
      <c r="D276" s="2">
        <f>IFERROR(__xludf.DUMMYFUNCTION("""COMPUTED_VALUE"""),42.88)</f>
        <v>42.88</v>
      </c>
      <c r="E276" s="1" t="str">
        <f>IFERROR(__xludf.DUMMYFUNCTION("""COMPUTED_VALUE"""),"-")</f>
        <v>-</v>
      </c>
      <c r="F276" s="1" t="str">
        <f>IFERROR(__xludf.DUMMYFUNCTION("""COMPUTED_VALUE"""),"Drogaria Araujo")</f>
        <v>Drogaria Araujo</v>
      </c>
      <c r="G276" s="1" t="str">
        <f>IFERROR(__xludf.DUMMYFUNCTION("""COMPUTED_VALUE"""),"Farmácia")</f>
        <v>Farmácia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7">
        <f>IFERROR(__xludf.DUMMYFUNCTION("""COMPUTED_VALUE"""),45839.0)</f>
        <v>45839</v>
      </c>
      <c r="B277" s="8">
        <f>IFERROR(__xludf.DUMMYFUNCTION("""COMPUTED_VALUE"""),45812.0)</f>
        <v>45812</v>
      </c>
      <c r="C277" s="1" t="str">
        <f>IFERROR(__xludf.DUMMYFUNCTION("""COMPUTED_VALUE"""),"Simone Lanches")</f>
        <v>Simone Lanches</v>
      </c>
      <c r="D277" s="2">
        <f>IFERROR(__xludf.DUMMYFUNCTION("""COMPUTED_VALUE"""),4.0)</f>
        <v>4</v>
      </c>
      <c r="E277" s="1" t="str">
        <f>IFERROR(__xludf.DUMMYFUNCTION("""COMPUTED_VALUE"""),"-")</f>
        <v>-</v>
      </c>
      <c r="F277" s="1" t="str">
        <f>IFERROR(__xludf.DUMMYFUNCTION("""COMPUTED_VALUE"""),"Simone Lanches")</f>
        <v>Simone Lanches</v>
      </c>
      <c r="G277" s="1" t="str">
        <f>IFERROR(__xludf.DUMMYFUNCTION("""COMPUTED_VALUE"""),"-")</f>
        <v>-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7">
        <f>IFERROR(__xludf.DUMMYFUNCTION("""COMPUTED_VALUE"""),45839.0)</f>
        <v>45839</v>
      </c>
      <c r="B278" s="8">
        <f>IFERROR(__xludf.DUMMYFUNCTION("""COMPUTED_VALUE"""),45812.0)</f>
        <v>45812</v>
      </c>
      <c r="C278" s="1" t="str">
        <f>IFERROR(__xludf.DUMMYFUNCTION("""COMPUTED_VALUE"""),"Drogaria Araujo")</f>
        <v>Drogaria Araujo</v>
      </c>
      <c r="D278" s="2">
        <f>IFERROR(__xludf.DUMMYFUNCTION("""COMPUTED_VALUE"""),3.99)</f>
        <v>3.99</v>
      </c>
      <c r="E278" s="1" t="str">
        <f>IFERROR(__xludf.DUMMYFUNCTION("""COMPUTED_VALUE"""),"-")</f>
        <v>-</v>
      </c>
      <c r="F278" s="1" t="str">
        <f>IFERROR(__xludf.DUMMYFUNCTION("""COMPUTED_VALUE"""),"Drogaria Araujo")</f>
        <v>Drogaria Araujo</v>
      </c>
      <c r="G278" s="1" t="str">
        <f>IFERROR(__xludf.DUMMYFUNCTION("""COMPUTED_VALUE"""),"Farmácia")</f>
        <v>Farmácia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7">
        <f>IFERROR(__xludf.DUMMYFUNCTION("""COMPUTED_VALUE"""),45839.0)</f>
        <v>45839</v>
      </c>
      <c r="B279" s="8">
        <f>IFERROR(__xludf.DUMMYFUNCTION("""COMPUTED_VALUE"""),45812.0)</f>
        <v>45812</v>
      </c>
      <c r="C279" s="1" t="str">
        <f>IFERROR(__xludf.DUMMYFUNCTION("""COMPUTED_VALUE"""),"Estufa Mangabera Butiq")</f>
        <v>Estufa Mangabera Butiq</v>
      </c>
      <c r="D279" s="2">
        <f>IFERROR(__xludf.DUMMYFUNCTION("""COMPUTED_VALUE"""),65.67)</f>
        <v>65.67</v>
      </c>
      <c r="E279" s="1" t="str">
        <f>IFERROR(__xludf.DUMMYFUNCTION("""COMPUTED_VALUE"""),"-")</f>
        <v>-</v>
      </c>
      <c r="F279" s="1" t="str">
        <f>IFERROR(__xludf.DUMMYFUNCTION("""COMPUTED_VALUE"""),"Estufa Mangabera Butiq")</f>
        <v>Estufa Mangabera Butiq</v>
      </c>
      <c r="G279" s="1" t="str">
        <f>IFERROR(__xludf.DUMMYFUNCTION("""COMPUTED_VALUE"""),"-")</f>
        <v>-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7">
        <f>IFERROR(__xludf.DUMMYFUNCTION("""COMPUTED_VALUE"""),45839.0)</f>
        <v>45839</v>
      </c>
      <c r="B280" s="8">
        <f>IFERROR(__xludf.DUMMYFUNCTION("""COMPUTED_VALUE"""),45813.0)</f>
        <v>45813</v>
      </c>
      <c r="C280" s="1" t="str">
        <f>IFERROR(__xludf.DUMMYFUNCTION("""COMPUTED_VALUE"""),"Pacheco Barbearia")</f>
        <v>Pacheco Barbearia</v>
      </c>
      <c r="D280" s="2">
        <f>IFERROR(__xludf.DUMMYFUNCTION("""COMPUTED_VALUE"""),75.0)</f>
        <v>75</v>
      </c>
      <c r="E280" s="1" t="str">
        <f>IFERROR(__xludf.DUMMYFUNCTION("""COMPUTED_VALUE"""),"-")</f>
        <v>-</v>
      </c>
      <c r="F280" s="1" t="str">
        <f>IFERROR(__xludf.DUMMYFUNCTION("""COMPUTED_VALUE"""),"Pacheco Barbearia")</f>
        <v>Pacheco Barbearia</v>
      </c>
      <c r="G280" s="1" t="str">
        <f>IFERROR(__xludf.DUMMYFUNCTION("""COMPUTED_VALUE"""),"-")</f>
        <v>-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7">
        <f>IFERROR(__xludf.DUMMYFUNCTION("""COMPUTED_VALUE"""),45839.0)</f>
        <v>45839</v>
      </c>
      <c r="B281" s="8">
        <f>IFERROR(__xludf.DUMMYFUNCTION("""COMPUTED_VALUE"""),45814.0)</f>
        <v>45814</v>
      </c>
      <c r="C281" s="1" t="str">
        <f>IFERROR(__xludf.DUMMYFUNCTION("""COMPUTED_VALUE"""),"Ricks Café Pastelaria")</f>
        <v>Ricks Café Pastelaria</v>
      </c>
      <c r="D281" s="2">
        <f>IFERROR(__xludf.DUMMYFUNCTION("""COMPUTED_VALUE"""),4.0)</f>
        <v>4</v>
      </c>
      <c r="E281" s="1" t="str">
        <f>IFERROR(__xludf.DUMMYFUNCTION("""COMPUTED_VALUE"""),"-")</f>
        <v>-</v>
      </c>
      <c r="F281" s="1" t="str">
        <f>IFERROR(__xludf.DUMMYFUNCTION("""COMPUTED_VALUE"""),"Ricks Café Pastelaria")</f>
        <v>Ricks Café Pastelaria</v>
      </c>
      <c r="G281" s="1" t="str">
        <f>IFERROR(__xludf.DUMMYFUNCTION("""COMPUTED_VALUE"""),"-")</f>
        <v>-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7">
        <f>IFERROR(__xludf.DUMMYFUNCTION("""COMPUTED_VALUE"""),45839.0)</f>
        <v>45839</v>
      </c>
      <c r="B282" s="8">
        <f>IFERROR(__xludf.DUMMYFUNCTION("""COMPUTED_VALUE"""),45814.0)</f>
        <v>45814</v>
      </c>
      <c r="C282" s="1" t="str">
        <f>IFERROR(__xludf.DUMMYFUNCTION("""COMPUTED_VALUE"""),"Supermercado Epa")</f>
        <v>Supermercado Epa</v>
      </c>
      <c r="D282" s="2">
        <f>IFERROR(__xludf.DUMMYFUNCTION("""COMPUTED_VALUE"""),19.98)</f>
        <v>19.98</v>
      </c>
      <c r="E282" s="1" t="str">
        <f>IFERROR(__xludf.DUMMYFUNCTION("""COMPUTED_VALUE"""),"-")</f>
        <v>-</v>
      </c>
      <c r="F282" s="1" t="str">
        <f>IFERROR(__xludf.DUMMYFUNCTION("""COMPUTED_VALUE"""),"Supermercado Epa")</f>
        <v>Supermercado Epa</v>
      </c>
      <c r="G282" s="1" t="str">
        <f>IFERROR(__xludf.DUMMYFUNCTION("""COMPUTED_VALUE"""),"-")</f>
        <v>-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7">
        <f>IFERROR(__xludf.DUMMYFUNCTION("""COMPUTED_VALUE"""),45839.0)</f>
        <v>45839</v>
      </c>
      <c r="B283" s="8">
        <f>IFERROR(__xludf.DUMMYFUNCTION("""COMPUTED_VALUE"""),45815.0)</f>
        <v>45815</v>
      </c>
      <c r="C283" s="1" t="str">
        <f>IFERROR(__xludf.DUMMYFUNCTION("""COMPUTED_VALUE"""),"Panif Mendes Sion")</f>
        <v>Panif Mendes Sion</v>
      </c>
      <c r="D283" s="2">
        <f>IFERROR(__xludf.DUMMYFUNCTION("""COMPUTED_VALUE"""),12.8)</f>
        <v>12.8</v>
      </c>
      <c r="E283" s="1" t="str">
        <f>IFERROR(__xludf.DUMMYFUNCTION("""COMPUTED_VALUE"""),"-")</f>
        <v>-</v>
      </c>
      <c r="F283" s="1" t="str">
        <f>IFERROR(__xludf.DUMMYFUNCTION("""COMPUTED_VALUE"""),"Panif Mendes Sion")</f>
        <v>Panif Mendes Sion</v>
      </c>
      <c r="G283" s="1" t="str">
        <f>IFERROR(__xludf.DUMMYFUNCTION("""COMPUTED_VALUE"""),"Comida")</f>
        <v>Comida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7">
        <f>IFERROR(__xludf.DUMMYFUNCTION("""COMPUTED_VALUE"""),45839.0)</f>
        <v>45839</v>
      </c>
      <c r="B284" s="8">
        <f>IFERROR(__xludf.DUMMYFUNCTION("""COMPUTED_VALUE"""),45816.0)</f>
        <v>45816</v>
      </c>
      <c r="C284" s="1" t="str">
        <f>IFERROR(__xludf.DUMMYFUNCTION("""COMPUTED_VALUE"""),"O Bhar")</f>
        <v>O Bhar</v>
      </c>
      <c r="D284" s="2">
        <f>IFERROR(__xludf.DUMMYFUNCTION("""COMPUTED_VALUE"""),57.75)</f>
        <v>57.75</v>
      </c>
      <c r="E284" s="1" t="str">
        <f>IFERROR(__xludf.DUMMYFUNCTION("""COMPUTED_VALUE"""),"-")</f>
        <v>-</v>
      </c>
      <c r="F284" s="1" t="str">
        <f>IFERROR(__xludf.DUMMYFUNCTION("""COMPUTED_VALUE"""),"O Bhar")</f>
        <v>O Bhar</v>
      </c>
      <c r="G284" s="1" t="str">
        <f>IFERROR(__xludf.DUMMYFUNCTION("""COMPUTED_VALUE"""),"Comida")</f>
        <v>Comida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7">
        <f>IFERROR(__xludf.DUMMYFUNCTION("""COMPUTED_VALUE"""),45839.0)</f>
        <v>45839</v>
      </c>
      <c r="B285" s="8">
        <f>IFERROR(__xludf.DUMMYFUNCTION("""COMPUTED_VALUE"""),45816.0)</f>
        <v>45816</v>
      </c>
      <c r="C285" s="1" t="str">
        <f>IFERROR(__xludf.DUMMYFUNCTION("""COMPUTED_VALUE"""),"Drogaria Araujo")</f>
        <v>Drogaria Araujo</v>
      </c>
      <c r="D285" s="2">
        <f>IFERROR(__xludf.DUMMYFUNCTION("""COMPUTED_VALUE"""),44.08)</f>
        <v>44.08</v>
      </c>
      <c r="E285" s="1" t="str">
        <f>IFERROR(__xludf.DUMMYFUNCTION("""COMPUTED_VALUE"""),"-")</f>
        <v>-</v>
      </c>
      <c r="F285" s="1" t="str">
        <f>IFERROR(__xludf.DUMMYFUNCTION("""COMPUTED_VALUE"""),"Drogaria Araujo")</f>
        <v>Drogaria Araujo</v>
      </c>
      <c r="G285" s="1" t="str">
        <f>IFERROR(__xludf.DUMMYFUNCTION("""COMPUTED_VALUE"""),"Farmácia")</f>
        <v>Farmácia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7">
        <f>IFERROR(__xludf.DUMMYFUNCTION("""COMPUTED_VALUE"""),45839.0)</f>
        <v>45839</v>
      </c>
      <c r="B286" s="8">
        <f>IFERROR(__xludf.DUMMYFUNCTION("""COMPUTED_VALUE"""),45818.0)</f>
        <v>45818</v>
      </c>
      <c r="C286" s="1" t="str">
        <f>IFERROR(__xludf.DUMMYFUNCTION("""COMPUTED_VALUE"""),"Ricks Café Pastelaria")</f>
        <v>Ricks Café Pastelaria</v>
      </c>
      <c r="D286" s="2">
        <f>IFERROR(__xludf.DUMMYFUNCTION("""COMPUTED_VALUE"""),4.0)</f>
        <v>4</v>
      </c>
      <c r="E286" s="1" t="str">
        <f>IFERROR(__xludf.DUMMYFUNCTION("""COMPUTED_VALUE"""),"-")</f>
        <v>-</v>
      </c>
      <c r="F286" s="1" t="str">
        <f>IFERROR(__xludf.DUMMYFUNCTION("""COMPUTED_VALUE"""),"Ricks Café Pastelaria")</f>
        <v>Ricks Café Pastelaria</v>
      </c>
      <c r="G286" s="1" t="str">
        <f>IFERROR(__xludf.DUMMYFUNCTION("""COMPUTED_VALUE"""),"-")</f>
        <v>-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7">
        <f>IFERROR(__xludf.DUMMYFUNCTION("""COMPUTED_VALUE"""),45839.0)</f>
        <v>45839</v>
      </c>
      <c r="B287" s="8">
        <f>IFERROR(__xludf.DUMMYFUNCTION("""COMPUTED_VALUE"""),45818.0)</f>
        <v>45818</v>
      </c>
      <c r="C287" s="1" t="str">
        <f>IFERROR(__xludf.DUMMYFUNCTION("""COMPUTED_VALUE"""),"Crstina Marcia (1/10)")</f>
        <v>Crstina Marcia (1/10)</v>
      </c>
      <c r="D287" s="2">
        <f>IFERROR(__xludf.DUMMYFUNCTION("""COMPUTED_VALUE"""),696.0)</f>
        <v>696</v>
      </c>
      <c r="E287" s="1" t="str">
        <f>IFERROR(__xludf.DUMMYFUNCTION("""COMPUTED_VALUE"""),"-")</f>
        <v>-</v>
      </c>
      <c r="F287" s="1" t="str">
        <f>IFERROR(__xludf.DUMMYFUNCTION("""COMPUTED_VALUE"""),"Crstina Marcia")</f>
        <v>Crstina Marcia</v>
      </c>
      <c r="G287" s="1" t="str">
        <f>IFERROR(__xludf.DUMMYFUNCTION("""COMPUTED_VALUE"""),"-")</f>
        <v>-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7">
        <f>IFERROR(__xludf.DUMMYFUNCTION("""COMPUTED_VALUE"""),45839.0)</f>
        <v>45839</v>
      </c>
      <c r="B288" s="8">
        <f>IFERROR(__xludf.DUMMYFUNCTION("""COMPUTED_VALUE"""),45819.0)</f>
        <v>45819</v>
      </c>
      <c r="C288" s="1" t="str">
        <f>IFERROR(__xludf.DUMMYFUNCTION("""COMPUTED_VALUE"""),"Vila Restaurante")</f>
        <v>Vila Restaurante</v>
      </c>
      <c r="D288" s="2">
        <f>IFERROR(__xludf.DUMMYFUNCTION("""COMPUTED_VALUE"""),25.5)</f>
        <v>25.5</v>
      </c>
      <c r="E288" s="1" t="str">
        <f>IFERROR(__xludf.DUMMYFUNCTION("""COMPUTED_VALUE"""),"-")</f>
        <v>-</v>
      </c>
      <c r="F288" s="1" t="str">
        <f>IFERROR(__xludf.DUMMYFUNCTION("""COMPUTED_VALUE"""),"Vila Restaurante")</f>
        <v>Vila Restaurante</v>
      </c>
      <c r="G288" s="1" t="str">
        <f>IFERROR(__xludf.DUMMYFUNCTION("""COMPUTED_VALUE"""),"-")</f>
        <v>-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7">
        <f>IFERROR(__xludf.DUMMYFUNCTION("""COMPUTED_VALUE"""),45839.0)</f>
        <v>45839</v>
      </c>
      <c r="B289" s="8">
        <f>IFERROR(__xludf.DUMMYFUNCTION("""COMPUTED_VALUE"""),45819.0)</f>
        <v>45819</v>
      </c>
      <c r="C289" s="1" t="str">
        <f>IFERROR(__xludf.DUMMYFUNCTION("""COMPUTED_VALUE"""),"Vila Restaurante")</f>
        <v>Vila Restaurante</v>
      </c>
      <c r="D289" s="2">
        <f>IFERROR(__xludf.DUMMYFUNCTION("""COMPUTED_VALUE"""),12.0)</f>
        <v>12</v>
      </c>
      <c r="E289" s="1" t="str">
        <f>IFERROR(__xludf.DUMMYFUNCTION("""COMPUTED_VALUE"""),"-")</f>
        <v>-</v>
      </c>
      <c r="F289" s="1" t="str">
        <f>IFERROR(__xludf.DUMMYFUNCTION("""COMPUTED_VALUE"""),"Vila Restaurante")</f>
        <v>Vila Restaurante</v>
      </c>
      <c r="G289" s="1" t="str">
        <f>IFERROR(__xludf.DUMMYFUNCTION("""COMPUTED_VALUE"""),"-")</f>
        <v>-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7">
        <f>IFERROR(__xludf.DUMMYFUNCTION("""COMPUTED_VALUE"""),45839.0)</f>
        <v>45839</v>
      </c>
      <c r="B290" s="8">
        <f>IFERROR(__xludf.DUMMYFUNCTION("""COMPUTED_VALUE"""),45820.0)</f>
        <v>45820</v>
      </c>
      <c r="C290" s="1" t="str">
        <f>IFERROR(__xludf.DUMMYFUNCTION("""COMPUTED_VALUE"""),"Drogaria Araujo")</f>
        <v>Drogaria Araujo</v>
      </c>
      <c r="D290" s="2">
        <f>IFERROR(__xludf.DUMMYFUNCTION("""COMPUTED_VALUE"""),294.23)</f>
        <v>294.23</v>
      </c>
      <c r="E290" s="1" t="str">
        <f>IFERROR(__xludf.DUMMYFUNCTION("""COMPUTED_VALUE"""),"-")</f>
        <v>-</v>
      </c>
      <c r="F290" s="1" t="str">
        <f>IFERROR(__xludf.DUMMYFUNCTION("""COMPUTED_VALUE"""),"Drogaria Araujo")</f>
        <v>Drogaria Araujo</v>
      </c>
      <c r="G290" s="1" t="str">
        <f>IFERROR(__xludf.DUMMYFUNCTION("""COMPUTED_VALUE"""),"Farmácia")</f>
        <v>Farmácia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7">
        <f>IFERROR(__xludf.DUMMYFUNCTION("""COMPUTED_VALUE"""),45839.0)</f>
        <v>45839</v>
      </c>
      <c r="B291" s="8">
        <f>IFERROR(__xludf.DUMMYFUNCTION("""COMPUTED_VALUE"""),45833.0)</f>
        <v>45833</v>
      </c>
      <c r="C291" s="1" t="str">
        <f>IFERROR(__xludf.DUMMYFUNCTION("""COMPUTED_VALUE"""),"Carmo Sion Mat Const")</f>
        <v>Carmo Sion Mat Const</v>
      </c>
      <c r="D291" s="2">
        <f>IFERROR(__xludf.DUMMYFUNCTION("""COMPUTED_VALUE"""),16.39)</f>
        <v>16.39</v>
      </c>
      <c r="E291" s="1" t="str">
        <f>IFERROR(__xludf.DUMMYFUNCTION("""COMPUTED_VALUE"""),"-")</f>
        <v>-</v>
      </c>
      <c r="F291" s="1" t="str">
        <f>IFERROR(__xludf.DUMMYFUNCTION("""COMPUTED_VALUE"""),"Carmo Sion Mat Const")</f>
        <v>Carmo Sion Mat Const</v>
      </c>
      <c r="G291" s="1" t="str">
        <f>IFERROR(__xludf.DUMMYFUNCTION("""COMPUTED_VALUE"""),"-")</f>
        <v>-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7">
        <f>IFERROR(__xludf.DUMMYFUNCTION("""COMPUTED_VALUE"""),45839.0)</f>
        <v>45839</v>
      </c>
      <c r="B292" s="8">
        <f>IFERROR(__xludf.DUMMYFUNCTION("""COMPUTED_VALUE"""),45834.0)</f>
        <v>45834</v>
      </c>
      <c r="C292" s="1" t="str">
        <f>IFERROR(__xludf.DUMMYFUNCTION("""COMPUTED_VALUE"""),"Dma Distribuidora Sa (3/3)")</f>
        <v>Dma Distribuidora Sa (3/3)</v>
      </c>
      <c r="D292" s="2">
        <f>IFERROR(__xludf.DUMMYFUNCTION("""COMPUTED_VALUE"""),37.84)</f>
        <v>37.84</v>
      </c>
      <c r="E292" s="1" t="str">
        <f>IFERROR(__xludf.DUMMYFUNCTION("""COMPUTED_VALUE"""),"-")</f>
        <v>-</v>
      </c>
      <c r="F292" s="1" t="str">
        <f>IFERROR(__xludf.DUMMYFUNCTION("""COMPUTED_VALUE"""),"Dma Distribuidora Sa")</f>
        <v>Dma Distribuidora Sa</v>
      </c>
      <c r="G292" s="1" t="str">
        <f>IFERROR(__xludf.DUMMYFUNCTION("""COMPUTED_VALUE"""),"Supermercado")</f>
        <v>Supermercado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7">
        <f>IFERROR(__xludf.DUMMYFUNCTION("""COMPUTED_VALUE"""),45839.0)</f>
        <v>45839</v>
      </c>
      <c r="B293" s="8">
        <f>IFERROR(__xludf.DUMMYFUNCTION("""COMPUTED_VALUE"""),45834.0)</f>
        <v>45834</v>
      </c>
      <c r="C293" s="1" t="str">
        <f>IFERROR(__xludf.DUMMYFUNCTION("""COMPUTED_VALUE"""),"Dma Distribuidora Sa (2/3)")</f>
        <v>Dma Distribuidora Sa (2/3)</v>
      </c>
      <c r="D293" s="2">
        <f>IFERROR(__xludf.DUMMYFUNCTION("""COMPUTED_VALUE"""),37.84)</f>
        <v>37.84</v>
      </c>
      <c r="E293" s="1" t="str">
        <f>IFERROR(__xludf.DUMMYFUNCTION("""COMPUTED_VALUE"""),"-")</f>
        <v>-</v>
      </c>
      <c r="F293" s="1" t="str">
        <f>IFERROR(__xludf.DUMMYFUNCTION("""COMPUTED_VALUE"""),"Dma Distribuidora Sa")</f>
        <v>Dma Distribuidora Sa</v>
      </c>
      <c r="G293" s="1" t="str">
        <f>IFERROR(__xludf.DUMMYFUNCTION("""COMPUTED_VALUE"""),"Supermercado")</f>
        <v>Supermercado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7">
        <f>IFERROR(__xludf.DUMMYFUNCTION("""COMPUTED_VALUE"""),45839.0)</f>
        <v>45839</v>
      </c>
      <c r="B294" s="8">
        <f>IFERROR(__xludf.DUMMYFUNCTION("""COMPUTED_VALUE"""),45834.0)</f>
        <v>45834</v>
      </c>
      <c r="C294" s="1" t="str">
        <f>IFERROR(__xludf.DUMMYFUNCTION("""COMPUTED_VALUE"""),"Dma Distribuidora Sa (1/3)")</f>
        <v>Dma Distribuidora Sa (1/3)</v>
      </c>
      <c r="D294" s="2">
        <f>IFERROR(__xludf.DUMMYFUNCTION("""COMPUTED_VALUE"""),37.85)</f>
        <v>37.85</v>
      </c>
      <c r="E294" s="1" t="str">
        <f>IFERROR(__xludf.DUMMYFUNCTION("""COMPUTED_VALUE"""),"-")</f>
        <v>-</v>
      </c>
      <c r="F294" s="1" t="str">
        <f>IFERROR(__xludf.DUMMYFUNCTION("""COMPUTED_VALUE"""),"Dma Distribuidora Sa")</f>
        <v>Dma Distribuidora Sa</v>
      </c>
      <c r="G294" s="1" t="str">
        <f>IFERROR(__xludf.DUMMYFUNCTION("""COMPUTED_VALUE"""),"Supermercado")</f>
        <v>Supermercado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7">
        <f>IFERROR(__xludf.DUMMYFUNCTION("""COMPUTED_VALUE"""),45839.0)</f>
        <v>45839</v>
      </c>
      <c r="B295" s="8">
        <f>IFERROR(__xludf.DUMMYFUNCTION("""COMPUTED_VALUE"""),45834.0)</f>
        <v>45834</v>
      </c>
      <c r="C295" s="1" t="str">
        <f>IFERROR(__xludf.DUMMYFUNCTION("""COMPUTED_VALUE"""),"Leroy Merlin")</f>
        <v>Leroy Merlin</v>
      </c>
      <c r="D295" s="2">
        <f>IFERROR(__xludf.DUMMYFUNCTION("""COMPUTED_VALUE"""),11.76)</f>
        <v>11.76</v>
      </c>
      <c r="E295" s="1" t="str">
        <f>IFERROR(__xludf.DUMMYFUNCTION("""COMPUTED_VALUE"""),"-")</f>
        <v>-</v>
      </c>
      <c r="F295" s="1" t="str">
        <f>IFERROR(__xludf.DUMMYFUNCTION("""COMPUTED_VALUE"""),"Leroy Merlin")</f>
        <v>Leroy Merlin</v>
      </c>
      <c r="G295" s="1" t="str">
        <f>IFERROR(__xludf.DUMMYFUNCTION("""COMPUTED_VALUE"""),"-")</f>
        <v>-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7">
        <f>IFERROR(__xludf.DUMMYFUNCTION("""COMPUTED_VALUE"""),45839.0)</f>
        <v>45839</v>
      </c>
      <c r="B296" s="8">
        <f>IFERROR(__xludf.DUMMYFUNCTION("""COMPUTED_VALUE"""),45834.0)</f>
        <v>45834</v>
      </c>
      <c r="C296" s="1" t="str">
        <f>IFERROR(__xludf.DUMMYFUNCTION("""COMPUTED_VALUE"""),"Estacionamento De Veic")</f>
        <v>Estacionamento De Veic</v>
      </c>
      <c r="D296" s="2">
        <f>IFERROR(__xludf.DUMMYFUNCTION("""COMPUTED_VALUE"""),10.5)</f>
        <v>10.5</v>
      </c>
      <c r="E296" s="1" t="str">
        <f>IFERROR(__xludf.DUMMYFUNCTION("""COMPUTED_VALUE"""),"-")</f>
        <v>-</v>
      </c>
      <c r="F296" s="1" t="str">
        <f>IFERROR(__xludf.DUMMYFUNCTION("""COMPUTED_VALUE"""),"Estacionamento De Veic")</f>
        <v>Estacionamento De Veic</v>
      </c>
      <c r="G296" s="1" t="str">
        <f>IFERROR(__xludf.DUMMYFUNCTION("""COMPUTED_VALUE"""),"-")</f>
        <v>-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7">
        <f>IFERROR(__xludf.DUMMYFUNCTION("""COMPUTED_VALUE"""),45839.0)</f>
        <v>45839</v>
      </c>
      <c r="B297" s="8">
        <f>IFERROR(__xludf.DUMMYFUNCTION("""COMPUTED_VALUE"""),45835.0)</f>
        <v>45835</v>
      </c>
      <c r="C297" s="1" t="str">
        <f>IFERROR(__xludf.DUMMYFUNCTION("""COMPUTED_VALUE"""),"Golden Pet")</f>
        <v>Golden Pet</v>
      </c>
      <c r="D297" s="2">
        <f>IFERROR(__xludf.DUMMYFUNCTION("""COMPUTED_VALUE"""),55.0)</f>
        <v>55</v>
      </c>
      <c r="E297" s="1" t="str">
        <f>IFERROR(__xludf.DUMMYFUNCTION("""COMPUTED_VALUE"""),"-")</f>
        <v>-</v>
      </c>
      <c r="F297" s="1" t="str">
        <f>IFERROR(__xludf.DUMMYFUNCTION("""COMPUTED_VALUE"""),"Golden Pet")</f>
        <v>Golden Pet</v>
      </c>
      <c r="G297" s="1" t="str">
        <f>IFERROR(__xludf.DUMMYFUNCTION("""COMPUTED_VALUE"""),"Hulk")</f>
        <v>Hulk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7">
        <f>IFERROR(__xludf.DUMMYFUNCTION("""COMPUTED_VALUE"""),45839.0)</f>
        <v>45839</v>
      </c>
      <c r="B298" s="8">
        <f>IFERROR(__xludf.DUMMYFUNCTION("""COMPUTED_VALUE"""),45837.0)</f>
        <v>45837</v>
      </c>
      <c r="C298" s="1" t="str">
        <f>IFERROR(__xludf.DUMMYFUNCTION("""COMPUTED_VALUE"""),"Ifood")</f>
        <v>Ifood</v>
      </c>
      <c r="D298" s="2">
        <f>IFERROR(__xludf.DUMMYFUNCTION("""COMPUTED_VALUE"""),5.95)</f>
        <v>5.95</v>
      </c>
      <c r="E298" s="1" t="str">
        <f>IFERROR(__xludf.DUMMYFUNCTION("""COMPUTED_VALUE"""),"-")</f>
        <v>-</v>
      </c>
      <c r="F298" s="1" t="str">
        <f>IFERROR(__xludf.DUMMYFUNCTION("""COMPUTED_VALUE"""),"Ifood")</f>
        <v>Ifood</v>
      </c>
      <c r="G298" s="1" t="str">
        <f>IFERROR(__xludf.DUMMYFUNCTION("""COMPUTED_VALUE"""),"-")</f>
        <v>-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7">
        <f>IFERROR(__xludf.DUMMYFUNCTION("""COMPUTED_VALUE"""),45839.0)</f>
        <v>45839</v>
      </c>
      <c r="B299" s="8">
        <f>IFERROR(__xludf.DUMMYFUNCTION("""COMPUTED_VALUE"""),45837.0)</f>
        <v>45837</v>
      </c>
      <c r="C299" s="1" t="str">
        <f>IFERROR(__xludf.DUMMYFUNCTION("""COMPUTED_VALUE"""),"Niberna Sorvetes")</f>
        <v>Niberna Sorvetes</v>
      </c>
      <c r="D299" s="2">
        <f>IFERROR(__xludf.DUMMYFUNCTION("""COMPUTED_VALUE"""),30.88)</f>
        <v>30.88</v>
      </c>
      <c r="E299" s="1" t="str">
        <f>IFERROR(__xludf.DUMMYFUNCTION("""COMPUTED_VALUE"""),"-")</f>
        <v>-</v>
      </c>
      <c r="F299" s="1" t="str">
        <f>IFERROR(__xludf.DUMMYFUNCTION("""COMPUTED_VALUE"""),"Niberna Sorvetes")</f>
        <v>Niberna Sorvetes</v>
      </c>
      <c r="G299" s="1" t="str">
        <f>IFERROR(__xludf.DUMMYFUNCTION("""COMPUTED_VALUE"""),"-")</f>
        <v>-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7">
        <f>IFERROR(__xludf.DUMMYFUNCTION("""COMPUTED_VALUE"""),45839.0)</f>
        <v>45839</v>
      </c>
      <c r="B300" s="8">
        <f>IFERROR(__xludf.DUMMYFUNCTION("""COMPUTED_VALUE"""),45838.0)</f>
        <v>45838</v>
      </c>
      <c r="C300" s="1" t="str">
        <f>IFERROR(__xludf.DUMMYFUNCTION("""COMPUTED_VALUE"""),"Panif Mendes Sion")</f>
        <v>Panif Mendes Sion</v>
      </c>
      <c r="D300" s="2">
        <f>IFERROR(__xludf.DUMMYFUNCTION("""COMPUTED_VALUE"""),19.12)</f>
        <v>19.12</v>
      </c>
      <c r="E300" s="1" t="str">
        <f>IFERROR(__xludf.DUMMYFUNCTION("""COMPUTED_VALUE"""),"-")</f>
        <v>-</v>
      </c>
      <c r="F300" s="1" t="str">
        <f>IFERROR(__xludf.DUMMYFUNCTION("""COMPUTED_VALUE"""),"Panif Mendes Sion")</f>
        <v>Panif Mendes Sion</v>
      </c>
      <c r="G300" s="1" t="str">
        <f>IFERROR(__xludf.DUMMYFUNCTION("""COMPUTED_VALUE"""),"Comida")</f>
        <v>Comida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7">
        <f>IFERROR(__xludf.DUMMYFUNCTION("""COMPUTED_VALUE"""),45839.0)</f>
        <v>45839</v>
      </c>
      <c r="B301" s="8">
        <f>IFERROR(__xludf.DUMMYFUNCTION("""COMPUTED_VALUE"""),45839.0)</f>
        <v>45839</v>
      </c>
      <c r="C301" s="1" t="str">
        <f>IFERROR(__xludf.DUMMYFUNCTION("""COMPUTED_VALUE"""),"Drogaria Araujo")</f>
        <v>Drogaria Araujo</v>
      </c>
      <c r="D301" s="2">
        <f>IFERROR(__xludf.DUMMYFUNCTION("""COMPUTED_VALUE"""),8.59)</f>
        <v>8.59</v>
      </c>
      <c r="E301" s="1" t="str">
        <f>IFERROR(__xludf.DUMMYFUNCTION("""COMPUTED_VALUE"""),"-")</f>
        <v>-</v>
      </c>
      <c r="F301" s="1" t="str">
        <f>IFERROR(__xludf.DUMMYFUNCTION("""COMPUTED_VALUE"""),"Drogaria Araujo")</f>
        <v>Drogaria Araujo</v>
      </c>
      <c r="G301" s="1" t="str">
        <f>IFERROR(__xludf.DUMMYFUNCTION("""COMPUTED_VALUE"""),"Farmácia")</f>
        <v>Farmácia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7">
        <f>IFERROR(__xludf.DUMMYFUNCTION("""COMPUTED_VALUE"""),45839.0)</f>
        <v>45839</v>
      </c>
      <c r="B302" s="8">
        <f>IFERROR(__xludf.DUMMYFUNCTION("""COMPUTED_VALUE"""),45840.0)</f>
        <v>45840</v>
      </c>
      <c r="C302" s="1" t="str">
        <f>IFERROR(__xludf.DUMMYFUNCTION("""COMPUTED_VALUE"""),"Papelaria Alegria")</f>
        <v>Papelaria Alegria</v>
      </c>
      <c r="D302" s="2">
        <f>IFERROR(__xludf.DUMMYFUNCTION("""COMPUTED_VALUE"""),7.9)</f>
        <v>7.9</v>
      </c>
      <c r="E302" s="1" t="str">
        <f>IFERROR(__xludf.DUMMYFUNCTION("""COMPUTED_VALUE"""),"-")</f>
        <v>-</v>
      </c>
      <c r="F302" s="1" t="str">
        <f>IFERROR(__xludf.DUMMYFUNCTION("""COMPUTED_VALUE"""),"Papelaria Alegria")</f>
        <v>Papelaria Alegria</v>
      </c>
      <c r="G302" s="1" t="str">
        <f>IFERROR(__xludf.DUMMYFUNCTION("""COMPUTED_VALUE"""),"-")</f>
        <v>-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7">
        <f>IFERROR(__xludf.DUMMYFUNCTION("""COMPUTED_VALUE"""),45839.0)</f>
        <v>45839</v>
      </c>
      <c r="B303" s="8">
        <f>IFERROR(__xludf.DUMMYFUNCTION("""COMPUTED_VALUE"""),45840.0)</f>
        <v>45840</v>
      </c>
      <c r="C303" s="1" t="str">
        <f>IFERROR(__xludf.DUMMYFUNCTION("""COMPUTED_VALUE"""),"Shopee")</f>
        <v>Shopee</v>
      </c>
      <c r="D303" s="2">
        <f>IFERROR(__xludf.DUMMYFUNCTION("""COMPUTED_VALUE"""),10.1)</f>
        <v>10.1</v>
      </c>
      <c r="E303" s="1" t="str">
        <f>IFERROR(__xludf.DUMMYFUNCTION("""COMPUTED_VALUE"""),"-")</f>
        <v>-</v>
      </c>
      <c r="F303" s="1" t="str">
        <f>IFERROR(__xludf.DUMMYFUNCTION("""COMPUTED_VALUE"""),"Shopee")</f>
        <v>Shopee</v>
      </c>
      <c r="G303" s="1" t="str">
        <f>IFERROR(__xludf.DUMMYFUNCTION("""COMPUTED_VALUE"""),"Compras")</f>
        <v>Compras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7">
        <f>IFERROR(__xludf.DUMMYFUNCTION("""COMPUTED_VALUE"""),45839.0)</f>
        <v>45839</v>
      </c>
      <c r="B304" s="8">
        <f>IFERROR(__xludf.DUMMYFUNCTION("""COMPUTED_VALUE"""),45840.0)</f>
        <v>45840</v>
      </c>
      <c r="C304" s="1" t="str">
        <f>IFERROR(__xludf.DUMMYFUNCTION("""COMPUTED_VALUE"""),"Shopee")</f>
        <v>Shopee</v>
      </c>
      <c r="D304" s="2">
        <f>IFERROR(__xludf.DUMMYFUNCTION("""COMPUTED_VALUE"""),29.99)</f>
        <v>29.99</v>
      </c>
      <c r="E304" s="1" t="str">
        <f>IFERROR(__xludf.DUMMYFUNCTION("""COMPUTED_VALUE"""),"-")</f>
        <v>-</v>
      </c>
      <c r="F304" s="1" t="str">
        <f>IFERROR(__xludf.DUMMYFUNCTION("""COMPUTED_VALUE"""),"Shopee")</f>
        <v>Shopee</v>
      </c>
      <c r="G304" s="1" t="str">
        <f>IFERROR(__xludf.DUMMYFUNCTION("""COMPUTED_VALUE"""),"Compras")</f>
        <v>Compras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7">
        <f>IFERROR(__xludf.DUMMYFUNCTION("""COMPUTED_VALUE"""),45839.0)</f>
        <v>45839</v>
      </c>
      <c r="B305" s="8">
        <f>IFERROR(__xludf.DUMMYFUNCTION("""COMPUTED_VALUE"""),45808.0)</f>
        <v>45808</v>
      </c>
      <c r="C305" s="1" t="str">
        <f>IFERROR(__xludf.DUMMYFUNCTION("""COMPUTED_VALUE"""),"Cancelamento - Shopee -")</f>
        <v>Cancelamento - Shopee -</v>
      </c>
      <c r="D305" s="2">
        <f>IFERROR(__xludf.DUMMYFUNCTION("""COMPUTED_VALUE"""),-17.9)</f>
        <v>-17.9</v>
      </c>
      <c r="E305" s="1" t="str">
        <f>IFERROR(__xludf.DUMMYFUNCTION("""COMPUTED_VALUE"""),"-")</f>
        <v>-</v>
      </c>
      <c r="F305" s="1" t="str">
        <f>IFERROR(__xludf.DUMMYFUNCTION("""COMPUTED_VALUE"""),"Cancelamento - Shopee -")</f>
        <v>Cancelamento - Shopee -</v>
      </c>
      <c r="G305" s="1" t="str">
        <f>IFERROR(__xludf.DUMMYFUNCTION("""COMPUTED_VALUE"""),"Shopee")</f>
        <v>Shopee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7">
        <f>IFERROR(__xludf.DUMMYFUNCTION("""COMPUTED_VALUE"""),45839.0)</f>
        <v>45839</v>
      </c>
      <c r="B306" s="8">
        <f>IFERROR(__xludf.DUMMYFUNCTION("""COMPUTED_VALUE"""),45822.0)</f>
        <v>45822</v>
      </c>
      <c r="C306" s="1" t="str">
        <f>IFERROR(__xludf.DUMMYFUNCTION("""COMPUTED_VALUE"""),"Cancelamento - Amazon -")</f>
        <v>Cancelamento - Amazon -</v>
      </c>
      <c r="D306" s="2">
        <f>IFERROR(__xludf.DUMMYFUNCTION("""COMPUTED_VALUE"""),-51.9)</f>
        <v>-51.9</v>
      </c>
      <c r="E306" s="1" t="str">
        <f>IFERROR(__xludf.DUMMYFUNCTION("""COMPUTED_VALUE"""),"-")</f>
        <v>-</v>
      </c>
      <c r="F306" s="1" t="str">
        <f>IFERROR(__xludf.DUMMYFUNCTION("""COMPUTED_VALUE"""),"Cancelamento - Amazon -")</f>
        <v>Cancelamento - Amazon -</v>
      </c>
      <c r="G306" s="1" t="str">
        <f>IFERROR(__xludf.DUMMYFUNCTION("""COMPUTED_VALUE"""),"Amazon")</f>
        <v>Amazon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7">
        <f>IFERROR(__xludf.DUMMYFUNCTION("""COMPUTED_VALUE"""),45839.0)</f>
        <v>45839</v>
      </c>
      <c r="B307" s="8">
        <f>IFERROR(__xludf.DUMMYFUNCTION("""COMPUTED_VALUE"""),45829.0)</f>
        <v>45829</v>
      </c>
      <c r="C307" s="1" t="str">
        <f>IFERROR(__xludf.DUMMYFUNCTION("""COMPUTED_VALUE"""),"Cancelamento - Shopee -")</f>
        <v>Cancelamento - Shopee -</v>
      </c>
      <c r="D307" s="2">
        <f>IFERROR(__xludf.DUMMYFUNCTION("""COMPUTED_VALUE"""),-10.1)</f>
        <v>-10.1</v>
      </c>
      <c r="E307" s="1" t="str">
        <f>IFERROR(__xludf.DUMMYFUNCTION("""COMPUTED_VALUE"""),"-")</f>
        <v>-</v>
      </c>
      <c r="F307" s="1" t="str">
        <f>IFERROR(__xludf.DUMMYFUNCTION("""COMPUTED_VALUE"""),"Cancelamento - Shopee -")</f>
        <v>Cancelamento - Shopee -</v>
      </c>
      <c r="G307" s="1" t="str">
        <f>IFERROR(__xludf.DUMMYFUNCTION("""COMPUTED_VALUE"""),"Shopee")</f>
        <v>Shopee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7">
        <f>IFERROR(__xludf.DUMMYFUNCTION("""COMPUTED_VALUE"""),45839.0)</f>
        <v>45839</v>
      </c>
      <c r="B308" s="8">
        <f>IFERROR(__xludf.DUMMYFUNCTION("""COMPUTED_VALUE"""),45829.0)</f>
        <v>45829</v>
      </c>
      <c r="C308" s="1" t="str">
        <f>IFERROR(__xludf.DUMMYFUNCTION("""COMPUTED_VALUE"""),"Cancelamento - Shopee -")</f>
        <v>Cancelamento - Shopee -</v>
      </c>
      <c r="D308" s="2">
        <f>IFERROR(__xludf.DUMMYFUNCTION("""COMPUTED_VALUE"""),-10.1)</f>
        <v>-10.1</v>
      </c>
      <c r="E308" s="1" t="str">
        <f>IFERROR(__xludf.DUMMYFUNCTION("""COMPUTED_VALUE"""),"-")</f>
        <v>-</v>
      </c>
      <c r="F308" s="1" t="str">
        <f>IFERROR(__xludf.DUMMYFUNCTION("""COMPUTED_VALUE"""),"Cancelamento - Shopee -")</f>
        <v>Cancelamento - Shopee -</v>
      </c>
      <c r="G308" s="1" t="str">
        <f>IFERROR(__xludf.DUMMYFUNCTION("""COMPUTED_VALUE"""),"Shopee")</f>
        <v>Shopee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7">
        <f>IFERROR(__xludf.DUMMYFUNCTION("""COMPUTED_VALUE"""),45839.0)</f>
        <v>45839</v>
      </c>
      <c r="B309" s="8">
        <f>IFERROR(__xludf.DUMMYFUNCTION("""COMPUTED_VALUE"""),45829.0)</f>
        <v>45829</v>
      </c>
      <c r="C309" s="1" t="str">
        <f>IFERROR(__xludf.DUMMYFUNCTION("""COMPUTED_VALUE"""),"Cancelamento - Shopee -")</f>
        <v>Cancelamento - Shopee -</v>
      </c>
      <c r="D309" s="2">
        <f>IFERROR(__xludf.DUMMYFUNCTION("""COMPUTED_VALUE"""),-29.99)</f>
        <v>-29.99</v>
      </c>
      <c r="E309" s="1" t="str">
        <f>IFERROR(__xludf.DUMMYFUNCTION("""COMPUTED_VALUE"""),"-")</f>
        <v>-</v>
      </c>
      <c r="F309" s="1" t="str">
        <f>IFERROR(__xludf.DUMMYFUNCTION("""COMPUTED_VALUE"""),"Cancelamento - Shopee -")</f>
        <v>Cancelamento - Shopee -</v>
      </c>
      <c r="G309" s="1" t="str">
        <f>IFERROR(__xludf.DUMMYFUNCTION("""COMPUTED_VALUE"""),"Shopee")</f>
        <v>Shopee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7">
        <f>IFERROR(__xludf.DUMMYFUNCTION("""COMPUTED_VALUE"""),45839.0)</f>
        <v>45839</v>
      </c>
      <c r="B310" s="8">
        <f>IFERROR(__xludf.DUMMYFUNCTION("""COMPUTED_VALUE"""),45829.0)</f>
        <v>45829</v>
      </c>
      <c r="C310" s="1" t="str">
        <f>IFERROR(__xludf.DUMMYFUNCTION("""COMPUTED_VALUE"""),"Cancelamento - Shopee -")</f>
        <v>Cancelamento - Shopee -</v>
      </c>
      <c r="D310" s="2">
        <f>IFERROR(__xludf.DUMMYFUNCTION("""COMPUTED_VALUE"""),-29.99)</f>
        <v>-29.99</v>
      </c>
      <c r="E310" s="1" t="str">
        <f>IFERROR(__xludf.DUMMYFUNCTION("""COMPUTED_VALUE"""),"-")</f>
        <v>-</v>
      </c>
      <c r="F310" s="1" t="str">
        <f>IFERROR(__xludf.DUMMYFUNCTION("""COMPUTED_VALUE"""),"Cancelamento - Shopee -")</f>
        <v>Cancelamento - Shopee -</v>
      </c>
      <c r="G310" s="1" t="str">
        <f>IFERROR(__xludf.DUMMYFUNCTION("""COMPUTED_VALUE"""),"Shopee")</f>
        <v>Shopee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7">
        <f>IFERROR(__xludf.DUMMYFUNCTION("""COMPUTED_VALUE"""),45839.0)</f>
        <v>45839</v>
      </c>
      <c r="B311" s="8">
        <f>IFERROR(__xludf.DUMMYFUNCTION("""COMPUTED_VALUE"""),45834.0)</f>
        <v>45834</v>
      </c>
      <c r="C311" s="1" t="str">
        <f>IFERROR(__xludf.DUMMYFUNCTION("""COMPUTED_VALUE"""),"Cancelamento - Amazon -")</f>
        <v>Cancelamento - Amazon -</v>
      </c>
      <c r="D311" s="2">
        <f>IFERROR(__xludf.DUMMYFUNCTION("""COMPUTED_VALUE"""),-21.12)</f>
        <v>-21.12</v>
      </c>
      <c r="E311" s="1" t="str">
        <f>IFERROR(__xludf.DUMMYFUNCTION("""COMPUTED_VALUE"""),"-")</f>
        <v>-</v>
      </c>
      <c r="F311" s="1" t="str">
        <f>IFERROR(__xludf.DUMMYFUNCTION("""COMPUTED_VALUE"""),"Cancelamento - Amazon -")</f>
        <v>Cancelamento - Amazon -</v>
      </c>
      <c r="G311" s="1" t="str">
        <f>IFERROR(__xludf.DUMMYFUNCTION("""COMPUTED_VALUE"""),"Amazon")</f>
        <v>Amazon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7">
        <f>IFERROR(__xludf.DUMMYFUNCTION("""COMPUTED_VALUE"""),45839.0)</f>
        <v>45839</v>
      </c>
      <c r="B312" s="8">
        <f>IFERROR(__xludf.DUMMYFUNCTION("""COMPUTED_VALUE"""),45757.0)</f>
        <v>45757</v>
      </c>
      <c r="C312" s="1" t="str">
        <f>IFERROR(__xludf.DUMMYFUNCTION("""COMPUTED_VALUE"""),"Amazon (3/3)")</f>
        <v>Amazon (3/3)</v>
      </c>
      <c r="D312" s="2">
        <f>IFERROR(__xludf.DUMMYFUNCTION("""COMPUTED_VALUE"""),84.53)</f>
        <v>84.53</v>
      </c>
      <c r="E312" s="1" t="str">
        <f>IFERROR(__xludf.DUMMYFUNCTION("""COMPUTED_VALUE"""),"-")</f>
        <v>-</v>
      </c>
      <c r="F312" s="1" t="str">
        <f>IFERROR(__xludf.DUMMYFUNCTION("""COMPUTED_VALUE"""),"Amazon")</f>
        <v>Amazon</v>
      </c>
      <c r="G312" s="1" t="str">
        <f>IFERROR(__xludf.DUMMYFUNCTION("""COMPUTED_VALUE"""),"Compras")</f>
        <v>Compras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7">
        <f>IFERROR(__xludf.DUMMYFUNCTION("""COMPUTED_VALUE"""),45839.0)</f>
        <v>45839</v>
      </c>
      <c r="B313" s="8">
        <f>IFERROR(__xludf.DUMMYFUNCTION("""COMPUTED_VALUE"""),45765.0)</f>
        <v>45765</v>
      </c>
      <c r="C313" s="1" t="str">
        <f>IFERROR(__xludf.DUMMYFUNCTION("""COMPUTED_VALUE"""),"Casas Bahia (3/10)")</f>
        <v>Casas Bahia (3/10)</v>
      </c>
      <c r="D313" s="2">
        <f>IFERROR(__xludf.DUMMYFUNCTION("""COMPUTED_VALUE"""),361.46)</f>
        <v>361.46</v>
      </c>
      <c r="E313" s="1" t="str">
        <f>IFERROR(__xludf.DUMMYFUNCTION("""COMPUTED_VALUE"""),"-")</f>
        <v>-</v>
      </c>
      <c r="F313" s="1" t="str">
        <f>IFERROR(__xludf.DUMMYFUNCTION("""COMPUTED_VALUE"""),"Casas Bahia")</f>
        <v>Casas Bahia</v>
      </c>
      <c r="G313" s="1" t="str">
        <f>IFERROR(__xludf.DUMMYFUNCTION("""COMPUTED_VALUE"""),"Compras")</f>
        <v>Compras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7">
        <f>IFERROR(__xludf.DUMMYFUNCTION("""COMPUTED_VALUE"""),45839.0)</f>
        <v>45839</v>
      </c>
      <c r="B314" s="8">
        <f>IFERROR(__xludf.DUMMYFUNCTION("""COMPUTED_VALUE"""),45765.0)</f>
        <v>45765</v>
      </c>
      <c r="C314" s="1" t="str">
        <f>IFERROR(__xludf.DUMMYFUNCTION("""COMPUTED_VALUE"""),"Shopee (3/3)")</f>
        <v>Shopee (3/3)</v>
      </c>
      <c r="D314" s="2">
        <f>IFERROR(__xludf.DUMMYFUNCTION("""COMPUTED_VALUE"""),89.63)</f>
        <v>89.63</v>
      </c>
      <c r="E314" s="1" t="str">
        <f>IFERROR(__xludf.DUMMYFUNCTION("""COMPUTED_VALUE"""),"-")</f>
        <v>-</v>
      </c>
      <c r="F314" s="1" t="str">
        <f>IFERROR(__xludf.DUMMYFUNCTION("""COMPUTED_VALUE"""),"Shopee")</f>
        <v>Shopee</v>
      </c>
      <c r="G314" s="1" t="str">
        <f>IFERROR(__xludf.DUMMYFUNCTION("""COMPUTED_VALUE"""),"Compras")</f>
        <v>Compras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7">
        <f>IFERROR(__xludf.DUMMYFUNCTION("""COMPUTED_VALUE"""),45839.0)</f>
        <v>45839</v>
      </c>
      <c r="B315" s="8">
        <f>IFERROR(__xludf.DUMMYFUNCTION("""COMPUTED_VALUE"""),45765.0)</f>
        <v>45765</v>
      </c>
      <c r="C315" s="1" t="str">
        <f>IFERROR(__xludf.DUMMYFUNCTION("""COMPUTED_VALUE"""),"Yogi Baby (3/3)")</f>
        <v>Yogi Baby (3/3)</v>
      </c>
      <c r="D315" s="2">
        <f>IFERROR(__xludf.DUMMYFUNCTION("""COMPUTED_VALUE"""),24.48)</f>
        <v>24.48</v>
      </c>
      <c r="E315" s="1" t="str">
        <f>IFERROR(__xludf.DUMMYFUNCTION("""COMPUTED_VALUE"""),"-")</f>
        <v>-</v>
      </c>
      <c r="F315" s="1" t="str">
        <f>IFERROR(__xludf.DUMMYFUNCTION("""COMPUTED_VALUE"""),"Yogi Baby")</f>
        <v>Yogi Baby</v>
      </c>
      <c r="G315" s="1" t="str">
        <f>IFERROR(__xludf.DUMMYFUNCTION("""COMPUTED_VALUE"""),"Compras")</f>
        <v>Compras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7">
        <f>IFERROR(__xludf.DUMMYFUNCTION("""COMPUTED_VALUE"""),45839.0)</f>
        <v>45839</v>
      </c>
      <c r="B316" s="8">
        <f>IFERROR(__xludf.DUMMYFUNCTION("""COMPUTED_VALUE"""),45766.0)</f>
        <v>45766</v>
      </c>
      <c r="C316" s="1" t="str">
        <f>IFERROR(__xludf.DUMMYFUNCTION("""COMPUTED_VALUE"""),"Petlove (3/3)")</f>
        <v>Petlove (3/3)</v>
      </c>
      <c r="D316" s="2">
        <f>IFERROR(__xludf.DUMMYFUNCTION("""COMPUTED_VALUE"""),149.0)</f>
        <v>149</v>
      </c>
      <c r="E316" s="1" t="str">
        <f>IFERROR(__xludf.DUMMYFUNCTION("""COMPUTED_VALUE"""),"-")</f>
        <v>-</v>
      </c>
      <c r="F316" s="1" t="str">
        <f>IFERROR(__xludf.DUMMYFUNCTION("""COMPUTED_VALUE"""),"Petlove")</f>
        <v>Petlove</v>
      </c>
      <c r="G316" s="1" t="str">
        <f>IFERROR(__xludf.DUMMYFUNCTION("""COMPUTED_VALUE"""),"Hulk")</f>
        <v>Hulk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7">
        <f>IFERROR(__xludf.DUMMYFUNCTION("""COMPUTED_VALUE"""),45839.0)</f>
        <v>45839</v>
      </c>
      <c r="B317" s="8">
        <f>IFERROR(__xludf.DUMMYFUNCTION("""COMPUTED_VALUE"""),45768.0)</f>
        <v>45768</v>
      </c>
      <c r="C317" s="1" t="str">
        <f>IFERROR(__xludf.DUMMYFUNCTION("""COMPUTED_VALUE"""),"Lellis Baby (3/3)")</f>
        <v>Lellis Baby (3/3)</v>
      </c>
      <c r="D317" s="2">
        <f>IFERROR(__xludf.DUMMYFUNCTION("""COMPUTED_VALUE"""),137.13)</f>
        <v>137.13</v>
      </c>
      <c r="E317" s="1" t="str">
        <f>IFERROR(__xludf.DUMMYFUNCTION("""COMPUTED_VALUE"""),"-")</f>
        <v>-</v>
      </c>
      <c r="F317" s="1" t="str">
        <f>IFERROR(__xludf.DUMMYFUNCTION("""COMPUTED_VALUE"""),"Lellis Baby")</f>
        <v>Lellis Baby</v>
      </c>
      <c r="G317" s="1" t="str">
        <f>IFERROR(__xludf.DUMMYFUNCTION("""COMPUTED_VALUE"""),"Compras")</f>
        <v>Compras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7">
        <f>IFERROR(__xludf.DUMMYFUNCTION("""COMPUTED_VALUE"""),45839.0)</f>
        <v>45839</v>
      </c>
      <c r="B318" s="8">
        <f>IFERROR(__xludf.DUMMYFUNCTION("""COMPUTED_VALUE"""),45768.0)</f>
        <v>45768</v>
      </c>
      <c r="C318" s="1" t="str">
        <f>IFERROR(__xludf.DUMMYFUNCTION("""COMPUTED_VALUE"""),"Alce (3/3)")</f>
        <v>Alce (3/3)</v>
      </c>
      <c r="D318" s="2">
        <f>IFERROR(__xludf.DUMMYFUNCTION("""COMPUTED_VALUE"""),139.17)</f>
        <v>139.17</v>
      </c>
      <c r="E318" s="1" t="str">
        <f>IFERROR(__xludf.DUMMYFUNCTION("""COMPUTED_VALUE"""),"-")</f>
        <v>-</v>
      </c>
      <c r="F318" s="1" t="str">
        <f>IFERROR(__xludf.DUMMYFUNCTION("""COMPUTED_VALUE"""),"Alce")</f>
        <v>Alce</v>
      </c>
      <c r="G318" s="1" t="str">
        <f>IFERROR(__xludf.DUMMYFUNCTION("""COMPUTED_VALUE"""),"Compras")</f>
        <v>Compras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7">
        <f>IFERROR(__xludf.DUMMYFUNCTION("""COMPUTED_VALUE"""),45839.0)</f>
        <v>45839</v>
      </c>
      <c r="B319" s="8">
        <f>IFERROR(__xludf.DUMMYFUNCTION("""COMPUTED_VALUE"""),45784.0)</f>
        <v>45784</v>
      </c>
      <c r="C319" s="1" t="str">
        <f>IFERROR(__xludf.DUMMYFUNCTION("""COMPUTED_VALUE"""),"Amazon Prime (12/12)")</f>
        <v>Amazon Prime (12/12)</v>
      </c>
      <c r="D319" s="2">
        <f>IFERROR(__xludf.DUMMYFUNCTION("""COMPUTED_VALUE"""),13.9)</f>
        <v>13.9</v>
      </c>
      <c r="E319" s="1" t="str">
        <f>IFERROR(__xludf.DUMMYFUNCTION("""COMPUTED_VALUE"""),"-")</f>
        <v>-</v>
      </c>
      <c r="F319" s="1" t="str">
        <f>IFERROR(__xludf.DUMMYFUNCTION("""COMPUTED_VALUE"""),"Amazon Prime")</f>
        <v>Amazon Prime</v>
      </c>
      <c r="G319" s="1" t="str">
        <f>IFERROR(__xludf.DUMMYFUNCTION("""COMPUTED_VALUE"""),"Assinatura")</f>
        <v>Assinatura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7">
        <f>IFERROR(__xludf.DUMMYFUNCTION("""COMPUTED_VALUE"""),45839.0)</f>
        <v>45839</v>
      </c>
      <c r="B320" s="8">
        <f>IFERROR(__xludf.DUMMYFUNCTION("""COMPUTED_VALUE"""),45784.0)</f>
        <v>45784</v>
      </c>
      <c r="C320" s="1" t="str">
        <f>IFERROR(__xludf.DUMMYFUNCTION("""COMPUTED_VALUE"""),"Amazon Prime (11/12)")</f>
        <v>Amazon Prime (11/12)</v>
      </c>
      <c r="D320" s="2">
        <f>IFERROR(__xludf.DUMMYFUNCTION("""COMPUTED_VALUE"""),13.9)</f>
        <v>13.9</v>
      </c>
      <c r="E320" s="1" t="str">
        <f>IFERROR(__xludf.DUMMYFUNCTION("""COMPUTED_VALUE"""),"-")</f>
        <v>-</v>
      </c>
      <c r="F320" s="1" t="str">
        <f>IFERROR(__xludf.DUMMYFUNCTION("""COMPUTED_VALUE"""),"Amazon Prime")</f>
        <v>Amazon Prime</v>
      </c>
      <c r="G320" s="1" t="str">
        <f>IFERROR(__xludf.DUMMYFUNCTION("""COMPUTED_VALUE"""),"Assinatura")</f>
        <v>Assinatura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7">
        <f>IFERROR(__xludf.DUMMYFUNCTION("""COMPUTED_VALUE"""),45839.0)</f>
        <v>45839</v>
      </c>
      <c r="B321" s="8">
        <f>IFERROR(__xludf.DUMMYFUNCTION("""COMPUTED_VALUE"""),45784.0)</f>
        <v>45784</v>
      </c>
      <c r="C321" s="1" t="str">
        <f>IFERROR(__xludf.DUMMYFUNCTION("""COMPUTED_VALUE"""),"Amazon Prime (10/12)")</f>
        <v>Amazon Prime (10/12)</v>
      </c>
      <c r="D321" s="2">
        <f>IFERROR(__xludf.DUMMYFUNCTION("""COMPUTED_VALUE"""),13.9)</f>
        <v>13.9</v>
      </c>
      <c r="E321" s="1" t="str">
        <f>IFERROR(__xludf.DUMMYFUNCTION("""COMPUTED_VALUE"""),"-")</f>
        <v>-</v>
      </c>
      <c r="F321" s="1" t="str">
        <f>IFERROR(__xludf.DUMMYFUNCTION("""COMPUTED_VALUE"""),"Amazon Prime")</f>
        <v>Amazon Prime</v>
      </c>
      <c r="G321" s="1" t="str">
        <f>IFERROR(__xludf.DUMMYFUNCTION("""COMPUTED_VALUE"""),"Assinatura")</f>
        <v>Assinatura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7">
        <f>IFERROR(__xludf.DUMMYFUNCTION("""COMPUTED_VALUE"""),45839.0)</f>
        <v>45839</v>
      </c>
      <c r="B322" s="8">
        <f>IFERROR(__xludf.DUMMYFUNCTION("""COMPUTED_VALUE"""),45784.0)</f>
        <v>45784</v>
      </c>
      <c r="C322" s="1" t="str">
        <f>IFERROR(__xludf.DUMMYFUNCTION("""COMPUTED_VALUE"""),"Amazon Prime (9/12)")</f>
        <v>Amazon Prime (9/12)</v>
      </c>
      <c r="D322" s="2">
        <f>IFERROR(__xludf.DUMMYFUNCTION("""COMPUTED_VALUE"""),13.9)</f>
        <v>13.9</v>
      </c>
      <c r="E322" s="1" t="str">
        <f>IFERROR(__xludf.DUMMYFUNCTION("""COMPUTED_VALUE"""),"-")</f>
        <v>-</v>
      </c>
      <c r="F322" s="1" t="str">
        <f>IFERROR(__xludf.DUMMYFUNCTION("""COMPUTED_VALUE"""),"Amazon Prime")</f>
        <v>Amazon Prime</v>
      </c>
      <c r="G322" s="1" t="str">
        <f>IFERROR(__xludf.DUMMYFUNCTION("""COMPUTED_VALUE"""),"Assinatura")</f>
        <v>Assinatura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7">
        <f>IFERROR(__xludf.DUMMYFUNCTION("""COMPUTED_VALUE"""),45839.0)</f>
        <v>45839</v>
      </c>
      <c r="B323" s="8">
        <f>IFERROR(__xludf.DUMMYFUNCTION("""COMPUTED_VALUE"""),45784.0)</f>
        <v>45784</v>
      </c>
      <c r="C323" s="1" t="str">
        <f>IFERROR(__xludf.DUMMYFUNCTION("""COMPUTED_VALUE"""),"Amazon Prime (8/12)")</f>
        <v>Amazon Prime (8/12)</v>
      </c>
      <c r="D323" s="2">
        <f>IFERROR(__xludf.DUMMYFUNCTION("""COMPUTED_VALUE"""),13.9)</f>
        <v>13.9</v>
      </c>
      <c r="E323" s="1" t="str">
        <f>IFERROR(__xludf.DUMMYFUNCTION("""COMPUTED_VALUE"""),"-")</f>
        <v>-</v>
      </c>
      <c r="F323" s="1" t="str">
        <f>IFERROR(__xludf.DUMMYFUNCTION("""COMPUTED_VALUE"""),"Amazon Prime")</f>
        <v>Amazon Prime</v>
      </c>
      <c r="G323" s="1" t="str">
        <f>IFERROR(__xludf.DUMMYFUNCTION("""COMPUTED_VALUE"""),"Assinatura")</f>
        <v>Assinatura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7">
        <f>IFERROR(__xludf.DUMMYFUNCTION("""COMPUTED_VALUE"""),45839.0)</f>
        <v>45839</v>
      </c>
      <c r="B324" s="8">
        <f>IFERROR(__xludf.DUMMYFUNCTION("""COMPUTED_VALUE"""),45784.0)</f>
        <v>45784</v>
      </c>
      <c r="C324" s="1" t="str">
        <f>IFERROR(__xludf.DUMMYFUNCTION("""COMPUTED_VALUE"""),"Amazon Prime (7/12)")</f>
        <v>Amazon Prime (7/12)</v>
      </c>
      <c r="D324" s="2">
        <f>IFERROR(__xludf.DUMMYFUNCTION("""COMPUTED_VALUE"""),13.9)</f>
        <v>13.9</v>
      </c>
      <c r="E324" s="1" t="str">
        <f>IFERROR(__xludf.DUMMYFUNCTION("""COMPUTED_VALUE"""),"-")</f>
        <v>-</v>
      </c>
      <c r="F324" s="1" t="str">
        <f>IFERROR(__xludf.DUMMYFUNCTION("""COMPUTED_VALUE"""),"Amazon Prime")</f>
        <v>Amazon Prime</v>
      </c>
      <c r="G324" s="1" t="str">
        <f>IFERROR(__xludf.DUMMYFUNCTION("""COMPUTED_VALUE"""),"Assinatura")</f>
        <v>Assinatura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7">
        <f>IFERROR(__xludf.DUMMYFUNCTION("""COMPUTED_VALUE"""),45839.0)</f>
        <v>45839</v>
      </c>
      <c r="B325" s="8">
        <f>IFERROR(__xludf.DUMMYFUNCTION("""COMPUTED_VALUE"""),45784.0)</f>
        <v>45784</v>
      </c>
      <c r="C325" s="1" t="str">
        <f>IFERROR(__xludf.DUMMYFUNCTION("""COMPUTED_VALUE"""),"Amazon Prime (6/12)")</f>
        <v>Amazon Prime (6/12)</v>
      </c>
      <c r="D325" s="2">
        <f>IFERROR(__xludf.DUMMYFUNCTION("""COMPUTED_VALUE"""),13.9)</f>
        <v>13.9</v>
      </c>
      <c r="E325" s="1" t="str">
        <f>IFERROR(__xludf.DUMMYFUNCTION("""COMPUTED_VALUE"""),"-")</f>
        <v>-</v>
      </c>
      <c r="F325" s="1" t="str">
        <f>IFERROR(__xludf.DUMMYFUNCTION("""COMPUTED_VALUE"""),"Amazon Prime")</f>
        <v>Amazon Prime</v>
      </c>
      <c r="G325" s="1" t="str">
        <f>IFERROR(__xludf.DUMMYFUNCTION("""COMPUTED_VALUE"""),"Assinatura")</f>
        <v>Assinatura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7">
        <f>IFERROR(__xludf.DUMMYFUNCTION("""COMPUTED_VALUE"""),45839.0)</f>
        <v>45839</v>
      </c>
      <c r="B326" s="8">
        <f>IFERROR(__xludf.DUMMYFUNCTION("""COMPUTED_VALUE"""),45784.0)</f>
        <v>45784</v>
      </c>
      <c r="C326" s="1" t="str">
        <f>IFERROR(__xludf.DUMMYFUNCTION("""COMPUTED_VALUE"""),"Amazon Prime (5/12)")</f>
        <v>Amazon Prime (5/12)</v>
      </c>
      <c r="D326" s="2">
        <f>IFERROR(__xludf.DUMMYFUNCTION("""COMPUTED_VALUE"""),13.9)</f>
        <v>13.9</v>
      </c>
      <c r="E326" s="1" t="str">
        <f>IFERROR(__xludf.DUMMYFUNCTION("""COMPUTED_VALUE"""),"-")</f>
        <v>-</v>
      </c>
      <c r="F326" s="1" t="str">
        <f>IFERROR(__xludf.DUMMYFUNCTION("""COMPUTED_VALUE"""),"Amazon Prime")</f>
        <v>Amazon Prime</v>
      </c>
      <c r="G326" s="1" t="str">
        <f>IFERROR(__xludf.DUMMYFUNCTION("""COMPUTED_VALUE"""),"Assinatura")</f>
        <v>Assinatura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7">
        <f>IFERROR(__xludf.DUMMYFUNCTION("""COMPUTED_VALUE"""),45839.0)</f>
        <v>45839</v>
      </c>
      <c r="B327" s="8">
        <f>IFERROR(__xludf.DUMMYFUNCTION("""COMPUTED_VALUE"""),45784.0)</f>
        <v>45784</v>
      </c>
      <c r="C327" s="1" t="str">
        <f>IFERROR(__xludf.DUMMYFUNCTION("""COMPUTED_VALUE"""),"Amazon Prime (4/12)")</f>
        <v>Amazon Prime (4/12)</v>
      </c>
      <c r="D327" s="2">
        <f>IFERROR(__xludf.DUMMYFUNCTION("""COMPUTED_VALUE"""),13.9)</f>
        <v>13.9</v>
      </c>
      <c r="E327" s="1" t="str">
        <f>IFERROR(__xludf.DUMMYFUNCTION("""COMPUTED_VALUE"""),"-")</f>
        <v>-</v>
      </c>
      <c r="F327" s="1" t="str">
        <f>IFERROR(__xludf.DUMMYFUNCTION("""COMPUTED_VALUE"""),"Amazon Prime")</f>
        <v>Amazon Prime</v>
      </c>
      <c r="G327" s="1" t="str">
        <f>IFERROR(__xludf.DUMMYFUNCTION("""COMPUTED_VALUE"""),"Assinatura")</f>
        <v>Assinatura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7">
        <f>IFERROR(__xludf.DUMMYFUNCTION("""COMPUTED_VALUE"""),45839.0)</f>
        <v>45839</v>
      </c>
      <c r="B328" s="8">
        <f>IFERROR(__xludf.DUMMYFUNCTION("""COMPUTED_VALUE"""),45784.0)</f>
        <v>45784</v>
      </c>
      <c r="C328" s="1" t="str">
        <f>IFERROR(__xludf.DUMMYFUNCTION("""COMPUTED_VALUE"""),"Amazon Prime (3/12)")</f>
        <v>Amazon Prime (3/12)</v>
      </c>
      <c r="D328" s="2">
        <f>IFERROR(__xludf.DUMMYFUNCTION("""COMPUTED_VALUE"""),13.9)</f>
        <v>13.9</v>
      </c>
      <c r="E328" s="1" t="str">
        <f>IFERROR(__xludf.DUMMYFUNCTION("""COMPUTED_VALUE"""),"-")</f>
        <v>-</v>
      </c>
      <c r="F328" s="1" t="str">
        <f>IFERROR(__xludf.DUMMYFUNCTION("""COMPUTED_VALUE"""),"Amazon Prime")</f>
        <v>Amazon Prime</v>
      </c>
      <c r="G328" s="1" t="str">
        <f>IFERROR(__xludf.DUMMYFUNCTION("""COMPUTED_VALUE"""),"Assinatura")</f>
        <v>Assinatura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7">
        <f>IFERROR(__xludf.DUMMYFUNCTION("""COMPUTED_VALUE"""),45839.0)</f>
        <v>45839</v>
      </c>
      <c r="B329" s="8">
        <f>IFERROR(__xludf.DUMMYFUNCTION("""COMPUTED_VALUE"""),45784.0)</f>
        <v>45784</v>
      </c>
      <c r="C329" s="1" t="str">
        <f>IFERROR(__xludf.DUMMYFUNCTION("""COMPUTED_VALUE"""),"Amazon Prime (2/12)")</f>
        <v>Amazon Prime (2/12)</v>
      </c>
      <c r="D329" s="2">
        <f>IFERROR(__xludf.DUMMYFUNCTION("""COMPUTED_VALUE"""),13.9)</f>
        <v>13.9</v>
      </c>
      <c r="E329" s="1" t="str">
        <f>IFERROR(__xludf.DUMMYFUNCTION("""COMPUTED_VALUE"""),"-")</f>
        <v>-</v>
      </c>
      <c r="F329" s="1" t="str">
        <f>IFERROR(__xludf.DUMMYFUNCTION("""COMPUTED_VALUE"""),"Amazon Prime")</f>
        <v>Amazon Prime</v>
      </c>
      <c r="G329" s="1" t="str">
        <f>IFERROR(__xludf.DUMMYFUNCTION("""COMPUTED_VALUE"""),"Assinatura")</f>
        <v>Assinatura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7">
        <f>IFERROR(__xludf.DUMMYFUNCTION("""COMPUTED_VALUE"""),45839.0)</f>
        <v>45839</v>
      </c>
      <c r="B330" s="8">
        <f>IFERROR(__xludf.DUMMYFUNCTION("""COMPUTED_VALUE"""),45826.0)</f>
        <v>45826</v>
      </c>
      <c r="C330" s="1" t="str">
        <f>IFERROR(__xludf.DUMMYFUNCTION("""COMPUTED_VALUE"""),"Drogaria Pacheco")</f>
        <v>Drogaria Pacheco</v>
      </c>
      <c r="D330" s="2">
        <f>IFERROR(__xludf.DUMMYFUNCTION("""COMPUTED_VALUE"""),16.59)</f>
        <v>16.59</v>
      </c>
      <c r="E330" s="1" t="str">
        <f>IFERROR(__xludf.DUMMYFUNCTION("""COMPUTED_VALUE"""),"-")</f>
        <v>-</v>
      </c>
      <c r="F330" s="1" t="str">
        <f>IFERROR(__xludf.DUMMYFUNCTION("""COMPUTED_VALUE"""),"Drogaria Pacheco")</f>
        <v>Drogaria Pacheco</v>
      </c>
      <c r="G330" s="1" t="str">
        <f>IFERROR(__xludf.DUMMYFUNCTION("""COMPUTED_VALUE"""),"Farmácia")</f>
        <v>Farmácia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7">
        <f>IFERROR(__xludf.DUMMYFUNCTION("""COMPUTED_VALUE"""),45839.0)</f>
        <v>45839</v>
      </c>
      <c r="B331" s="8">
        <f>IFERROR(__xludf.DUMMYFUNCTION("""COMPUTED_VALUE"""),45826.0)</f>
        <v>45826</v>
      </c>
      <c r="C331" s="1" t="str">
        <f>IFERROR(__xludf.DUMMYFUNCTION("""COMPUTED_VALUE"""),"Mercado Livre")</f>
        <v>Mercado Livre</v>
      </c>
      <c r="D331" s="2">
        <f>IFERROR(__xludf.DUMMYFUNCTION("""COMPUTED_VALUE"""),24.9)</f>
        <v>24.9</v>
      </c>
      <c r="E331" s="1" t="str">
        <f>IFERROR(__xludf.DUMMYFUNCTION("""COMPUTED_VALUE"""),"-")</f>
        <v>-</v>
      </c>
      <c r="F331" s="1" t="str">
        <f>IFERROR(__xludf.DUMMYFUNCTION("""COMPUTED_VALUE"""),"Mercado Livre")</f>
        <v>Mercado Livre</v>
      </c>
      <c r="G331" s="1" t="str">
        <f>IFERROR(__xludf.DUMMYFUNCTION("""COMPUTED_VALUE"""),"Compras")</f>
        <v>Compras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7">
        <f>IFERROR(__xludf.DUMMYFUNCTION("""COMPUTED_VALUE"""),45839.0)</f>
        <v>45839</v>
      </c>
      <c r="B332" s="8">
        <f>IFERROR(__xludf.DUMMYFUNCTION("""COMPUTED_VALUE"""),45826.0)</f>
        <v>45826</v>
      </c>
      <c r="C332" s="1" t="str">
        <f>IFERROR(__xludf.DUMMYFUNCTION("""COMPUTED_VALUE"""),"Amazon")</f>
        <v>Amazon</v>
      </c>
      <c r="D332" s="2">
        <f>IFERROR(__xludf.DUMMYFUNCTION("""COMPUTED_VALUE"""),22.69)</f>
        <v>22.69</v>
      </c>
      <c r="E332" s="1" t="str">
        <f>IFERROR(__xludf.DUMMYFUNCTION("""COMPUTED_VALUE"""),"-")</f>
        <v>-</v>
      </c>
      <c r="F332" s="1" t="str">
        <f>IFERROR(__xludf.DUMMYFUNCTION("""COMPUTED_VALUE"""),"Amazon")</f>
        <v>Amazon</v>
      </c>
      <c r="G332" s="1" t="str">
        <f>IFERROR(__xludf.DUMMYFUNCTION("""COMPUTED_VALUE"""),"Compras")</f>
        <v>Compras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7">
        <f>IFERROR(__xludf.DUMMYFUNCTION("""COMPUTED_VALUE"""),45839.0)</f>
        <v>45839</v>
      </c>
      <c r="B333" s="8">
        <f>IFERROR(__xludf.DUMMYFUNCTION("""COMPUTED_VALUE"""),45828.0)</f>
        <v>45828</v>
      </c>
      <c r="C333" s="1" t="str">
        <f>IFERROR(__xludf.DUMMYFUNCTION("""COMPUTED_VALUE"""),"Amazonmktplc Tscomerci")</f>
        <v>Amazonmktplc Tscomerci</v>
      </c>
      <c r="D333" s="2">
        <f>IFERROR(__xludf.DUMMYFUNCTION("""COMPUTED_VALUE"""),155.0)</f>
        <v>155</v>
      </c>
      <c r="E333" s="1" t="str">
        <f>IFERROR(__xludf.DUMMYFUNCTION("""COMPUTED_VALUE"""),"-")</f>
        <v>-</v>
      </c>
      <c r="F333" s="1" t="str">
        <f>IFERROR(__xludf.DUMMYFUNCTION("""COMPUTED_VALUE"""),"Amazonmktplc")</f>
        <v>Amazonmktplc</v>
      </c>
      <c r="G333" s="1" t="str">
        <f>IFERROR(__xludf.DUMMYFUNCTION("""COMPUTED_VALUE"""),"Compras")</f>
        <v>Compras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7">
        <f>IFERROR(__xludf.DUMMYFUNCTION("""COMPUTED_VALUE"""),45839.0)</f>
        <v>45839</v>
      </c>
      <c r="B334" s="8">
        <f>IFERROR(__xludf.DUMMYFUNCTION("""COMPUTED_VALUE"""),45828.0)</f>
        <v>45828</v>
      </c>
      <c r="C334" s="1" t="str">
        <f>IFERROR(__xludf.DUMMYFUNCTION("""COMPUTED_VALUE"""),"Shopee")</f>
        <v>Shopee</v>
      </c>
      <c r="D334" s="2">
        <f>IFERROR(__xludf.DUMMYFUNCTION("""COMPUTED_VALUE"""),19.48)</f>
        <v>19.48</v>
      </c>
      <c r="E334" s="1" t="str">
        <f>IFERROR(__xludf.DUMMYFUNCTION("""COMPUTED_VALUE"""),"-")</f>
        <v>-</v>
      </c>
      <c r="F334" s="1" t="str">
        <f>IFERROR(__xludf.DUMMYFUNCTION("""COMPUTED_VALUE"""),"Shopee")</f>
        <v>Shopee</v>
      </c>
      <c r="G334" s="1" t="str">
        <f>IFERROR(__xludf.DUMMYFUNCTION("""COMPUTED_VALUE"""),"Compras")</f>
        <v>Compras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7">
        <f>IFERROR(__xludf.DUMMYFUNCTION("""COMPUTED_VALUE"""),45839.0)</f>
        <v>45839</v>
      </c>
      <c r="B335" s="8">
        <f>IFERROR(__xludf.DUMMYFUNCTION("""COMPUTED_VALUE"""),45828.0)</f>
        <v>45828</v>
      </c>
      <c r="C335" s="1" t="str">
        <f>IFERROR(__xludf.DUMMYFUNCTION("""COMPUTED_VALUE"""),"Shopee")</f>
        <v>Shopee</v>
      </c>
      <c r="D335" s="2">
        <f>IFERROR(__xludf.DUMMYFUNCTION("""COMPUTED_VALUE"""),16.99)</f>
        <v>16.99</v>
      </c>
      <c r="E335" s="1" t="str">
        <f>IFERROR(__xludf.DUMMYFUNCTION("""COMPUTED_VALUE"""),"-")</f>
        <v>-</v>
      </c>
      <c r="F335" s="1" t="str">
        <f>IFERROR(__xludf.DUMMYFUNCTION("""COMPUTED_VALUE"""),"Shopee")</f>
        <v>Shopee</v>
      </c>
      <c r="G335" s="1" t="str">
        <f>IFERROR(__xludf.DUMMYFUNCTION("""COMPUTED_VALUE"""),"Compras")</f>
        <v>Compras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7">
        <f>IFERROR(__xludf.DUMMYFUNCTION("""COMPUTED_VALUE"""),45839.0)</f>
        <v>45839</v>
      </c>
      <c r="B336" s="8">
        <f>IFERROR(__xludf.DUMMYFUNCTION("""COMPUTED_VALUE"""),45828.0)</f>
        <v>45828</v>
      </c>
      <c r="C336" s="1" t="str">
        <f>IFERROR(__xludf.DUMMYFUNCTION("""COMPUTED_VALUE"""),"Comtexti")</f>
        <v>Comtexti</v>
      </c>
      <c r="D336" s="2">
        <f>IFERROR(__xludf.DUMMYFUNCTION("""COMPUTED_VALUE"""),130.9)</f>
        <v>130.9</v>
      </c>
      <c r="E336" s="1" t="str">
        <f>IFERROR(__xludf.DUMMYFUNCTION("""COMPUTED_VALUE"""),"-")</f>
        <v>-</v>
      </c>
      <c r="F336" s="1" t="str">
        <f>IFERROR(__xludf.DUMMYFUNCTION("""COMPUTED_VALUE"""),"Comtexti")</f>
        <v>Comtexti</v>
      </c>
      <c r="G336" s="1" t="str">
        <f>IFERROR(__xludf.DUMMYFUNCTION("""COMPUTED_VALUE"""),"-")</f>
        <v>-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7">
        <f>IFERROR(__xludf.DUMMYFUNCTION("""COMPUTED_VALUE"""),45839.0)</f>
        <v>45839</v>
      </c>
      <c r="B337" s="8">
        <f>IFERROR(__xludf.DUMMYFUNCTION("""COMPUTED_VALUE"""),45828.0)</f>
        <v>45828</v>
      </c>
      <c r="C337" s="1" t="str">
        <f>IFERROR(__xludf.DUMMYFUNCTION("""COMPUTED_VALUE"""),"Shpstecnologia")</f>
        <v>Shpstecnologia</v>
      </c>
      <c r="D337" s="2">
        <f>IFERROR(__xludf.DUMMYFUNCTION("""COMPUTED_VALUE"""),35.54)</f>
        <v>35.54</v>
      </c>
      <c r="E337" s="1" t="str">
        <f>IFERROR(__xludf.DUMMYFUNCTION("""COMPUTED_VALUE"""),"-")</f>
        <v>-</v>
      </c>
      <c r="F337" s="1" t="str">
        <f>IFERROR(__xludf.DUMMYFUNCTION("""COMPUTED_VALUE"""),"Shpstecnologia")</f>
        <v>Shpstecnologia</v>
      </c>
      <c r="G337" s="1" t="str">
        <f>IFERROR(__xludf.DUMMYFUNCTION("""COMPUTED_VALUE"""),"-")</f>
        <v>-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7">
        <f>IFERROR(__xludf.DUMMYFUNCTION("""COMPUTED_VALUE"""),45839.0)</f>
        <v>45839</v>
      </c>
      <c r="B338" s="8">
        <f>IFERROR(__xludf.DUMMYFUNCTION("""COMPUTED_VALUE"""),45829.0)</f>
        <v>45829</v>
      </c>
      <c r="C338" s="1" t="str">
        <f>IFERROR(__xludf.DUMMYFUNCTION("""COMPUTED_VALUE"""),"Shopee")</f>
        <v>Shopee</v>
      </c>
      <c r="D338" s="2">
        <f>IFERROR(__xludf.DUMMYFUNCTION("""COMPUTED_VALUE"""),32.89)</f>
        <v>32.89</v>
      </c>
      <c r="E338" s="1" t="str">
        <f>IFERROR(__xludf.DUMMYFUNCTION("""COMPUTED_VALUE"""),"-")</f>
        <v>-</v>
      </c>
      <c r="F338" s="1" t="str">
        <f>IFERROR(__xludf.DUMMYFUNCTION("""COMPUTED_VALUE"""),"Shopee")</f>
        <v>Shopee</v>
      </c>
      <c r="G338" s="1" t="str">
        <f>IFERROR(__xludf.DUMMYFUNCTION("""COMPUTED_VALUE"""),"Compras")</f>
        <v>Compras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7">
        <f>IFERROR(__xludf.DUMMYFUNCTION("""COMPUTED_VALUE"""),45839.0)</f>
        <v>45839</v>
      </c>
      <c r="B339" s="8">
        <f>IFERROR(__xludf.DUMMYFUNCTION("""COMPUTED_VALUE"""),45829.0)</f>
        <v>45829</v>
      </c>
      <c r="C339" s="1" t="str">
        <f>IFERROR(__xludf.DUMMYFUNCTION("""COMPUTED_VALUE"""),"Shopee")</f>
        <v>Shopee</v>
      </c>
      <c r="D339" s="2">
        <f>IFERROR(__xludf.DUMMYFUNCTION("""COMPUTED_VALUE"""),32.89)</f>
        <v>32.89</v>
      </c>
      <c r="E339" s="1" t="str">
        <f>IFERROR(__xludf.DUMMYFUNCTION("""COMPUTED_VALUE"""),"-")</f>
        <v>-</v>
      </c>
      <c r="F339" s="1" t="str">
        <f>IFERROR(__xludf.DUMMYFUNCTION("""COMPUTED_VALUE"""),"Shopee")</f>
        <v>Shopee</v>
      </c>
      <c r="G339" s="1" t="str">
        <f>IFERROR(__xludf.DUMMYFUNCTION("""COMPUTED_VALUE"""),"Compras")</f>
        <v>Compras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7">
        <f>IFERROR(__xludf.DUMMYFUNCTION("""COMPUTED_VALUE"""),45839.0)</f>
        <v>45839</v>
      </c>
      <c r="B340" s="8">
        <f>IFERROR(__xludf.DUMMYFUNCTION("""COMPUTED_VALUE"""),45829.0)</f>
        <v>45829</v>
      </c>
      <c r="C340" s="1" t="str">
        <f>IFERROR(__xludf.DUMMYFUNCTION("""COMPUTED_VALUE"""),"Copkosto")</f>
        <v>Copkosto</v>
      </c>
      <c r="D340" s="2">
        <f>IFERROR(__xludf.DUMMYFUNCTION("""COMPUTED_VALUE"""),32.78)</f>
        <v>32.78</v>
      </c>
      <c r="E340" s="1" t="str">
        <f>IFERROR(__xludf.DUMMYFUNCTION("""COMPUTED_VALUE"""),"-")</f>
        <v>-</v>
      </c>
      <c r="F340" s="1" t="str">
        <f>IFERROR(__xludf.DUMMYFUNCTION("""COMPUTED_VALUE"""),"Copkosto")</f>
        <v>Copkosto</v>
      </c>
      <c r="G340" s="1" t="str">
        <f>IFERROR(__xludf.DUMMYFUNCTION("""COMPUTED_VALUE"""),"-")</f>
        <v>-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7">
        <f>IFERROR(__xludf.DUMMYFUNCTION("""COMPUTED_VALUE"""),45839.0)</f>
        <v>45839</v>
      </c>
      <c r="B341" s="8">
        <f>IFERROR(__xludf.DUMMYFUNCTION("""COMPUTED_VALUE"""),45829.0)</f>
        <v>45829</v>
      </c>
      <c r="C341" s="1" t="str">
        <f>IFERROR(__xludf.DUMMYFUNCTION("""COMPUTED_VALUE"""),"Copkosto")</f>
        <v>Copkosto</v>
      </c>
      <c r="D341" s="2">
        <f>IFERROR(__xludf.DUMMYFUNCTION("""COMPUTED_VALUE"""),32.78)</f>
        <v>32.78</v>
      </c>
      <c r="E341" s="1" t="str">
        <f>IFERROR(__xludf.DUMMYFUNCTION("""COMPUTED_VALUE"""),"-")</f>
        <v>-</v>
      </c>
      <c r="F341" s="1" t="str">
        <f>IFERROR(__xludf.DUMMYFUNCTION("""COMPUTED_VALUE"""),"Copkosto")</f>
        <v>Copkosto</v>
      </c>
      <c r="G341" s="1" t="str">
        <f>IFERROR(__xludf.DUMMYFUNCTION("""COMPUTED_VALUE"""),"-")</f>
        <v>-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7">
        <f>IFERROR(__xludf.DUMMYFUNCTION("""COMPUTED_VALUE"""),45839.0)</f>
        <v>45839</v>
      </c>
      <c r="B342" s="8">
        <f>IFERROR(__xludf.DUMMYFUNCTION("""COMPUTED_VALUE"""),45829.0)</f>
        <v>45829</v>
      </c>
      <c r="C342" s="1" t="str">
        <f>IFERROR(__xludf.DUMMYFUNCTION("""COMPUTED_VALUE"""),"Shopee")</f>
        <v>Shopee</v>
      </c>
      <c r="D342" s="2">
        <f>IFERROR(__xludf.DUMMYFUNCTION("""COMPUTED_VALUE"""),10.1)</f>
        <v>10.1</v>
      </c>
      <c r="E342" s="1" t="str">
        <f>IFERROR(__xludf.DUMMYFUNCTION("""COMPUTED_VALUE"""),"-")</f>
        <v>-</v>
      </c>
      <c r="F342" s="1" t="str">
        <f>IFERROR(__xludf.DUMMYFUNCTION("""COMPUTED_VALUE"""),"Shopee")</f>
        <v>Shopee</v>
      </c>
      <c r="G342" s="1" t="str">
        <f>IFERROR(__xludf.DUMMYFUNCTION("""COMPUTED_VALUE"""),"Compras")</f>
        <v>Compras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7">
        <f>IFERROR(__xludf.DUMMYFUNCTION("""COMPUTED_VALUE"""),45839.0)</f>
        <v>45839</v>
      </c>
      <c r="B343" s="8">
        <f>IFERROR(__xludf.DUMMYFUNCTION("""COMPUTED_VALUE"""),45829.0)</f>
        <v>45829</v>
      </c>
      <c r="C343" s="1" t="str">
        <f>IFERROR(__xludf.DUMMYFUNCTION("""COMPUTED_VALUE"""),"Shopee")</f>
        <v>Shopee</v>
      </c>
      <c r="D343" s="2">
        <f>IFERROR(__xludf.DUMMYFUNCTION("""COMPUTED_VALUE"""),10.1)</f>
        <v>10.1</v>
      </c>
      <c r="E343" s="1" t="str">
        <f>IFERROR(__xludf.DUMMYFUNCTION("""COMPUTED_VALUE"""),"-")</f>
        <v>-</v>
      </c>
      <c r="F343" s="1" t="str">
        <f>IFERROR(__xludf.DUMMYFUNCTION("""COMPUTED_VALUE"""),"Shopee")</f>
        <v>Shopee</v>
      </c>
      <c r="G343" s="1" t="str">
        <f>IFERROR(__xludf.DUMMYFUNCTION("""COMPUTED_VALUE"""),"Compras")</f>
        <v>Compras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7">
        <f>IFERROR(__xludf.DUMMYFUNCTION("""COMPUTED_VALUE"""),45839.0)</f>
        <v>45839</v>
      </c>
      <c r="B344" s="8">
        <f>IFERROR(__xludf.DUMMYFUNCTION("""COMPUTED_VALUE"""),45829.0)</f>
        <v>45829</v>
      </c>
      <c r="C344" s="1" t="str">
        <f>IFERROR(__xludf.DUMMYFUNCTION("""COMPUTED_VALUE"""),"Shopee")</f>
        <v>Shopee</v>
      </c>
      <c r="D344" s="2">
        <f>IFERROR(__xludf.DUMMYFUNCTION("""COMPUTED_VALUE"""),29.99)</f>
        <v>29.99</v>
      </c>
      <c r="E344" s="1" t="str">
        <f>IFERROR(__xludf.DUMMYFUNCTION("""COMPUTED_VALUE"""),"-")</f>
        <v>-</v>
      </c>
      <c r="F344" s="1" t="str">
        <f>IFERROR(__xludf.DUMMYFUNCTION("""COMPUTED_VALUE"""),"Shopee")</f>
        <v>Shopee</v>
      </c>
      <c r="G344" s="1" t="str">
        <f>IFERROR(__xludf.DUMMYFUNCTION("""COMPUTED_VALUE"""),"Compras")</f>
        <v>Compras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7">
        <f>IFERROR(__xludf.DUMMYFUNCTION("""COMPUTED_VALUE"""),45839.0)</f>
        <v>45839</v>
      </c>
      <c r="B345" s="8">
        <f>IFERROR(__xludf.DUMMYFUNCTION("""COMPUTED_VALUE"""),45829.0)</f>
        <v>45829</v>
      </c>
      <c r="C345" s="1" t="str">
        <f>IFERROR(__xludf.DUMMYFUNCTION("""COMPUTED_VALUE"""),"Shopee")</f>
        <v>Shopee</v>
      </c>
      <c r="D345" s="2">
        <f>IFERROR(__xludf.DUMMYFUNCTION("""COMPUTED_VALUE"""),29.99)</f>
        <v>29.99</v>
      </c>
      <c r="E345" s="1" t="str">
        <f>IFERROR(__xludf.DUMMYFUNCTION("""COMPUTED_VALUE"""),"-")</f>
        <v>-</v>
      </c>
      <c r="F345" s="1" t="str">
        <f>IFERROR(__xludf.DUMMYFUNCTION("""COMPUTED_VALUE"""),"Shopee")</f>
        <v>Shopee</v>
      </c>
      <c r="G345" s="1" t="str">
        <f>IFERROR(__xludf.DUMMYFUNCTION("""COMPUTED_VALUE"""),"Compras")</f>
        <v>Compras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7">
        <f>IFERROR(__xludf.DUMMYFUNCTION("""COMPUTED_VALUE"""),45839.0)</f>
        <v>45839</v>
      </c>
      <c r="B346" s="8">
        <f>IFERROR(__xludf.DUMMYFUNCTION("""COMPUTED_VALUE"""),45829.0)</f>
        <v>45829</v>
      </c>
      <c r="C346" s="1" t="str">
        <f>IFERROR(__xludf.DUMMYFUNCTION("""COMPUTED_VALUE"""),"Shopee")</f>
        <v>Shopee</v>
      </c>
      <c r="D346" s="2">
        <f>IFERROR(__xludf.DUMMYFUNCTION("""COMPUTED_VALUE"""),34.9)</f>
        <v>34.9</v>
      </c>
      <c r="E346" s="1" t="str">
        <f>IFERROR(__xludf.DUMMYFUNCTION("""COMPUTED_VALUE"""),"-")</f>
        <v>-</v>
      </c>
      <c r="F346" s="1" t="str">
        <f>IFERROR(__xludf.DUMMYFUNCTION("""COMPUTED_VALUE"""),"Shopee")</f>
        <v>Shopee</v>
      </c>
      <c r="G346" s="1" t="str">
        <f>IFERROR(__xludf.DUMMYFUNCTION("""COMPUTED_VALUE"""),"Compras")</f>
        <v>Compras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7">
        <f>IFERROR(__xludf.DUMMYFUNCTION("""COMPUTED_VALUE"""),45839.0)</f>
        <v>45839</v>
      </c>
      <c r="B347" s="8">
        <f>IFERROR(__xludf.DUMMYFUNCTION("""COMPUTED_VALUE"""),45829.0)</f>
        <v>45829</v>
      </c>
      <c r="C347" s="1" t="str">
        <f>IFERROR(__xludf.DUMMYFUNCTION("""COMPUTED_VALUE"""),"Shopee")</f>
        <v>Shopee</v>
      </c>
      <c r="D347" s="2">
        <f>IFERROR(__xludf.DUMMYFUNCTION("""COMPUTED_VALUE"""),34.9)</f>
        <v>34.9</v>
      </c>
      <c r="E347" s="1" t="str">
        <f>IFERROR(__xludf.DUMMYFUNCTION("""COMPUTED_VALUE"""),"-")</f>
        <v>-</v>
      </c>
      <c r="F347" s="1" t="str">
        <f>IFERROR(__xludf.DUMMYFUNCTION("""COMPUTED_VALUE"""),"Shopee")</f>
        <v>Shopee</v>
      </c>
      <c r="G347" s="1" t="str">
        <f>IFERROR(__xludf.DUMMYFUNCTION("""COMPUTED_VALUE"""),"Compras")</f>
        <v>Compras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7">
        <f>IFERROR(__xludf.DUMMYFUNCTION("""COMPUTED_VALUE"""),45839.0)</f>
        <v>45839</v>
      </c>
      <c r="B348" s="8">
        <f>IFERROR(__xludf.DUMMYFUNCTION("""COMPUTED_VALUE"""),45786.0)</f>
        <v>45786</v>
      </c>
      <c r="C348" s="1" t="str">
        <f>IFERROR(__xludf.DUMMYFUNCTION("""COMPUTED_VALUE"""),"Shopee (2/2)")</f>
        <v>Shopee (2/2)</v>
      </c>
      <c r="D348" s="2">
        <f>IFERROR(__xludf.DUMMYFUNCTION("""COMPUTED_VALUE"""),60.54)</f>
        <v>60.54</v>
      </c>
      <c r="E348" s="1" t="str">
        <f>IFERROR(__xludf.DUMMYFUNCTION("""COMPUTED_VALUE"""),"-")</f>
        <v>-</v>
      </c>
      <c r="F348" s="1" t="str">
        <f>IFERROR(__xludf.DUMMYFUNCTION("""COMPUTED_VALUE"""),"Shopee")</f>
        <v>Shopee</v>
      </c>
      <c r="G348" s="1" t="str">
        <f>IFERROR(__xludf.DUMMYFUNCTION("""COMPUTED_VALUE"""),"Compras")</f>
        <v>Compras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7">
        <f>IFERROR(__xludf.DUMMYFUNCTION("""COMPUTED_VALUE"""),45839.0)</f>
        <v>45839</v>
      </c>
      <c r="B349" s="8">
        <f>IFERROR(__xludf.DUMMYFUNCTION("""COMPUTED_VALUE"""),45796.0)</f>
        <v>45796</v>
      </c>
      <c r="C349" s="1" t="str">
        <f>IFERROR(__xludf.DUMMYFUNCTION("""COMPUTED_VALUE"""),"Shopee (2/2)")</f>
        <v>Shopee (2/2)</v>
      </c>
      <c r="D349" s="2">
        <f>IFERROR(__xludf.DUMMYFUNCTION("""COMPUTED_VALUE"""),127.55)</f>
        <v>127.55</v>
      </c>
      <c r="E349" s="1" t="str">
        <f>IFERROR(__xludf.DUMMYFUNCTION("""COMPUTED_VALUE"""),"-")</f>
        <v>-</v>
      </c>
      <c r="F349" s="1" t="str">
        <f>IFERROR(__xludf.DUMMYFUNCTION("""COMPUTED_VALUE"""),"Shopee")</f>
        <v>Shopee</v>
      </c>
      <c r="G349" s="1" t="str">
        <f>IFERROR(__xludf.DUMMYFUNCTION("""COMPUTED_VALUE"""),"Compras")</f>
        <v>Compras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7">
        <f>IFERROR(__xludf.DUMMYFUNCTION("""COMPUTED_VALUE"""),45839.0)</f>
        <v>45839</v>
      </c>
      <c r="B350" s="8">
        <f>IFERROR(__xludf.DUMMYFUNCTION("""COMPUTED_VALUE"""),45805.0)</f>
        <v>45805</v>
      </c>
      <c r="C350" s="1" t="str">
        <f>IFERROR(__xludf.DUMMYFUNCTION("""COMPUTED_VALUE"""),"Amazon")</f>
        <v>Amazon</v>
      </c>
      <c r="D350" s="2">
        <f>IFERROR(__xludf.DUMMYFUNCTION("""COMPUTED_VALUE"""),12.99)</f>
        <v>12.99</v>
      </c>
      <c r="E350" s="1" t="str">
        <f>IFERROR(__xludf.DUMMYFUNCTION("""COMPUTED_VALUE"""),"-")</f>
        <v>-</v>
      </c>
      <c r="F350" s="1" t="str">
        <f>IFERROR(__xludf.DUMMYFUNCTION("""COMPUTED_VALUE"""),"Amazon")</f>
        <v>Amazon</v>
      </c>
      <c r="G350" s="1" t="str">
        <f>IFERROR(__xludf.DUMMYFUNCTION("""COMPUTED_VALUE"""),"Compras")</f>
        <v>Compras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7">
        <f>IFERROR(__xludf.DUMMYFUNCTION("""COMPUTED_VALUE"""),45839.0)</f>
        <v>45839</v>
      </c>
      <c r="B351" s="8">
        <f>IFERROR(__xludf.DUMMYFUNCTION("""COMPUTED_VALUE"""),45806.0)</f>
        <v>45806</v>
      </c>
      <c r="C351" s="1" t="str">
        <f>IFERROR(__xludf.DUMMYFUNCTION("""COMPUTED_VALUE"""),"Uber")</f>
        <v>Uber</v>
      </c>
      <c r="D351" s="2">
        <f>IFERROR(__xludf.DUMMYFUNCTION("""COMPUTED_VALUE"""),14.23)</f>
        <v>14.23</v>
      </c>
      <c r="E351" s="1" t="str">
        <f>IFERROR(__xludf.DUMMYFUNCTION("""COMPUTED_VALUE"""),"-")</f>
        <v>-</v>
      </c>
      <c r="F351" s="1" t="str">
        <f>IFERROR(__xludf.DUMMYFUNCTION("""COMPUTED_VALUE"""),"Uber")</f>
        <v>Uber</v>
      </c>
      <c r="G351" s="1" t="str">
        <f>IFERROR(__xludf.DUMMYFUNCTION("""COMPUTED_VALUE"""),"Uber/99")</f>
        <v>Uber/99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7">
        <f>IFERROR(__xludf.DUMMYFUNCTION("""COMPUTED_VALUE"""),45839.0)</f>
        <v>45839</v>
      </c>
      <c r="B352" s="8">
        <f>IFERROR(__xludf.DUMMYFUNCTION("""COMPUTED_VALUE"""),45806.0)</f>
        <v>45806</v>
      </c>
      <c r="C352" s="1" t="str">
        <f>IFERROR(__xludf.DUMMYFUNCTION("""COMPUTED_VALUE"""),"Amazon")</f>
        <v>Amazon</v>
      </c>
      <c r="D352" s="2">
        <f>IFERROR(__xludf.DUMMYFUNCTION("""COMPUTED_VALUE"""),37.94)</f>
        <v>37.94</v>
      </c>
      <c r="E352" s="1" t="str">
        <f>IFERROR(__xludf.DUMMYFUNCTION("""COMPUTED_VALUE"""),"-")</f>
        <v>-</v>
      </c>
      <c r="F352" s="1" t="str">
        <f>IFERROR(__xludf.DUMMYFUNCTION("""COMPUTED_VALUE"""),"Amazon")</f>
        <v>Amazon</v>
      </c>
      <c r="G352" s="1" t="str">
        <f>IFERROR(__xludf.DUMMYFUNCTION("""COMPUTED_VALUE"""),"Compras")</f>
        <v>Compras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7">
        <f>IFERROR(__xludf.DUMMYFUNCTION("""COMPUTED_VALUE"""),45839.0)</f>
        <v>45839</v>
      </c>
      <c r="B353" s="8">
        <f>IFERROR(__xludf.DUMMYFUNCTION("""COMPUTED_VALUE"""),45808.0)</f>
        <v>45808</v>
      </c>
      <c r="C353" s="1" t="str">
        <f>IFERROR(__xludf.DUMMYFUNCTION("""COMPUTED_VALUE"""),"Uber")</f>
        <v>Uber</v>
      </c>
      <c r="D353" s="2">
        <f>IFERROR(__xludf.DUMMYFUNCTION("""COMPUTED_VALUE"""),10.35)</f>
        <v>10.35</v>
      </c>
      <c r="E353" s="1" t="str">
        <f>IFERROR(__xludf.DUMMYFUNCTION("""COMPUTED_VALUE"""),"-")</f>
        <v>-</v>
      </c>
      <c r="F353" s="1" t="str">
        <f>IFERROR(__xludf.DUMMYFUNCTION("""COMPUTED_VALUE"""),"Uber")</f>
        <v>Uber</v>
      </c>
      <c r="G353" s="1" t="str">
        <f>IFERROR(__xludf.DUMMYFUNCTION("""COMPUTED_VALUE"""),"Uber/99")</f>
        <v>Uber/99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7">
        <f>IFERROR(__xludf.DUMMYFUNCTION("""COMPUTED_VALUE"""),45839.0)</f>
        <v>45839</v>
      </c>
      <c r="B354" s="8">
        <f>IFERROR(__xludf.DUMMYFUNCTION("""COMPUTED_VALUE"""),45810.0)</f>
        <v>45810</v>
      </c>
      <c r="C354" s="1" t="str">
        <f>IFERROR(__xludf.DUMMYFUNCTION("""COMPUTED_VALUE"""),"Uber")</f>
        <v>Uber</v>
      </c>
      <c r="D354" s="2">
        <f>IFERROR(__xludf.DUMMYFUNCTION("""COMPUTED_VALUE"""),25.98)</f>
        <v>25.98</v>
      </c>
      <c r="E354" s="1" t="str">
        <f>IFERROR(__xludf.DUMMYFUNCTION("""COMPUTED_VALUE"""),"-")</f>
        <v>-</v>
      </c>
      <c r="F354" s="1" t="str">
        <f>IFERROR(__xludf.DUMMYFUNCTION("""COMPUTED_VALUE"""),"Uber")</f>
        <v>Uber</v>
      </c>
      <c r="G354" s="1" t="str">
        <f>IFERROR(__xludf.DUMMYFUNCTION("""COMPUTED_VALUE"""),"Uber/99")</f>
        <v>Uber/99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7">
        <f>IFERROR(__xludf.DUMMYFUNCTION("""COMPUTED_VALUE"""),45839.0)</f>
        <v>45839</v>
      </c>
      <c r="B355" s="8">
        <f>IFERROR(__xludf.DUMMYFUNCTION("""COMPUTED_VALUE"""),45810.0)</f>
        <v>45810</v>
      </c>
      <c r="C355" s="1">
        <f>IFERROR(__xludf.DUMMYFUNCTION("""COMPUTED_VALUE"""),99.0)</f>
        <v>99</v>
      </c>
      <c r="D355" s="2">
        <f>IFERROR(__xludf.DUMMYFUNCTION("""COMPUTED_VALUE"""),21.6)</f>
        <v>21.6</v>
      </c>
      <c r="E355" s="1" t="str">
        <f>IFERROR(__xludf.DUMMYFUNCTION("""COMPUTED_VALUE"""),"-")</f>
        <v>-</v>
      </c>
      <c r="F355" s="1" t="str">
        <f>IFERROR(__xludf.DUMMYFUNCTION("""COMPUTED_VALUE"""),"99")</f>
        <v>99</v>
      </c>
      <c r="G355" s="1" t="str">
        <f>IFERROR(__xludf.DUMMYFUNCTION("""COMPUTED_VALUE"""),"Uber/99")</f>
        <v>Uber/99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7">
        <f>IFERROR(__xludf.DUMMYFUNCTION("""COMPUTED_VALUE"""),45839.0)</f>
        <v>45839</v>
      </c>
      <c r="B356" s="8">
        <f>IFERROR(__xludf.DUMMYFUNCTION("""COMPUTED_VALUE"""),45811.0)</f>
        <v>45811</v>
      </c>
      <c r="C356" s="1" t="str">
        <f>IFERROR(__xludf.DUMMYFUNCTION("""COMPUTED_VALUE"""),"Amazon")</f>
        <v>Amazon</v>
      </c>
      <c r="D356" s="2">
        <f>IFERROR(__xludf.DUMMYFUNCTION("""COMPUTED_VALUE"""),38.25)</f>
        <v>38.25</v>
      </c>
      <c r="E356" s="1" t="str">
        <f>IFERROR(__xludf.DUMMYFUNCTION("""COMPUTED_VALUE"""),"-")</f>
        <v>-</v>
      </c>
      <c r="F356" s="1" t="str">
        <f>IFERROR(__xludf.DUMMYFUNCTION("""COMPUTED_VALUE"""),"Amazon")</f>
        <v>Amazon</v>
      </c>
      <c r="G356" s="1" t="str">
        <f>IFERROR(__xludf.DUMMYFUNCTION("""COMPUTED_VALUE"""),"Compras")</f>
        <v>Compras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7">
        <f>IFERROR(__xludf.DUMMYFUNCTION("""COMPUTED_VALUE"""),45839.0)</f>
        <v>45839</v>
      </c>
      <c r="B357" s="8">
        <f>IFERROR(__xludf.DUMMYFUNCTION("""COMPUTED_VALUE"""),45812.0)</f>
        <v>45812</v>
      </c>
      <c r="C357" s="1" t="str">
        <f>IFERROR(__xludf.DUMMYFUNCTION("""COMPUTED_VALUE"""),"Amazon")</f>
        <v>Amazon</v>
      </c>
      <c r="D357" s="2">
        <f>IFERROR(__xludf.DUMMYFUNCTION("""COMPUTED_VALUE"""),24.61)</f>
        <v>24.61</v>
      </c>
      <c r="E357" s="1" t="str">
        <f>IFERROR(__xludf.DUMMYFUNCTION("""COMPUTED_VALUE"""),"-")</f>
        <v>-</v>
      </c>
      <c r="F357" s="1" t="str">
        <f>IFERROR(__xludf.DUMMYFUNCTION("""COMPUTED_VALUE"""),"Amazon")</f>
        <v>Amazon</v>
      </c>
      <c r="G357" s="1" t="str">
        <f>IFERROR(__xludf.DUMMYFUNCTION("""COMPUTED_VALUE"""),"Compras")</f>
        <v>Compras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7">
        <f>IFERROR(__xludf.DUMMYFUNCTION("""COMPUTED_VALUE"""),45839.0)</f>
        <v>45839</v>
      </c>
      <c r="B358" s="8">
        <f>IFERROR(__xludf.DUMMYFUNCTION("""COMPUTED_VALUE"""),45813.0)</f>
        <v>45813</v>
      </c>
      <c r="C358" s="1" t="str">
        <f>IFERROR(__xludf.DUMMYFUNCTION("""COMPUTED_VALUE"""),"Petrobrasprem")</f>
        <v>Petrobrasprem</v>
      </c>
      <c r="D358" s="2">
        <f>IFERROR(__xludf.DUMMYFUNCTION("""COMPUTED_VALUE"""),278.06)</f>
        <v>278.06</v>
      </c>
      <c r="E358" s="1" t="str">
        <f>IFERROR(__xludf.DUMMYFUNCTION("""COMPUTED_VALUE"""),"-")</f>
        <v>-</v>
      </c>
      <c r="F358" s="1" t="str">
        <f>IFERROR(__xludf.DUMMYFUNCTION("""COMPUTED_VALUE"""),"Petrobrasprem")</f>
        <v>Petrobrasprem</v>
      </c>
      <c r="G358" s="1" t="str">
        <f>IFERROR(__xludf.DUMMYFUNCTION("""COMPUTED_VALUE"""),"Carro")</f>
        <v>Carro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7">
        <f>IFERROR(__xludf.DUMMYFUNCTION("""COMPUTED_VALUE"""),45839.0)</f>
        <v>45839</v>
      </c>
      <c r="B359" s="8">
        <f>IFERROR(__xludf.DUMMYFUNCTION("""COMPUTED_VALUE"""),45813.0)</f>
        <v>45813</v>
      </c>
      <c r="C359" s="1">
        <f>IFERROR(__xludf.DUMMYFUNCTION("""COMPUTED_VALUE"""),99.0)</f>
        <v>99</v>
      </c>
      <c r="D359" s="2">
        <f>IFERROR(__xludf.DUMMYFUNCTION("""COMPUTED_VALUE"""),10.53)</f>
        <v>10.53</v>
      </c>
      <c r="E359" s="1" t="str">
        <f>IFERROR(__xludf.DUMMYFUNCTION("""COMPUTED_VALUE"""),"-")</f>
        <v>-</v>
      </c>
      <c r="F359" s="1" t="str">
        <f>IFERROR(__xludf.DUMMYFUNCTION("""COMPUTED_VALUE"""),"99")</f>
        <v>99</v>
      </c>
      <c r="G359" s="1" t="str">
        <f>IFERROR(__xludf.DUMMYFUNCTION("""COMPUTED_VALUE"""),"Uber/99")</f>
        <v>Uber/99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7">
        <f>IFERROR(__xludf.DUMMYFUNCTION("""COMPUTED_VALUE"""),45839.0)</f>
        <v>45839</v>
      </c>
      <c r="B360" s="8">
        <f>IFERROR(__xludf.DUMMYFUNCTION("""COMPUTED_VALUE"""),45816.0)</f>
        <v>45816</v>
      </c>
      <c r="C360" s="1" t="str">
        <f>IFERROR(__xludf.DUMMYFUNCTION("""COMPUTED_VALUE"""),"Livelo")</f>
        <v>Livelo</v>
      </c>
      <c r="D360" s="2">
        <f>IFERROR(__xludf.DUMMYFUNCTION("""COMPUTED_VALUE"""),177.98)</f>
        <v>177.98</v>
      </c>
      <c r="E360" s="1" t="str">
        <f>IFERROR(__xludf.DUMMYFUNCTION("""COMPUTED_VALUE"""),"-")</f>
        <v>-</v>
      </c>
      <c r="F360" s="1" t="str">
        <f>IFERROR(__xludf.DUMMYFUNCTION("""COMPUTED_VALUE"""),"Livelo")</f>
        <v>Livelo</v>
      </c>
      <c r="G360" s="1" t="str">
        <f>IFERROR(__xludf.DUMMYFUNCTION("""COMPUTED_VALUE"""),"-")</f>
        <v>-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7">
        <f>IFERROR(__xludf.DUMMYFUNCTION("""COMPUTED_VALUE"""),45839.0)</f>
        <v>45839</v>
      </c>
      <c r="B361" s="8">
        <f>IFERROR(__xludf.DUMMYFUNCTION("""COMPUTED_VALUE"""),45817.0)</f>
        <v>45817</v>
      </c>
      <c r="C361" s="1" t="str">
        <f>IFERROR(__xludf.DUMMYFUNCTION("""COMPUTED_VALUE"""),"Mercado Livre")</f>
        <v>Mercado Livre</v>
      </c>
      <c r="D361" s="2">
        <f>IFERROR(__xludf.DUMMYFUNCTION("""COMPUTED_VALUE"""),65.09)</f>
        <v>65.09</v>
      </c>
      <c r="E361" s="1" t="str">
        <f>IFERROR(__xludf.DUMMYFUNCTION("""COMPUTED_VALUE"""),"-")</f>
        <v>-</v>
      </c>
      <c r="F361" s="1" t="str">
        <f>IFERROR(__xludf.DUMMYFUNCTION("""COMPUTED_VALUE"""),"Mercado Livre")</f>
        <v>Mercado Livre</v>
      </c>
      <c r="G361" s="1" t="str">
        <f>IFERROR(__xludf.DUMMYFUNCTION("""COMPUTED_VALUE"""),"Compras")</f>
        <v>Compras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7">
        <f>IFERROR(__xludf.DUMMYFUNCTION("""COMPUTED_VALUE"""),45839.0)</f>
        <v>45839</v>
      </c>
      <c r="B362" s="8">
        <f>IFERROR(__xludf.DUMMYFUNCTION("""COMPUTED_VALUE"""),45817.0)</f>
        <v>45817</v>
      </c>
      <c r="C362" s="1" t="str">
        <f>IFERROR(__xludf.DUMMYFUNCTION("""COMPUTED_VALUE"""),"Amazon")</f>
        <v>Amazon</v>
      </c>
      <c r="D362" s="2">
        <f>IFERROR(__xludf.DUMMYFUNCTION("""COMPUTED_VALUE"""),99.9)</f>
        <v>99.9</v>
      </c>
      <c r="E362" s="1" t="str">
        <f>IFERROR(__xludf.DUMMYFUNCTION("""COMPUTED_VALUE"""),"-")</f>
        <v>-</v>
      </c>
      <c r="F362" s="1" t="str">
        <f>IFERROR(__xludf.DUMMYFUNCTION("""COMPUTED_VALUE"""),"Amazon")</f>
        <v>Amazon</v>
      </c>
      <c r="G362" s="1" t="str">
        <f>IFERROR(__xludf.DUMMYFUNCTION("""COMPUTED_VALUE"""),"Compras")</f>
        <v>Compras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7">
        <f>IFERROR(__xludf.DUMMYFUNCTION("""COMPUTED_VALUE"""),45839.0)</f>
        <v>45839</v>
      </c>
      <c r="B363" s="8">
        <f>IFERROR(__xludf.DUMMYFUNCTION("""COMPUTED_VALUE"""),45818.0)</f>
        <v>45818</v>
      </c>
      <c r="C363" s="1" t="str">
        <f>IFERROR(__xludf.DUMMYFUNCTION("""COMPUTED_VALUE"""),"Spotify")</f>
        <v>Spotify</v>
      </c>
      <c r="D363" s="2">
        <f>IFERROR(__xludf.DUMMYFUNCTION("""COMPUTED_VALUE"""),34.9)</f>
        <v>34.9</v>
      </c>
      <c r="E363" s="1" t="str">
        <f>IFERROR(__xludf.DUMMYFUNCTION("""COMPUTED_VALUE"""),"-")</f>
        <v>-</v>
      </c>
      <c r="F363" s="1" t="str">
        <f>IFERROR(__xludf.DUMMYFUNCTION("""COMPUTED_VALUE"""),"Spotify")</f>
        <v>Spotify</v>
      </c>
      <c r="G363" s="1" t="str">
        <f>IFERROR(__xludf.DUMMYFUNCTION("""COMPUTED_VALUE"""),"Assinatura")</f>
        <v>Assinatura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7">
        <f>IFERROR(__xludf.DUMMYFUNCTION("""COMPUTED_VALUE"""),45839.0)</f>
        <v>45839</v>
      </c>
      <c r="B364" s="8">
        <f>IFERROR(__xludf.DUMMYFUNCTION("""COMPUTED_VALUE"""),45819.0)</f>
        <v>45819</v>
      </c>
      <c r="C364" s="1" t="str">
        <f>IFERROR(__xludf.DUMMYFUNCTION("""COMPUTED_VALUE"""),"Amazon")</f>
        <v>Amazon</v>
      </c>
      <c r="D364" s="2">
        <f>IFERROR(__xludf.DUMMYFUNCTION("""COMPUTED_VALUE"""),149.9)</f>
        <v>149.9</v>
      </c>
      <c r="E364" s="1" t="str">
        <f>IFERROR(__xludf.DUMMYFUNCTION("""COMPUTED_VALUE"""),"-")</f>
        <v>-</v>
      </c>
      <c r="F364" s="1" t="str">
        <f>IFERROR(__xludf.DUMMYFUNCTION("""COMPUTED_VALUE"""),"Amazon")</f>
        <v>Amazon</v>
      </c>
      <c r="G364" s="1" t="str">
        <f>IFERROR(__xludf.DUMMYFUNCTION("""COMPUTED_VALUE"""),"Compras")</f>
        <v>Compras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7">
        <f>IFERROR(__xludf.DUMMYFUNCTION("""COMPUTED_VALUE"""),45839.0)</f>
        <v>45839</v>
      </c>
      <c r="B365" s="8">
        <f>IFERROR(__xludf.DUMMYFUNCTION("""COMPUTED_VALUE"""),45821.0)</f>
        <v>45821</v>
      </c>
      <c r="C365" s="1" t="str">
        <f>IFERROR(__xludf.DUMMYFUNCTION("""COMPUTED_VALUE"""),"Amazon")</f>
        <v>Amazon</v>
      </c>
      <c r="D365" s="2">
        <f>IFERROR(__xludf.DUMMYFUNCTION("""COMPUTED_VALUE"""),83.47)</f>
        <v>83.47</v>
      </c>
      <c r="E365" s="1" t="str">
        <f>IFERROR(__xludf.DUMMYFUNCTION("""COMPUTED_VALUE"""),"-")</f>
        <v>-</v>
      </c>
      <c r="F365" s="1" t="str">
        <f>IFERROR(__xludf.DUMMYFUNCTION("""COMPUTED_VALUE"""),"Amazon")</f>
        <v>Amazon</v>
      </c>
      <c r="G365" s="1" t="str">
        <f>IFERROR(__xludf.DUMMYFUNCTION("""COMPUTED_VALUE"""),"Compras")</f>
        <v>Compras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7">
        <f>IFERROR(__xludf.DUMMYFUNCTION("""COMPUTED_VALUE"""),45839.0)</f>
        <v>45839</v>
      </c>
      <c r="B366" s="8">
        <f>IFERROR(__xludf.DUMMYFUNCTION("""COMPUTED_VALUE"""),45821.0)</f>
        <v>45821</v>
      </c>
      <c r="C366" s="1" t="str">
        <f>IFERROR(__xludf.DUMMYFUNCTION("""COMPUTED_VALUE"""),"Amazon")</f>
        <v>Amazon</v>
      </c>
      <c r="D366" s="2">
        <f>IFERROR(__xludf.DUMMYFUNCTION("""COMPUTED_VALUE"""),48.08)</f>
        <v>48.08</v>
      </c>
      <c r="E366" s="1" t="str">
        <f>IFERROR(__xludf.DUMMYFUNCTION("""COMPUTED_VALUE"""),"-")</f>
        <v>-</v>
      </c>
      <c r="F366" s="1" t="str">
        <f>IFERROR(__xludf.DUMMYFUNCTION("""COMPUTED_VALUE"""),"Amazon")</f>
        <v>Amazon</v>
      </c>
      <c r="G366" s="1" t="str">
        <f>IFERROR(__xludf.DUMMYFUNCTION("""COMPUTED_VALUE"""),"Compras")</f>
        <v>Compras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7">
        <f>IFERROR(__xludf.DUMMYFUNCTION("""COMPUTED_VALUE"""),45839.0)</f>
        <v>45839</v>
      </c>
      <c r="B367" s="8">
        <f>IFERROR(__xludf.DUMMYFUNCTION("""COMPUTED_VALUE"""),45822.0)</f>
        <v>45822</v>
      </c>
      <c r="C367" s="1" t="str">
        <f>IFERROR(__xludf.DUMMYFUNCTION("""COMPUTED_VALUE"""),"Youtube")</f>
        <v>Youtube</v>
      </c>
      <c r="D367" s="2">
        <f>IFERROR(__xludf.DUMMYFUNCTION("""COMPUTED_VALUE"""),19.99)</f>
        <v>19.99</v>
      </c>
      <c r="E367" s="1" t="str">
        <f>IFERROR(__xludf.DUMMYFUNCTION("""COMPUTED_VALUE"""),"-")</f>
        <v>-</v>
      </c>
      <c r="F367" s="1" t="str">
        <f>IFERROR(__xludf.DUMMYFUNCTION("""COMPUTED_VALUE"""),"Youtube")</f>
        <v>Youtube</v>
      </c>
      <c r="G367" s="1" t="str">
        <f>IFERROR(__xludf.DUMMYFUNCTION("""COMPUTED_VALUE"""),"Assinatura")</f>
        <v>Assinatura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7">
        <f>IFERROR(__xludf.DUMMYFUNCTION("""COMPUTED_VALUE"""),45839.0)</f>
        <v>45839</v>
      </c>
      <c r="B368" s="8">
        <f>IFERROR(__xludf.DUMMYFUNCTION("""COMPUTED_VALUE"""),45822.0)</f>
        <v>45822</v>
      </c>
      <c r="C368" s="1" t="str">
        <f>IFERROR(__xludf.DUMMYFUNCTION("""COMPUTED_VALUE"""),"Amazon")</f>
        <v>Amazon</v>
      </c>
      <c r="D368" s="2">
        <f>IFERROR(__xludf.DUMMYFUNCTION("""COMPUTED_VALUE"""),4.74)</f>
        <v>4.74</v>
      </c>
      <c r="E368" s="1" t="str">
        <f>IFERROR(__xludf.DUMMYFUNCTION("""COMPUTED_VALUE"""),"-")</f>
        <v>-</v>
      </c>
      <c r="F368" s="1" t="str">
        <f>IFERROR(__xludf.DUMMYFUNCTION("""COMPUTED_VALUE"""),"Amazon")</f>
        <v>Amazon</v>
      </c>
      <c r="G368" s="1" t="str">
        <f>IFERROR(__xludf.DUMMYFUNCTION("""COMPUTED_VALUE"""),"Compras")</f>
        <v>Compras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7">
        <f>IFERROR(__xludf.DUMMYFUNCTION("""COMPUTED_VALUE"""),45839.0)</f>
        <v>45839</v>
      </c>
      <c r="B369" s="8">
        <f>IFERROR(__xludf.DUMMYFUNCTION("""COMPUTED_VALUE"""),45822.0)</f>
        <v>45822</v>
      </c>
      <c r="C369" s="1" t="str">
        <f>IFERROR(__xludf.DUMMYFUNCTION("""COMPUTED_VALUE"""),"Amazon")</f>
        <v>Amazon</v>
      </c>
      <c r="D369" s="2">
        <f>IFERROR(__xludf.DUMMYFUNCTION("""COMPUTED_VALUE"""),51.9)</f>
        <v>51.9</v>
      </c>
      <c r="E369" s="1" t="str">
        <f>IFERROR(__xludf.DUMMYFUNCTION("""COMPUTED_VALUE"""),"-")</f>
        <v>-</v>
      </c>
      <c r="F369" s="1" t="str">
        <f>IFERROR(__xludf.DUMMYFUNCTION("""COMPUTED_VALUE"""),"Amazon")</f>
        <v>Amazon</v>
      </c>
      <c r="G369" s="1" t="str">
        <f>IFERROR(__xludf.DUMMYFUNCTION("""COMPUTED_VALUE"""),"Compras")</f>
        <v>Compras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7">
        <f>IFERROR(__xludf.DUMMYFUNCTION("""COMPUTED_VALUE"""),45839.0)</f>
        <v>45839</v>
      </c>
      <c r="B370" s="8">
        <f>IFERROR(__xludf.DUMMYFUNCTION("""COMPUTED_VALUE"""),45822.0)</f>
        <v>45822</v>
      </c>
      <c r="C370" s="1" t="str">
        <f>IFERROR(__xludf.DUMMYFUNCTION("""COMPUTED_VALUE"""),"Farmácias Pa 324")</f>
        <v>Farmácias Pa 324</v>
      </c>
      <c r="D370" s="2">
        <f>IFERROR(__xludf.DUMMYFUNCTION("""COMPUTED_VALUE"""),86.39)</f>
        <v>86.39</v>
      </c>
      <c r="E370" s="1" t="str">
        <f>IFERROR(__xludf.DUMMYFUNCTION("""COMPUTED_VALUE"""),"-")</f>
        <v>-</v>
      </c>
      <c r="F370" s="1" t="str">
        <f>IFERROR(__xludf.DUMMYFUNCTION("""COMPUTED_VALUE"""),"Farmácias Pa 324")</f>
        <v>Farmácias Pa 324</v>
      </c>
      <c r="G370" s="1" t="str">
        <f>IFERROR(__xludf.DUMMYFUNCTION("""COMPUTED_VALUE"""),"Compras")</f>
        <v>Compras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7">
        <f>IFERROR(__xludf.DUMMYFUNCTION("""COMPUTED_VALUE"""),45839.0)</f>
        <v>45839</v>
      </c>
      <c r="B371" s="8">
        <f>IFERROR(__xludf.DUMMYFUNCTION("""COMPUTED_VALUE"""),45823.0)</f>
        <v>45823</v>
      </c>
      <c r="C371" s="1" t="str">
        <f>IFERROR(__xludf.DUMMYFUNCTION("""COMPUTED_VALUE"""),"Mercado Livre")</f>
        <v>Mercado Livre</v>
      </c>
      <c r="D371" s="2">
        <f>IFERROR(__xludf.DUMMYFUNCTION("""COMPUTED_VALUE"""),125.93)</f>
        <v>125.93</v>
      </c>
      <c r="E371" s="1" t="str">
        <f>IFERROR(__xludf.DUMMYFUNCTION("""COMPUTED_VALUE"""),"-")</f>
        <v>-</v>
      </c>
      <c r="F371" s="1" t="str">
        <f>IFERROR(__xludf.DUMMYFUNCTION("""COMPUTED_VALUE"""),"Mercado Livre")</f>
        <v>Mercado Livre</v>
      </c>
      <c r="G371" s="1" t="str">
        <f>IFERROR(__xludf.DUMMYFUNCTION("""COMPUTED_VALUE"""),"Compras")</f>
        <v>Compras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7">
        <f>IFERROR(__xludf.DUMMYFUNCTION("""COMPUTED_VALUE"""),45839.0)</f>
        <v>45839</v>
      </c>
      <c r="B372" s="8">
        <f>IFERROR(__xludf.DUMMYFUNCTION("""COMPUTED_VALUE"""),45824.0)</f>
        <v>45824</v>
      </c>
      <c r="C372" s="1" t="str">
        <f>IFERROR(__xludf.DUMMYFUNCTION("""COMPUTED_VALUE"""),"Unisant")</f>
        <v>Unisant</v>
      </c>
      <c r="D372" s="2">
        <f>IFERROR(__xludf.DUMMYFUNCTION("""COMPUTED_VALUE"""),225.53)</f>
        <v>225.53</v>
      </c>
      <c r="E372" s="1" t="str">
        <f>IFERROR(__xludf.DUMMYFUNCTION("""COMPUTED_VALUE"""),"-")</f>
        <v>-</v>
      </c>
      <c r="F372" s="1" t="str">
        <f>IFERROR(__xludf.DUMMYFUNCTION("""COMPUTED_VALUE"""),"Unisant")</f>
        <v>Unisant</v>
      </c>
      <c r="G372" s="1" t="str">
        <f>IFERROR(__xludf.DUMMYFUNCTION("""COMPUTED_VALUE"""),"-")</f>
        <v>-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7">
        <f>IFERROR(__xludf.DUMMYFUNCTION("""COMPUTED_VALUE"""),45839.0)</f>
        <v>45839</v>
      </c>
      <c r="B373" s="8">
        <f>IFERROR(__xludf.DUMMYFUNCTION("""COMPUTED_VALUE"""),45824.0)</f>
        <v>45824</v>
      </c>
      <c r="C373" s="1" t="str">
        <f>IFERROR(__xludf.DUMMYFUNCTION("""COMPUTED_VALUE"""),"Amazon")</f>
        <v>Amazon</v>
      </c>
      <c r="D373" s="2">
        <f>IFERROR(__xludf.DUMMYFUNCTION("""COMPUTED_VALUE"""),25.08)</f>
        <v>25.08</v>
      </c>
      <c r="E373" s="1" t="str">
        <f>IFERROR(__xludf.DUMMYFUNCTION("""COMPUTED_VALUE"""),"-")</f>
        <v>-</v>
      </c>
      <c r="F373" s="1" t="str">
        <f>IFERROR(__xludf.DUMMYFUNCTION("""COMPUTED_VALUE"""),"Amazon")</f>
        <v>Amazon</v>
      </c>
      <c r="G373" s="1" t="str">
        <f>IFERROR(__xludf.DUMMYFUNCTION("""COMPUTED_VALUE"""),"Compras")</f>
        <v>Compras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7">
        <f>IFERROR(__xludf.DUMMYFUNCTION("""COMPUTED_VALUE"""),45839.0)</f>
        <v>45839</v>
      </c>
      <c r="B374" s="8">
        <f>IFERROR(__xludf.DUMMYFUNCTION("""COMPUTED_VALUE"""),45825.0)</f>
        <v>45825</v>
      </c>
      <c r="C374" s="1" t="str">
        <f>IFERROR(__xludf.DUMMYFUNCTION("""COMPUTED_VALUE"""),"Riachuelo Lo Riachuelo")</f>
        <v>Riachuelo Lo Riachuelo</v>
      </c>
      <c r="D374" s="2">
        <f>IFERROR(__xludf.DUMMYFUNCTION("""COMPUTED_VALUE"""),134.99)</f>
        <v>134.99</v>
      </c>
      <c r="E374" s="1" t="str">
        <f>IFERROR(__xludf.DUMMYFUNCTION("""COMPUTED_VALUE"""),"-")</f>
        <v>-</v>
      </c>
      <c r="F374" s="1" t="str">
        <f>IFERROR(__xludf.DUMMYFUNCTION("""COMPUTED_VALUE"""),"Riachuelo Lo Riachuelo")</f>
        <v>Riachuelo Lo Riachuelo</v>
      </c>
      <c r="G374" s="1" t="str">
        <f>IFERROR(__xludf.DUMMYFUNCTION("""COMPUTED_VALUE"""),"Compras")</f>
        <v>Compras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7">
        <f>IFERROR(__xludf.DUMMYFUNCTION("""COMPUTED_VALUE"""),45839.0)</f>
        <v>45839</v>
      </c>
      <c r="B375" s="8">
        <f>IFERROR(__xludf.DUMMYFUNCTION("""COMPUTED_VALUE"""),45825.0)</f>
        <v>45825</v>
      </c>
      <c r="C375" s="1" t="str">
        <f>IFERROR(__xludf.DUMMYFUNCTION("""COMPUTED_VALUE"""),"Amazonmktplc Matellass")</f>
        <v>Amazonmktplc Matellass</v>
      </c>
      <c r="D375" s="2">
        <f>IFERROR(__xludf.DUMMYFUNCTION("""COMPUTED_VALUE"""),95.44)</f>
        <v>95.44</v>
      </c>
      <c r="E375" s="1" t="str">
        <f>IFERROR(__xludf.DUMMYFUNCTION("""COMPUTED_VALUE"""),"-")</f>
        <v>-</v>
      </c>
      <c r="F375" s="1" t="str">
        <f>IFERROR(__xludf.DUMMYFUNCTION("""COMPUTED_VALUE"""),"Amazonmktplc")</f>
        <v>Amazonmktplc</v>
      </c>
      <c r="G375" s="1" t="str">
        <f>IFERROR(__xludf.DUMMYFUNCTION("""COMPUTED_VALUE"""),"Compras")</f>
        <v>Compras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7">
        <f>IFERROR(__xludf.DUMMYFUNCTION("""COMPUTED_VALUE"""),45839.0)</f>
        <v>45839</v>
      </c>
      <c r="B376" s="8">
        <f>IFERROR(__xludf.DUMMYFUNCTION("""COMPUTED_VALUE"""),45826.0)</f>
        <v>45826</v>
      </c>
      <c r="C376" s="1" t="str">
        <f>IFERROR(__xludf.DUMMYFUNCTION("""COMPUTED_VALUE"""),"Elo7")</f>
        <v>Elo7</v>
      </c>
      <c r="D376" s="2">
        <f>IFERROR(__xludf.DUMMYFUNCTION("""COMPUTED_VALUE"""),63.15)</f>
        <v>63.15</v>
      </c>
      <c r="E376" s="1" t="str">
        <f>IFERROR(__xludf.DUMMYFUNCTION("""COMPUTED_VALUE"""),"-")</f>
        <v>-</v>
      </c>
      <c r="F376" s="1" t="str">
        <f>IFERROR(__xludf.DUMMYFUNCTION("""COMPUTED_VALUE"""),"Elo7")</f>
        <v>Elo7</v>
      </c>
      <c r="G376" s="1" t="str">
        <f>IFERROR(__xludf.DUMMYFUNCTION("""COMPUTED_VALUE"""),"-")</f>
        <v>-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7">
        <f>IFERROR(__xludf.DUMMYFUNCTION("""COMPUTED_VALUE"""),45839.0)</f>
        <v>45839</v>
      </c>
      <c r="B377" s="8">
        <f>IFERROR(__xludf.DUMMYFUNCTION("""COMPUTED_VALUE"""),45826.0)</f>
        <v>45826</v>
      </c>
      <c r="C377" s="1" t="str">
        <f>IFERROR(__xludf.DUMMYFUNCTION("""COMPUTED_VALUE"""),"Drogaria Araujo")</f>
        <v>Drogaria Araujo</v>
      </c>
      <c r="D377" s="2">
        <f>IFERROR(__xludf.DUMMYFUNCTION("""COMPUTED_VALUE"""),198.56)</f>
        <v>198.56</v>
      </c>
      <c r="E377" s="1" t="str">
        <f>IFERROR(__xludf.DUMMYFUNCTION("""COMPUTED_VALUE"""),"-")</f>
        <v>-</v>
      </c>
      <c r="F377" s="1" t="str">
        <f>IFERROR(__xludf.DUMMYFUNCTION("""COMPUTED_VALUE"""),"Drogaria Araujo")</f>
        <v>Drogaria Araujo</v>
      </c>
      <c r="G377" s="1" t="str">
        <f>IFERROR(__xludf.DUMMYFUNCTION("""COMPUTED_VALUE"""),"Farmácia")</f>
        <v>Farmácia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7">
        <f>IFERROR(__xludf.DUMMYFUNCTION("""COMPUTED_VALUE"""),45839.0)</f>
        <v>45839</v>
      </c>
      <c r="B378" s="8">
        <f>IFERROR(__xludf.DUMMYFUNCTION("""COMPUTED_VALUE"""),45826.0)</f>
        <v>45826</v>
      </c>
      <c r="C378" s="1" t="str">
        <f>IFERROR(__xludf.DUMMYFUNCTION("""COMPUTED_VALUE"""),"Drogaria Pacheco")</f>
        <v>Drogaria Pacheco</v>
      </c>
      <c r="D378" s="2">
        <f>IFERROR(__xludf.DUMMYFUNCTION("""COMPUTED_VALUE"""),26.9)</f>
        <v>26.9</v>
      </c>
      <c r="E378" s="1" t="str">
        <f>IFERROR(__xludf.DUMMYFUNCTION("""COMPUTED_VALUE"""),"-")</f>
        <v>-</v>
      </c>
      <c r="F378" s="1" t="str">
        <f>IFERROR(__xludf.DUMMYFUNCTION("""COMPUTED_VALUE"""),"Drogaria Pacheco")</f>
        <v>Drogaria Pacheco</v>
      </c>
      <c r="G378" s="1" t="str">
        <f>IFERROR(__xludf.DUMMYFUNCTION("""COMPUTED_VALUE"""),"Farmácia")</f>
        <v>Farmácia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7">
        <f>IFERROR(__xludf.DUMMYFUNCTION("""COMPUTED_VALUE"""),45839.0)</f>
        <v>45839</v>
      </c>
      <c r="B379" s="8">
        <f>IFERROR(__xludf.DUMMYFUNCTION("""COMPUTED_VALUE"""),45826.0)</f>
        <v>45826</v>
      </c>
      <c r="C379" s="1" t="str">
        <f>IFERROR(__xludf.DUMMYFUNCTION("""COMPUTED_VALUE"""),"Drogaria Araujo")</f>
        <v>Drogaria Araujo</v>
      </c>
      <c r="D379" s="2">
        <f>IFERROR(__xludf.DUMMYFUNCTION("""COMPUTED_VALUE"""),12.99)</f>
        <v>12.99</v>
      </c>
      <c r="E379" s="1" t="str">
        <f>IFERROR(__xludf.DUMMYFUNCTION("""COMPUTED_VALUE"""),"-")</f>
        <v>-</v>
      </c>
      <c r="F379" s="1" t="str">
        <f>IFERROR(__xludf.DUMMYFUNCTION("""COMPUTED_VALUE"""),"Drogaria Araujo")</f>
        <v>Drogaria Araujo</v>
      </c>
      <c r="G379" s="1" t="str">
        <f>IFERROR(__xludf.DUMMYFUNCTION("""COMPUTED_VALUE"""),"Farmácia")</f>
        <v>Farmácia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7">
        <f>IFERROR(__xludf.DUMMYFUNCTION("""COMPUTED_VALUE"""),45839.0)</f>
        <v>45839</v>
      </c>
      <c r="B380" s="8">
        <f>IFERROR(__xludf.DUMMYFUNCTION("""COMPUTED_VALUE"""),45826.0)</f>
        <v>45826</v>
      </c>
      <c r="C380" s="1" t="str">
        <f>IFERROR(__xludf.DUMMYFUNCTION("""COMPUTED_VALUE"""),"Drogaria Araujo")</f>
        <v>Drogaria Araujo</v>
      </c>
      <c r="D380" s="2">
        <f>IFERROR(__xludf.DUMMYFUNCTION("""COMPUTED_VALUE"""),64.17)</f>
        <v>64.17</v>
      </c>
      <c r="E380" s="1" t="str">
        <f>IFERROR(__xludf.DUMMYFUNCTION("""COMPUTED_VALUE"""),"-")</f>
        <v>-</v>
      </c>
      <c r="F380" s="1" t="str">
        <f>IFERROR(__xludf.DUMMYFUNCTION("""COMPUTED_VALUE"""),"Drogaria Araujo")</f>
        <v>Drogaria Araujo</v>
      </c>
      <c r="G380" s="1" t="str">
        <f>IFERROR(__xludf.DUMMYFUNCTION("""COMPUTED_VALUE"""),"Farmácia")</f>
        <v>Farmácia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7">
        <f>IFERROR(__xludf.DUMMYFUNCTION("""COMPUTED_VALUE"""),45839.0)</f>
        <v>45839</v>
      </c>
      <c r="B381" s="8">
        <f>IFERROR(__xludf.DUMMYFUNCTION("""COMPUTED_VALUE"""),45826.0)</f>
        <v>45826</v>
      </c>
      <c r="C381" s="1" t="str">
        <f>IFERROR(__xludf.DUMMYFUNCTION("""COMPUTED_VALUE"""),"Drogaria Araujo")</f>
        <v>Drogaria Araujo</v>
      </c>
      <c r="D381" s="2">
        <f>IFERROR(__xludf.DUMMYFUNCTION("""COMPUTED_VALUE"""),10.98)</f>
        <v>10.98</v>
      </c>
      <c r="E381" s="1" t="str">
        <f>IFERROR(__xludf.DUMMYFUNCTION("""COMPUTED_VALUE"""),"-")</f>
        <v>-</v>
      </c>
      <c r="F381" s="1" t="str">
        <f>IFERROR(__xludf.DUMMYFUNCTION("""COMPUTED_VALUE"""),"Drogaria Araujo")</f>
        <v>Drogaria Araujo</v>
      </c>
      <c r="G381" s="1" t="str">
        <f>IFERROR(__xludf.DUMMYFUNCTION("""COMPUTED_VALUE"""),"Farmácia")</f>
        <v>Farmácia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7">
        <f>IFERROR(__xludf.DUMMYFUNCTION("""COMPUTED_VALUE"""),45839.0)</f>
        <v>45839</v>
      </c>
      <c r="B382" s="8">
        <f>IFERROR(__xludf.DUMMYFUNCTION("""COMPUTED_VALUE"""),45826.0)</f>
        <v>45826</v>
      </c>
      <c r="C382" s="1" t="str">
        <f>IFERROR(__xludf.DUMMYFUNCTION("""COMPUTED_VALUE"""),"Amazon")</f>
        <v>Amazon</v>
      </c>
      <c r="D382" s="2">
        <f>IFERROR(__xludf.DUMMYFUNCTION("""COMPUTED_VALUE"""),32.36)</f>
        <v>32.36</v>
      </c>
      <c r="E382" s="1" t="str">
        <f>IFERROR(__xludf.DUMMYFUNCTION("""COMPUTED_VALUE"""),"-")</f>
        <v>-</v>
      </c>
      <c r="F382" s="1" t="str">
        <f>IFERROR(__xludf.DUMMYFUNCTION("""COMPUTED_VALUE"""),"Amazon")</f>
        <v>Amazon</v>
      </c>
      <c r="G382" s="1" t="str">
        <f>IFERROR(__xludf.DUMMYFUNCTION("""COMPUTED_VALUE"""),"Compras")</f>
        <v>Compras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7">
        <f>IFERROR(__xludf.DUMMYFUNCTION("""COMPUTED_VALUE"""),45839.0)</f>
        <v>45839</v>
      </c>
      <c r="B383" s="8">
        <f>IFERROR(__xludf.DUMMYFUNCTION("""COMPUTED_VALUE"""),45826.0)</f>
        <v>45826</v>
      </c>
      <c r="C383" s="1" t="str">
        <f>IFERROR(__xludf.DUMMYFUNCTION("""COMPUTED_VALUE"""),"Drogaria Pacheco")</f>
        <v>Drogaria Pacheco</v>
      </c>
      <c r="D383" s="2">
        <f>IFERROR(__xludf.DUMMYFUNCTION("""COMPUTED_VALUE"""),57.98)</f>
        <v>57.98</v>
      </c>
      <c r="E383" s="1" t="str">
        <f>IFERROR(__xludf.DUMMYFUNCTION("""COMPUTED_VALUE"""),"-")</f>
        <v>-</v>
      </c>
      <c r="F383" s="1" t="str">
        <f>IFERROR(__xludf.DUMMYFUNCTION("""COMPUTED_VALUE"""),"Drogaria Pacheco")</f>
        <v>Drogaria Pacheco</v>
      </c>
      <c r="G383" s="1" t="str">
        <f>IFERROR(__xludf.DUMMYFUNCTION("""COMPUTED_VALUE"""),"Farmácia")</f>
        <v>Farmácia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7">
        <f>IFERROR(__xludf.DUMMYFUNCTION("""COMPUTED_VALUE"""),45839.0)</f>
        <v>45839</v>
      </c>
      <c r="B384" s="8">
        <f>IFERROR(__xludf.DUMMYFUNCTION("""COMPUTED_VALUE"""),45829.0)</f>
        <v>45829</v>
      </c>
      <c r="C384" s="1" t="str">
        <f>IFERROR(__xludf.DUMMYFUNCTION("""COMPUTED_VALUE"""),"Shopee")</f>
        <v>Shopee</v>
      </c>
      <c r="D384" s="2">
        <f>IFERROR(__xludf.DUMMYFUNCTION("""COMPUTED_VALUE"""),26.9)</f>
        <v>26.9</v>
      </c>
      <c r="E384" s="1" t="str">
        <f>IFERROR(__xludf.DUMMYFUNCTION("""COMPUTED_VALUE"""),"-")</f>
        <v>-</v>
      </c>
      <c r="F384" s="1" t="str">
        <f>IFERROR(__xludf.DUMMYFUNCTION("""COMPUTED_VALUE"""),"Shopee")</f>
        <v>Shopee</v>
      </c>
      <c r="G384" s="1" t="str">
        <f>IFERROR(__xludf.DUMMYFUNCTION("""COMPUTED_VALUE"""),"Compras")</f>
        <v>Compras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7">
        <f>IFERROR(__xludf.DUMMYFUNCTION("""COMPUTED_VALUE"""),45839.0)</f>
        <v>45839</v>
      </c>
      <c r="B385" s="8">
        <f>IFERROR(__xludf.DUMMYFUNCTION("""COMPUTED_VALUE"""),45829.0)</f>
        <v>45829</v>
      </c>
      <c r="C385" s="1" t="str">
        <f>IFERROR(__xludf.DUMMYFUNCTION("""COMPUTED_VALUE"""),"Shopee")</f>
        <v>Shopee</v>
      </c>
      <c r="D385" s="2">
        <f>IFERROR(__xludf.DUMMYFUNCTION("""COMPUTED_VALUE"""),26.9)</f>
        <v>26.9</v>
      </c>
      <c r="E385" s="1" t="str">
        <f>IFERROR(__xludf.DUMMYFUNCTION("""COMPUTED_VALUE"""),"-")</f>
        <v>-</v>
      </c>
      <c r="F385" s="1" t="str">
        <f>IFERROR(__xludf.DUMMYFUNCTION("""COMPUTED_VALUE"""),"Shopee")</f>
        <v>Shopee</v>
      </c>
      <c r="G385" s="1" t="str">
        <f>IFERROR(__xludf.DUMMYFUNCTION("""COMPUTED_VALUE"""),"Compras")</f>
        <v>Compras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7">
        <f>IFERROR(__xludf.DUMMYFUNCTION("""COMPUTED_VALUE"""),45839.0)</f>
        <v>45839</v>
      </c>
      <c r="B386" s="8">
        <f>IFERROR(__xludf.DUMMYFUNCTION("""COMPUTED_VALUE"""),45829.0)</f>
        <v>45829</v>
      </c>
      <c r="C386" s="1" t="str">
        <f>IFERROR(__xludf.DUMMYFUNCTION("""COMPUTED_VALUE"""),"Marisa")</f>
        <v>Marisa</v>
      </c>
      <c r="D386" s="2">
        <f>IFERROR(__xludf.DUMMYFUNCTION("""COMPUTED_VALUE"""),79.28)</f>
        <v>79.28</v>
      </c>
      <c r="E386" s="1" t="str">
        <f>IFERROR(__xludf.DUMMYFUNCTION("""COMPUTED_VALUE"""),"-")</f>
        <v>-</v>
      </c>
      <c r="F386" s="1" t="str">
        <f>IFERROR(__xludf.DUMMYFUNCTION("""COMPUTED_VALUE"""),"Marisa")</f>
        <v>Marisa</v>
      </c>
      <c r="G386" s="1" t="str">
        <f>IFERROR(__xludf.DUMMYFUNCTION("""COMPUTED_VALUE"""),"-")</f>
        <v>-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7">
        <f>IFERROR(__xludf.DUMMYFUNCTION("""COMPUTED_VALUE"""),45839.0)</f>
        <v>45839</v>
      </c>
      <c r="B387" s="8">
        <f>IFERROR(__xludf.DUMMYFUNCTION("""COMPUTED_VALUE"""),45829.0)</f>
        <v>45829</v>
      </c>
      <c r="C387" s="1" t="str">
        <f>IFERROR(__xludf.DUMMYFUNCTION("""COMPUTED_VALUE"""),"Amazon")</f>
        <v>Amazon</v>
      </c>
      <c r="D387" s="2">
        <f>IFERROR(__xludf.DUMMYFUNCTION("""COMPUTED_VALUE"""),29.98)</f>
        <v>29.98</v>
      </c>
      <c r="E387" s="1" t="str">
        <f>IFERROR(__xludf.DUMMYFUNCTION("""COMPUTED_VALUE"""),"-")</f>
        <v>-</v>
      </c>
      <c r="F387" s="1" t="str">
        <f>IFERROR(__xludf.DUMMYFUNCTION("""COMPUTED_VALUE"""),"Amazon")</f>
        <v>Amazon</v>
      </c>
      <c r="G387" s="1" t="str">
        <f>IFERROR(__xludf.DUMMYFUNCTION("""COMPUTED_VALUE"""),"Compras")</f>
        <v>Compras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7">
        <f>IFERROR(__xludf.DUMMYFUNCTION("""COMPUTED_VALUE"""),45839.0)</f>
        <v>45839</v>
      </c>
      <c r="B388" s="8">
        <f>IFERROR(__xludf.DUMMYFUNCTION("""COMPUTED_VALUE"""),45830.0)</f>
        <v>45830</v>
      </c>
      <c r="C388" s="1" t="str">
        <f>IFERROR(__xludf.DUMMYFUNCTION("""COMPUTED_VALUE"""),"Ebazarco")</f>
        <v>Ebazarco</v>
      </c>
      <c r="D388" s="2">
        <f>IFERROR(__xludf.DUMMYFUNCTION("""COMPUTED_VALUE"""),44.97)</f>
        <v>44.97</v>
      </c>
      <c r="E388" s="1" t="str">
        <f>IFERROR(__xludf.DUMMYFUNCTION("""COMPUTED_VALUE"""),"-")</f>
        <v>-</v>
      </c>
      <c r="F388" s="1" t="str">
        <f>IFERROR(__xludf.DUMMYFUNCTION("""COMPUTED_VALUE"""),"Ebazarco")</f>
        <v>Ebazarco</v>
      </c>
      <c r="G388" s="1" t="str">
        <f>IFERROR(__xludf.DUMMYFUNCTION("""COMPUTED_VALUE"""),"-")</f>
        <v>-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7">
        <f>IFERROR(__xludf.DUMMYFUNCTION("""COMPUTED_VALUE"""),45839.0)</f>
        <v>45839</v>
      </c>
      <c r="B389" s="8">
        <f>IFERROR(__xludf.DUMMYFUNCTION("""COMPUTED_VALUE"""),45830.0)</f>
        <v>45830</v>
      </c>
      <c r="C389" s="1" t="str">
        <f>IFERROR(__xludf.DUMMYFUNCTION("""COMPUTED_VALUE"""),"Emporiop")</f>
        <v>Emporiop</v>
      </c>
      <c r="D389" s="2">
        <f>IFERROR(__xludf.DUMMYFUNCTION("""COMPUTED_VALUE"""),29.68)</f>
        <v>29.68</v>
      </c>
      <c r="E389" s="1" t="str">
        <f>IFERROR(__xludf.DUMMYFUNCTION("""COMPUTED_VALUE"""),"-")</f>
        <v>-</v>
      </c>
      <c r="F389" s="1" t="str">
        <f>IFERROR(__xludf.DUMMYFUNCTION("""COMPUTED_VALUE"""),"Emporiop")</f>
        <v>Emporiop</v>
      </c>
      <c r="G389" s="1" t="str">
        <f>IFERROR(__xludf.DUMMYFUNCTION("""COMPUTED_VALUE"""),"-")</f>
        <v>-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7">
        <f>IFERROR(__xludf.DUMMYFUNCTION("""COMPUTED_VALUE"""),45839.0)</f>
        <v>45839</v>
      </c>
      <c r="B390" s="8">
        <f>IFERROR(__xludf.DUMMYFUNCTION("""COMPUTED_VALUE"""),45830.0)</f>
        <v>45830</v>
      </c>
      <c r="C390" s="1" t="str">
        <f>IFERROR(__xludf.DUMMYFUNCTION("""COMPUTED_VALUE"""),"Farmácias Pa 324")</f>
        <v>Farmácias Pa 324</v>
      </c>
      <c r="D390" s="2">
        <f>IFERROR(__xludf.DUMMYFUNCTION("""COMPUTED_VALUE"""),62.77)</f>
        <v>62.77</v>
      </c>
      <c r="E390" s="1" t="str">
        <f>IFERROR(__xludf.DUMMYFUNCTION("""COMPUTED_VALUE"""),"-")</f>
        <v>-</v>
      </c>
      <c r="F390" s="1" t="str">
        <f>IFERROR(__xludf.DUMMYFUNCTION("""COMPUTED_VALUE"""),"Farmácias Pa 324")</f>
        <v>Farmácias Pa 324</v>
      </c>
      <c r="G390" s="1" t="str">
        <f>IFERROR(__xludf.DUMMYFUNCTION("""COMPUTED_VALUE"""),"Compras")</f>
        <v>Compras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7">
        <f>IFERROR(__xludf.DUMMYFUNCTION("""COMPUTED_VALUE"""),45839.0)</f>
        <v>45839</v>
      </c>
      <c r="B391" s="8">
        <f>IFERROR(__xludf.DUMMYFUNCTION("""COMPUTED_VALUE"""),45831.0)</f>
        <v>45831</v>
      </c>
      <c r="C391" s="1" t="str">
        <f>IFERROR(__xludf.DUMMYFUNCTION("""COMPUTED_VALUE"""),"Amazon")</f>
        <v>Amazon</v>
      </c>
      <c r="D391" s="2">
        <f>IFERROR(__xludf.DUMMYFUNCTION("""COMPUTED_VALUE"""),13.1)</f>
        <v>13.1</v>
      </c>
      <c r="E391" s="1" t="str">
        <f>IFERROR(__xludf.DUMMYFUNCTION("""COMPUTED_VALUE"""),"-")</f>
        <v>-</v>
      </c>
      <c r="F391" s="1" t="str">
        <f>IFERROR(__xludf.DUMMYFUNCTION("""COMPUTED_VALUE"""),"Amazon")</f>
        <v>Amazon</v>
      </c>
      <c r="G391" s="1" t="str">
        <f>IFERROR(__xludf.DUMMYFUNCTION("""COMPUTED_VALUE"""),"Compras")</f>
        <v>Compras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7">
        <f>IFERROR(__xludf.DUMMYFUNCTION("""COMPUTED_VALUE"""),45839.0)</f>
        <v>45839</v>
      </c>
      <c r="B392" s="8">
        <f>IFERROR(__xludf.DUMMYFUNCTION("""COMPUTED_VALUE"""),45832.0)</f>
        <v>45832</v>
      </c>
      <c r="C392" s="1" t="str">
        <f>IFERROR(__xludf.DUMMYFUNCTION("""COMPUTED_VALUE"""),"Lumai")</f>
        <v>Lumai</v>
      </c>
      <c r="D392" s="2">
        <f>IFERROR(__xludf.DUMMYFUNCTION("""COMPUTED_VALUE"""),52.64)</f>
        <v>52.64</v>
      </c>
      <c r="E392" s="1" t="str">
        <f>IFERROR(__xludf.DUMMYFUNCTION("""COMPUTED_VALUE"""),"-")</f>
        <v>-</v>
      </c>
      <c r="F392" s="1" t="str">
        <f>IFERROR(__xludf.DUMMYFUNCTION("""COMPUTED_VALUE"""),"Lumai")</f>
        <v>Lumai</v>
      </c>
      <c r="G392" s="1" t="str">
        <f>IFERROR(__xludf.DUMMYFUNCTION("""COMPUTED_VALUE"""),"-")</f>
        <v>-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7">
        <f>IFERROR(__xludf.DUMMYFUNCTION("""COMPUTED_VALUE"""),45839.0)</f>
        <v>45839</v>
      </c>
      <c r="B393" s="8">
        <f>IFERROR(__xludf.DUMMYFUNCTION("""COMPUTED_VALUE"""),45833.0)</f>
        <v>45833</v>
      </c>
      <c r="C393" s="1" t="str">
        <f>IFERROR(__xludf.DUMMYFUNCTION("""COMPUTED_VALUE"""),"Ri Happy")</f>
        <v>Ri Happy</v>
      </c>
      <c r="D393" s="2">
        <f>IFERROR(__xludf.DUMMYFUNCTION("""COMPUTED_VALUE"""),45.7)</f>
        <v>45.7</v>
      </c>
      <c r="E393" s="1" t="str">
        <f>IFERROR(__xludf.DUMMYFUNCTION("""COMPUTED_VALUE"""),"-")</f>
        <v>-</v>
      </c>
      <c r="F393" s="1" t="str">
        <f>IFERROR(__xludf.DUMMYFUNCTION("""COMPUTED_VALUE"""),"Ri Happy")</f>
        <v>Ri Happy</v>
      </c>
      <c r="G393" s="1" t="str">
        <f>IFERROR(__xludf.DUMMYFUNCTION("""COMPUTED_VALUE"""),"-")</f>
        <v>-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7">
        <f>IFERROR(__xludf.DUMMYFUNCTION("""COMPUTED_VALUE"""),45839.0)</f>
        <v>45839</v>
      </c>
      <c r="B394" s="8">
        <f>IFERROR(__xludf.DUMMYFUNCTION("""COMPUTED_VALUE"""),45833.0)</f>
        <v>45833</v>
      </c>
      <c r="C394" s="1" t="str">
        <f>IFERROR(__xludf.DUMMYFUNCTION("""COMPUTED_VALUE"""),"Amazon")</f>
        <v>Amazon</v>
      </c>
      <c r="D394" s="2">
        <f>IFERROR(__xludf.DUMMYFUNCTION("""COMPUTED_VALUE"""),30.58)</f>
        <v>30.58</v>
      </c>
      <c r="E394" s="1" t="str">
        <f>IFERROR(__xludf.DUMMYFUNCTION("""COMPUTED_VALUE"""),"-")</f>
        <v>-</v>
      </c>
      <c r="F394" s="1" t="str">
        <f>IFERROR(__xludf.DUMMYFUNCTION("""COMPUTED_VALUE"""),"Amazon")</f>
        <v>Amazon</v>
      </c>
      <c r="G394" s="1" t="str">
        <f>IFERROR(__xludf.DUMMYFUNCTION("""COMPUTED_VALUE"""),"Compras")</f>
        <v>Compras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7">
        <f>IFERROR(__xludf.DUMMYFUNCTION("""COMPUTED_VALUE"""),45839.0)</f>
        <v>45839</v>
      </c>
      <c r="B395" s="8">
        <f>IFERROR(__xludf.DUMMYFUNCTION("""COMPUTED_VALUE"""),45833.0)</f>
        <v>45833</v>
      </c>
      <c r="C395" s="1" t="str">
        <f>IFERROR(__xludf.DUMMYFUNCTION("""COMPUTED_VALUE"""),"Petrobra")</f>
        <v>Petrobra</v>
      </c>
      <c r="D395" s="2">
        <f>IFERROR(__xludf.DUMMYFUNCTION("""COMPUTED_VALUE"""),95.83)</f>
        <v>95.83</v>
      </c>
      <c r="E395" s="1" t="str">
        <f>IFERROR(__xludf.DUMMYFUNCTION("""COMPUTED_VALUE"""),"-")</f>
        <v>-</v>
      </c>
      <c r="F395" s="1" t="str">
        <f>IFERROR(__xludf.DUMMYFUNCTION("""COMPUTED_VALUE"""),"Petrobra")</f>
        <v>Petrobra</v>
      </c>
      <c r="G395" s="1" t="str">
        <f>IFERROR(__xludf.DUMMYFUNCTION("""COMPUTED_VALUE"""),"-")</f>
        <v>-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7">
        <f>IFERROR(__xludf.DUMMYFUNCTION("""COMPUTED_VALUE"""),45839.0)</f>
        <v>45839</v>
      </c>
      <c r="B396" s="8">
        <f>IFERROR(__xludf.DUMMYFUNCTION("""COMPUTED_VALUE"""),45834.0)</f>
        <v>45834</v>
      </c>
      <c r="C396" s="1" t="str">
        <f>IFERROR(__xludf.DUMMYFUNCTION("""COMPUTED_VALUE"""),"Mercado Pago")</f>
        <v>Mercado Pago</v>
      </c>
      <c r="D396" s="2">
        <f>IFERROR(__xludf.DUMMYFUNCTION("""COMPUTED_VALUE"""),118.8)</f>
        <v>118.8</v>
      </c>
      <c r="E396" s="1" t="str">
        <f>IFERROR(__xludf.DUMMYFUNCTION("""COMPUTED_VALUE"""),"-")</f>
        <v>-</v>
      </c>
      <c r="F396" s="1" t="str">
        <f>IFERROR(__xludf.DUMMYFUNCTION("""COMPUTED_VALUE"""),"Mercado Pago")</f>
        <v>Mercado Pago</v>
      </c>
      <c r="G396" s="1" t="str">
        <f>IFERROR(__xludf.DUMMYFUNCTION("""COMPUTED_VALUE"""),"-")</f>
        <v>-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7">
        <f>IFERROR(__xludf.DUMMYFUNCTION("""COMPUTED_VALUE"""),45839.0)</f>
        <v>45839</v>
      </c>
      <c r="B397" s="8">
        <f>IFERROR(__xludf.DUMMYFUNCTION("""COMPUTED_VALUE"""),45834.0)</f>
        <v>45834</v>
      </c>
      <c r="C397" s="1" t="str">
        <f>IFERROR(__xludf.DUMMYFUNCTION("""COMPUTED_VALUE"""),"Amazon")</f>
        <v>Amazon</v>
      </c>
      <c r="D397" s="2">
        <f>IFERROR(__xludf.DUMMYFUNCTION("""COMPUTED_VALUE"""),21.12)</f>
        <v>21.12</v>
      </c>
      <c r="E397" s="1" t="str">
        <f>IFERROR(__xludf.DUMMYFUNCTION("""COMPUTED_VALUE"""),"-")</f>
        <v>-</v>
      </c>
      <c r="F397" s="1" t="str">
        <f>IFERROR(__xludf.DUMMYFUNCTION("""COMPUTED_VALUE"""),"Amazon")</f>
        <v>Amazon</v>
      </c>
      <c r="G397" s="1" t="str">
        <f>IFERROR(__xludf.DUMMYFUNCTION("""COMPUTED_VALUE"""),"Compras")</f>
        <v>Compras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7">
        <f>IFERROR(__xludf.DUMMYFUNCTION("""COMPUTED_VALUE"""),45839.0)</f>
        <v>45839</v>
      </c>
      <c r="B398" s="8">
        <f>IFERROR(__xludf.DUMMYFUNCTION("""COMPUTED_VALUE"""),45835.0)</f>
        <v>45835</v>
      </c>
      <c r="C398" s="1" t="str">
        <f>IFERROR(__xludf.DUMMYFUNCTION("""COMPUTED_VALUE"""),"Rdsaude Online")</f>
        <v>Rdsaude Online</v>
      </c>
      <c r="D398" s="2">
        <f>IFERROR(__xludf.DUMMYFUNCTION("""COMPUTED_VALUE"""),15.99)</f>
        <v>15.99</v>
      </c>
      <c r="E398" s="1" t="str">
        <f>IFERROR(__xludf.DUMMYFUNCTION("""COMPUTED_VALUE"""),"-")</f>
        <v>-</v>
      </c>
      <c r="F398" s="1" t="str">
        <f>IFERROR(__xludf.DUMMYFUNCTION("""COMPUTED_VALUE"""),"Rdsaude Online")</f>
        <v>Rdsaude Online</v>
      </c>
      <c r="G398" s="1" t="str">
        <f>IFERROR(__xludf.DUMMYFUNCTION("""COMPUTED_VALUE"""),"-")</f>
        <v>-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7">
        <f>IFERROR(__xludf.DUMMYFUNCTION("""COMPUTED_VALUE"""),45839.0)</f>
        <v>45839</v>
      </c>
      <c r="B399" s="8">
        <f>IFERROR(__xludf.DUMMYFUNCTION("""COMPUTED_VALUE"""),45835.0)</f>
        <v>45835</v>
      </c>
      <c r="C399" s="1" t="str">
        <f>IFERROR(__xludf.DUMMYFUNCTION("""COMPUTED_VALUE"""),"Drogaria Araujo")</f>
        <v>Drogaria Araujo</v>
      </c>
      <c r="D399" s="2">
        <f>IFERROR(__xludf.DUMMYFUNCTION("""COMPUTED_VALUE"""),15.99)</f>
        <v>15.99</v>
      </c>
      <c r="E399" s="1" t="str">
        <f>IFERROR(__xludf.DUMMYFUNCTION("""COMPUTED_VALUE"""),"-")</f>
        <v>-</v>
      </c>
      <c r="F399" s="1" t="str">
        <f>IFERROR(__xludf.DUMMYFUNCTION("""COMPUTED_VALUE"""),"Drogaria Araujo")</f>
        <v>Drogaria Araujo</v>
      </c>
      <c r="G399" s="1" t="str">
        <f>IFERROR(__xludf.DUMMYFUNCTION("""COMPUTED_VALUE"""),"Farmácia")</f>
        <v>Farmácia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7">
        <f>IFERROR(__xludf.DUMMYFUNCTION("""COMPUTED_VALUE"""),45839.0)</f>
        <v>45839</v>
      </c>
      <c r="B400" s="8">
        <f>IFERROR(__xludf.DUMMYFUNCTION("""COMPUTED_VALUE"""),45835.0)</f>
        <v>45835</v>
      </c>
      <c r="C400" s="1" t="str">
        <f>IFERROR(__xludf.DUMMYFUNCTION("""COMPUTED_VALUE"""),"Mercado Livre (2/2)")</f>
        <v>Mercado Livre (2/2)</v>
      </c>
      <c r="D400" s="2">
        <f>IFERROR(__xludf.DUMMYFUNCTION("""COMPUTED_VALUE"""),23.79)</f>
        <v>23.79</v>
      </c>
      <c r="E400" s="1" t="str">
        <f>IFERROR(__xludf.DUMMYFUNCTION("""COMPUTED_VALUE"""),"-")</f>
        <v>-</v>
      </c>
      <c r="F400" s="1" t="str">
        <f>IFERROR(__xludf.DUMMYFUNCTION("""COMPUTED_VALUE"""),"Mercado Livre")</f>
        <v>Mercado Livre</v>
      </c>
      <c r="G400" s="1" t="str">
        <f>IFERROR(__xludf.DUMMYFUNCTION("""COMPUTED_VALUE"""),"Compras")</f>
        <v>Compras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7">
        <f>IFERROR(__xludf.DUMMYFUNCTION("""COMPUTED_VALUE"""),45839.0)</f>
        <v>45839</v>
      </c>
      <c r="B401" s="8">
        <f>IFERROR(__xludf.DUMMYFUNCTION("""COMPUTED_VALUE"""),45835.0)</f>
        <v>45835</v>
      </c>
      <c r="C401" s="1" t="str">
        <f>IFERROR(__xludf.DUMMYFUNCTION("""COMPUTED_VALUE"""),"Mercado Livre (1/2)")</f>
        <v>Mercado Livre (1/2)</v>
      </c>
      <c r="D401" s="2">
        <f>IFERROR(__xludf.DUMMYFUNCTION("""COMPUTED_VALUE"""),23.79)</f>
        <v>23.79</v>
      </c>
      <c r="E401" s="1" t="str">
        <f>IFERROR(__xludf.DUMMYFUNCTION("""COMPUTED_VALUE"""),"-")</f>
        <v>-</v>
      </c>
      <c r="F401" s="1" t="str">
        <f>IFERROR(__xludf.DUMMYFUNCTION("""COMPUTED_VALUE"""),"Mercado Livre")</f>
        <v>Mercado Livre</v>
      </c>
      <c r="G401" s="1" t="str">
        <f>IFERROR(__xludf.DUMMYFUNCTION("""COMPUTED_VALUE"""),"Compras")</f>
        <v>Compras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7">
        <f>IFERROR(__xludf.DUMMYFUNCTION("""COMPUTED_VALUE"""),45839.0)</f>
        <v>45839</v>
      </c>
      <c r="B402" s="8">
        <f>IFERROR(__xludf.DUMMYFUNCTION("""COMPUTED_VALUE"""),45835.0)</f>
        <v>45835</v>
      </c>
      <c r="C402" s="1" t="str">
        <f>IFERROR(__xludf.DUMMYFUNCTION("""COMPUTED_VALUE"""),"Amazon")</f>
        <v>Amazon</v>
      </c>
      <c r="D402" s="2">
        <f>IFERROR(__xludf.DUMMYFUNCTION("""COMPUTED_VALUE"""),7.9)</f>
        <v>7.9</v>
      </c>
      <c r="E402" s="1" t="str">
        <f>IFERROR(__xludf.DUMMYFUNCTION("""COMPUTED_VALUE"""),"-")</f>
        <v>-</v>
      </c>
      <c r="F402" s="1" t="str">
        <f>IFERROR(__xludf.DUMMYFUNCTION("""COMPUTED_VALUE"""),"Amazon")</f>
        <v>Amazon</v>
      </c>
      <c r="G402" s="1" t="str">
        <f>IFERROR(__xludf.DUMMYFUNCTION("""COMPUTED_VALUE"""),"Compras")</f>
        <v>Compras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7">
        <f>IFERROR(__xludf.DUMMYFUNCTION("""COMPUTED_VALUE"""),45839.0)</f>
        <v>45839</v>
      </c>
      <c r="B403" s="8">
        <f>IFERROR(__xludf.DUMMYFUNCTION("""COMPUTED_VALUE"""),45835.0)</f>
        <v>45835</v>
      </c>
      <c r="C403" s="1" t="str">
        <f>IFERROR(__xludf.DUMMYFUNCTION("""COMPUTED_VALUE"""),"Mercado Livre")</f>
        <v>Mercado Livre</v>
      </c>
      <c r="D403" s="2">
        <f>IFERROR(__xludf.DUMMYFUNCTION("""COMPUTED_VALUE"""),47.59)</f>
        <v>47.59</v>
      </c>
      <c r="E403" s="1" t="str">
        <f>IFERROR(__xludf.DUMMYFUNCTION("""COMPUTED_VALUE"""),"-")</f>
        <v>-</v>
      </c>
      <c r="F403" s="1" t="str">
        <f>IFERROR(__xludf.DUMMYFUNCTION("""COMPUTED_VALUE"""),"Mercado Livre")</f>
        <v>Mercado Livre</v>
      </c>
      <c r="G403" s="1" t="str">
        <f>IFERROR(__xludf.DUMMYFUNCTION("""COMPUTED_VALUE"""),"Compras")</f>
        <v>Compras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7">
        <f>IFERROR(__xludf.DUMMYFUNCTION("""COMPUTED_VALUE"""),45839.0)</f>
        <v>45839</v>
      </c>
      <c r="B404" s="8">
        <f>IFERROR(__xludf.DUMMYFUNCTION("""COMPUTED_VALUE"""),45836.0)</f>
        <v>45836</v>
      </c>
      <c r="C404" s="1" t="str">
        <f>IFERROR(__xludf.DUMMYFUNCTION("""COMPUTED_VALUE"""),"Simple Organic (5/5)")</f>
        <v>Simple Organic (5/5)</v>
      </c>
      <c r="D404" s="2">
        <f>IFERROR(__xludf.DUMMYFUNCTION("""COMPUTED_VALUE"""),24.12)</f>
        <v>24.12</v>
      </c>
      <c r="E404" s="1" t="str">
        <f>IFERROR(__xludf.DUMMYFUNCTION("""COMPUTED_VALUE"""),"-")</f>
        <v>-</v>
      </c>
      <c r="F404" s="1" t="str">
        <f>IFERROR(__xludf.DUMMYFUNCTION("""COMPUTED_VALUE"""),"Simple Organic")</f>
        <v>Simple Organic</v>
      </c>
      <c r="G404" s="1" t="str">
        <f>IFERROR(__xludf.DUMMYFUNCTION("""COMPUTED_VALUE"""),"Compras")</f>
        <v>Compras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7">
        <f>IFERROR(__xludf.DUMMYFUNCTION("""COMPUTED_VALUE"""),45839.0)</f>
        <v>45839</v>
      </c>
      <c r="B405" s="8">
        <f>IFERROR(__xludf.DUMMYFUNCTION("""COMPUTED_VALUE"""),45836.0)</f>
        <v>45836</v>
      </c>
      <c r="C405" s="1" t="str">
        <f>IFERROR(__xludf.DUMMYFUNCTION("""COMPUTED_VALUE"""),"Simple Organic (4/5)")</f>
        <v>Simple Organic (4/5)</v>
      </c>
      <c r="D405" s="2">
        <f>IFERROR(__xludf.DUMMYFUNCTION("""COMPUTED_VALUE"""),24.12)</f>
        <v>24.12</v>
      </c>
      <c r="E405" s="1" t="str">
        <f>IFERROR(__xludf.DUMMYFUNCTION("""COMPUTED_VALUE"""),"-")</f>
        <v>-</v>
      </c>
      <c r="F405" s="1" t="str">
        <f>IFERROR(__xludf.DUMMYFUNCTION("""COMPUTED_VALUE"""),"Simple Organic")</f>
        <v>Simple Organic</v>
      </c>
      <c r="G405" s="1" t="str">
        <f>IFERROR(__xludf.DUMMYFUNCTION("""COMPUTED_VALUE"""),"Compras")</f>
        <v>Compras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7">
        <f>IFERROR(__xludf.DUMMYFUNCTION("""COMPUTED_VALUE"""),45839.0)</f>
        <v>45839</v>
      </c>
      <c r="B406" s="8">
        <f>IFERROR(__xludf.DUMMYFUNCTION("""COMPUTED_VALUE"""),45836.0)</f>
        <v>45836</v>
      </c>
      <c r="C406" s="1" t="str">
        <f>IFERROR(__xludf.DUMMYFUNCTION("""COMPUTED_VALUE"""),"Simple Organic (3/5)")</f>
        <v>Simple Organic (3/5)</v>
      </c>
      <c r="D406" s="2">
        <f>IFERROR(__xludf.DUMMYFUNCTION("""COMPUTED_VALUE"""),24.12)</f>
        <v>24.12</v>
      </c>
      <c r="E406" s="1" t="str">
        <f>IFERROR(__xludf.DUMMYFUNCTION("""COMPUTED_VALUE"""),"-")</f>
        <v>-</v>
      </c>
      <c r="F406" s="1" t="str">
        <f>IFERROR(__xludf.DUMMYFUNCTION("""COMPUTED_VALUE"""),"Simple Organic")</f>
        <v>Simple Organic</v>
      </c>
      <c r="G406" s="1" t="str">
        <f>IFERROR(__xludf.DUMMYFUNCTION("""COMPUTED_VALUE"""),"Compras")</f>
        <v>Compras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7">
        <f>IFERROR(__xludf.DUMMYFUNCTION("""COMPUTED_VALUE"""),45839.0)</f>
        <v>45839</v>
      </c>
      <c r="B407" s="8">
        <f>IFERROR(__xludf.DUMMYFUNCTION("""COMPUTED_VALUE"""),45836.0)</f>
        <v>45836</v>
      </c>
      <c r="C407" s="1" t="str">
        <f>IFERROR(__xludf.DUMMYFUNCTION("""COMPUTED_VALUE"""),"Simple Organic (2/5)")</f>
        <v>Simple Organic (2/5)</v>
      </c>
      <c r="D407" s="2">
        <f>IFERROR(__xludf.DUMMYFUNCTION("""COMPUTED_VALUE"""),24.12)</f>
        <v>24.12</v>
      </c>
      <c r="E407" s="1" t="str">
        <f>IFERROR(__xludf.DUMMYFUNCTION("""COMPUTED_VALUE"""),"-")</f>
        <v>-</v>
      </c>
      <c r="F407" s="1" t="str">
        <f>IFERROR(__xludf.DUMMYFUNCTION("""COMPUTED_VALUE"""),"Simple Organic")</f>
        <v>Simple Organic</v>
      </c>
      <c r="G407" s="1" t="str">
        <f>IFERROR(__xludf.DUMMYFUNCTION("""COMPUTED_VALUE"""),"Compras")</f>
        <v>Compras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7">
        <f>IFERROR(__xludf.DUMMYFUNCTION("""COMPUTED_VALUE"""),45839.0)</f>
        <v>45839</v>
      </c>
      <c r="B408" s="8">
        <f>IFERROR(__xludf.DUMMYFUNCTION("""COMPUTED_VALUE"""),45836.0)</f>
        <v>45836</v>
      </c>
      <c r="C408" s="1" t="str">
        <f>IFERROR(__xludf.DUMMYFUNCTION("""COMPUTED_VALUE"""),"Simple Organic (1/5)")</f>
        <v>Simple Organic (1/5)</v>
      </c>
      <c r="D408" s="2">
        <f>IFERROR(__xludf.DUMMYFUNCTION("""COMPUTED_VALUE"""),24.12)</f>
        <v>24.12</v>
      </c>
      <c r="E408" s="1" t="str">
        <f>IFERROR(__xludf.DUMMYFUNCTION("""COMPUTED_VALUE"""),"-")</f>
        <v>-</v>
      </c>
      <c r="F408" s="1" t="str">
        <f>IFERROR(__xludf.DUMMYFUNCTION("""COMPUTED_VALUE"""),"Simple Organic")</f>
        <v>Simple Organic</v>
      </c>
      <c r="G408" s="1" t="str">
        <f>IFERROR(__xludf.DUMMYFUNCTION("""COMPUTED_VALUE"""),"Compras")</f>
        <v>Compras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7">
        <f>IFERROR(__xludf.DUMMYFUNCTION("""COMPUTED_VALUE"""),45839.0)</f>
        <v>45839</v>
      </c>
      <c r="B409" s="8">
        <f>IFERROR(__xludf.DUMMYFUNCTION("""COMPUTED_VALUE"""),45836.0)</f>
        <v>45836</v>
      </c>
      <c r="C409" s="1" t="str">
        <f>IFERROR(__xludf.DUMMYFUNCTION("""COMPUTED_VALUE"""),"Mercado Livre")</f>
        <v>Mercado Livre</v>
      </c>
      <c r="D409" s="2">
        <f>IFERROR(__xludf.DUMMYFUNCTION("""COMPUTED_VALUE"""),37.4)</f>
        <v>37.4</v>
      </c>
      <c r="E409" s="1" t="str">
        <f>IFERROR(__xludf.DUMMYFUNCTION("""COMPUTED_VALUE"""),"-")</f>
        <v>-</v>
      </c>
      <c r="F409" s="1" t="str">
        <f>IFERROR(__xludf.DUMMYFUNCTION("""COMPUTED_VALUE"""),"Mercado Livre")</f>
        <v>Mercado Livre</v>
      </c>
      <c r="G409" s="1" t="str">
        <f>IFERROR(__xludf.DUMMYFUNCTION("""COMPUTED_VALUE"""),"Compras")</f>
        <v>Compras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7">
        <f>IFERROR(__xludf.DUMMYFUNCTION("""COMPUTED_VALUE"""),45839.0)</f>
        <v>45839</v>
      </c>
      <c r="B410" s="8">
        <f>IFERROR(__xludf.DUMMYFUNCTION("""COMPUTED_VALUE"""),45836.0)</f>
        <v>45836</v>
      </c>
      <c r="C410" s="1" t="str">
        <f>IFERROR(__xludf.DUMMYFUNCTION("""COMPUTED_VALUE"""),"Mercado Livre")</f>
        <v>Mercado Livre</v>
      </c>
      <c r="D410" s="2">
        <f>IFERROR(__xludf.DUMMYFUNCTION("""COMPUTED_VALUE"""),63.53)</f>
        <v>63.53</v>
      </c>
      <c r="E410" s="1" t="str">
        <f>IFERROR(__xludf.DUMMYFUNCTION("""COMPUTED_VALUE"""),"-")</f>
        <v>-</v>
      </c>
      <c r="F410" s="1" t="str">
        <f>IFERROR(__xludf.DUMMYFUNCTION("""COMPUTED_VALUE"""),"Mercado Livre")</f>
        <v>Mercado Livre</v>
      </c>
      <c r="G410" s="1" t="str">
        <f>IFERROR(__xludf.DUMMYFUNCTION("""COMPUTED_VALUE"""),"Compras")</f>
        <v>Compras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7">
        <f>IFERROR(__xludf.DUMMYFUNCTION("""COMPUTED_VALUE"""),45839.0)</f>
        <v>45839</v>
      </c>
      <c r="B411" s="8">
        <f>IFERROR(__xludf.DUMMYFUNCTION("""COMPUTED_VALUE"""),45837.0)</f>
        <v>45837</v>
      </c>
      <c r="C411" s="1" t="str">
        <f>IFERROR(__xludf.DUMMYFUNCTION("""COMPUTED_VALUE"""),"Rdsaude Online (3/3)")</f>
        <v>Rdsaude Online (3/3)</v>
      </c>
      <c r="D411" s="2">
        <f>IFERROR(__xludf.DUMMYFUNCTION("""COMPUTED_VALUE"""),40.88)</f>
        <v>40.88</v>
      </c>
      <c r="E411" s="1" t="str">
        <f>IFERROR(__xludf.DUMMYFUNCTION("""COMPUTED_VALUE"""),"-")</f>
        <v>-</v>
      </c>
      <c r="F411" s="1" t="str">
        <f>IFERROR(__xludf.DUMMYFUNCTION("""COMPUTED_VALUE"""),"Rdsaude Online")</f>
        <v>Rdsaude Online</v>
      </c>
      <c r="G411" s="1" t="str">
        <f>IFERROR(__xludf.DUMMYFUNCTION("""COMPUTED_VALUE"""),"-")</f>
        <v>-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7">
        <f>IFERROR(__xludf.DUMMYFUNCTION("""COMPUTED_VALUE"""),45839.0)</f>
        <v>45839</v>
      </c>
      <c r="B412" s="8">
        <f>IFERROR(__xludf.DUMMYFUNCTION("""COMPUTED_VALUE"""),45837.0)</f>
        <v>45837</v>
      </c>
      <c r="C412" s="1" t="str">
        <f>IFERROR(__xludf.DUMMYFUNCTION("""COMPUTED_VALUE"""),"Rdsaude Online (2/3)")</f>
        <v>Rdsaude Online (2/3)</v>
      </c>
      <c r="D412" s="2">
        <f>IFERROR(__xludf.DUMMYFUNCTION("""COMPUTED_VALUE"""),40.88)</f>
        <v>40.88</v>
      </c>
      <c r="E412" s="1" t="str">
        <f>IFERROR(__xludf.DUMMYFUNCTION("""COMPUTED_VALUE"""),"-")</f>
        <v>-</v>
      </c>
      <c r="F412" s="1" t="str">
        <f>IFERROR(__xludf.DUMMYFUNCTION("""COMPUTED_VALUE"""),"Rdsaude Online")</f>
        <v>Rdsaude Online</v>
      </c>
      <c r="G412" s="1" t="str">
        <f>IFERROR(__xludf.DUMMYFUNCTION("""COMPUTED_VALUE"""),"-")</f>
        <v>-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7">
        <f>IFERROR(__xludf.DUMMYFUNCTION("""COMPUTED_VALUE"""),45839.0)</f>
        <v>45839</v>
      </c>
      <c r="B413" s="8">
        <f>IFERROR(__xludf.DUMMYFUNCTION("""COMPUTED_VALUE"""),45837.0)</f>
        <v>45837</v>
      </c>
      <c r="C413" s="1" t="str">
        <f>IFERROR(__xludf.DUMMYFUNCTION("""COMPUTED_VALUE"""),"Rdsaude Online (1/3)")</f>
        <v>Rdsaude Online (1/3)</v>
      </c>
      <c r="D413" s="2">
        <f>IFERROR(__xludf.DUMMYFUNCTION("""COMPUTED_VALUE"""),40.89)</f>
        <v>40.89</v>
      </c>
      <c r="E413" s="1" t="str">
        <f>IFERROR(__xludf.DUMMYFUNCTION("""COMPUTED_VALUE"""),"-")</f>
        <v>-</v>
      </c>
      <c r="F413" s="1" t="str">
        <f>IFERROR(__xludf.DUMMYFUNCTION("""COMPUTED_VALUE"""),"Rdsaude Online")</f>
        <v>Rdsaude Online</v>
      </c>
      <c r="G413" s="1" t="str">
        <f>IFERROR(__xludf.DUMMYFUNCTION("""COMPUTED_VALUE"""),"-")</f>
        <v>-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7">
        <f>IFERROR(__xludf.DUMMYFUNCTION("""COMPUTED_VALUE"""),45839.0)</f>
        <v>45839</v>
      </c>
      <c r="B414" s="8">
        <f>IFERROR(__xludf.DUMMYFUNCTION("""COMPUTED_VALUE"""),45837.0)</f>
        <v>45837</v>
      </c>
      <c r="C414" s="1" t="str">
        <f>IFERROR(__xludf.DUMMYFUNCTION("""COMPUTED_VALUE"""),"Drogaria Pacheco")</f>
        <v>Drogaria Pacheco</v>
      </c>
      <c r="D414" s="2">
        <f>IFERROR(__xludf.DUMMYFUNCTION("""COMPUTED_VALUE"""),76.79)</f>
        <v>76.79</v>
      </c>
      <c r="E414" s="1" t="str">
        <f>IFERROR(__xludf.DUMMYFUNCTION("""COMPUTED_VALUE"""),"-")</f>
        <v>-</v>
      </c>
      <c r="F414" s="1" t="str">
        <f>IFERROR(__xludf.DUMMYFUNCTION("""COMPUTED_VALUE"""),"Drogaria Pacheco")</f>
        <v>Drogaria Pacheco</v>
      </c>
      <c r="G414" s="1" t="str">
        <f>IFERROR(__xludf.DUMMYFUNCTION("""COMPUTED_VALUE"""),"Farmácia")</f>
        <v>Farmácia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7">
        <f>IFERROR(__xludf.DUMMYFUNCTION("""COMPUTED_VALUE"""),45839.0)</f>
        <v>45839</v>
      </c>
      <c r="B415" s="8">
        <f>IFERROR(__xludf.DUMMYFUNCTION("""COMPUTED_VALUE"""),45837.0)</f>
        <v>45837</v>
      </c>
      <c r="C415" s="1" t="str">
        <f>IFERROR(__xludf.DUMMYFUNCTION("""COMPUTED_VALUE"""),"Shopee")</f>
        <v>Shopee</v>
      </c>
      <c r="D415" s="2">
        <f>IFERROR(__xludf.DUMMYFUNCTION("""COMPUTED_VALUE"""),34.93)</f>
        <v>34.93</v>
      </c>
      <c r="E415" s="1" t="str">
        <f>IFERROR(__xludf.DUMMYFUNCTION("""COMPUTED_VALUE"""),"-")</f>
        <v>-</v>
      </c>
      <c r="F415" s="1" t="str">
        <f>IFERROR(__xludf.DUMMYFUNCTION("""COMPUTED_VALUE"""),"Shopee")</f>
        <v>Shopee</v>
      </c>
      <c r="G415" s="1" t="str">
        <f>IFERROR(__xludf.DUMMYFUNCTION("""COMPUTED_VALUE"""),"Compras")</f>
        <v>Compras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7">
        <f>IFERROR(__xludf.DUMMYFUNCTION("""COMPUTED_VALUE"""),45839.0)</f>
        <v>45839</v>
      </c>
      <c r="B416" s="8">
        <f>IFERROR(__xludf.DUMMYFUNCTION("""COMPUTED_VALUE"""),45837.0)</f>
        <v>45837</v>
      </c>
      <c r="C416" s="1" t="str">
        <f>IFERROR(__xludf.DUMMYFUNCTION("""COMPUTED_VALUE"""),"Shopee")</f>
        <v>Shopee</v>
      </c>
      <c r="D416" s="2">
        <f>IFERROR(__xludf.DUMMYFUNCTION("""COMPUTED_VALUE"""),24.74)</f>
        <v>24.74</v>
      </c>
      <c r="E416" s="1" t="str">
        <f>IFERROR(__xludf.DUMMYFUNCTION("""COMPUTED_VALUE"""),"-")</f>
        <v>-</v>
      </c>
      <c r="F416" s="1" t="str">
        <f>IFERROR(__xludf.DUMMYFUNCTION("""COMPUTED_VALUE"""),"Shopee")</f>
        <v>Shopee</v>
      </c>
      <c r="G416" s="1" t="str">
        <f>IFERROR(__xludf.DUMMYFUNCTION("""COMPUTED_VALUE"""),"Compras")</f>
        <v>Compras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7">
        <f>IFERROR(__xludf.DUMMYFUNCTION("""COMPUTED_VALUE"""),45839.0)</f>
        <v>45839</v>
      </c>
      <c r="B417" s="8">
        <f>IFERROR(__xludf.DUMMYFUNCTION("""COMPUTED_VALUE"""),45838.0)</f>
        <v>45838</v>
      </c>
      <c r="C417" s="1" t="str">
        <f>IFERROR(__xludf.DUMMYFUNCTION("""COMPUTED_VALUE"""),"Drogaria Araujo")</f>
        <v>Drogaria Araujo</v>
      </c>
      <c r="D417" s="2">
        <f>IFERROR(__xludf.DUMMYFUNCTION("""COMPUTED_VALUE"""),18.99)</f>
        <v>18.99</v>
      </c>
      <c r="E417" s="1" t="str">
        <f>IFERROR(__xludf.DUMMYFUNCTION("""COMPUTED_VALUE"""),"-")</f>
        <v>-</v>
      </c>
      <c r="F417" s="1" t="str">
        <f>IFERROR(__xludf.DUMMYFUNCTION("""COMPUTED_VALUE"""),"Drogaria Araujo")</f>
        <v>Drogaria Araujo</v>
      </c>
      <c r="G417" s="1" t="str">
        <f>IFERROR(__xludf.DUMMYFUNCTION("""COMPUTED_VALUE"""),"Farmácia")</f>
        <v>Farmácia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7">
        <f>IFERROR(__xludf.DUMMYFUNCTION("""COMPUTED_VALUE"""),45839.0)</f>
        <v>45839</v>
      </c>
      <c r="B418" s="8">
        <f>IFERROR(__xludf.DUMMYFUNCTION("""COMPUTED_VALUE"""),45839.0)</f>
        <v>45839</v>
      </c>
      <c r="C418" s="1" t="str">
        <f>IFERROR(__xludf.DUMMYFUNCTION("""COMPUTED_VALUE"""),"Amazon (1/10)")</f>
        <v>Amazon (1/10)</v>
      </c>
      <c r="D418" s="2">
        <f>IFERROR(__xludf.DUMMYFUNCTION("""COMPUTED_VALUE"""),72.9)</f>
        <v>72.9</v>
      </c>
      <c r="E418" s="1" t="str">
        <f>IFERROR(__xludf.DUMMYFUNCTION("""COMPUTED_VALUE"""),"-")</f>
        <v>-</v>
      </c>
      <c r="F418" s="1" t="str">
        <f>IFERROR(__xludf.DUMMYFUNCTION("""COMPUTED_VALUE"""),"Amazon")</f>
        <v>Amazon</v>
      </c>
      <c r="G418" s="1" t="str">
        <f>IFERROR(__xludf.DUMMYFUNCTION("""COMPUTED_VALUE"""),"Compras")</f>
        <v>Compras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7">
        <f>IFERROR(__xludf.DUMMYFUNCTION("""COMPUTED_VALUE"""),45839.0)</f>
        <v>45839</v>
      </c>
      <c r="B419" s="8">
        <f>IFERROR(__xludf.DUMMYFUNCTION("""COMPUTED_VALUE"""),45789.0)</f>
        <v>45789</v>
      </c>
      <c r="C419" s="1" t="str">
        <f>IFERROR(__xludf.DUMMYFUNCTION("""COMPUTED_VALUE"""),"Mg Bh Savassi Sh (2/2)")</f>
        <v>Mg Bh Savassi Sh (2/2)</v>
      </c>
      <c r="D419" s="2">
        <f>IFERROR(__xludf.DUMMYFUNCTION("""COMPUTED_VALUE"""),99.99)</f>
        <v>99.99</v>
      </c>
      <c r="E419" s="1" t="str">
        <f>IFERROR(__xludf.DUMMYFUNCTION("""COMPUTED_VALUE"""),"-")</f>
        <v>-</v>
      </c>
      <c r="F419" s="1" t="str">
        <f>IFERROR(__xludf.DUMMYFUNCTION("""COMPUTED_VALUE"""),"Mg Bh Savassi Sh")</f>
        <v>Mg Bh Savassi Sh</v>
      </c>
      <c r="G419" s="1" t="str">
        <f>IFERROR(__xludf.DUMMYFUNCTION("""COMPUTED_VALUE"""),"Compras")</f>
        <v>Compras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7">
        <f>IFERROR(__xludf.DUMMYFUNCTION("""COMPUTED_VALUE"""),45839.0)</f>
        <v>45839</v>
      </c>
      <c r="B420" s="8">
        <f>IFERROR(__xludf.DUMMYFUNCTION("""COMPUTED_VALUE"""),45804.0)</f>
        <v>45804</v>
      </c>
      <c r="C420" s="1" t="str">
        <f>IFERROR(__xludf.DUMMYFUNCTION("""COMPUTED_VALUE"""),"Lojaluposport")</f>
        <v>Lojaluposport</v>
      </c>
      <c r="D420" s="2">
        <f>IFERROR(__xludf.DUMMYFUNCTION("""COMPUTED_VALUE"""),123.8)</f>
        <v>123.8</v>
      </c>
      <c r="E420" s="1" t="str">
        <f>IFERROR(__xludf.DUMMYFUNCTION("""COMPUTED_VALUE"""),"-")</f>
        <v>-</v>
      </c>
      <c r="F420" s="1" t="str">
        <f>IFERROR(__xludf.DUMMYFUNCTION("""COMPUTED_VALUE"""),"Lojaluposport")</f>
        <v>Lojaluposport</v>
      </c>
      <c r="G420" s="1" t="str">
        <f>IFERROR(__xludf.DUMMYFUNCTION("""COMPUTED_VALUE"""),"-")</f>
        <v>-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7">
        <f>IFERROR(__xludf.DUMMYFUNCTION("""COMPUTED_VALUE"""),45839.0)</f>
        <v>45839</v>
      </c>
      <c r="B421" s="8">
        <f>IFERROR(__xludf.DUMMYFUNCTION("""COMPUTED_VALUE"""),45813.0)</f>
        <v>45813</v>
      </c>
      <c r="C421" s="1" t="str">
        <f>IFERROR(__xludf.DUMMYFUNCTION("""COMPUTED_VALUE"""),"Megapark")</f>
        <v>Megapark</v>
      </c>
      <c r="D421" s="2">
        <f>IFERROR(__xludf.DUMMYFUNCTION("""COMPUTED_VALUE"""),285.0)</f>
        <v>285</v>
      </c>
      <c r="E421" s="1" t="str">
        <f>IFERROR(__xludf.DUMMYFUNCTION("""COMPUTED_VALUE"""),"-")</f>
        <v>-</v>
      </c>
      <c r="F421" s="1" t="str">
        <f>IFERROR(__xludf.DUMMYFUNCTION("""COMPUTED_VALUE"""),"Megapark")</f>
        <v>Megapark</v>
      </c>
      <c r="G421" s="1" t="str">
        <f>IFERROR(__xludf.DUMMYFUNCTION("""COMPUTED_VALUE"""),"-")</f>
        <v>-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7">
        <f>IFERROR(__xludf.DUMMYFUNCTION("""COMPUTED_VALUE"""),45839.0)</f>
        <v>45839</v>
      </c>
      <c r="B422" s="8">
        <f>IFERROR(__xludf.DUMMYFUNCTION("""COMPUTED_VALUE"""),45813.0)</f>
        <v>45813</v>
      </c>
      <c r="C422" s="1" t="str">
        <f>IFERROR(__xludf.DUMMYFUNCTION("""COMPUTED_VALUE"""),"Avocado")</f>
        <v>Avocado</v>
      </c>
      <c r="D422" s="2">
        <f>IFERROR(__xludf.DUMMYFUNCTION("""COMPUTED_VALUE"""),31.76)</f>
        <v>31.76</v>
      </c>
      <c r="E422" s="1" t="str">
        <f>IFERROR(__xludf.DUMMYFUNCTION("""COMPUTED_VALUE"""),"-")</f>
        <v>-</v>
      </c>
      <c r="F422" s="1" t="str">
        <f>IFERROR(__xludf.DUMMYFUNCTION("""COMPUTED_VALUE"""),"Avocado")</f>
        <v>Avocado</v>
      </c>
      <c r="G422" s="1" t="str">
        <f>IFERROR(__xludf.DUMMYFUNCTION("""COMPUTED_VALUE"""),"-")</f>
        <v>-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7">
        <f>IFERROR(__xludf.DUMMYFUNCTION("""COMPUTED_VALUE"""),45839.0)</f>
        <v>45839</v>
      </c>
      <c r="B423" s="8">
        <f>IFERROR(__xludf.DUMMYFUNCTION("""COMPUTED_VALUE"""),45806.0)</f>
        <v>45806</v>
      </c>
      <c r="C423" s="1" t="str">
        <f>IFERROR(__xludf.DUMMYFUNCTION("""COMPUTED_VALUE"""),"Est Ristorante")</f>
        <v>Est Ristorante</v>
      </c>
      <c r="D423" s="2">
        <f>IFERROR(__xludf.DUMMYFUNCTION("""COMPUTED_VALUE"""),70.74)</f>
        <v>70.74</v>
      </c>
      <c r="E423" s="1" t="str">
        <f>IFERROR(__xludf.DUMMYFUNCTION("""COMPUTED_VALUE"""),"-")</f>
        <v>-</v>
      </c>
      <c r="F423" s="1" t="str">
        <f>IFERROR(__xludf.DUMMYFUNCTION("""COMPUTED_VALUE"""),"Est Ristorante")</f>
        <v>Est Ristorante</v>
      </c>
      <c r="G423" s="1" t="str">
        <f>IFERROR(__xludf.DUMMYFUNCTION("""COMPUTED_VALUE"""),"-")</f>
        <v>-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7">
        <f>IFERROR(__xludf.DUMMYFUNCTION("""COMPUTED_VALUE"""),45839.0)</f>
        <v>45839</v>
      </c>
      <c r="B424" s="8">
        <f>IFERROR(__xludf.DUMMYFUNCTION("""COMPUTED_VALUE"""),45806.0)</f>
        <v>45806</v>
      </c>
      <c r="C424" s="1" t="str">
        <f>IFERROR(__xludf.DUMMYFUNCTION("""COMPUTED_VALUE"""),"Drogaria Araujo")</f>
        <v>Drogaria Araujo</v>
      </c>
      <c r="D424" s="2">
        <f>IFERROR(__xludf.DUMMYFUNCTION("""COMPUTED_VALUE"""),3.19)</f>
        <v>3.19</v>
      </c>
      <c r="E424" s="1" t="str">
        <f>IFERROR(__xludf.DUMMYFUNCTION("""COMPUTED_VALUE"""),"-")</f>
        <v>-</v>
      </c>
      <c r="F424" s="1" t="str">
        <f>IFERROR(__xludf.DUMMYFUNCTION("""COMPUTED_VALUE"""),"Drogaria Araujo")</f>
        <v>Drogaria Araujo</v>
      </c>
      <c r="G424" s="1" t="str">
        <f>IFERROR(__xludf.DUMMYFUNCTION("""COMPUTED_VALUE"""),"Farmácia")</f>
        <v>Farmácia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7">
        <f>IFERROR(__xludf.DUMMYFUNCTION("""COMPUTED_VALUE"""),45839.0)</f>
        <v>45839</v>
      </c>
      <c r="B425" s="8">
        <f>IFERROR(__xludf.DUMMYFUNCTION("""COMPUTED_VALUE"""),45807.0)</f>
        <v>45807</v>
      </c>
      <c r="C425" s="1" t="str">
        <f>IFERROR(__xludf.DUMMYFUNCTION("""COMPUTED_VALUE"""),"Espassogourmet")</f>
        <v>Espassogourmet</v>
      </c>
      <c r="D425" s="2">
        <f>IFERROR(__xludf.DUMMYFUNCTION("""COMPUTED_VALUE"""),29.9)</f>
        <v>29.9</v>
      </c>
      <c r="E425" s="1" t="str">
        <f>IFERROR(__xludf.DUMMYFUNCTION("""COMPUTED_VALUE"""),"-")</f>
        <v>-</v>
      </c>
      <c r="F425" s="1" t="str">
        <f>IFERROR(__xludf.DUMMYFUNCTION("""COMPUTED_VALUE"""),"Espassogourmet")</f>
        <v>Espassogourmet</v>
      </c>
      <c r="G425" s="1" t="str">
        <f>IFERROR(__xludf.DUMMYFUNCTION("""COMPUTED_VALUE"""),"Comida")</f>
        <v>Comida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7">
        <f>IFERROR(__xludf.DUMMYFUNCTION("""COMPUTED_VALUE"""),45839.0)</f>
        <v>45839</v>
      </c>
      <c r="B426" s="8">
        <f>IFERROR(__xludf.DUMMYFUNCTION("""COMPUTED_VALUE"""),45808.0)</f>
        <v>45808</v>
      </c>
      <c r="C426" s="1" t="str">
        <f>IFERROR(__xludf.DUMMYFUNCTION("""COMPUTED_VALUE"""),"My Hair Escovaria Band")</f>
        <v>My Hair Escovaria Band</v>
      </c>
      <c r="D426" s="2">
        <f>IFERROR(__xludf.DUMMYFUNCTION("""COMPUTED_VALUE"""),37.0)</f>
        <v>37</v>
      </c>
      <c r="E426" s="1" t="str">
        <f>IFERROR(__xludf.DUMMYFUNCTION("""COMPUTED_VALUE"""),"-")</f>
        <v>-</v>
      </c>
      <c r="F426" s="1" t="str">
        <f>IFERROR(__xludf.DUMMYFUNCTION("""COMPUTED_VALUE"""),"My Hair Escovaria Band")</f>
        <v>My Hair Escovaria Band</v>
      </c>
      <c r="G426" s="1" t="str">
        <f>IFERROR(__xludf.DUMMYFUNCTION("""COMPUTED_VALUE"""),"-")</f>
        <v>-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7">
        <f>IFERROR(__xludf.DUMMYFUNCTION("""COMPUTED_VALUE"""),45839.0)</f>
        <v>45839</v>
      </c>
      <c r="B427" s="8">
        <f>IFERROR(__xludf.DUMMYFUNCTION("""COMPUTED_VALUE"""),45810.0)</f>
        <v>45810</v>
      </c>
      <c r="C427" s="1" t="str">
        <f>IFERROR(__xludf.DUMMYFUNCTION("""COMPUTED_VALUE"""),"Super Nosso")</f>
        <v>Super Nosso</v>
      </c>
      <c r="D427" s="2">
        <f>IFERROR(__xludf.DUMMYFUNCTION("""COMPUTED_VALUE"""),6.99)</f>
        <v>6.99</v>
      </c>
      <c r="E427" s="1" t="str">
        <f>IFERROR(__xludf.DUMMYFUNCTION("""COMPUTED_VALUE"""),"-")</f>
        <v>-</v>
      </c>
      <c r="F427" s="1" t="str">
        <f>IFERROR(__xludf.DUMMYFUNCTION("""COMPUTED_VALUE"""),"Super Nosso")</f>
        <v>Super Nosso</v>
      </c>
      <c r="G427" s="1" t="str">
        <f>IFERROR(__xludf.DUMMYFUNCTION("""COMPUTED_VALUE"""),"Supermercado")</f>
        <v>Supermercado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7">
        <f>IFERROR(__xludf.DUMMYFUNCTION("""COMPUTED_VALUE"""),45839.0)</f>
        <v>45839</v>
      </c>
      <c r="B428" s="8">
        <f>IFERROR(__xludf.DUMMYFUNCTION("""COMPUTED_VALUE"""),45810.0)</f>
        <v>45810</v>
      </c>
      <c r="C428" s="1" t="str">
        <f>IFERROR(__xludf.DUMMYFUNCTION("""COMPUTED_VALUE"""),"Supermercado &amp; Padaria")</f>
        <v>Supermercado &amp; Padaria</v>
      </c>
      <c r="D428" s="2">
        <f>IFERROR(__xludf.DUMMYFUNCTION("""COMPUTED_VALUE"""),19.08)</f>
        <v>19.08</v>
      </c>
      <c r="E428" s="1" t="str">
        <f>IFERROR(__xludf.DUMMYFUNCTION("""COMPUTED_VALUE"""),"-")</f>
        <v>-</v>
      </c>
      <c r="F428" s="1" t="str">
        <f>IFERROR(__xludf.DUMMYFUNCTION("""COMPUTED_VALUE"""),"Supermercado &amp; Padaria")</f>
        <v>Supermercado &amp; Padaria</v>
      </c>
      <c r="G428" s="1" t="str">
        <f>IFERROR(__xludf.DUMMYFUNCTION("""COMPUTED_VALUE"""),"Comida")</f>
        <v>Comida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7">
        <f>IFERROR(__xludf.DUMMYFUNCTION("""COMPUTED_VALUE"""),45839.0)</f>
        <v>45839</v>
      </c>
      <c r="B429" s="8">
        <f>IFERROR(__xludf.DUMMYFUNCTION("""COMPUTED_VALUE"""),45811.0)</f>
        <v>45811</v>
      </c>
      <c r="C429" s="1" t="str">
        <f>IFERROR(__xludf.DUMMYFUNCTION("""COMPUTED_VALUE"""),"Droga Raia")</f>
        <v>Droga Raia</v>
      </c>
      <c r="D429" s="2">
        <f>IFERROR(__xludf.DUMMYFUNCTION("""COMPUTED_VALUE"""),14.76)</f>
        <v>14.76</v>
      </c>
      <c r="E429" s="1" t="str">
        <f>IFERROR(__xludf.DUMMYFUNCTION("""COMPUTED_VALUE"""),"-")</f>
        <v>-</v>
      </c>
      <c r="F429" s="1" t="str">
        <f>IFERROR(__xludf.DUMMYFUNCTION("""COMPUTED_VALUE"""),"Droga Raia")</f>
        <v>Droga Raia</v>
      </c>
      <c r="G429" s="1" t="str">
        <f>IFERROR(__xludf.DUMMYFUNCTION("""COMPUTED_VALUE"""),"Farmácia")</f>
        <v>Farmácia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7">
        <f>IFERROR(__xludf.DUMMYFUNCTION("""COMPUTED_VALUE"""),45839.0)</f>
        <v>45839</v>
      </c>
      <c r="B430" s="8">
        <f>IFERROR(__xludf.DUMMYFUNCTION("""COMPUTED_VALUE"""),45812.0)</f>
        <v>45812</v>
      </c>
      <c r="C430" s="1" t="str">
        <f>IFERROR(__xludf.DUMMYFUNCTION("""COMPUTED_VALUE"""),"Super Nosso")</f>
        <v>Super Nosso</v>
      </c>
      <c r="D430" s="2">
        <f>IFERROR(__xludf.DUMMYFUNCTION("""COMPUTED_VALUE"""),11.28)</f>
        <v>11.28</v>
      </c>
      <c r="E430" s="1" t="str">
        <f>IFERROR(__xludf.DUMMYFUNCTION("""COMPUTED_VALUE"""),"-")</f>
        <v>-</v>
      </c>
      <c r="F430" s="1" t="str">
        <f>IFERROR(__xludf.DUMMYFUNCTION("""COMPUTED_VALUE"""),"Super Nosso")</f>
        <v>Super Nosso</v>
      </c>
      <c r="G430" s="1" t="str">
        <f>IFERROR(__xludf.DUMMYFUNCTION("""COMPUTED_VALUE"""),"Supermercado")</f>
        <v>Supermercado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7">
        <f>IFERROR(__xludf.DUMMYFUNCTION("""COMPUTED_VALUE"""),45839.0)</f>
        <v>45839</v>
      </c>
      <c r="B431" s="8">
        <f>IFERROR(__xludf.DUMMYFUNCTION("""COMPUTED_VALUE"""),45815.0)</f>
        <v>45815</v>
      </c>
      <c r="C431" s="1" t="str">
        <f>IFERROR(__xludf.DUMMYFUNCTION("""COMPUTED_VALUE"""),"Sacolao Serra Verde")</f>
        <v>Sacolao Serra Verde</v>
      </c>
      <c r="D431" s="2">
        <f>IFERROR(__xludf.DUMMYFUNCTION("""COMPUTED_VALUE"""),57.0)</f>
        <v>57</v>
      </c>
      <c r="E431" s="1" t="str">
        <f>IFERROR(__xludf.DUMMYFUNCTION("""COMPUTED_VALUE"""),"-")</f>
        <v>-</v>
      </c>
      <c r="F431" s="1" t="str">
        <f>IFERROR(__xludf.DUMMYFUNCTION("""COMPUTED_VALUE"""),"Sacolao Serra Verde")</f>
        <v>Sacolao Serra Verde</v>
      </c>
      <c r="G431" s="1" t="str">
        <f>IFERROR(__xludf.DUMMYFUNCTION("""COMPUTED_VALUE"""),"-")</f>
        <v>-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7">
        <f>IFERROR(__xludf.DUMMYFUNCTION("""COMPUTED_VALUE"""),45839.0)</f>
        <v>45839</v>
      </c>
      <c r="B432" s="8">
        <f>IFERROR(__xludf.DUMMYFUNCTION("""COMPUTED_VALUE"""),45815.0)</f>
        <v>45815</v>
      </c>
      <c r="C432" s="1" t="str">
        <f>IFERROR(__xludf.DUMMYFUNCTION("""COMPUTED_VALUE"""),"Maria De Fatima Costa")</f>
        <v>Maria De Fatima Costa</v>
      </c>
      <c r="D432" s="2">
        <f>IFERROR(__xludf.DUMMYFUNCTION("""COMPUTED_VALUE"""),55.0)</f>
        <v>55</v>
      </c>
      <c r="E432" s="1" t="str">
        <f>IFERROR(__xludf.DUMMYFUNCTION("""COMPUTED_VALUE"""),"-")</f>
        <v>-</v>
      </c>
      <c r="F432" s="1" t="str">
        <f>IFERROR(__xludf.DUMMYFUNCTION("""COMPUTED_VALUE"""),"Maria De Fatima Costa")</f>
        <v>Maria De Fatima Costa</v>
      </c>
      <c r="G432" s="1" t="str">
        <f>IFERROR(__xludf.DUMMYFUNCTION("""COMPUTED_VALUE"""),"-")</f>
        <v>-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7">
        <f>IFERROR(__xludf.DUMMYFUNCTION("""COMPUTED_VALUE"""),45839.0)</f>
        <v>45839</v>
      </c>
      <c r="B433" s="8">
        <f>IFERROR(__xludf.DUMMYFUNCTION("""COMPUTED_VALUE"""),45816.0)</f>
        <v>45816</v>
      </c>
      <c r="C433" s="1" t="str">
        <f>IFERROR(__xludf.DUMMYFUNCTION("""COMPUTED_VALUE"""),"Oop Café")</f>
        <v>Oop Café</v>
      </c>
      <c r="D433" s="2">
        <f>IFERROR(__xludf.DUMMYFUNCTION("""COMPUTED_VALUE"""),26.4)</f>
        <v>26.4</v>
      </c>
      <c r="E433" s="1" t="str">
        <f>IFERROR(__xludf.DUMMYFUNCTION("""COMPUTED_VALUE"""),"-")</f>
        <v>-</v>
      </c>
      <c r="F433" s="1" t="str">
        <f>IFERROR(__xludf.DUMMYFUNCTION("""COMPUTED_VALUE"""),"Oop Café")</f>
        <v>Oop Café</v>
      </c>
      <c r="G433" s="1" t="str">
        <f>IFERROR(__xludf.DUMMYFUNCTION("""COMPUTED_VALUE"""),"-")</f>
        <v>-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7">
        <f>IFERROR(__xludf.DUMMYFUNCTION("""COMPUTED_VALUE"""),45839.0)</f>
        <v>45839</v>
      </c>
      <c r="B434" s="8">
        <f>IFERROR(__xludf.DUMMYFUNCTION("""COMPUTED_VALUE"""),45817.0)</f>
        <v>45817</v>
      </c>
      <c r="C434" s="1" t="str">
        <f>IFERROR(__xludf.DUMMYFUNCTION("""COMPUTED_VALUE"""),"Lojas Rede")</f>
        <v>Lojas Rede</v>
      </c>
      <c r="D434" s="2">
        <f>IFERROR(__xludf.DUMMYFUNCTION("""COMPUTED_VALUE"""),2.99)</f>
        <v>2.99</v>
      </c>
      <c r="E434" s="1" t="str">
        <f>IFERROR(__xludf.DUMMYFUNCTION("""COMPUTED_VALUE"""),"-")</f>
        <v>-</v>
      </c>
      <c r="F434" s="1" t="str">
        <f>IFERROR(__xludf.DUMMYFUNCTION("""COMPUTED_VALUE"""),"Lojas Rede")</f>
        <v>Lojas Rede</v>
      </c>
      <c r="G434" s="1" t="str">
        <f>IFERROR(__xludf.DUMMYFUNCTION("""COMPUTED_VALUE"""),"Compras")</f>
        <v>Compras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7">
        <f>IFERROR(__xludf.DUMMYFUNCTION("""COMPUTED_VALUE"""),45839.0)</f>
        <v>45839</v>
      </c>
      <c r="B435" s="8">
        <f>IFERROR(__xludf.DUMMYFUNCTION("""COMPUTED_VALUE"""),45817.0)</f>
        <v>45817</v>
      </c>
      <c r="C435" s="1" t="str">
        <f>IFERROR(__xludf.DUMMYFUNCTION("""COMPUTED_VALUE"""),"Depyl Action")</f>
        <v>Depyl Action</v>
      </c>
      <c r="D435" s="2">
        <f>IFERROR(__xludf.DUMMYFUNCTION("""COMPUTED_VALUE"""),119.0)</f>
        <v>119</v>
      </c>
      <c r="E435" s="1" t="str">
        <f>IFERROR(__xludf.DUMMYFUNCTION("""COMPUTED_VALUE"""),"-")</f>
        <v>-</v>
      </c>
      <c r="F435" s="1" t="str">
        <f>IFERROR(__xludf.DUMMYFUNCTION("""COMPUTED_VALUE"""),"Depyl Action")</f>
        <v>Depyl Action</v>
      </c>
      <c r="G435" s="1" t="str">
        <f>IFERROR(__xludf.DUMMYFUNCTION("""COMPUTED_VALUE"""),"-")</f>
        <v>-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7">
        <f>IFERROR(__xludf.DUMMYFUNCTION("""COMPUTED_VALUE"""),45839.0)</f>
        <v>45839</v>
      </c>
      <c r="B436" s="8">
        <f>IFERROR(__xludf.DUMMYFUNCTION("""COMPUTED_VALUE"""),45818.0)</f>
        <v>45818</v>
      </c>
      <c r="C436" s="1" t="str">
        <f>IFERROR(__xludf.DUMMYFUNCTION("""COMPUTED_VALUE"""),"L Amour Restaurante L")</f>
        <v>L Amour Restaurante L</v>
      </c>
      <c r="D436" s="2">
        <f>IFERROR(__xludf.DUMMYFUNCTION("""COMPUTED_VALUE"""),36.1)</f>
        <v>36.1</v>
      </c>
      <c r="E436" s="1" t="str">
        <f>IFERROR(__xludf.DUMMYFUNCTION("""COMPUTED_VALUE"""),"-")</f>
        <v>-</v>
      </c>
      <c r="F436" s="1" t="str">
        <f>IFERROR(__xludf.DUMMYFUNCTION("""COMPUTED_VALUE"""),"L Amour Restaurante L")</f>
        <v>L Amour Restaurante L</v>
      </c>
      <c r="G436" s="1" t="str">
        <f>IFERROR(__xludf.DUMMYFUNCTION("""COMPUTED_VALUE"""),"Comida")</f>
        <v>Comida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7">
        <f>IFERROR(__xludf.DUMMYFUNCTION("""COMPUTED_VALUE"""),45839.0)</f>
        <v>45839</v>
      </c>
      <c r="B437" s="8">
        <f>IFERROR(__xludf.DUMMYFUNCTION("""COMPUTED_VALUE"""),45832.0)</f>
        <v>45832</v>
      </c>
      <c r="C437" s="1" t="str">
        <f>IFERROR(__xludf.DUMMYFUNCTION("""COMPUTED_VALUE"""),"Panif Mendes Sion")</f>
        <v>Panif Mendes Sion</v>
      </c>
      <c r="D437" s="2">
        <f>IFERROR(__xludf.DUMMYFUNCTION("""COMPUTED_VALUE"""),14.47)</f>
        <v>14.47</v>
      </c>
      <c r="E437" s="1" t="str">
        <f>IFERROR(__xludf.DUMMYFUNCTION("""COMPUTED_VALUE"""),"-")</f>
        <v>-</v>
      </c>
      <c r="F437" s="1" t="str">
        <f>IFERROR(__xludf.DUMMYFUNCTION("""COMPUTED_VALUE"""),"Panif Mendes Sion")</f>
        <v>Panif Mendes Sion</v>
      </c>
      <c r="G437" s="1" t="str">
        <f>IFERROR(__xludf.DUMMYFUNCTION("""COMPUTED_VALUE"""),"Comida")</f>
        <v>Comida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7">
        <f>IFERROR(__xludf.DUMMYFUNCTION("""COMPUTED_VALUE"""),45870.0)</f>
        <v>45870</v>
      </c>
      <c r="B438" s="8">
        <f>IFERROR(__xludf.DUMMYFUNCTION("""COMPUTED_VALUE"""),45765.0)</f>
        <v>45765</v>
      </c>
      <c r="C438" s="1" t="str">
        <f>IFERROR(__xludf.DUMMYFUNCTION("""COMPUTED_VALUE"""),"Casas Bahia (4/10)")</f>
        <v>Casas Bahia (4/10)</v>
      </c>
      <c r="D438" s="2">
        <f>IFERROR(__xludf.DUMMYFUNCTION("""COMPUTED_VALUE"""),361.46)</f>
        <v>361.46</v>
      </c>
      <c r="E438" s="1" t="str">
        <f>IFERROR(__xludf.DUMMYFUNCTION("""COMPUTED_VALUE"""),"-")</f>
        <v>-</v>
      </c>
      <c r="F438" s="1" t="str">
        <f>IFERROR(__xludf.DUMMYFUNCTION("""COMPUTED_VALUE"""),"Casas Bahia")</f>
        <v>Casas Bahia</v>
      </c>
      <c r="G438" s="1" t="str">
        <f>IFERROR(__xludf.DUMMYFUNCTION("""COMPUTED_VALUE"""),"Compras")</f>
        <v>Compras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7">
        <f>IFERROR(__xludf.DUMMYFUNCTION("""COMPUTED_VALUE"""),45870.0)</f>
        <v>45870</v>
      </c>
      <c r="B439" s="8">
        <f>IFERROR(__xludf.DUMMYFUNCTION("""COMPUTED_VALUE"""),45818.0)</f>
        <v>45818</v>
      </c>
      <c r="C439" s="1" t="str">
        <f>IFERROR(__xludf.DUMMYFUNCTION("""COMPUTED_VALUE"""),"Crstina Marcia (2/10)")</f>
        <v>Crstina Marcia (2/10)</v>
      </c>
      <c r="D439" s="2">
        <f>IFERROR(__xludf.DUMMYFUNCTION("""COMPUTED_VALUE"""),696.0)</f>
        <v>696</v>
      </c>
      <c r="E439" s="1" t="str">
        <f>IFERROR(__xludf.DUMMYFUNCTION("""COMPUTED_VALUE"""),"-")</f>
        <v>-</v>
      </c>
      <c r="F439" s="1" t="str">
        <f>IFERROR(__xludf.DUMMYFUNCTION("""COMPUTED_VALUE"""),"Crstina Marcia")</f>
        <v>Crstina Marcia</v>
      </c>
      <c r="G439" s="1" t="str">
        <f>IFERROR(__xludf.DUMMYFUNCTION("""COMPUTED_VALUE"""),"-")</f>
        <v>-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7">
        <f>IFERROR(__xludf.DUMMYFUNCTION("""COMPUTED_VALUE"""),45870.0)</f>
        <v>45870</v>
      </c>
      <c r="B440" s="8">
        <f>IFERROR(__xludf.DUMMYFUNCTION("""COMPUTED_VALUE"""),45839.0)</f>
        <v>45839</v>
      </c>
      <c r="C440" s="1" t="str">
        <f>IFERROR(__xludf.DUMMYFUNCTION("""COMPUTED_VALUE"""),"Amazon (10/10)")</f>
        <v>Amazon (10/10)</v>
      </c>
      <c r="D440" s="2">
        <f>IFERROR(__xludf.DUMMYFUNCTION("""COMPUTED_VALUE"""),72.9)</f>
        <v>72.9</v>
      </c>
      <c r="E440" s="1" t="str">
        <f>IFERROR(__xludf.DUMMYFUNCTION("""COMPUTED_VALUE"""),"-")</f>
        <v>-</v>
      </c>
      <c r="F440" s="1" t="str">
        <f>IFERROR(__xludf.DUMMYFUNCTION("""COMPUTED_VALUE"""),"Amazon")</f>
        <v>Amazon</v>
      </c>
      <c r="G440" s="1" t="str">
        <f>IFERROR(__xludf.DUMMYFUNCTION("""COMPUTED_VALUE"""),"Compras")</f>
        <v>Compras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7">
        <f>IFERROR(__xludf.DUMMYFUNCTION("""COMPUTED_VALUE"""),45870.0)</f>
        <v>45870</v>
      </c>
      <c r="B441" s="8">
        <f>IFERROR(__xludf.DUMMYFUNCTION("""COMPUTED_VALUE"""),45839.0)</f>
        <v>45839</v>
      </c>
      <c r="C441" s="1" t="str">
        <f>IFERROR(__xludf.DUMMYFUNCTION("""COMPUTED_VALUE"""),"Amazon (9/10)")</f>
        <v>Amazon (9/10)</v>
      </c>
      <c r="D441" s="2">
        <f>IFERROR(__xludf.DUMMYFUNCTION("""COMPUTED_VALUE"""),72.9)</f>
        <v>72.9</v>
      </c>
      <c r="E441" s="1" t="str">
        <f>IFERROR(__xludf.DUMMYFUNCTION("""COMPUTED_VALUE"""),"-")</f>
        <v>-</v>
      </c>
      <c r="F441" s="1" t="str">
        <f>IFERROR(__xludf.DUMMYFUNCTION("""COMPUTED_VALUE"""),"Amazon")</f>
        <v>Amazon</v>
      </c>
      <c r="G441" s="1" t="str">
        <f>IFERROR(__xludf.DUMMYFUNCTION("""COMPUTED_VALUE"""),"Compras")</f>
        <v>Compras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7">
        <f>IFERROR(__xludf.DUMMYFUNCTION("""COMPUTED_VALUE"""),45870.0)</f>
        <v>45870</v>
      </c>
      <c r="B442" s="8">
        <f>IFERROR(__xludf.DUMMYFUNCTION("""COMPUTED_VALUE"""),45839.0)</f>
        <v>45839</v>
      </c>
      <c r="C442" s="1" t="str">
        <f>IFERROR(__xludf.DUMMYFUNCTION("""COMPUTED_VALUE"""),"Amazon (8/10)")</f>
        <v>Amazon (8/10)</v>
      </c>
      <c r="D442" s="2">
        <f>IFERROR(__xludf.DUMMYFUNCTION("""COMPUTED_VALUE"""),72.9)</f>
        <v>72.9</v>
      </c>
      <c r="E442" s="1" t="str">
        <f>IFERROR(__xludf.DUMMYFUNCTION("""COMPUTED_VALUE"""),"-")</f>
        <v>-</v>
      </c>
      <c r="F442" s="1" t="str">
        <f>IFERROR(__xludf.DUMMYFUNCTION("""COMPUTED_VALUE"""),"Amazon")</f>
        <v>Amazon</v>
      </c>
      <c r="G442" s="1" t="str">
        <f>IFERROR(__xludf.DUMMYFUNCTION("""COMPUTED_VALUE"""),"Compras")</f>
        <v>Compras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7">
        <f>IFERROR(__xludf.DUMMYFUNCTION("""COMPUTED_VALUE"""),45870.0)</f>
        <v>45870</v>
      </c>
      <c r="B443" s="8">
        <f>IFERROR(__xludf.DUMMYFUNCTION("""COMPUTED_VALUE"""),45839.0)</f>
        <v>45839</v>
      </c>
      <c r="C443" s="1" t="str">
        <f>IFERROR(__xludf.DUMMYFUNCTION("""COMPUTED_VALUE"""),"Amazon (7/10)")</f>
        <v>Amazon (7/10)</v>
      </c>
      <c r="D443" s="2">
        <f>IFERROR(__xludf.DUMMYFUNCTION("""COMPUTED_VALUE"""),72.9)</f>
        <v>72.9</v>
      </c>
      <c r="E443" s="1" t="str">
        <f>IFERROR(__xludf.DUMMYFUNCTION("""COMPUTED_VALUE"""),"-")</f>
        <v>-</v>
      </c>
      <c r="F443" s="1" t="str">
        <f>IFERROR(__xludf.DUMMYFUNCTION("""COMPUTED_VALUE"""),"Amazon")</f>
        <v>Amazon</v>
      </c>
      <c r="G443" s="1" t="str">
        <f>IFERROR(__xludf.DUMMYFUNCTION("""COMPUTED_VALUE"""),"Compras")</f>
        <v>Compras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7">
        <f>IFERROR(__xludf.DUMMYFUNCTION("""COMPUTED_VALUE"""),45870.0)</f>
        <v>45870</v>
      </c>
      <c r="B444" s="8">
        <f>IFERROR(__xludf.DUMMYFUNCTION("""COMPUTED_VALUE"""),45839.0)</f>
        <v>45839</v>
      </c>
      <c r="C444" s="1" t="str">
        <f>IFERROR(__xludf.DUMMYFUNCTION("""COMPUTED_VALUE"""),"Amazon (6/10)")</f>
        <v>Amazon (6/10)</v>
      </c>
      <c r="D444" s="2">
        <f>IFERROR(__xludf.DUMMYFUNCTION("""COMPUTED_VALUE"""),72.9)</f>
        <v>72.9</v>
      </c>
      <c r="E444" s="1" t="str">
        <f>IFERROR(__xludf.DUMMYFUNCTION("""COMPUTED_VALUE"""),"-")</f>
        <v>-</v>
      </c>
      <c r="F444" s="1" t="str">
        <f>IFERROR(__xludf.DUMMYFUNCTION("""COMPUTED_VALUE"""),"Amazon")</f>
        <v>Amazon</v>
      </c>
      <c r="G444" s="1" t="str">
        <f>IFERROR(__xludf.DUMMYFUNCTION("""COMPUTED_VALUE"""),"Compras")</f>
        <v>Compras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7">
        <f>IFERROR(__xludf.DUMMYFUNCTION("""COMPUTED_VALUE"""),45870.0)</f>
        <v>45870</v>
      </c>
      <c r="B445" s="8">
        <f>IFERROR(__xludf.DUMMYFUNCTION("""COMPUTED_VALUE"""),45839.0)</f>
        <v>45839</v>
      </c>
      <c r="C445" s="1" t="str">
        <f>IFERROR(__xludf.DUMMYFUNCTION("""COMPUTED_VALUE"""),"Amazon (5/10)")</f>
        <v>Amazon (5/10)</v>
      </c>
      <c r="D445" s="2">
        <f>IFERROR(__xludf.DUMMYFUNCTION("""COMPUTED_VALUE"""),72.9)</f>
        <v>72.9</v>
      </c>
      <c r="E445" s="1" t="str">
        <f>IFERROR(__xludf.DUMMYFUNCTION("""COMPUTED_VALUE"""),"-")</f>
        <v>-</v>
      </c>
      <c r="F445" s="1" t="str">
        <f>IFERROR(__xludf.DUMMYFUNCTION("""COMPUTED_VALUE"""),"Amazon")</f>
        <v>Amazon</v>
      </c>
      <c r="G445" s="1" t="str">
        <f>IFERROR(__xludf.DUMMYFUNCTION("""COMPUTED_VALUE"""),"Compras")</f>
        <v>Compras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7">
        <f>IFERROR(__xludf.DUMMYFUNCTION("""COMPUTED_VALUE"""),45870.0)</f>
        <v>45870</v>
      </c>
      <c r="B446" s="8">
        <f>IFERROR(__xludf.DUMMYFUNCTION("""COMPUTED_VALUE"""),45839.0)</f>
        <v>45839</v>
      </c>
      <c r="C446" s="1" t="str">
        <f>IFERROR(__xludf.DUMMYFUNCTION("""COMPUTED_VALUE"""),"Amazon (4/10)")</f>
        <v>Amazon (4/10)</v>
      </c>
      <c r="D446" s="2">
        <f>IFERROR(__xludf.DUMMYFUNCTION("""COMPUTED_VALUE"""),72.9)</f>
        <v>72.9</v>
      </c>
      <c r="E446" s="1" t="str">
        <f>IFERROR(__xludf.DUMMYFUNCTION("""COMPUTED_VALUE"""),"-")</f>
        <v>-</v>
      </c>
      <c r="F446" s="1" t="str">
        <f>IFERROR(__xludf.DUMMYFUNCTION("""COMPUTED_VALUE"""),"Amazon")</f>
        <v>Amazon</v>
      </c>
      <c r="G446" s="1" t="str">
        <f>IFERROR(__xludf.DUMMYFUNCTION("""COMPUTED_VALUE"""),"Compras")</f>
        <v>Compras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7">
        <f>IFERROR(__xludf.DUMMYFUNCTION("""COMPUTED_VALUE"""),45870.0)</f>
        <v>45870</v>
      </c>
      <c r="B447" s="8">
        <f>IFERROR(__xludf.DUMMYFUNCTION("""COMPUTED_VALUE"""),45839.0)</f>
        <v>45839</v>
      </c>
      <c r="C447" s="1" t="str">
        <f>IFERROR(__xludf.DUMMYFUNCTION("""COMPUTED_VALUE"""),"Amazon (3/10)")</f>
        <v>Amazon (3/10)</v>
      </c>
      <c r="D447" s="2">
        <f>IFERROR(__xludf.DUMMYFUNCTION("""COMPUTED_VALUE"""),72.9)</f>
        <v>72.9</v>
      </c>
      <c r="E447" s="1" t="str">
        <f>IFERROR(__xludf.DUMMYFUNCTION("""COMPUTED_VALUE"""),"-")</f>
        <v>-</v>
      </c>
      <c r="F447" s="1" t="str">
        <f>IFERROR(__xludf.DUMMYFUNCTION("""COMPUTED_VALUE"""),"Amazon")</f>
        <v>Amazon</v>
      </c>
      <c r="G447" s="1" t="str">
        <f>IFERROR(__xludf.DUMMYFUNCTION("""COMPUTED_VALUE"""),"Compras")</f>
        <v>Compras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7">
        <f>IFERROR(__xludf.DUMMYFUNCTION("""COMPUTED_VALUE"""),45870.0)</f>
        <v>45870</v>
      </c>
      <c r="B448" s="8">
        <f>IFERROR(__xludf.DUMMYFUNCTION("""COMPUTED_VALUE"""),45839.0)</f>
        <v>45839</v>
      </c>
      <c r="C448" s="1" t="str">
        <f>IFERROR(__xludf.DUMMYFUNCTION("""COMPUTED_VALUE"""),"Amazon (2/10)")</f>
        <v>Amazon (2/10)</v>
      </c>
      <c r="D448" s="2">
        <f>IFERROR(__xludf.DUMMYFUNCTION("""COMPUTED_VALUE"""),72.9)</f>
        <v>72.9</v>
      </c>
      <c r="E448" s="1" t="str">
        <f>IFERROR(__xludf.DUMMYFUNCTION("""COMPUTED_VALUE"""),"-")</f>
        <v>-</v>
      </c>
      <c r="F448" s="1" t="str">
        <f>IFERROR(__xludf.DUMMYFUNCTION("""COMPUTED_VALUE"""),"Amazon")</f>
        <v>Amazon</v>
      </c>
      <c r="G448" s="1" t="str">
        <f>IFERROR(__xludf.DUMMYFUNCTION("""COMPUTED_VALUE"""),"Compras")</f>
        <v>Compras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7">
        <f>IFERROR(__xludf.DUMMYFUNCTION("""COMPUTED_VALUE"""),45870.0)</f>
        <v>45870</v>
      </c>
      <c r="B449" s="8">
        <f>IFERROR(__xludf.DUMMYFUNCTION("""COMPUTED_VALUE"""),45840.0)</f>
        <v>45840</v>
      </c>
      <c r="C449" s="1" t="str">
        <f>IFERROR(__xludf.DUMMYFUNCTION("""COMPUTED_VALUE"""),"Panif Mendes Sion")</f>
        <v>Panif Mendes Sion</v>
      </c>
      <c r="D449" s="2">
        <f>IFERROR(__xludf.DUMMYFUNCTION("""COMPUTED_VALUE"""),7.59)</f>
        <v>7.59</v>
      </c>
      <c r="E449" s="1" t="str">
        <f>IFERROR(__xludf.DUMMYFUNCTION("""COMPUTED_VALUE"""),"-")</f>
        <v>-</v>
      </c>
      <c r="F449" s="1" t="str">
        <f>IFERROR(__xludf.DUMMYFUNCTION("""COMPUTED_VALUE"""),"Panif Mendes Sion")</f>
        <v>Panif Mendes Sion</v>
      </c>
      <c r="G449" s="1" t="str">
        <f>IFERROR(__xludf.DUMMYFUNCTION("""COMPUTED_VALUE"""),"Comida")</f>
        <v>Comida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7">
        <f>IFERROR(__xludf.DUMMYFUNCTION("""COMPUTED_VALUE"""),45870.0)</f>
        <v>45870</v>
      </c>
      <c r="B450" s="8">
        <f>IFERROR(__xludf.DUMMYFUNCTION("""COMPUTED_VALUE"""),45840.0)</f>
        <v>45840</v>
      </c>
      <c r="C450" s="1" t="str">
        <f>IFERROR(__xludf.DUMMYFUNCTION("""COMPUTED_VALUE"""),"Petlove (2/2)")</f>
        <v>Petlove (2/2)</v>
      </c>
      <c r="D450" s="2">
        <f>IFERROR(__xludf.DUMMYFUNCTION("""COMPUTED_VALUE"""),110.67)</f>
        <v>110.67</v>
      </c>
      <c r="E450" s="1" t="str">
        <f>IFERROR(__xludf.DUMMYFUNCTION("""COMPUTED_VALUE"""),"-")</f>
        <v>-</v>
      </c>
      <c r="F450" s="1" t="str">
        <f>IFERROR(__xludf.DUMMYFUNCTION("""COMPUTED_VALUE"""),"Petlove")</f>
        <v>Petlove</v>
      </c>
      <c r="G450" s="1" t="str">
        <f>IFERROR(__xludf.DUMMYFUNCTION("""COMPUTED_VALUE"""),"Hulk")</f>
        <v>Hulk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7">
        <f>IFERROR(__xludf.DUMMYFUNCTION("""COMPUTED_VALUE"""),45870.0)</f>
        <v>45870</v>
      </c>
      <c r="B451" s="8">
        <f>IFERROR(__xludf.DUMMYFUNCTION("""COMPUTED_VALUE"""),45840.0)</f>
        <v>45840</v>
      </c>
      <c r="C451" s="1" t="str">
        <f>IFERROR(__xludf.DUMMYFUNCTION("""COMPUTED_VALUE"""),"Petlove (1/2)")</f>
        <v>Petlove (1/2)</v>
      </c>
      <c r="D451" s="2">
        <f>IFERROR(__xludf.DUMMYFUNCTION("""COMPUTED_VALUE"""),110.68)</f>
        <v>110.68</v>
      </c>
      <c r="E451" s="1" t="str">
        <f>IFERROR(__xludf.DUMMYFUNCTION("""COMPUTED_VALUE"""),"-")</f>
        <v>-</v>
      </c>
      <c r="F451" s="1" t="str">
        <f>IFERROR(__xludf.DUMMYFUNCTION("""COMPUTED_VALUE"""),"Petlove")</f>
        <v>Petlove</v>
      </c>
      <c r="G451" s="1" t="str">
        <f>IFERROR(__xludf.DUMMYFUNCTION("""COMPUTED_VALUE"""),"Hulk")</f>
        <v>Hulk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7">
        <f>IFERROR(__xludf.DUMMYFUNCTION("""COMPUTED_VALUE"""),45870.0)</f>
        <v>45870</v>
      </c>
      <c r="B452" s="8">
        <f>IFERROR(__xludf.DUMMYFUNCTION("""COMPUTED_VALUE"""),45841.0)</f>
        <v>45841</v>
      </c>
      <c r="C452" s="1" t="str">
        <f>IFERROR(__xludf.DUMMYFUNCTION("""COMPUTED_VALUE"""),"Efc Decorações")</f>
        <v>Efc Decorações</v>
      </c>
      <c r="D452" s="2">
        <f>IFERROR(__xludf.DUMMYFUNCTION("""COMPUTED_VALUE"""),1210.0)</f>
        <v>1210</v>
      </c>
      <c r="E452" s="1" t="str">
        <f>IFERROR(__xludf.DUMMYFUNCTION("""COMPUTED_VALUE"""),"-")</f>
        <v>-</v>
      </c>
      <c r="F452" s="1" t="str">
        <f>IFERROR(__xludf.DUMMYFUNCTION("""COMPUTED_VALUE"""),"Efc Decorações")</f>
        <v>Efc Decorações</v>
      </c>
      <c r="G452" s="1" t="str">
        <f>IFERROR(__xludf.DUMMYFUNCTION("""COMPUTED_VALUE"""),"-")</f>
        <v>-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7">
        <f>IFERROR(__xludf.DUMMYFUNCTION("""COMPUTED_VALUE"""),45870.0)</f>
        <v>45870</v>
      </c>
      <c r="B453" s="8">
        <f>IFERROR(__xludf.DUMMYFUNCTION("""COMPUTED_VALUE"""),45841.0)</f>
        <v>45841</v>
      </c>
      <c r="C453" s="1" t="str">
        <f>IFERROR(__xludf.DUMMYFUNCTION("""COMPUTED_VALUE"""),"Bem Oriente")</f>
        <v>Bem Oriente</v>
      </c>
      <c r="D453" s="2">
        <f>IFERROR(__xludf.DUMMYFUNCTION("""COMPUTED_VALUE"""),50.94)</f>
        <v>50.94</v>
      </c>
      <c r="E453" s="1" t="str">
        <f>IFERROR(__xludf.DUMMYFUNCTION("""COMPUTED_VALUE"""),"-")</f>
        <v>-</v>
      </c>
      <c r="F453" s="1" t="str">
        <f>IFERROR(__xludf.DUMMYFUNCTION("""COMPUTED_VALUE"""),"Bem Oriente")</f>
        <v>Bem Oriente</v>
      </c>
      <c r="G453" s="1" t="str">
        <f>IFERROR(__xludf.DUMMYFUNCTION("""COMPUTED_VALUE"""),"-")</f>
        <v>-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7">
        <f>IFERROR(__xludf.DUMMYFUNCTION("""COMPUTED_VALUE"""),45870.0)</f>
        <v>45870</v>
      </c>
      <c r="B454" s="8">
        <f>IFERROR(__xludf.DUMMYFUNCTION("""COMPUTED_VALUE"""),45841.0)</f>
        <v>45841</v>
      </c>
      <c r="C454" s="1" t="str">
        <f>IFERROR(__xludf.DUMMYFUNCTION("""COMPUTED_VALUE"""),"Barnabe Emporio")</f>
        <v>Barnabe Emporio</v>
      </c>
      <c r="D454" s="2">
        <f>IFERROR(__xludf.DUMMYFUNCTION("""COMPUTED_VALUE"""),47.8)</f>
        <v>47.8</v>
      </c>
      <c r="E454" s="1" t="str">
        <f>IFERROR(__xludf.DUMMYFUNCTION("""COMPUTED_VALUE"""),"-")</f>
        <v>-</v>
      </c>
      <c r="F454" s="1" t="str">
        <f>IFERROR(__xludf.DUMMYFUNCTION("""COMPUTED_VALUE"""),"Barnabe Emporio")</f>
        <v>Barnabe Emporio</v>
      </c>
      <c r="G454" s="1" t="str">
        <f>IFERROR(__xludf.DUMMYFUNCTION("""COMPUTED_VALUE"""),"Comida")</f>
        <v>Comida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7">
        <f>IFERROR(__xludf.DUMMYFUNCTION("""COMPUTED_VALUE"""),45870.0)</f>
        <v>45870</v>
      </c>
      <c r="B455" s="8">
        <f>IFERROR(__xludf.DUMMYFUNCTION("""COMPUTED_VALUE"""),45841.0)</f>
        <v>45841</v>
      </c>
      <c r="C455" s="1" t="str">
        <f>IFERROR(__xludf.DUMMYFUNCTION("""COMPUTED_VALUE"""),"Bem Hortifruti")</f>
        <v>Bem Hortifruti</v>
      </c>
      <c r="D455" s="2">
        <f>IFERROR(__xludf.DUMMYFUNCTION("""COMPUTED_VALUE"""),7.44)</f>
        <v>7.44</v>
      </c>
      <c r="E455" s="1" t="str">
        <f>IFERROR(__xludf.DUMMYFUNCTION("""COMPUTED_VALUE"""),"-")</f>
        <v>-</v>
      </c>
      <c r="F455" s="1" t="str">
        <f>IFERROR(__xludf.DUMMYFUNCTION("""COMPUTED_VALUE"""),"Bem Hortifruti")</f>
        <v>Bem Hortifruti</v>
      </c>
      <c r="G455" s="1" t="str">
        <f>IFERROR(__xludf.DUMMYFUNCTION("""COMPUTED_VALUE"""),"Comida")</f>
        <v>Comida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7">
        <f>IFERROR(__xludf.DUMMYFUNCTION("""COMPUTED_VALUE"""),45870.0)</f>
        <v>45870</v>
      </c>
      <c r="B456" s="8">
        <f>IFERROR(__xludf.DUMMYFUNCTION("""COMPUTED_VALUE"""),45841.0)</f>
        <v>45841</v>
      </c>
      <c r="C456" s="1" t="str">
        <f>IFERROR(__xludf.DUMMYFUNCTION("""COMPUTED_VALUE"""),"Amazon")</f>
        <v>Amazon</v>
      </c>
      <c r="D456" s="2">
        <f>IFERROR(__xludf.DUMMYFUNCTION("""COMPUTED_VALUE"""),16.06)</f>
        <v>16.06</v>
      </c>
      <c r="E456" s="1" t="str">
        <f>IFERROR(__xludf.DUMMYFUNCTION("""COMPUTED_VALUE"""),"-")</f>
        <v>-</v>
      </c>
      <c r="F456" s="1" t="str">
        <f>IFERROR(__xludf.DUMMYFUNCTION("""COMPUTED_VALUE"""),"Amazon")</f>
        <v>Amazon</v>
      </c>
      <c r="G456" s="1" t="str">
        <f>IFERROR(__xludf.DUMMYFUNCTION("""COMPUTED_VALUE"""),"Compras")</f>
        <v>Compras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7">
        <f>IFERROR(__xludf.DUMMYFUNCTION("""COMPUTED_VALUE"""),45870.0)</f>
        <v>45870</v>
      </c>
      <c r="B457" s="8">
        <f>IFERROR(__xludf.DUMMYFUNCTION("""COMPUTED_VALUE"""),45843.0)</f>
        <v>45843</v>
      </c>
      <c r="C457" s="1" t="str">
        <f>IFERROR(__xludf.DUMMYFUNCTION("""COMPUTED_VALUE"""),"Vila Aymore")</f>
        <v>Vila Aymore</v>
      </c>
      <c r="D457" s="2">
        <f>IFERROR(__xludf.DUMMYFUNCTION("""COMPUTED_VALUE"""),210.53)</f>
        <v>210.53</v>
      </c>
      <c r="E457" s="1" t="str">
        <f>IFERROR(__xludf.DUMMYFUNCTION("""COMPUTED_VALUE"""),"-")</f>
        <v>-</v>
      </c>
      <c r="F457" s="1" t="str">
        <f>IFERROR(__xludf.DUMMYFUNCTION("""COMPUTED_VALUE"""),"Vila Aymore")</f>
        <v>Vila Aymore</v>
      </c>
      <c r="G457" s="1" t="str">
        <f>IFERROR(__xludf.DUMMYFUNCTION("""COMPUTED_VALUE"""),"-")</f>
        <v>-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7">
        <f>IFERROR(__xludf.DUMMYFUNCTION("""COMPUTED_VALUE"""),45870.0)</f>
        <v>45870</v>
      </c>
      <c r="B458" s="8">
        <f>IFERROR(__xludf.DUMMYFUNCTION("""COMPUTED_VALUE"""),45843.0)</f>
        <v>45843</v>
      </c>
      <c r="C458" s="1" t="str">
        <f>IFERROR(__xludf.DUMMYFUNCTION("""COMPUTED_VALUE"""),"Shopee")</f>
        <v>Shopee</v>
      </c>
      <c r="D458" s="2">
        <f>IFERROR(__xludf.DUMMYFUNCTION("""COMPUTED_VALUE"""),42.99)</f>
        <v>42.99</v>
      </c>
      <c r="E458" s="1" t="str">
        <f>IFERROR(__xludf.DUMMYFUNCTION("""COMPUTED_VALUE"""),"-")</f>
        <v>-</v>
      </c>
      <c r="F458" s="1" t="str">
        <f>IFERROR(__xludf.DUMMYFUNCTION("""COMPUTED_VALUE"""),"Shopee")</f>
        <v>Shopee</v>
      </c>
      <c r="G458" s="1" t="str">
        <f>IFERROR(__xludf.DUMMYFUNCTION("""COMPUTED_VALUE"""),"Compras")</f>
        <v>Compras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7">
        <f>IFERROR(__xludf.DUMMYFUNCTION("""COMPUTED_VALUE"""),45870.0)</f>
        <v>45870</v>
      </c>
      <c r="B459" s="8">
        <f>IFERROR(__xludf.DUMMYFUNCTION("""COMPUTED_VALUE"""),45843.0)</f>
        <v>45843</v>
      </c>
      <c r="C459" s="1" t="str">
        <f>IFERROR(__xludf.DUMMYFUNCTION("""COMPUTED_VALUE"""),"Sam's Club")</f>
        <v>Sam's Club</v>
      </c>
      <c r="D459" s="2">
        <f>IFERROR(__xludf.DUMMYFUNCTION("""COMPUTED_VALUE"""),516.33)</f>
        <v>516.33</v>
      </c>
      <c r="E459" s="1" t="str">
        <f>IFERROR(__xludf.DUMMYFUNCTION("""COMPUTED_VALUE"""),"-")</f>
        <v>-</v>
      </c>
      <c r="F459" s="1" t="str">
        <f>IFERROR(__xludf.DUMMYFUNCTION("""COMPUTED_VALUE"""),"Sam's Club")</f>
        <v>Sam's Club</v>
      </c>
      <c r="G459" s="1" t="str">
        <f>IFERROR(__xludf.DUMMYFUNCTION("""COMPUTED_VALUE"""),"Supermercado")</f>
        <v>Supermercado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7">
        <f>IFERROR(__xludf.DUMMYFUNCTION("""COMPUTED_VALUE"""),45870.0)</f>
        <v>45870</v>
      </c>
      <c r="B460" s="8">
        <f>IFERROR(__xludf.DUMMYFUNCTION("""COMPUTED_VALUE"""),45843.0)</f>
        <v>45843</v>
      </c>
      <c r="C460" s="1" t="str">
        <f>IFERROR(__xludf.DUMMYFUNCTION("""COMPUTED_VALUE"""),"Amazon")</f>
        <v>Amazon</v>
      </c>
      <c r="D460" s="2">
        <f>IFERROR(__xludf.DUMMYFUNCTION("""COMPUTED_VALUE"""),4.6)</f>
        <v>4.6</v>
      </c>
      <c r="E460" s="1" t="str">
        <f>IFERROR(__xludf.DUMMYFUNCTION("""COMPUTED_VALUE"""),"-")</f>
        <v>-</v>
      </c>
      <c r="F460" s="1" t="str">
        <f>IFERROR(__xludf.DUMMYFUNCTION("""COMPUTED_VALUE"""),"Amazon")</f>
        <v>Amazon</v>
      </c>
      <c r="G460" s="1" t="str">
        <f>IFERROR(__xludf.DUMMYFUNCTION("""COMPUTED_VALUE"""),"Compras")</f>
        <v>Compras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7">
        <f>IFERROR(__xludf.DUMMYFUNCTION("""COMPUTED_VALUE"""),45870.0)</f>
        <v>45870</v>
      </c>
      <c r="B461" s="8">
        <f>IFERROR(__xludf.DUMMYFUNCTION("""COMPUTED_VALUE"""),45843.0)</f>
        <v>45843</v>
      </c>
      <c r="C461" s="1" t="str">
        <f>IFERROR(__xludf.DUMMYFUNCTION("""COMPUTED_VALUE"""),"Amazon")</f>
        <v>Amazon</v>
      </c>
      <c r="D461" s="2">
        <f>IFERROR(__xludf.DUMMYFUNCTION("""COMPUTED_VALUE"""),39.37)</f>
        <v>39.37</v>
      </c>
      <c r="E461" s="1" t="str">
        <f>IFERROR(__xludf.DUMMYFUNCTION("""COMPUTED_VALUE"""),"-")</f>
        <v>-</v>
      </c>
      <c r="F461" s="1" t="str">
        <f>IFERROR(__xludf.DUMMYFUNCTION("""COMPUTED_VALUE"""),"Amazon")</f>
        <v>Amazon</v>
      </c>
      <c r="G461" s="1" t="str">
        <f>IFERROR(__xludf.DUMMYFUNCTION("""COMPUTED_VALUE"""),"Compras")</f>
        <v>Compras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7">
        <f>IFERROR(__xludf.DUMMYFUNCTION("""COMPUTED_VALUE"""),45870.0)</f>
        <v>45870</v>
      </c>
      <c r="B462" s="8">
        <f>IFERROR(__xludf.DUMMYFUNCTION("""COMPUTED_VALUE"""),45843.0)</f>
        <v>45843</v>
      </c>
      <c r="C462" s="1" t="str">
        <f>IFERROR(__xludf.DUMMYFUNCTION("""COMPUTED_VALUE"""),"Amazon")</f>
        <v>Amazon</v>
      </c>
      <c r="D462" s="2">
        <f>IFERROR(__xludf.DUMMYFUNCTION("""COMPUTED_VALUE"""),36.81)</f>
        <v>36.81</v>
      </c>
      <c r="E462" s="1" t="str">
        <f>IFERROR(__xludf.DUMMYFUNCTION("""COMPUTED_VALUE"""),"-")</f>
        <v>-</v>
      </c>
      <c r="F462" s="1" t="str">
        <f>IFERROR(__xludf.DUMMYFUNCTION("""COMPUTED_VALUE"""),"Amazon")</f>
        <v>Amazon</v>
      </c>
      <c r="G462" s="1" t="str">
        <f>IFERROR(__xludf.DUMMYFUNCTION("""COMPUTED_VALUE"""),"Compras")</f>
        <v>Compras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7">
        <f>IFERROR(__xludf.DUMMYFUNCTION("""COMPUTED_VALUE"""),45870.0)</f>
        <v>45870</v>
      </c>
      <c r="B463" s="8">
        <f>IFERROR(__xludf.DUMMYFUNCTION("""COMPUTED_VALUE"""),45843.0)</f>
        <v>45843</v>
      </c>
      <c r="C463" s="1" t="str">
        <f>IFERROR(__xludf.DUMMYFUNCTION("""COMPUTED_VALUE"""),"Amazon")</f>
        <v>Amazon</v>
      </c>
      <c r="D463" s="2">
        <f>IFERROR(__xludf.DUMMYFUNCTION("""COMPUTED_VALUE"""),36.81)</f>
        <v>36.81</v>
      </c>
      <c r="E463" s="1" t="str">
        <f>IFERROR(__xludf.DUMMYFUNCTION("""COMPUTED_VALUE"""),"-")</f>
        <v>-</v>
      </c>
      <c r="F463" s="1" t="str">
        <f>IFERROR(__xludf.DUMMYFUNCTION("""COMPUTED_VALUE"""),"Amazon")</f>
        <v>Amazon</v>
      </c>
      <c r="G463" s="1" t="str">
        <f>IFERROR(__xludf.DUMMYFUNCTION("""COMPUTED_VALUE"""),"Compras")</f>
        <v>Compras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7">
        <f>IFERROR(__xludf.DUMMYFUNCTION("""COMPUTED_VALUE"""),45870.0)</f>
        <v>45870</v>
      </c>
      <c r="B464" s="8">
        <f>IFERROR(__xludf.DUMMYFUNCTION("""COMPUTED_VALUE"""),45844.0)</f>
        <v>45844</v>
      </c>
      <c r="C464" s="1" t="str">
        <f>IFERROR(__xludf.DUMMYFUNCTION("""COMPUTED_VALUE"""),"Panif Mendes Sion")</f>
        <v>Panif Mendes Sion</v>
      </c>
      <c r="D464" s="2">
        <f>IFERROR(__xludf.DUMMYFUNCTION("""COMPUTED_VALUE"""),9.9)</f>
        <v>9.9</v>
      </c>
      <c r="E464" s="1" t="str">
        <f>IFERROR(__xludf.DUMMYFUNCTION("""COMPUTED_VALUE"""),"-")</f>
        <v>-</v>
      </c>
      <c r="F464" s="1" t="str">
        <f>IFERROR(__xludf.DUMMYFUNCTION("""COMPUTED_VALUE"""),"Panif Mendes Sion")</f>
        <v>Panif Mendes Sion</v>
      </c>
      <c r="G464" s="1" t="str">
        <f>IFERROR(__xludf.DUMMYFUNCTION("""COMPUTED_VALUE"""),"Comida")</f>
        <v>Comida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7">
        <f>IFERROR(__xludf.DUMMYFUNCTION("""COMPUTED_VALUE"""),45870.0)</f>
        <v>45870</v>
      </c>
      <c r="B465" s="8">
        <f>IFERROR(__xludf.DUMMYFUNCTION("""COMPUTED_VALUE"""),45844.0)</f>
        <v>45844</v>
      </c>
      <c r="C465" s="1" t="str">
        <f>IFERROR(__xludf.DUMMYFUNCTION("""COMPUTED_VALUE"""),"Amazon")</f>
        <v>Amazon</v>
      </c>
      <c r="D465" s="2">
        <f>IFERROR(__xludf.DUMMYFUNCTION("""COMPUTED_VALUE"""),32.43)</f>
        <v>32.43</v>
      </c>
      <c r="E465" s="1" t="str">
        <f>IFERROR(__xludf.DUMMYFUNCTION("""COMPUTED_VALUE"""),"-")</f>
        <v>-</v>
      </c>
      <c r="F465" s="1" t="str">
        <f>IFERROR(__xludf.DUMMYFUNCTION("""COMPUTED_VALUE"""),"Amazon")</f>
        <v>Amazon</v>
      </c>
      <c r="G465" s="1" t="str">
        <f>IFERROR(__xludf.DUMMYFUNCTION("""COMPUTED_VALUE"""),"Compras")</f>
        <v>Compras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7">
        <f>IFERROR(__xludf.DUMMYFUNCTION("""COMPUTED_VALUE"""),45870.0)</f>
        <v>45870</v>
      </c>
      <c r="B466" s="8">
        <f>IFERROR(__xludf.DUMMYFUNCTION("""COMPUTED_VALUE"""),45845.0)</f>
        <v>45845</v>
      </c>
      <c r="C466" s="1" t="str">
        <f>IFERROR(__xludf.DUMMYFUNCTION("""COMPUTED_VALUE"""),"Supermercado Epa")</f>
        <v>Supermercado Epa</v>
      </c>
      <c r="D466" s="2">
        <f>IFERROR(__xludf.DUMMYFUNCTION("""COMPUTED_VALUE"""),26.46)</f>
        <v>26.46</v>
      </c>
      <c r="E466" s="1" t="str">
        <f>IFERROR(__xludf.DUMMYFUNCTION("""COMPUTED_VALUE"""),"-")</f>
        <v>-</v>
      </c>
      <c r="F466" s="1" t="str">
        <f>IFERROR(__xludf.DUMMYFUNCTION("""COMPUTED_VALUE"""),"Supermercado Epa")</f>
        <v>Supermercado Epa</v>
      </c>
      <c r="G466" s="1" t="str">
        <f>IFERROR(__xludf.DUMMYFUNCTION("""COMPUTED_VALUE"""),"-")</f>
        <v>-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7">
        <f>IFERROR(__xludf.DUMMYFUNCTION("""COMPUTED_VALUE"""),45870.0)</f>
        <v>45870</v>
      </c>
      <c r="B467" s="8">
        <f>IFERROR(__xludf.DUMMYFUNCTION("""COMPUTED_VALUE"""),45845.0)</f>
        <v>45845</v>
      </c>
      <c r="C467" s="1" t="str">
        <f>IFERROR(__xludf.DUMMYFUNCTION("""COMPUTED_VALUE"""),"Shopee")</f>
        <v>Shopee</v>
      </c>
      <c r="D467" s="2">
        <f>IFERROR(__xludf.DUMMYFUNCTION("""COMPUTED_VALUE"""),29.5)</f>
        <v>29.5</v>
      </c>
      <c r="E467" s="1" t="str">
        <f>IFERROR(__xludf.DUMMYFUNCTION("""COMPUTED_VALUE"""),"-")</f>
        <v>-</v>
      </c>
      <c r="F467" s="1" t="str">
        <f>IFERROR(__xludf.DUMMYFUNCTION("""COMPUTED_VALUE"""),"Shopee")</f>
        <v>Shopee</v>
      </c>
      <c r="G467" s="1" t="str">
        <f>IFERROR(__xludf.DUMMYFUNCTION("""COMPUTED_VALUE"""),"Compras")</f>
        <v>Compras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7">
        <f>IFERROR(__xludf.DUMMYFUNCTION("""COMPUTED_VALUE"""),45870.0)</f>
        <v>45870</v>
      </c>
      <c r="B468" s="8">
        <f>IFERROR(__xludf.DUMMYFUNCTION("""COMPUTED_VALUE"""),45846.0)</f>
        <v>45846</v>
      </c>
      <c r="C468" s="1" t="str">
        <f>IFERROR(__xludf.DUMMYFUNCTION("""COMPUTED_VALUE"""),"Drogaria Araujo")</f>
        <v>Drogaria Araujo</v>
      </c>
      <c r="D468" s="2">
        <f>IFERROR(__xludf.DUMMYFUNCTION("""COMPUTED_VALUE"""),49.58)</f>
        <v>49.58</v>
      </c>
      <c r="E468" s="1" t="str">
        <f>IFERROR(__xludf.DUMMYFUNCTION("""COMPUTED_VALUE"""),"-")</f>
        <v>-</v>
      </c>
      <c r="F468" s="1" t="str">
        <f>IFERROR(__xludf.DUMMYFUNCTION("""COMPUTED_VALUE"""),"Drogaria Araujo")</f>
        <v>Drogaria Araujo</v>
      </c>
      <c r="G468" s="1" t="str">
        <f>IFERROR(__xludf.DUMMYFUNCTION("""COMPUTED_VALUE"""),"Farmácia")</f>
        <v>Farmácia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7">
        <f>IFERROR(__xludf.DUMMYFUNCTION("""COMPUTED_VALUE"""),45870.0)</f>
        <v>45870</v>
      </c>
      <c r="B469" s="8">
        <f>IFERROR(__xludf.DUMMYFUNCTION("""COMPUTED_VALUE"""),45847.0)</f>
        <v>45847</v>
      </c>
      <c r="C469" s="1" t="str">
        <f>IFERROR(__xludf.DUMMYFUNCTION("""COMPUTED_VALUE"""),"Drogaria Araujo")</f>
        <v>Drogaria Araujo</v>
      </c>
      <c r="D469" s="2">
        <f>IFERROR(__xludf.DUMMYFUNCTION("""COMPUTED_VALUE"""),7.32)</f>
        <v>7.32</v>
      </c>
      <c r="E469" s="1" t="str">
        <f>IFERROR(__xludf.DUMMYFUNCTION("""COMPUTED_VALUE"""),"-")</f>
        <v>-</v>
      </c>
      <c r="F469" s="1" t="str">
        <f>IFERROR(__xludf.DUMMYFUNCTION("""COMPUTED_VALUE"""),"Drogaria Araujo")</f>
        <v>Drogaria Araujo</v>
      </c>
      <c r="G469" s="1" t="str">
        <f>IFERROR(__xludf.DUMMYFUNCTION("""COMPUTED_VALUE"""),"Farmácia")</f>
        <v>Farmácia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7">
        <f>IFERROR(__xludf.DUMMYFUNCTION("""COMPUTED_VALUE"""),45870.0)</f>
        <v>45870</v>
      </c>
      <c r="B470" s="8">
        <f>IFERROR(__xludf.DUMMYFUNCTION("""COMPUTED_VALUE"""),45848.0)</f>
        <v>45848</v>
      </c>
      <c r="C470" s="1" t="str">
        <f>IFERROR(__xludf.DUMMYFUNCTION("""COMPUTED_VALUE"""),"Shopee")</f>
        <v>Shopee</v>
      </c>
      <c r="D470" s="2">
        <f>IFERROR(__xludf.DUMMYFUNCTION("""COMPUTED_VALUE"""),13.29)</f>
        <v>13.29</v>
      </c>
      <c r="E470" s="1" t="str">
        <f>IFERROR(__xludf.DUMMYFUNCTION("""COMPUTED_VALUE"""),"-")</f>
        <v>-</v>
      </c>
      <c r="F470" s="1" t="str">
        <f>IFERROR(__xludf.DUMMYFUNCTION("""COMPUTED_VALUE"""),"Shopee")</f>
        <v>Shopee</v>
      </c>
      <c r="G470" s="1" t="str">
        <f>IFERROR(__xludf.DUMMYFUNCTION("""COMPUTED_VALUE"""),"Compras")</f>
        <v>Compras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7">
        <f>IFERROR(__xludf.DUMMYFUNCTION("""COMPUTED_VALUE"""),45870.0)</f>
        <v>45870</v>
      </c>
      <c r="B471" s="8">
        <f>IFERROR(__xludf.DUMMYFUNCTION("""COMPUTED_VALUE"""),45848.0)</f>
        <v>45848</v>
      </c>
      <c r="C471" s="1" t="str">
        <f>IFERROR(__xludf.DUMMYFUNCTION("""COMPUTED_VALUE"""),"Amazon")</f>
        <v>Amazon</v>
      </c>
      <c r="D471" s="2">
        <f>IFERROR(__xludf.DUMMYFUNCTION("""COMPUTED_VALUE"""),32.36)</f>
        <v>32.36</v>
      </c>
      <c r="E471" s="1" t="str">
        <f>IFERROR(__xludf.DUMMYFUNCTION("""COMPUTED_VALUE"""),"-")</f>
        <v>-</v>
      </c>
      <c r="F471" s="1" t="str">
        <f>IFERROR(__xludf.DUMMYFUNCTION("""COMPUTED_VALUE"""),"Amazon")</f>
        <v>Amazon</v>
      </c>
      <c r="G471" s="1" t="str">
        <f>IFERROR(__xludf.DUMMYFUNCTION("""COMPUTED_VALUE"""),"Compras")</f>
        <v>Compras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7">
        <f>IFERROR(__xludf.DUMMYFUNCTION("""COMPUTED_VALUE"""),45870.0)</f>
        <v>45870</v>
      </c>
      <c r="B472" s="8">
        <f>IFERROR(__xludf.DUMMYFUNCTION("""COMPUTED_VALUE"""),45848.0)</f>
        <v>45848</v>
      </c>
      <c r="C472" s="1" t="str">
        <f>IFERROR(__xludf.DUMMYFUNCTION("""COMPUTED_VALUE"""),"Choky Confeitaria")</f>
        <v>Choky Confeitaria</v>
      </c>
      <c r="D472" s="2">
        <f>IFERROR(__xludf.DUMMYFUNCTION("""COMPUTED_VALUE"""),54.0)</f>
        <v>54</v>
      </c>
      <c r="E472" s="1" t="str">
        <f>IFERROR(__xludf.DUMMYFUNCTION("""COMPUTED_VALUE"""),"-")</f>
        <v>-</v>
      </c>
      <c r="F472" s="1" t="str">
        <f>IFERROR(__xludf.DUMMYFUNCTION("""COMPUTED_VALUE"""),"Choky Confeitaria")</f>
        <v>Choky Confeitaria</v>
      </c>
      <c r="G472" s="1" t="str">
        <f>IFERROR(__xludf.DUMMYFUNCTION("""COMPUTED_VALUE"""),"-")</f>
        <v>-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7">
        <f>IFERROR(__xludf.DUMMYFUNCTION("""COMPUTED_VALUE"""),45870.0)</f>
        <v>45870</v>
      </c>
      <c r="B473" s="8">
        <f>IFERROR(__xludf.DUMMYFUNCTION("""COMPUTED_VALUE"""),45848.0)</f>
        <v>45848</v>
      </c>
      <c r="C473" s="1" t="str">
        <f>IFERROR(__xludf.DUMMYFUNCTION("""COMPUTED_VALUE"""),"Rizzo Horizonte")</f>
        <v>Rizzo Horizonte</v>
      </c>
      <c r="D473" s="2">
        <f>IFERROR(__xludf.DUMMYFUNCTION("""COMPUTED_VALUE"""),54.5)</f>
        <v>54.5</v>
      </c>
      <c r="E473" s="1" t="str">
        <f>IFERROR(__xludf.DUMMYFUNCTION("""COMPUTED_VALUE"""),"-")</f>
        <v>-</v>
      </c>
      <c r="F473" s="1" t="str">
        <f>IFERROR(__xludf.DUMMYFUNCTION("""COMPUTED_VALUE"""),"Rizzo Horizonte")</f>
        <v>Rizzo Horizonte</v>
      </c>
      <c r="G473" s="1" t="str">
        <f>IFERROR(__xludf.DUMMYFUNCTION("""COMPUTED_VALUE"""),"-")</f>
        <v>-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7">
        <f>IFERROR(__xludf.DUMMYFUNCTION("""COMPUTED_VALUE"""),45870.0)</f>
        <v>45870</v>
      </c>
      <c r="B474" s="8">
        <f>IFERROR(__xludf.DUMMYFUNCTION("""COMPUTED_VALUE"""),45848.0)</f>
        <v>45848</v>
      </c>
      <c r="C474" s="1" t="str">
        <f>IFERROR(__xludf.DUMMYFUNCTION("""COMPUTED_VALUE"""),"Rizzo Horizonte")</f>
        <v>Rizzo Horizonte</v>
      </c>
      <c r="D474" s="2">
        <f>IFERROR(__xludf.DUMMYFUNCTION("""COMPUTED_VALUE"""),25.9)</f>
        <v>25.9</v>
      </c>
      <c r="E474" s="1" t="str">
        <f>IFERROR(__xludf.DUMMYFUNCTION("""COMPUTED_VALUE"""),"-")</f>
        <v>-</v>
      </c>
      <c r="F474" s="1" t="str">
        <f>IFERROR(__xludf.DUMMYFUNCTION("""COMPUTED_VALUE"""),"Rizzo Horizonte")</f>
        <v>Rizzo Horizonte</v>
      </c>
      <c r="G474" s="1" t="str">
        <f>IFERROR(__xludf.DUMMYFUNCTION("""COMPUTED_VALUE"""),"-")</f>
        <v>-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7">
        <f>IFERROR(__xludf.DUMMYFUNCTION("""COMPUTED_VALUE"""),45870.0)</f>
        <v>45870</v>
      </c>
      <c r="B475" s="8">
        <f>IFERROR(__xludf.DUMMYFUNCTION("""COMPUTED_VALUE"""),45848.0)</f>
        <v>45848</v>
      </c>
      <c r="C475" s="1" t="str">
        <f>IFERROR(__xludf.DUMMYFUNCTION("""COMPUTED_VALUE"""),"Spotify")</f>
        <v>Spotify</v>
      </c>
      <c r="D475" s="2">
        <f>IFERROR(__xludf.DUMMYFUNCTION("""COMPUTED_VALUE"""),34.9)</f>
        <v>34.9</v>
      </c>
      <c r="E475" s="1" t="str">
        <f>IFERROR(__xludf.DUMMYFUNCTION("""COMPUTED_VALUE"""),"-")</f>
        <v>-</v>
      </c>
      <c r="F475" s="1" t="str">
        <f>IFERROR(__xludf.DUMMYFUNCTION("""COMPUTED_VALUE"""),"Spotify")</f>
        <v>Spotify</v>
      </c>
      <c r="G475" s="1" t="str">
        <f>IFERROR(__xludf.DUMMYFUNCTION("""COMPUTED_VALUE"""),"Assinatura")</f>
        <v>Assinatura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7">
        <f>IFERROR(__xludf.DUMMYFUNCTION("""COMPUTED_VALUE"""),45870.0)</f>
        <v>45870</v>
      </c>
      <c r="B476" s="8">
        <f>IFERROR(__xludf.DUMMYFUNCTION("""COMPUTED_VALUE"""),45848.0)</f>
        <v>45848</v>
      </c>
      <c r="C476" s="1" t="str">
        <f>IFERROR(__xludf.DUMMYFUNCTION("""COMPUTED_VALUE"""),"Shopee")</f>
        <v>Shopee</v>
      </c>
      <c r="D476" s="2">
        <f>IFERROR(__xludf.DUMMYFUNCTION("""COMPUTED_VALUE"""),32.89)</f>
        <v>32.89</v>
      </c>
      <c r="E476" s="1" t="str">
        <f>IFERROR(__xludf.DUMMYFUNCTION("""COMPUTED_VALUE"""),"-")</f>
        <v>-</v>
      </c>
      <c r="F476" s="1" t="str">
        <f>IFERROR(__xludf.DUMMYFUNCTION("""COMPUTED_VALUE"""),"Shopee")</f>
        <v>Shopee</v>
      </c>
      <c r="G476" s="1" t="str">
        <f>IFERROR(__xludf.DUMMYFUNCTION("""COMPUTED_VALUE"""),"Compras")</f>
        <v>Compras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7">
        <f>IFERROR(__xludf.DUMMYFUNCTION("""COMPUTED_VALUE"""),45870.0)</f>
        <v>45870</v>
      </c>
      <c r="B477" s="8">
        <f>IFERROR(__xludf.DUMMYFUNCTION("""COMPUTED_VALUE"""),45849.0)</f>
        <v>45849</v>
      </c>
      <c r="C477" s="1" t="str">
        <f>IFERROR(__xludf.DUMMYFUNCTION("""COMPUTED_VALUE"""),"Amazon Digital Br")</f>
        <v>Amazon Digital Br</v>
      </c>
      <c r="D477" s="2">
        <f>IFERROR(__xludf.DUMMYFUNCTION("""COMPUTED_VALUE"""),17.06)</f>
        <v>17.06</v>
      </c>
      <c r="E477" s="1" t="str">
        <f>IFERROR(__xludf.DUMMYFUNCTION("""COMPUTED_VALUE"""),"-")</f>
        <v>-</v>
      </c>
      <c r="F477" s="1" t="str">
        <f>IFERROR(__xludf.DUMMYFUNCTION("""COMPUTED_VALUE"""),"Amazon Digital Br")</f>
        <v>Amazon Digital Br</v>
      </c>
      <c r="G477" s="1" t="str">
        <f>IFERROR(__xludf.DUMMYFUNCTION("""COMPUTED_VALUE"""),"Compras")</f>
        <v>Compras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7">
        <f>IFERROR(__xludf.DUMMYFUNCTION("""COMPUTED_VALUE"""),45870.0)</f>
        <v>45870</v>
      </c>
      <c r="B478" s="8">
        <f>IFERROR(__xludf.DUMMYFUNCTION("""COMPUTED_VALUE"""),45850.0)</f>
        <v>45850</v>
      </c>
      <c r="C478" s="1" t="str">
        <f>IFERROR(__xludf.DUMMYFUNCTION("""COMPUTED_VALUE"""),"Aml Panificadora")</f>
        <v>Aml Panificadora</v>
      </c>
      <c r="D478" s="2">
        <f>IFERROR(__xludf.DUMMYFUNCTION("""COMPUTED_VALUE"""),31.75)</f>
        <v>31.75</v>
      </c>
      <c r="E478" s="1" t="str">
        <f>IFERROR(__xludf.DUMMYFUNCTION("""COMPUTED_VALUE"""),"-")</f>
        <v>-</v>
      </c>
      <c r="F478" s="1" t="str">
        <f>IFERROR(__xludf.DUMMYFUNCTION("""COMPUTED_VALUE"""),"Aml Panificadora")</f>
        <v>Aml Panificadora</v>
      </c>
      <c r="G478" s="1" t="str">
        <f>IFERROR(__xludf.DUMMYFUNCTION("""COMPUTED_VALUE"""),"-")</f>
        <v>-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7">
        <f>IFERROR(__xludf.DUMMYFUNCTION("""COMPUTED_VALUE"""),45870.0)</f>
        <v>45870</v>
      </c>
      <c r="B479" s="8">
        <f>IFERROR(__xludf.DUMMYFUNCTION("""COMPUTED_VALUE"""),45850.0)</f>
        <v>45850</v>
      </c>
      <c r="C479" s="1" t="str">
        <f>IFERROR(__xludf.DUMMYFUNCTION("""COMPUTED_VALUE"""),"Amazon")</f>
        <v>Amazon</v>
      </c>
      <c r="D479" s="2">
        <f>IFERROR(__xludf.DUMMYFUNCTION("""COMPUTED_VALUE"""),21.9)</f>
        <v>21.9</v>
      </c>
      <c r="E479" s="1" t="str">
        <f>IFERROR(__xludf.DUMMYFUNCTION("""COMPUTED_VALUE"""),"-")</f>
        <v>-</v>
      </c>
      <c r="F479" s="1" t="str">
        <f>IFERROR(__xludf.DUMMYFUNCTION("""COMPUTED_VALUE"""),"Amazon")</f>
        <v>Amazon</v>
      </c>
      <c r="G479" s="1" t="str">
        <f>IFERROR(__xludf.DUMMYFUNCTION("""COMPUTED_VALUE"""),"Compras")</f>
        <v>Compras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7">
        <f>IFERROR(__xludf.DUMMYFUNCTION("""COMPUTED_VALUE"""),45870.0)</f>
        <v>45870</v>
      </c>
      <c r="B480" s="8">
        <f>IFERROR(__xludf.DUMMYFUNCTION("""COMPUTED_VALUE"""),45850.0)</f>
        <v>45850</v>
      </c>
      <c r="C480" s="1" t="str">
        <f>IFERROR(__xludf.DUMMYFUNCTION("""COMPUTED_VALUE"""),"B1 Sist Ester De Lima")</f>
        <v>B1 Sist Ester De Lima</v>
      </c>
      <c r="D480" s="2">
        <f>IFERROR(__xludf.DUMMYFUNCTION("""COMPUTED_VALUE"""),279.57)</f>
        <v>279.57</v>
      </c>
      <c r="E480" s="1" t="str">
        <f>IFERROR(__xludf.DUMMYFUNCTION("""COMPUTED_VALUE"""),"-")</f>
        <v>-</v>
      </c>
      <c r="F480" s="1" t="str">
        <f>IFERROR(__xludf.DUMMYFUNCTION("""COMPUTED_VALUE"""),"B1 Sist Ester De Lima")</f>
        <v>B1 Sist Ester De Lima</v>
      </c>
      <c r="G480" s="1" t="str">
        <f>IFERROR(__xludf.DUMMYFUNCTION("""COMPUTED_VALUE"""),"-")</f>
        <v>-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7">
        <f>IFERROR(__xludf.DUMMYFUNCTION("""COMPUTED_VALUE"""),45870.0)</f>
        <v>45870</v>
      </c>
      <c r="B481" s="8">
        <f>IFERROR(__xludf.DUMMYFUNCTION("""COMPUTED_VALUE"""),45850.0)</f>
        <v>45850</v>
      </c>
      <c r="C481" s="1" t="str">
        <f>IFERROR(__xludf.DUMMYFUNCTION("""COMPUTED_VALUE"""),"Supermercado &amp; Padaria")</f>
        <v>Supermercado &amp; Padaria</v>
      </c>
      <c r="D481" s="2">
        <f>IFERROR(__xludf.DUMMYFUNCTION("""COMPUTED_VALUE"""),197.48)</f>
        <v>197.48</v>
      </c>
      <c r="E481" s="1" t="str">
        <f>IFERROR(__xludf.DUMMYFUNCTION("""COMPUTED_VALUE"""),"-")</f>
        <v>-</v>
      </c>
      <c r="F481" s="1" t="str">
        <f>IFERROR(__xludf.DUMMYFUNCTION("""COMPUTED_VALUE"""),"Supermercado &amp; Padaria")</f>
        <v>Supermercado &amp; Padaria</v>
      </c>
      <c r="G481" s="1" t="str">
        <f>IFERROR(__xludf.DUMMYFUNCTION("""COMPUTED_VALUE"""),"Comida")</f>
        <v>Comida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7">
        <f>IFERROR(__xludf.DUMMYFUNCTION("""COMPUTED_VALUE"""),45870.0)</f>
        <v>45870</v>
      </c>
      <c r="B482" s="8">
        <f>IFERROR(__xludf.DUMMYFUNCTION("""COMPUTED_VALUE"""),45850.0)</f>
        <v>45850</v>
      </c>
      <c r="C482" s="1" t="str">
        <f>IFERROR(__xludf.DUMMYFUNCTION("""COMPUTED_VALUE"""),"Barnabe Emporio")</f>
        <v>Barnabe Emporio</v>
      </c>
      <c r="D482" s="2">
        <f>IFERROR(__xludf.DUMMYFUNCTION("""COMPUTED_VALUE"""),77.7)</f>
        <v>77.7</v>
      </c>
      <c r="E482" s="1" t="str">
        <f>IFERROR(__xludf.DUMMYFUNCTION("""COMPUTED_VALUE"""),"-")</f>
        <v>-</v>
      </c>
      <c r="F482" s="1" t="str">
        <f>IFERROR(__xludf.DUMMYFUNCTION("""COMPUTED_VALUE"""),"Barnabe Emporio")</f>
        <v>Barnabe Emporio</v>
      </c>
      <c r="G482" s="1" t="str">
        <f>IFERROR(__xludf.DUMMYFUNCTION("""COMPUTED_VALUE"""),"Comida")</f>
        <v>Comida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7">
        <f>IFERROR(__xludf.DUMMYFUNCTION("""COMPUTED_VALUE"""),45870.0)</f>
        <v>45870</v>
      </c>
      <c r="B483" s="8">
        <f>IFERROR(__xludf.DUMMYFUNCTION("""COMPUTED_VALUE"""),45850.0)</f>
        <v>45850</v>
      </c>
      <c r="C483" s="1" t="str">
        <f>IFERROR(__xludf.DUMMYFUNCTION("""COMPUTED_VALUE"""),"Golden Pet")</f>
        <v>Golden Pet</v>
      </c>
      <c r="D483" s="2">
        <f>IFERROR(__xludf.DUMMYFUNCTION("""COMPUTED_VALUE"""),68.0)</f>
        <v>68</v>
      </c>
      <c r="E483" s="1" t="str">
        <f>IFERROR(__xludf.DUMMYFUNCTION("""COMPUTED_VALUE"""),"-")</f>
        <v>-</v>
      </c>
      <c r="F483" s="1" t="str">
        <f>IFERROR(__xludf.DUMMYFUNCTION("""COMPUTED_VALUE"""),"Golden Pet")</f>
        <v>Golden Pet</v>
      </c>
      <c r="G483" s="1" t="str">
        <f>IFERROR(__xludf.DUMMYFUNCTION("""COMPUTED_VALUE"""),"Hulk")</f>
        <v>Hulk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7">
        <f>IFERROR(__xludf.DUMMYFUNCTION("""COMPUTED_VALUE"""),45870.0)</f>
        <v>45870</v>
      </c>
      <c r="B484" s="8">
        <f>IFERROR(__xludf.DUMMYFUNCTION("""COMPUTED_VALUE"""),45850.0)</f>
        <v>45850</v>
      </c>
      <c r="C484" s="1" t="str">
        <f>IFERROR(__xludf.DUMMYFUNCTION("""COMPUTED_VALUE"""),"Amazon")</f>
        <v>Amazon</v>
      </c>
      <c r="D484" s="2">
        <f>IFERROR(__xludf.DUMMYFUNCTION("""COMPUTED_VALUE"""),104.76)</f>
        <v>104.76</v>
      </c>
      <c r="E484" s="1" t="str">
        <f>IFERROR(__xludf.DUMMYFUNCTION("""COMPUTED_VALUE"""),"-")</f>
        <v>-</v>
      </c>
      <c r="F484" s="1" t="str">
        <f>IFERROR(__xludf.DUMMYFUNCTION("""COMPUTED_VALUE"""),"Amazon")</f>
        <v>Amazon</v>
      </c>
      <c r="G484" s="1" t="str">
        <f>IFERROR(__xludf.DUMMYFUNCTION("""COMPUTED_VALUE"""),"Compras")</f>
        <v>Compras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7">
        <f>IFERROR(__xludf.DUMMYFUNCTION("""COMPUTED_VALUE"""),45870.0)</f>
        <v>45870</v>
      </c>
      <c r="B485" s="8">
        <f>IFERROR(__xludf.DUMMYFUNCTION("""COMPUTED_VALUE"""),45850.0)</f>
        <v>45850</v>
      </c>
      <c r="C485" s="1" t="str">
        <f>IFERROR(__xludf.DUMMYFUNCTION("""COMPUTED_VALUE"""),"Amazon")</f>
        <v>Amazon</v>
      </c>
      <c r="D485" s="2">
        <f>IFERROR(__xludf.DUMMYFUNCTION("""COMPUTED_VALUE"""),99.99)</f>
        <v>99.99</v>
      </c>
      <c r="E485" s="1" t="str">
        <f>IFERROR(__xludf.DUMMYFUNCTION("""COMPUTED_VALUE"""),"-")</f>
        <v>-</v>
      </c>
      <c r="F485" s="1" t="str">
        <f>IFERROR(__xludf.DUMMYFUNCTION("""COMPUTED_VALUE"""),"Amazon")</f>
        <v>Amazon</v>
      </c>
      <c r="G485" s="1" t="str">
        <f>IFERROR(__xludf.DUMMYFUNCTION("""COMPUTED_VALUE"""),"Compras")</f>
        <v>Compras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7">
        <f>IFERROR(__xludf.DUMMYFUNCTION("""COMPUTED_VALUE"""),45870.0)</f>
        <v>45870</v>
      </c>
      <c r="B486" s="8">
        <f>IFERROR(__xludf.DUMMYFUNCTION("""COMPUTED_VALUE"""),45851.0)</f>
        <v>45851</v>
      </c>
      <c r="C486" s="1" t="str">
        <f>IFERROR(__xludf.DUMMYFUNCTION("""COMPUTED_VALUE"""),"Amazon")</f>
        <v>Amazon</v>
      </c>
      <c r="D486" s="2">
        <f>IFERROR(__xludf.DUMMYFUNCTION("""COMPUTED_VALUE"""),22.79)</f>
        <v>22.79</v>
      </c>
      <c r="E486" s="1" t="str">
        <f>IFERROR(__xludf.DUMMYFUNCTION("""COMPUTED_VALUE"""),"-")</f>
        <v>-</v>
      </c>
      <c r="F486" s="1" t="str">
        <f>IFERROR(__xludf.DUMMYFUNCTION("""COMPUTED_VALUE"""),"Amazon")</f>
        <v>Amazon</v>
      </c>
      <c r="G486" s="1" t="str">
        <f>IFERROR(__xludf.DUMMYFUNCTION("""COMPUTED_VALUE"""),"Compras")</f>
        <v>Compras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7">
        <f>IFERROR(__xludf.DUMMYFUNCTION("""COMPUTED_VALUE"""),45870.0)</f>
        <v>45870</v>
      </c>
      <c r="B487" s="8">
        <f>IFERROR(__xludf.DUMMYFUNCTION("""COMPUTED_VALUE"""),45851.0)</f>
        <v>45851</v>
      </c>
      <c r="C487" s="1" t="str">
        <f>IFERROR(__xludf.DUMMYFUNCTION("""COMPUTED_VALUE"""),"Letrefarine")</f>
        <v>Letrefarine</v>
      </c>
      <c r="D487" s="2">
        <f>IFERROR(__xludf.DUMMYFUNCTION("""COMPUTED_VALUE"""),154.0)</f>
        <v>154</v>
      </c>
      <c r="E487" s="1" t="str">
        <f>IFERROR(__xludf.DUMMYFUNCTION("""COMPUTED_VALUE"""),"-")</f>
        <v>-</v>
      </c>
      <c r="F487" s="1" t="str">
        <f>IFERROR(__xludf.DUMMYFUNCTION("""COMPUTED_VALUE"""),"Letrefarine")</f>
        <v>Letrefarine</v>
      </c>
      <c r="G487" s="1" t="str">
        <f>IFERROR(__xludf.DUMMYFUNCTION("""COMPUTED_VALUE"""),"-")</f>
        <v>-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7">
        <f>IFERROR(__xludf.DUMMYFUNCTION("""COMPUTED_VALUE"""),45870.0)</f>
        <v>45870</v>
      </c>
      <c r="B488" s="8">
        <f>IFERROR(__xludf.DUMMYFUNCTION("""COMPUTED_VALUE"""),45852.0)</f>
        <v>45852</v>
      </c>
      <c r="C488" s="1" t="str">
        <f>IFERROR(__xludf.DUMMYFUNCTION("""COMPUTED_VALUE"""),"Youtube")</f>
        <v>Youtube</v>
      </c>
      <c r="D488" s="2">
        <f>IFERROR(__xludf.DUMMYFUNCTION("""COMPUTED_VALUE"""),19.99)</f>
        <v>19.99</v>
      </c>
      <c r="E488" s="1" t="str">
        <f>IFERROR(__xludf.DUMMYFUNCTION("""COMPUTED_VALUE"""),"-")</f>
        <v>-</v>
      </c>
      <c r="F488" s="1" t="str">
        <f>IFERROR(__xludf.DUMMYFUNCTION("""COMPUTED_VALUE"""),"Youtube")</f>
        <v>Youtube</v>
      </c>
      <c r="G488" s="1" t="str">
        <f>IFERROR(__xludf.DUMMYFUNCTION("""COMPUTED_VALUE"""),"Assinatura")</f>
        <v>Assinatura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7">
        <f>IFERROR(__xludf.DUMMYFUNCTION("""COMPUTED_VALUE"""),45870.0)</f>
        <v>45870</v>
      </c>
      <c r="B489" s="8">
        <f>IFERROR(__xludf.DUMMYFUNCTION("""COMPUTED_VALUE"""),45852.0)</f>
        <v>45852</v>
      </c>
      <c r="C489" s="1" t="str">
        <f>IFERROR(__xludf.DUMMYFUNCTION("""COMPUTED_VALUE"""),"Drogaria Araujo")</f>
        <v>Drogaria Araujo</v>
      </c>
      <c r="D489" s="2">
        <f>IFERROR(__xludf.DUMMYFUNCTION("""COMPUTED_VALUE"""),115.99)</f>
        <v>115.99</v>
      </c>
      <c r="E489" s="1" t="str">
        <f>IFERROR(__xludf.DUMMYFUNCTION("""COMPUTED_VALUE"""),"-")</f>
        <v>-</v>
      </c>
      <c r="F489" s="1" t="str">
        <f>IFERROR(__xludf.DUMMYFUNCTION("""COMPUTED_VALUE"""),"Drogaria Araujo")</f>
        <v>Drogaria Araujo</v>
      </c>
      <c r="G489" s="1" t="str">
        <f>IFERROR(__xludf.DUMMYFUNCTION("""COMPUTED_VALUE"""),"Farmácia")</f>
        <v>Farmácia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7">
        <f>IFERROR(__xludf.DUMMYFUNCTION("""COMPUTED_VALUE"""),45870.0)</f>
        <v>45870</v>
      </c>
      <c r="B490" s="8">
        <f>IFERROR(__xludf.DUMMYFUNCTION("""COMPUTED_VALUE"""),45852.0)</f>
        <v>45852</v>
      </c>
      <c r="C490" s="1" t="str">
        <f>IFERROR(__xludf.DUMMYFUNCTION("""COMPUTED_VALUE"""),"Amazonmktplc Dgmcomerc")</f>
        <v>Amazonmktplc Dgmcomerc</v>
      </c>
      <c r="D490" s="2">
        <f>IFERROR(__xludf.DUMMYFUNCTION("""COMPUTED_VALUE"""),16.2)</f>
        <v>16.2</v>
      </c>
      <c r="E490" s="1" t="str">
        <f>IFERROR(__xludf.DUMMYFUNCTION("""COMPUTED_VALUE"""),"-")</f>
        <v>-</v>
      </c>
      <c r="F490" s="1" t="str">
        <f>IFERROR(__xludf.DUMMYFUNCTION("""COMPUTED_VALUE"""),"Amazonmktplc")</f>
        <v>Amazonmktplc</v>
      </c>
      <c r="G490" s="1" t="str">
        <f>IFERROR(__xludf.DUMMYFUNCTION("""COMPUTED_VALUE"""),"Compras")</f>
        <v>Compras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7">
        <f>IFERROR(__xludf.DUMMYFUNCTION("""COMPUTED_VALUE"""),45870.0)</f>
        <v>45870</v>
      </c>
      <c r="B491" s="8">
        <f>IFERROR(__xludf.DUMMYFUNCTION("""COMPUTED_VALUE"""),45852.0)</f>
        <v>45852</v>
      </c>
      <c r="C491" s="1" t="str">
        <f>IFERROR(__xludf.DUMMYFUNCTION("""COMPUTED_VALUE"""),"Amazon")</f>
        <v>Amazon</v>
      </c>
      <c r="D491" s="2">
        <f>IFERROR(__xludf.DUMMYFUNCTION("""COMPUTED_VALUE"""),9.9)</f>
        <v>9.9</v>
      </c>
      <c r="E491" s="1" t="str">
        <f>IFERROR(__xludf.DUMMYFUNCTION("""COMPUTED_VALUE"""),"-")</f>
        <v>-</v>
      </c>
      <c r="F491" s="1" t="str">
        <f>IFERROR(__xludf.DUMMYFUNCTION("""COMPUTED_VALUE"""),"Amazon")</f>
        <v>Amazon</v>
      </c>
      <c r="G491" s="1" t="str">
        <f>IFERROR(__xludf.DUMMYFUNCTION("""COMPUTED_VALUE"""),"Compras")</f>
        <v>Compras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7">
        <f>IFERROR(__xludf.DUMMYFUNCTION("""COMPUTED_VALUE"""),45870.0)</f>
        <v>45870</v>
      </c>
      <c r="B492" s="8">
        <f>IFERROR(__xludf.DUMMYFUNCTION("""COMPUTED_VALUE"""),45852.0)</f>
        <v>45852</v>
      </c>
      <c r="C492" s="1" t="str">
        <f>IFERROR(__xludf.DUMMYFUNCTION("""COMPUTED_VALUE"""),"Momento Super Nosso")</f>
        <v>Momento Super Nosso</v>
      </c>
      <c r="D492" s="2">
        <f>IFERROR(__xludf.DUMMYFUNCTION("""COMPUTED_VALUE"""),68.31)</f>
        <v>68.31</v>
      </c>
      <c r="E492" s="1" t="str">
        <f>IFERROR(__xludf.DUMMYFUNCTION("""COMPUTED_VALUE"""),"-")</f>
        <v>-</v>
      </c>
      <c r="F492" s="1" t="str">
        <f>IFERROR(__xludf.DUMMYFUNCTION("""COMPUTED_VALUE"""),"Momento Super Nosso")</f>
        <v>Momento Super Nosso</v>
      </c>
      <c r="G492" s="1" t="str">
        <f>IFERROR(__xludf.DUMMYFUNCTION("""COMPUTED_VALUE"""),"-")</f>
        <v>-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7">
        <f>IFERROR(__xludf.DUMMYFUNCTION("""COMPUTED_VALUE"""),45870.0)</f>
        <v>45870</v>
      </c>
      <c r="B493" s="8">
        <f>IFERROR(__xludf.DUMMYFUNCTION("""COMPUTED_VALUE"""),45853.0)</f>
        <v>45853</v>
      </c>
      <c r="C493" s="1" t="str">
        <f>IFERROR(__xludf.DUMMYFUNCTION("""COMPUTED_VALUE"""),"Amazon")</f>
        <v>Amazon</v>
      </c>
      <c r="D493" s="2">
        <f>IFERROR(__xludf.DUMMYFUNCTION("""COMPUTED_VALUE"""),82.42)</f>
        <v>82.42</v>
      </c>
      <c r="E493" s="1" t="str">
        <f>IFERROR(__xludf.DUMMYFUNCTION("""COMPUTED_VALUE"""),"-")</f>
        <v>-</v>
      </c>
      <c r="F493" s="1" t="str">
        <f>IFERROR(__xludf.DUMMYFUNCTION("""COMPUTED_VALUE"""),"Amazon")</f>
        <v>Amazon</v>
      </c>
      <c r="G493" s="1" t="str">
        <f>IFERROR(__xludf.DUMMYFUNCTION("""COMPUTED_VALUE"""),"Compras")</f>
        <v>Compras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7">
        <f>IFERROR(__xludf.DUMMYFUNCTION("""COMPUTED_VALUE"""),45870.0)</f>
        <v>45870</v>
      </c>
      <c r="B494" s="8">
        <f>IFERROR(__xludf.DUMMYFUNCTION("""COMPUTED_VALUE"""),45854.0)</f>
        <v>45854</v>
      </c>
      <c r="C494" s="1" t="str">
        <f>IFERROR(__xludf.DUMMYFUNCTION("""COMPUTED_VALUE"""),"Panif Mendes Sion")</f>
        <v>Panif Mendes Sion</v>
      </c>
      <c r="D494" s="2">
        <f>IFERROR(__xludf.DUMMYFUNCTION("""COMPUTED_VALUE"""),3.9)</f>
        <v>3.9</v>
      </c>
      <c r="E494" s="1" t="str">
        <f>IFERROR(__xludf.DUMMYFUNCTION("""COMPUTED_VALUE"""),"-")</f>
        <v>-</v>
      </c>
      <c r="F494" s="1" t="str">
        <f>IFERROR(__xludf.DUMMYFUNCTION("""COMPUTED_VALUE"""),"Panif Mendes Sion")</f>
        <v>Panif Mendes Sion</v>
      </c>
      <c r="G494" s="1" t="str">
        <f>IFERROR(__xludf.DUMMYFUNCTION("""COMPUTED_VALUE"""),"Comida")</f>
        <v>Comida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7">
        <f>IFERROR(__xludf.DUMMYFUNCTION("""COMPUTED_VALUE"""),45870.0)</f>
        <v>45870</v>
      </c>
      <c r="B495" s="8">
        <f>IFERROR(__xludf.DUMMYFUNCTION("""COMPUTED_VALUE"""),45854.0)</f>
        <v>45854</v>
      </c>
      <c r="C495" s="1" t="str">
        <f>IFERROR(__xludf.DUMMYFUNCTION("""COMPUTED_VALUE"""),"Mercado Pago")</f>
        <v>Mercado Pago</v>
      </c>
      <c r="D495" s="2">
        <f>IFERROR(__xludf.DUMMYFUNCTION("""COMPUTED_VALUE"""),334.9)</f>
        <v>334.9</v>
      </c>
      <c r="E495" s="1" t="str">
        <f>IFERROR(__xludf.DUMMYFUNCTION("""COMPUTED_VALUE"""),"-")</f>
        <v>-</v>
      </c>
      <c r="F495" s="1" t="str">
        <f>IFERROR(__xludf.DUMMYFUNCTION("""COMPUTED_VALUE"""),"Mercado Pago")</f>
        <v>Mercado Pago</v>
      </c>
      <c r="G495" s="1" t="str">
        <f>IFERROR(__xludf.DUMMYFUNCTION("""COMPUTED_VALUE"""),"-")</f>
        <v>-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7">
        <f>IFERROR(__xludf.DUMMYFUNCTION("""COMPUTED_VALUE"""),45870.0)</f>
        <v>45870</v>
      </c>
      <c r="B496" s="8">
        <f>IFERROR(__xludf.DUMMYFUNCTION("""COMPUTED_VALUE"""),45854.0)</f>
        <v>45854</v>
      </c>
      <c r="C496" s="1" t="str">
        <f>IFERROR(__xludf.DUMMYFUNCTION("""COMPUTED_VALUE"""),"Amazon")</f>
        <v>Amazon</v>
      </c>
      <c r="D496" s="2">
        <f>IFERROR(__xludf.DUMMYFUNCTION("""COMPUTED_VALUE"""),40.89)</f>
        <v>40.89</v>
      </c>
      <c r="E496" s="1" t="str">
        <f>IFERROR(__xludf.DUMMYFUNCTION("""COMPUTED_VALUE"""),"-")</f>
        <v>-</v>
      </c>
      <c r="F496" s="1" t="str">
        <f>IFERROR(__xludf.DUMMYFUNCTION("""COMPUTED_VALUE"""),"Amazon")</f>
        <v>Amazon</v>
      </c>
      <c r="G496" s="1" t="str">
        <f>IFERROR(__xludf.DUMMYFUNCTION("""COMPUTED_VALUE"""),"Compras")</f>
        <v>Compras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7">
        <f>IFERROR(__xludf.DUMMYFUNCTION("""COMPUTED_VALUE"""),45870.0)</f>
        <v>45870</v>
      </c>
      <c r="B497" s="8">
        <f>IFERROR(__xludf.DUMMYFUNCTION("""COMPUTED_VALUE"""),45855.0)</f>
        <v>45855</v>
      </c>
      <c r="C497" s="1" t="str">
        <f>IFERROR(__xludf.DUMMYFUNCTION("""COMPUTED_VALUE"""),"Panif Mendes Sion")</f>
        <v>Panif Mendes Sion</v>
      </c>
      <c r="D497" s="2">
        <f>IFERROR(__xludf.DUMMYFUNCTION("""COMPUTED_VALUE"""),18.14)</f>
        <v>18.14</v>
      </c>
      <c r="E497" s="1" t="str">
        <f>IFERROR(__xludf.DUMMYFUNCTION("""COMPUTED_VALUE"""),"-")</f>
        <v>-</v>
      </c>
      <c r="F497" s="1" t="str">
        <f>IFERROR(__xludf.DUMMYFUNCTION("""COMPUTED_VALUE"""),"Panif Mendes Sion")</f>
        <v>Panif Mendes Sion</v>
      </c>
      <c r="G497" s="1" t="str">
        <f>IFERROR(__xludf.DUMMYFUNCTION("""COMPUTED_VALUE"""),"Comida")</f>
        <v>Comida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7">
        <f>IFERROR(__xludf.DUMMYFUNCTION("""COMPUTED_VALUE"""),45870.0)</f>
        <v>45870</v>
      </c>
      <c r="B498" s="8">
        <f>IFERROR(__xludf.DUMMYFUNCTION("""COMPUTED_VALUE"""),45855.0)</f>
        <v>45855</v>
      </c>
      <c r="C498" s="1" t="str">
        <f>IFERROR(__xludf.DUMMYFUNCTION("""COMPUTED_VALUE"""),"Drogaria Araujo")</f>
        <v>Drogaria Araujo</v>
      </c>
      <c r="D498" s="2">
        <f>IFERROR(__xludf.DUMMYFUNCTION("""COMPUTED_VALUE"""),39.99)</f>
        <v>39.99</v>
      </c>
      <c r="E498" s="1" t="str">
        <f>IFERROR(__xludf.DUMMYFUNCTION("""COMPUTED_VALUE"""),"-")</f>
        <v>-</v>
      </c>
      <c r="F498" s="1" t="str">
        <f>IFERROR(__xludf.DUMMYFUNCTION("""COMPUTED_VALUE"""),"Drogaria Araujo")</f>
        <v>Drogaria Araujo</v>
      </c>
      <c r="G498" s="1" t="str">
        <f>IFERROR(__xludf.DUMMYFUNCTION("""COMPUTED_VALUE"""),"Farmácia")</f>
        <v>Farmácia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7">
        <f>IFERROR(__xludf.DUMMYFUNCTION("""COMPUTED_VALUE"""),45870.0)</f>
        <v>45870</v>
      </c>
      <c r="B499" s="8">
        <f>IFERROR(__xludf.DUMMYFUNCTION("""COMPUTED_VALUE"""),45855.0)</f>
        <v>45855</v>
      </c>
      <c r="C499" s="1" t="str">
        <f>IFERROR(__xludf.DUMMYFUNCTION("""COMPUTED_VALUE"""),"Amazon")</f>
        <v>Amazon</v>
      </c>
      <c r="D499" s="2">
        <f>IFERROR(__xludf.DUMMYFUNCTION("""COMPUTED_VALUE"""),39.59)</f>
        <v>39.59</v>
      </c>
      <c r="E499" s="1" t="str">
        <f>IFERROR(__xludf.DUMMYFUNCTION("""COMPUTED_VALUE"""),"-")</f>
        <v>-</v>
      </c>
      <c r="F499" s="1" t="str">
        <f>IFERROR(__xludf.DUMMYFUNCTION("""COMPUTED_VALUE"""),"Amazon")</f>
        <v>Amazon</v>
      </c>
      <c r="G499" s="1" t="str">
        <f>IFERROR(__xludf.DUMMYFUNCTION("""COMPUTED_VALUE"""),"Compras")</f>
        <v>Compras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7">
        <f>IFERROR(__xludf.DUMMYFUNCTION("""COMPUTED_VALUE"""),45870.0)</f>
        <v>45870</v>
      </c>
      <c r="B500" s="8">
        <f>IFERROR(__xludf.DUMMYFUNCTION("""COMPUTED_VALUE"""),45855.0)</f>
        <v>45855</v>
      </c>
      <c r="C500" s="1" t="str">
        <f>IFERROR(__xludf.DUMMYFUNCTION("""COMPUTED_VALUE"""),"Amazon")</f>
        <v>Amazon</v>
      </c>
      <c r="D500" s="2">
        <f>IFERROR(__xludf.DUMMYFUNCTION("""COMPUTED_VALUE"""),39.59)</f>
        <v>39.59</v>
      </c>
      <c r="E500" s="1" t="str">
        <f>IFERROR(__xludf.DUMMYFUNCTION("""COMPUTED_VALUE"""),"-")</f>
        <v>-</v>
      </c>
      <c r="F500" s="1" t="str">
        <f>IFERROR(__xludf.DUMMYFUNCTION("""COMPUTED_VALUE"""),"Amazon")</f>
        <v>Amazon</v>
      </c>
      <c r="G500" s="1" t="str">
        <f>IFERROR(__xludf.DUMMYFUNCTION("""COMPUTED_VALUE"""),"Compras")</f>
        <v>Compras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7">
        <f>IFERROR(__xludf.DUMMYFUNCTION("""COMPUTED_VALUE"""),45870.0)</f>
        <v>45870</v>
      </c>
      <c r="B501" s="8">
        <f>IFERROR(__xludf.DUMMYFUNCTION("""COMPUTED_VALUE"""),45855.0)</f>
        <v>45855</v>
      </c>
      <c r="C501" s="1" t="str">
        <f>IFERROR(__xludf.DUMMYFUNCTION("""COMPUTED_VALUE"""),"Panif Mendes Sion")</f>
        <v>Panif Mendes Sion</v>
      </c>
      <c r="D501" s="2">
        <f>IFERROR(__xludf.DUMMYFUNCTION("""COMPUTED_VALUE"""),16.15)</f>
        <v>16.15</v>
      </c>
      <c r="E501" s="1" t="str">
        <f>IFERROR(__xludf.DUMMYFUNCTION("""COMPUTED_VALUE"""),"-")</f>
        <v>-</v>
      </c>
      <c r="F501" s="1" t="str">
        <f>IFERROR(__xludf.DUMMYFUNCTION("""COMPUTED_VALUE"""),"Panif Mendes Sion")</f>
        <v>Panif Mendes Sion</v>
      </c>
      <c r="G501" s="1" t="str">
        <f>IFERROR(__xludf.DUMMYFUNCTION("""COMPUTED_VALUE"""),"Comida")</f>
        <v>Comida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7">
        <f>IFERROR(__xludf.DUMMYFUNCTION("""COMPUTED_VALUE"""),45870.0)</f>
        <v>45870</v>
      </c>
      <c r="B502" s="8">
        <f>IFERROR(__xludf.DUMMYFUNCTION("""COMPUTED_VALUE"""),45855.0)</f>
        <v>45855</v>
      </c>
      <c r="C502" s="1" t="str">
        <f>IFERROR(__xludf.DUMMYFUNCTION("""COMPUTED_VALUE"""),"Boca Do Forno")</f>
        <v>Boca Do Forno</v>
      </c>
      <c r="D502" s="2">
        <f>IFERROR(__xludf.DUMMYFUNCTION("""COMPUTED_VALUE"""),20.0)</f>
        <v>20</v>
      </c>
      <c r="E502" s="1" t="str">
        <f>IFERROR(__xludf.DUMMYFUNCTION("""COMPUTED_VALUE"""),"-")</f>
        <v>-</v>
      </c>
      <c r="F502" s="1" t="str">
        <f>IFERROR(__xludf.DUMMYFUNCTION("""COMPUTED_VALUE"""),"Boca Do Forno")</f>
        <v>Boca Do Forno</v>
      </c>
      <c r="G502" s="1" t="str">
        <f>IFERROR(__xludf.DUMMYFUNCTION("""COMPUTED_VALUE"""),"-")</f>
        <v>-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7">
        <f>IFERROR(__xludf.DUMMYFUNCTION("""COMPUTED_VALUE"""),45870.0)</f>
        <v>45870</v>
      </c>
      <c r="B503" s="8">
        <f>IFERROR(__xludf.DUMMYFUNCTION("""COMPUTED_VALUE"""),45855.0)</f>
        <v>45855</v>
      </c>
      <c r="C503" s="1" t="str">
        <f>IFERROR(__xludf.DUMMYFUNCTION("""COMPUTED_VALUE"""),"Panif Mendes Sion")</f>
        <v>Panif Mendes Sion</v>
      </c>
      <c r="D503" s="2">
        <f>IFERROR(__xludf.DUMMYFUNCTION("""COMPUTED_VALUE"""),8.34)</f>
        <v>8.34</v>
      </c>
      <c r="E503" s="1" t="str">
        <f>IFERROR(__xludf.DUMMYFUNCTION("""COMPUTED_VALUE"""),"-")</f>
        <v>-</v>
      </c>
      <c r="F503" s="1" t="str">
        <f>IFERROR(__xludf.DUMMYFUNCTION("""COMPUTED_VALUE"""),"Panif Mendes Sion")</f>
        <v>Panif Mendes Sion</v>
      </c>
      <c r="G503" s="1" t="str">
        <f>IFERROR(__xludf.DUMMYFUNCTION("""COMPUTED_VALUE"""),"Comida")</f>
        <v>Comida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7">
        <f>IFERROR(__xludf.DUMMYFUNCTION("""COMPUTED_VALUE"""),45870.0)</f>
        <v>45870</v>
      </c>
      <c r="B504" s="8">
        <f>IFERROR(__xludf.DUMMYFUNCTION("""COMPUTED_VALUE"""),45855.0)</f>
        <v>45855</v>
      </c>
      <c r="C504" s="1" t="str">
        <f>IFERROR(__xludf.DUMMYFUNCTION("""COMPUTED_VALUE"""),"O Legitimo Rocambole")</f>
        <v>O Legitimo Rocambole</v>
      </c>
      <c r="D504" s="2">
        <f>IFERROR(__xludf.DUMMYFUNCTION("""COMPUTED_VALUE"""),38.0)</f>
        <v>38</v>
      </c>
      <c r="E504" s="1" t="str">
        <f>IFERROR(__xludf.DUMMYFUNCTION("""COMPUTED_VALUE"""),"-")</f>
        <v>-</v>
      </c>
      <c r="F504" s="1" t="str">
        <f>IFERROR(__xludf.DUMMYFUNCTION("""COMPUTED_VALUE"""),"O Legitimo Rocambole")</f>
        <v>O Legitimo Rocambole</v>
      </c>
      <c r="G504" s="1" t="str">
        <f>IFERROR(__xludf.DUMMYFUNCTION("""COMPUTED_VALUE"""),"-")</f>
        <v>-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7">
        <f>IFERROR(__xludf.DUMMYFUNCTION("""COMPUTED_VALUE"""),45870.0)</f>
        <v>45870</v>
      </c>
      <c r="B505" s="8">
        <f>IFERROR(__xludf.DUMMYFUNCTION("""COMPUTED_VALUE"""),45855.0)</f>
        <v>45855</v>
      </c>
      <c r="C505" s="1" t="str">
        <f>IFERROR(__xludf.DUMMYFUNCTION("""COMPUTED_VALUE"""),"Dma Distribuidora Sa")</f>
        <v>Dma Distribuidora Sa</v>
      </c>
      <c r="D505" s="2">
        <f>IFERROR(__xludf.DUMMYFUNCTION("""COMPUTED_VALUE"""),139.19)</f>
        <v>139.19</v>
      </c>
      <c r="E505" s="1" t="str">
        <f>IFERROR(__xludf.DUMMYFUNCTION("""COMPUTED_VALUE"""),"-")</f>
        <v>-</v>
      </c>
      <c r="F505" s="1" t="str">
        <f>IFERROR(__xludf.DUMMYFUNCTION("""COMPUTED_VALUE"""),"Dma Distribuidora Sa")</f>
        <v>Dma Distribuidora Sa</v>
      </c>
      <c r="G505" s="1" t="str">
        <f>IFERROR(__xludf.DUMMYFUNCTION("""COMPUTED_VALUE"""),"Supermercado")</f>
        <v>Supermercado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7">
        <f>IFERROR(__xludf.DUMMYFUNCTION("""COMPUTED_VALUE"""),45870.0)</f>
        <v>45870</v>
      </c>
      <c r="B506" s="8">
        <f>IFERROR(__xludf.DUMMYFUNCTION("""COMPUTED_VALUE"""),45855.0)</f>
        <v>45855</v>
      </c>
      <c r="C506" s="1" t="str">
        <f>IFERROR(__xludf.DUMMYFUNCTION("""COMPUTED_VALUE"""),"Super Nosso")</f>
        <v>Super Nosso</v>
      </c>
      <c r="D506" s="2">
        <f>IFERROR(__xludf.DUMMYFUNCTION("""COMPUTED_VALUE"""),40.96)</f>
        <v>40.96</v>
      </c>
      <c r="E506" s="1" t="str">
        <f>IFERROR(__xludf.DUMMYFUNCTION("""COMPUTED_VALUE"""),"-")</f>
        <v>-</v>
      </c>
      <c r="F506" s="1" t="str">
        <f>IFERROR(__xludf.DUMMYFUNCTION("""COMPUTED_VALUE"""),"Super Nosso")</f>
        <v>Super Nosso</v>
      </c>
      <c r="G506" s="1" t="str">
        <f>IFERROR(__xludf.DUMMYFUNCTION("""COMPUTED_VALUE"""),"Supermercado")</f>
        <v>Supermercado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7">
        <f>IFERROR(__xludf.DUMMYFUNCTION("""COMPUTED_VALUE"""),45870.0)</f>
        <v>45870</v>
      </c>
      <c r="B507" s="8">
        <f>IFERROR(__xludf.DUMMYFUNCTION("""COMPUTED_VALUE"""),45856.0)</f>
        <v>45856</v>
      </c>
      <c r="C507" s="1" t="str">
        <f>IFERROR(__xludf.DUMMYFUNCTION("""COMPUTED_VALUE"""),"Uber")</f>
        <v>Uber</v>
      </c>
      <c r="D507" s="2">
        <f>IFERROR(__xludf.DUMMYFUNCTION("""COMPUTED_VALUE"""),9.69)</f>
        <v>9.69</v>
      </c>
      <c r="E507" s="1" t="str">
        <f>IFERROR(__xludf.DUMMYFUNCTION("""COMPUTED_VALUE"""),"-")</f>
        <v>-</v>
      </c>
      <c r="F507" s="1" t="str">
        <f>IFERROR(__xludf.DUMMYFUNCTION("""COMPUTED_VALUE"""),"Uber")</f>
        <v>Uber</v>
      </c>
      <c r="G507" s="1" t="str">
        <f>IFERROR(__xludf.DUMMYFUNCTION("""COMPUTED_VALUE"""),"Uber/99")</f>
        <v>Uber/99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7">
        <f>IFERROR(__xludf.DUMMYFUNCTION("""COMPUTED_VALUE"""),45870.0)</f>
        <v>45870</v>
      </c>
      <c r="B508" s="8">
        <f>IFERROR(__xludf.DUMMYFUNCTION("""COMPUTED_VALUE"""),45856.0)</f>
        <v>45856</v>
      </c>
      <c r="C508" s="1" t="str">
        <f>IFERROR(__xludf.DUMMYFUNCTION("""COMPUTED_VALUE"""),"B1 Sist Ester De Lima")</f>
        <v>B1 Sist Ester De Lima</v>
      </c>
      <c r="D508" s="2">
        <f>IFERROR(__xludf.DUMMYFUNCTION("""COMPUTED_VALUE"""),152.42)</f>
        <v>152.42</v>
      </c>
      <c r="E508" s="1" t="str">
        <f>IFERROR(__xludf.DUMMYFUNCTION("""COMPUTED_VALUE"""),"-")</f>
        <v>-</v>
      </c>
      <c r="F508" s="1" t="str">
        <f>IFERROR(__xludf.DUMMYFUNCTION("""COMPUTED_VALUE"""),"B1 Sist Ester De Lima")</f>
        <v>B1 Sist Ester De Lima</v>
      </c>
      <c r="G508" s="1" t="str">
        <f>IFERROR(__xludf.DUMMYFUNCTION("""COMPUTED_VALUE"""),"-")</f>
        <v>-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7">
        <f>IFERROR(__xludf.DUMMYFUNCTION("""COMPUTED_VALUE"""),45870.0)</f>
        <v>45870</v>
      </c>
      <c r="B509" s="8">
        <f>IFERROR(__xludf.DUMMYFUNCTION("""COMPUTED_VALUE"""),45856.0)</f>
        <v>45856</v>
      </c>
      <c r="C509" s="1" t="str">
        <f>IFERROR(__xludf.DUMMYFUNCTION("""COMPUTED_VALUE"""),"Panif Mendes Sion")</f>
        <v>Panif Mendes Sion</v>
      </c>
      <c r="D509" s="2">
        <f>IFERROR(__xludf.DUMMYFUNCTION("""COMPUTED_VALUE"""),13.9)</f>
        <v>13.9</v>
      </c>
      <c r="E509" s="1" t="str">
        <f>IFERROR(__xludf.DUMMYFUNCTION("""COMPUTED_VALUE"""),"-")</f>
        <v>-</v>
      </c>
      <c r="F509" s="1" t="str">
        <f>IFERROR(__xludf.DUMMYFUNCTION("""COMPUTED_VALUE"""),"Panif Mendes Sion")</f>
        <v>Panif Mendes Sion</v>
      </c>
      <c r="G509" s="1" t="str">
        <f>IFERROR(__xludf.DUMMYFUNCTION("""COMPUTED_VALUE"""),"Comida")</f>
        <v>Comida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7">
        <f>IFERROR(__xludf.DUMMYFUNCTION("""COMPUTED_VALUE"""),45870.0)</f>
        <v>45870</v>
      </c>
      <c r="B510" s="8">
        <f>IFERROR(__xludf.DUMMYFUNCTION("""COMPUTED_VALUE"""),45856.0)</f>
        <v>45856</v>
      </c>
      <c r="C510" s="1" t="str">
        <f>IFERROR(__xludf.DUMMYFUNCTION("""COMPUTED_VALUE"""),"Melimais")</f>
        <v>Melimais</v>
      </c>
      <c r="D510" s="2">
        <f>IFERROR(__xludf.DUMMYFUNCTION("""COMPUTED_VALUE"""),24.9)</f>
        <v>24.9</v>
      </c>
      <c r="E510" s="1" t="str">
        <f>IFERROR(__xludf.DUMMYFUNCTION("""COMPUTED_VALUE"""),"-")</f>
        <v>-</v>
      </c>
      <c r="F510" s="1" t="str">
        <f>IFERROR(__xludf.DUMMYFUNCTION("""COMPUTED_VALUE"""),"Melimais")</f>
        <v>Melimais</v>
      </c>
      <c r="G510" s="1" t="str">
        <f>IFERROR(__xludf.DUMMYFUNCTION("""COMPUTED_VALUE"""),"-")</f>
        <v>-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7">
        <f>IFERROR(__xludf.DUMMYFUNCTION("""COMPUTED_VALUE"""),45870.0)</f>
        <v>45870</v>
      </c>
      <c r="B511" s="8">
        <f>IFERROR(__xludf.DUMMYFUNCTION("""COMPUTED_VALUE"""),45857.0)</f>
        <v>45857</v>
      </c>
      <c r="C511" s="1" t="str">
        <f>IFERROR(__xludf.DUMMYFUNCTION("""COMPUTED_VALUE"""),"Panif Mendes Sion")</f>
        <v>Panif Mendes Sion</v>
      </c>
      <c r="D511" s="2">
        <f>IFERROR(__xludf.DUMMYFUNCTION("""COMPUTED_VALUE"""),28.36)</f>
        <v>28.36</v>
      </c>
      <c r="E511" s="1" t="str">
        <f>IFERROR(__xludf.DUMMYFUNCTION("""COMPUTED_VALUE"""),"-")</f>
        <v>-</v>
      </c>
      <c r="F511" s="1" t="str">
        <f>IFERROR(__xludf.DUMMYFUNCTION("""COMPUTED_VALUE"""),"Panif Mendes Sion")</f>
        <v>Panif Mendes Sion</v>
      </c>
      <c r="G511" s="1" t="str">
        <f>IFERROR(__xludf.DUMMYFUNCTION("""COMPUTED_VALUE"""),"Comida")</f>
        <v>Comida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7">
        <f>IFERROR(__xludf.DUMMYFUNCTION("""COMPUTED_VALUE"""),45870.0)</f>
        <v>45870</v>
      </c>
      <c r="B512" s="8">
        <f>IFERROR(__xludf.DUMMYFUNCTION("""COMPUTED_VALUE"""),45857.0)</f>
        <v>45857</v>
      </c>
      <c r="C512" s="1" t="str">
        <f>IFERROR(__xludf.DUMMYFUNCTION("""COMPUTED_VALUE"""),"Luana")</f>
        <v>Luana</v>
      </c>
      <c r="D512" s="2">
        <f>IFERROR(__xludf.DUMMYFUNCTION("""COMPUTED_VALUE"""),29.9)</f>
        <v>29.9</v>
      </c>
      <c r="E512" s="1" t="str">
        <f>IFERROR(__xludf.DUMMYFUNCTION("""COMPUTED_VALUE"""),"-")</f>
        <v>-</v>
      </c>
      <c r="F512" s="1" t="str">
        <f>IFERROR(__xludf.DUMMYFUNCTION("""COMPUTED_VALUE"""),"Luana")</f>
        <v>Luana</v>
      </c>
      <c r="G512" s="1" t="str">
        <f>IFERROR(__xludf.DUMMYFUNCTION("""COMPUTED_VALUE"""),"-")</f>
        <v>-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7">
        <f>IFERROR(__xludf.DUMMYFUNCTION("""COMPUTED_VALUE"""),45870.0)</f>
        <v>45870</v>
      </c>
      <c r="B513" s="8">
        <f>IFERROR(__xludf.DUMMYFUNCTION("""COMPUTED_VALUE"""),45857.0)</f>
        <v>45857</v>
      </c>
      <c r="C513" s="1" t="str">
        <f>IFERROR(__xludf.DUMMYFUNCTION("""COMPUTED_VALUE"""),"Du Pain Mercado")</f>
        <v>Du Pain Mercado</v>
      </c>
      <c r="D513" s="2">
        <f>IFERROR(__xludf.DUMMYFUNCTION("""COMPUTED_VALUE"""),63.0)</f>
        <v>63</v>
      </c>
      <c r="E513" s="1" t="str">
        <f>IFERROR(__xludf.DUMMYFUNCTION("""COMPUTED_VALUE"""),"-")</f>
        <v>-</v>
      </c>
      <c r="F513" s="1" t="str">
        <f>IFERROR(__xludf.DUMMYFUNCTION("""COMPUTED_VALUE"""),"Du Pain Mercado")</f>
        <v>Du Pain Mercado</v>
      </c>
      <c r="G513" s="1" t="str">
        <f>IFERROR(__xludf.DUMMYFUNCTION("""COMPUTED_VALUE"""),"Comida")</f>
        <v>Comida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7">
        <f>IFERROR(__xludf.DUMMYFUNCTION("""COMPUTED_VALUE"""),45870.0)</f>
        <v>45870</v>
      </c>
      <c r="B514" s="8">
        <f>IFERROR(__xludf.DUMMYFUNCTION("""COMPUTED_VALUE"""),45857.0)</f>
        <v>45857</v>
      </c>
      <c r="C514" s="1" t="str">
        <f>IFERROR(__xludf.DUMMYFUNCTION("""COMPUTED_VALUE"""),"Alexandre Saar")</f>
        <v>Alexandre Saar</v>
      </c>
      <c r="D514" s="2">
        <f>IFERROR(__xludf.DUMMYFUNCTION("""COMPUTED_VALUE"""),10.0)</f>
        <v>10</v>
      </c>
      <c r="E514" s="1" t="str">
        <f>IFERROR(__xludf.DUMMYFUNCTION("""COMPUTED_VALUE"""),"-")</f>
        <v>-</v>
      </c>
      <c r="F514" s="1" t="str">
        <f>IFERROR(__xludf.DUMMYFUNCTION("""COMPUTED_VALUE"""),"Alexandre Saar")</f>
        <v>Alexandre Saar</v>
      </c>
      <c r="G514" s="1" t="str">
        <f>IFERROR(__xludf.DUMMYFUNCTION("""COMPUTED_VALUE"""),"-")</f>
        <v>-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7">
        <f>IFERROR(__xludf.DUMMYFUNCTION("""COMPUTED_VALUE"""),45870.0)</f>
        <v>45870</v>
      </c>
      <c r="B515" s="8">
        <f>IFERROR(__xludf.DUMMYFUNCTION("""COMPUTED_VALUE"""),45857.0)</f>
        <v>45857</v>
      </c>
      <c r="C515" s="1" t="str">
        <f>IFERROR(__xludf.DUMMYFUNCTION("""COMPUTED_VALUE"""),"Costa Comercio De Frut")</f>
        <v>Costa Comercio De Frut</v>
      </c>
      <c r="D515" s="2">
        <f>IFERROR(__xludf.DUMMYFUNCTION("""COMPUTED_VALUE"""),5.0)</f>
        <v>5</v>
      </c>
      <c r="E515" s="1" t="str">
        <f>IFERROR(__xludf.DUMMYFUNCTION("""COMPUTED_VALUE"""),"-")</f>
        <v>-</v>
      </c>
      <c r="F515" s="1" t="str">
        <f>IFERROR(__xludf.DUMMYFUNCTION("""COMPUTED_VALUE"""),"Costa Comercio De Frut")</f>
        <v>Costa Comercio De Frut</v>
      </c>
      <c r="G515" s="1" t="str">
        <f>IFERROR(__xludf.DUMMYFUNCTION("""COMPUTED_VALUE"""),"-")</f>
        <v>-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7">
        <f>IFERROR(__xludf.DUMMYFUNCTION("""COMPUTED_VALUE"""),45870.0)</f>
        <v>45870</v>
      </c>
      <c r="B516" s="8">
        <f>IFERROR(__xludf.DUMMYFUNCTION("""COMPUTED_VALUE"""),45857.0)</f>
        <v>45857</v>
      </c>
      <c r="C516" s="1" t="str">
        <f>IFERROR(__xludf.DUMMYFUNCTION("""COMPUTED_VALUE"""),"Costa Comercio De Frut")</f>
        <v>Costa Comercio De Frut</v>
      </c>
      <c r="D516" s="2">
        <f>IFERROR(__xludf.DUMMYFUNCTION("""COMPUTED_VALUE"""),5.0)</f>
        <v>5</v>
      </c>
      <c r="E516" s="1" t="str">
        <f>IFERROR(__xludf.DUMMYFUNCTION("""COMPUTED_VALUE"""),"-")</f>
        <v>-</v>
      </c>
      <c r="F516" s="1" t="str">
        <f>IFERROR(__xludf.DUMMYFUNCTION("""COMPUTED_VALUE"""),"Costa Comercio De Frut")</f>
        <v>Costa Comercio De Frut</v>
      </c>
      <c r="G516" s="1" t="str">
        <f>IFERROR(__xludf.DUMMYFUNCTION("""COMPUTED_VALUE"""),"-")</f>
        <v>-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7">
        <f>IFERROR(__xludf.DUMMYFUNCTION("""COMPUTED_VALUE"""),45870.0)</f>
        <v>45870</v>
      </c>
      <c r="B517" s="8">
        <f>IFERROR(__xludf.DUMMYFUNCTION("""COMPUTED_VALUE"""),45857.0)</f>
        <v>45857</v>
      </c>
      <c r="C517" s="1" t="str">
        <f>IFERROR(__xludf.DUMMYFUNCTION("""COMPUTED_VALUE"""),"La No Mercado (2/2)")</f>
        <v>La No Mercado (2/2)</v>
      </c>
      <c r="D517" s="2">
        <f>IFERROR(__xludf.DUMMYFUNCTION("""COMPUTED_VALUE"""),80.87)</f>
        <v>80.87</v>
      </c>
      <c r="E517" s="1" t="str">
        <f>IFERROR(__xludf.DUMMYFUNCTION("""COMPUTED_VALUE"""),"-")</f>
        <v>-</v>
      </c>
      <c r="F517" s="1" t="str">
        <f>IFERROR(__xludf.DUMMYFUNCTION("""COMPUTED_VALUE"""),"La No Mercado")</f>
        <v>La No Mercado</v>
      </c>
      <c r="G517" s="1" t="str">
        <f>IFERROR(__xludf.DUMMYFUNCTION("""COMPUTED_VALUE"""),"-")</f>
        <v>-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7">
        <f>IFERROR(__xludf.DUMMYFUNCTION("""COMPUTED_VALUE"""),45870.0)</f>
        <v>45870</v>
      </c>
      <c r="B518" s="8">
        <f>IFERROR(__xludf.DUMMYFUNCTION("""COMPUTED_VALUE"""),45857.0)</f>
        <v>45857</v>
      </c>
      <c r="C518" s="1" t="str">
        <f>IFERROR(__xludf.DUMMYFUNCTION("""COMPUTED_VALUE"""),"La No Mercado (1/2)")</f>
        <v>La No Mercado (1/2)</v>
      </c>
      <c r="D518" s="2">
        <f>IFERROR(__xludf.DUMMYFUNCTION("""COMPUTED_VALUE"""),80.88)</f>
        <v>80.88</v>
      </c>
      <c r="E518" s="1" t="str">
        <f>IFERROR(__xludf.DUMMYFUNCTION("""COMPUTED_VALUE"""),"-")</f>
        <v>-</v>
      </c>
      <c r="F518" s="1" t="str">
        <f>IFERROR(__xludf.DUMMYFUNCTION("""COMPUTED_VALUE"""),"La No Mercado")</f>
        <v>La No Mercado</v>
      </c>
      <c r="G518" s="1" t="str">
        <f>IFERROR(__xludf.DUMMYFUNCTION("""COMPUTED_VALUE"""),"-")</f>
        <v>-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7">
        <f>IFERROR(__xludf.DUMMYFUNCTION("""COMPUTED_VALUE"""),45870.0)</f>
        <v>45870</v>
      </c>
      <c r="B519" s="8">
        <f>IFERROR(__xludf.DUMMYFUNCTION("""COMPUTED_VALUE"""),45857.0)</f>
        <v>45857</v>
      </c>
      <c r="C519" s="1" t="str">
        <f>IFERROR(__xludf.DUMMYFUNCTION("""COMPUTED_VALUE"""),"Mercado Central")</f>
        <v>Mercado Central</v>
      </c>
      <c r="D519" s="2">
        <f>IFERROR(__xludf.DUMMYFUNCTION("""COMPUTED_VALUE"""),20.0)</f>
        <v>20</v>
      </c>
      <c r="E519" s="1" t="str">
        <f>IFERROR(__xludf.DUMMYFUNCTION("""COMPUTED_VALUE"""),"-")</f>
        <v>-</v>
      </c>
      <c r="F519" s="1" t="str">
        <f>IFERROR(__xludf.DUMMYFUNCTION("""COMPUTED_VALUE"""),"Mercado Central")</f>
        <v>Mercado Central</v>
      </c>
      <c r="G519" s="1" t="str">
        <f>IFERROR(__xludf.DUMMYFUNCTION("""COMPUTED_VALUE"""),"-")</f>
        <v>-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7">
        <f>IFERROR(__xludf.DUMMYFUNCTION("""COMPUTED_VALUE"""),45870.0)</f>
        <v>45870</v>
      </c>
      <c r="B520" s="8">
        <f>IFERROR(__xludf.DUMMYFUNCTION("""COMPUTED_VALUE"""),45857.0)</f>
        <v>45857</v>
      </c>
      <c r="C520" s="1" t="str">
        <f>IFERROR(__xludf.DUMMYFUNCTION("""COMPUTED_VALUE"""),"Zé Delivery")</f>
        <v>Zé Delivery</v>
      </c>
      <c r="D520" s="2">
        <f>IFERROR(__xludf.DUMMYFUNCTION("""COMPUTED_VALUE"""),68.87)</f>
        <v>68.87</v>
      </c>
      <c r="E520" s="1" t="str">
        <f>IFERROR(__xludf.DUMMYFUNCTION("""COMPUTED_VALUE"""),"-")</f>
        <v>-</v>
      </c>
      <c r="F520" s="1" t="str">
        <f>IFERROR(__xludf.DUMMYFUNCTION("""COMPUTED_VALUE"""),"Zé Delivery")</f>
        <v>Zé Delivery</v>
      </c>
      <c r="G520" s="1" t="str">
        <f>IFERROR(__xludf.DUMMYFUNCTION("""COMPUTED_VALUE"""),"-")</f>
        <v>-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7">
        <f>IFERROR(__xludf.DUMMYFUNCTION("""COMPUTED_VALUE"""),45870.0)</f>
        <v>45870</v>
      </c>
      <c r="B521" s="8">
        <f>IFERROR(__xludf.DUMMYFUNCTION("""COMPUTED_VALUE"""),45858.0)</f>
        <v>45858</v>
      </c>
      <c r="C521" s="1" t="str">
        <f>IFERROR(__xludf.DUMMYFUNCTION("""COMPUTED_VALUE"""),"Comkombi Aguade Coc")</f>
        <v>Comkombi Aguade Coc</v>
      </c>
      <c r="D521" s="2">
        <f>IFERROR(__xludf.DUMMYFUNCTION("""COMPUTED_VALUE"""),18.0)</f>
        <v>18</v>
      </c>
      <c r="E521" s="1" t="str">
        <f>IFERROR(__xludf.DUMMYFUNCTION("""COMPUTED_VALUE"""),"-")</f>
        <v>-</v>
      </c>
      <c r="F521" s="1" t="str">
        <f>IFERROR(__xludf.DUMMYFUNCTION("""COMPUTED_VALUE"""),"Comkombi Aguade Coc")</f>
        <v>Comkombi Aguade Coc</v>
      </c>
      <c r="G521" s="1" t="str">
        <f>IFERROR(__xludf.DUMMYFUNCTION("""COMPUTED_VALUE"""),"-")</f>
        <v>-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7">
        <f>IFERROR(__xludf.DUMMYFUNCTION("""COMPUTED_VALUE"""),45870.0)</f>
        <v>45870</v>
      </c>
      <c r="B522" s="8">
        <f>IFERROR(__xludf.DUMMYFUNCTION("""COMPUTED_VALUE"""),45858.0)</f>
        <v>45858</v>
      </c>
      <c r="C522" s="1" t="str">
        <f>IFERROR(__xludf.DUMMYFUNCTION("""COMPUTED_VALUE"""),"Sorveteria Bandeiran")</f>
        <v>Sorveteria Bandeiran</v>
      </c>
      <c r="D522" s="2">
        <f>IFERROR(__xludf.DUMMYFUNCTION("""COMPUTED_VALUE"""),11.95)</f>
        <v>11.95</v>
      </c>
      <c r="E522" s="1" t="str">
        <f>IFERROR(__xludf.DUMMYFUNCTION("""COMPUTED_VALUE"""),"-")</f>
        <v>-</v>
      </c>
      <c r="F522" s="1" t="str">
        <f>IFERROR(__xludf.DUMMYFUNCTION("""COMPUTED_VALUE"""),"Sorveteria Bandeiran")</f>
        <v>Sorveteria Bandeiran</v>
      </c>
      <c r="G522" s="1" t="str">
        <f>IFERROR(__xludf.DUMMYFUNCTION("""COMPUTED_VALUE"""),"-")</f>
        <v>-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7">
        <f>IFERROR(__xludf.DUMMYFUNCTION("""COMPUTED_VALUE"""),45870.0)</f>
        <v>45870</v>
      </c>
      <c r="B523" s="8">
        <f>IFERROR(__xludf.DUMMYFUNCTION("""COMPUTED_VALUE"""),45858.0)</f>
        <v>45858</v>
      </c>
      <c r="C523" s="1" t="str">
        <f>IFERROR(__xludf.DUMMYFUNCTION("""COMPUTED_VALUE"""),"Comkombi Aguade Coc")</f>
        <v>Comkombi Aguade Coc</v>
      </c>
      <c r="D523" s="2">
        <f>IFERROR(__xludf.DUMMYFUNCTION("""COMPUTED_VALUE"""),18.0)</f>
        <v>18</v>
      </c>
      <c r="E523" s="1" t="str">
        <f>IFERROR(__xludf.DUMMYFUNCTION("""COMPUTED_VALUE"""),"-")</f>
        <v>-</v>
      </c>
      <c r="F523" s="1" t="str">
        <f>IFERROR(__xludf.DUMMYFUNCTION("""COMPUTED_VALUE"""),"Comkombi Aguade Coc")</f>
        <v>Comkombi Aguade Coc</v>
      </c>
      <c r="G523" s="1" t="str">
        <f>IFERROR(__xludf.DUMMYFUNCTION("""COMPUTED_VALUE"""),"-")</f>
        <v>-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7">
        <f>IFERROR(__xludf.DUMMYFUNCTION("""COMPUTED_VALUE"""),45870.0)</f>
        <v>45870</v>
      </c>
      <c r="B524" s="8">
        <f>IFERROR(__xludf.DUMMYFUNCTION("""COMPUTED_VALUE"""),45858.0)</f>
        <v>45858</v>
      </c>
      <c r="C524" s="1" t="str">
        <f>IFERROR(__xludf.DUMMYFUNCTION("""COMPUTED_VALUE"""),"Petrobra")</f>
        <v>Petrobra</v>
      </c>
      <c r="D524" s="2">
        <f>IFERROR(__xludf.DUMMYFUNCTION("""COMPUTED_VALUE"""),222.0)</f>
        <v>222</v>
      </c>
      <c r="E524" s="1" t="str">
        <f>IFERROR(__xludf.DUMMYFUNCTION("""COMPUTED_VALUE"""),"-")</f>
        <v>-</v>
      </c>
      <c r="F524" s="1" t="str">
        <f>IFERROR(__xludf.DUMMYFUNCTION("""COMPUTED_VALUE"""),"Petrobra")</f>
        <v>Petrobra</v>
      </c>
      <c r="G524" s="1" t="str">
        <f>IFERROR(__xludf.DUMMYFUNCTION("""COMPUTED_VALUE"""),"-")</f>
        <v>-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7">
        <f>IFERROR(__xludf.DUMMYFUNCTION("""COMPUTED_VALUE"""),45870.0)</f>
        <v>45870</v>
      </c>
      <c r="B525" s="8">
        <f>IFERROR(__xludf.DUMMYFUNCTION("""COMPUTED_VALUE"""),45858.0)</f>
        <v>45858</v>
      </c>
      <c r="C525" s="1" t="str">
        <f>IFERROR(__xludf.DUMMYFUNCTION("""COMPUTED_VALUE"""),"Supermercado &amp; Padaria")</f>
        <v>Supermercado &amp; Padaria</v>
      </c>
      <c r="D525" s="2">
        <f>IFERROR(__xludf.DUMMYFUNCTION("""COMPUTED_VALUE"""),201.72)</f>
        <v>201.72</v>
      </c>
      <c r="E525" s="1" t="str">
        <f>IFERROR(__xludf.DUMMYFUNCTION("""COMPUTED_VALUE"""),"-")</f>
        <v>-</v>
      </c>
      <c r="F525" s="1" t="str">
        <f>IFERROR(__xludf.DUMMYFUNCTION("""COMPUTED_VALUE"""),"Supermercado &amp; Padaria")</f>
        <v>Supermercado &amp; Padaria</v>
      </c>
      <c r="G525" s="1" t="str">
        <f>IFERROR(__xludf.DUMMYFUNCTION("""COMPUTED_VALUE"""),"Comida")</f>
        <v>Comida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7">
        <f>IFERROR(__xludf.DUMMYFUNCTION("""COMPUTED_VALUE"""),45870.0)</f>
        <v>45870</v>
      </c>
      <c r="B526" s="8">
        <f>IFERROR(__xludf.DUMMYFUNCTION("""COMPUTED_VALUE"""),45859.0)</f>
        <v>45859</v>
      </c>
      <c r="C526" s="1" t="str">
        <f>IFERROR(__xludf.DUMMYFUNCTION("""COMPUTED_VALUE"""),"Boca Do Forno")</f>
        <v>Boca Do Forno</v>
      </c>
      <c r="D526" s="2">
        <f>IFERROR(__xludf.DUMMYFUNCTION("""COMPUTED_VALUE"""),27.5)</f>
        <v>27.5</v>
      </c>
      <c r="E526" s="1" t="str">
        <f>IFERROR(__xludf.DUMMYFUNCTION("""COMPUTED_VALUE"""),"-")</f>
        <v>-</v>
      </c>
      <c r="F526" s="1" t="str">
        <f>IFERROR(__xludf.DUMMYFUNCTION("""COMPUTED_VALUE"""),"Boca Do Forno")</f>
        <v>Boca Do Forno</v>
      </c>
      <c r="G526" s="1" t="str">
        <f>IFERROR(__xludf.DUMMYFUNCTION("""COMPUTED_VALUE"""),"-")</f>
        <v>-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7">
        <f>IFERROR(__xludf.DUMMYFUNCTION("""COMPUTED_VALUE"""),45870.0)</f>
        <v>45870</v>
      </c>
      <c r="B527" s="8">
        <f>IFERROR(__xludf.DUMMYFUNCTION("""COMPUTED_VALUE"""),45860.0)</f>
        <v>45860</v>
      </c>
      <c r="C527" s="1">
        <f>IFERROR(__xludf.DUMMYFUNCTION("""COMPUTED_VALUE"""),99.0)</f>
        <v>99</v>
      </c>
      <c r="D527" s="2">
        <f>IFERROR(__xludf.DUMMYFUNCTION("""COMPUTED_VALUE"""),8.84)</f>
        <v>8.84</v>
      </c>
      <c r="E527" s="1" t="str">
        <f>IFERROR(__xludf.DUMMYFUNCTION("""COMPUTED_VALUE"""),"-")</f>
        <v>-</v>
      </c>
      <c r="F527" s="1" t="str">
        <f>IFERROR(__xludf.DUMMYFUNCTION("""COMPUTED_VALUE"""),"99")</f>
        <v>99</v>
      </c>
      <c r="G527" s="1" t="str">
        <f>IFERROR(__xludf.DUMMYFUNCTION("""COMPUTED_VALUE"""),"Uber/99")</f>
        <v>Uber/99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7">
        <f>IFERROR(__xludf.DUMMYFUNCTION("""COMPUTED_VALUE"""),45870.0)</f>
        <v>45870</v>
      </c>
      <c r="B528" s="8">
        <f>IFERROR(__xludf.DUMMYFUNCTION("""COMPUTED_VALUE"""),45860.0)</f>
        <v>45860</v>
      </c>
      <c r="C528" s="1" t="str">
        <f>IFERROR(__xludf.DUMMYFUNCTION("""COMPUTED_VALUE"""),"Gelateria Mfps Mg2")</f>
        <v>Gelateria Mfps Mg2</v>
      </c>
      <c r="D528" s="2">
        <f>IFERROR(__xludf.DUMMYFUNCTION("""COMPUTED_VALUE"""),49.0)</f>
        <v>49</v>
      </c>
      <c r="E528" s="1" t="str">
        <f>IFERROR(__xludf.DUMMYFUNCTION("""COMPUTED_VALUE"""),"-")</f>
        <v>-</v>
      </c>
      <c r="F528" s="1" t="str">
        <f>IFERROR(__xludf.DUMMYFUNCTION("""COMPUTED_VALUE"""),"Gelateria Mfps Mg2")</f>
        <v>Gelateria Mfps Mg2</v>
      </c>
      <c r="G528" s="1" t="str">
        <f>IFERROR(__xludf.DUMMYFUNCTION("""COMPUTED_VALUE"""),"-")</f>
        <v>-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7">
        <f>IFERROR(__xludf.DUMMYFUNCTION("""COMPUTED_VALUE"""),45870.0)</f>
        <v>45870</v>
      </c>
      <c r="B529" s="8">
        <f>IFERROR(__xludf.DUMMYFUNCTION("""COMPUTED_VALUE"""),45860.0)</f>
        <v>45860</v>
      </c>
      <c r="C529" s="1" t="str">
        <f>IFERROR(__xludf.DUMMYFUNCTION("""COMPUTED_VALUE"""),"Amazon")</f>
        <v>Amazon</v>
      </c>
      <c r="D529" s="2">
        <f>IFERROR(__xludf.DUMMYFUNCTION("""COMPUTED_VALUE"""),18.81)</f>
        <v>18.81</v>
      </c>
      <c r="E529" s="1" t="str">
        <f>IFERROR(__xludf.DUMMYFUNCTION("""COMPUTED_VALUE"""),"-")</f>
        <v>-</v>
      </c>
      <c r="F529" s="1" t="str">
        <f>IFERROR(__xludf.DUMMYFUNCTION("""COMPUTED_VALUE"""),"Amazon")</f>
        <v>Amazon</v>
      </c>
      <c r="G529" s="1" t="str">
        <f>IFERROR(__xludf.DUMMYFUNCTION("""COMPUTED_VALUE"""),"Compras")</f>
        <v>Compras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7">
        <f>IFERROR(__xludf.DUMMYFUNCTION("""COMPUTED_VALUE"""),45870.0)</f>
        <v>45870</v>
      </c>
      <c r="B530" s="8">
        <f>IFERROR(__xludf.DUMMYFUNCTION("""COMPUTED_VALUE"""),45861.0)</f>
        <v>45861</v>
      </c>
      <c r="C530" s="1" t="str">
        <f>IFERROR(__xludf.DUMMYFUNCTION("""COMPUTED_VALUE"""),"Dma Distribuidora Sa")</f>
        <v>Dma Distribuidora Sa</v>
      </c>
      <c r="D530" s="2">
        <f>IFERROR(__xludf.DUMMYFUNCTION("""COMPUTED_VALUE"""),20.28)</f>
        <v>20.28</v>
      </c>
      <c r="E530" s="1" t="str">
        <f>IFERROR(__xludf.DUMMYFUNCTION("""COMPUTED_VALUE"""),"-")</f>
        <v>-</v>
      </c>
      <c r="F530" s="1" t="str">
        <f>IFERROR(__xludf.DUMMYFUNCTION("""COMPUTED_VALUE"""),"Dma Distribuidora Sa")</f>
        <v>Dma Distribuidora Sa</v>
      </c>
      <c r="G530" s="1" t="str">
        <f>IFERROR(__xludf.DUMMYFUNCTION("""COMPUTED_VALUE"""),"Supermercado")</f>
        <v>Supermercado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7">
        <f>IFERROR(__xludf.DUMMYFUNCTION("""COMPUTED_VALUE"""),45870.0)</f>
        <v>45870</v>
      </c>
      <c r="B531" s="8">
        <f>IFERROR(__xludf.DUMMYFUNCTION("""COMPUTED_VALUE"""),45861.0)</f>
        <v>45861</v>
      </c>
      <c r="C531" s="1" t="str">
        <f>IFERROR(__xludf.DUMMYFUNCTION("""COMPUTED_VALUE"""),"Uber")</f>
        <v>Uber</v>
      </c>
      <c r="D531" s="2">
        <f>IFERROR(__xludf.DUMMYFUNCTION("""COMPUTED_VALUE"""),8.97)</f>
        <v>8.97</v>
      </c>
      <c r="E531" s="1" t="str">
        <f>IFERROR(__xludf.DUMMYFUNCTION("""COMPUTED_VALUE"""),"-")</f>
        <v>-</v>
      </c>
      <c r="F531" s="1" t="str">
        <f>IFERROR(__xludf.DUMMYFUNCTION("""COMPUTED_VALUE"""),"Uber")</f>
        <v>Uber</v>
      </c>
      <c r="G531" s="1" t="str">
        <f>IFERROR(__xludf.DUMMYFUNCTION("""COMPUTED_VALUE"""),"Uber/99")</f>
        <v>Uber/99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7">
        <f>IFERROR(__xludf.DUMMYFUNCTION("""COMPUTED_VALUE"""),45870.0)</f>
        <v>45870</v>
      </c>
      <c r="B532" s="8">
        <f>IFERROR(__xludf.DUMMYFUNCTION("""COMPUTED_VALUE"""),45862.0)</f>
        <v>45862</v>
      </c>
      <c r="C532" s="1" t="str">
        <f>IFERROR(__xludf.DUMMYFUNCTION("""COMPUTED_VALUE"""),"Uber")</f>
        <v>Uber</v>
      </c>
      <c r="D532" s="2">
        <f>IFERROR(__xludf.DUMMYFUNCTION("""COMPUTED_VALUE"""),4.92)</f>
        <v>4.92</v>
      </c>
      <c r="E532" s="1" t="str">
        <f>IFERROR(__xludf.DUMMYFUNCTION("""COMPUTED_VALUE"""),"-")</f>
        <v>-</v>
      </c>
      <c r="F532" s="1" t="str">
        <f>IFERROR(__xludf.DUMMYFUNCTION("""COMPUTED_VALUE"""),"Uber")</f>
        <v>Uber</v>
      </c>
      <c r="G532" s="1" t="str">
        <f>IFERROR(__xludf.DUMMYFUNCTION("""COMPUTED_VALUE"""),"Uber/99")</f>
        <v>Uber/99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7">
        <f>IFERROR(__xludf.DUMMYFUNCTION("""COMPUTED_VALUE"""),45870.0)</f>
        <v>45870</v>
      </c>
      <c r="B533" s="8">
        <f>IFERROR(__xludf.DUMMYFUNCTION("""COMPUTED_VALUE"""),45862.0)</f>
        <v>45862</v>
      </c>
      <c r="C533" s="1" t="str">
        <f>IFERROR(__xludf.DUMMYFUNCTION("""COMPUTED_VALUE"""),"Drogaria Araujo")</f>
        <v>Drogaria Araujo</v>
      </c>
      <c r="D533" s="2">
        <f>IFERROR(__xludf.DUMMYFUNCTION("""COMPUTED_VALUE"""),9.19)</f>
        <v>9.19</v>
      </c>
      <c r="E533" s="1" t="str">
        <f>IFERROR(__xludf.DUMMYFUNCTION("""COMPUTED_VALUE"""),"-")</f>
        <v>-</v>
      </c>
      <c r="F533" s="1" t="str">
        <f>IFERROR(__xludf.DUMMYFUNCTION("""COMPUTED_VALUE"""),"Drogaria Araujo")</f>
        <v>Drogaria Araujo</v>
      </c>
      <c r="G533" s="1" t="str">
        <f>IFERROR(__xludf.DUMMYFUNCTION("""COMPUTED_VALUE"""),"Farmácia")</f>
        <v>Farmácia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7">
        <f>IFERROR(__xludf.DUMMYFUNCTION("""COMPUTED_VALUE"""),45870.0)</f>
        <v>45870</v>
      </c>
      <c r="B534" s="8">
        <f>IFERROR(__xludf.DUMMYFUNCTION("""COMPUTED_VALUE"""),45863.0)</f>
        <v>45863</v>
      </c>
      <c r="C534" s="1" t="str">
        <f>IFERROR(__xludf.DUMMYFUNCTION("""COMPUTED_VALUE"""),"Nawebuti")</f>
        <v>Nawebuti</v>
      </c>
      <c r="D534" s="2">
        <f>IFERROR(__xludf.DUMMYFUNCTION("""COMPUTED_VALUE"""),88.0)</f>
        <v>88</v>
      </c>
      <c r="E534" s="1" t="str">
        <f>IFERROR(__xludf.DUMMYFUNCTION("""COMPUTED_VALUE"""),"-")</f>
        <v>-</v>
      </c>
      <c r="F534" s="1" t="str">
        <f>IFERROR(__xludf.DUMMYFUNCTION("""COMPUTED_VALUE"""),"Nawebuti")</f>
        <v>Nawebuti</v>
      </c>
      <c r="G534" s="1" t="str">
        <f>IFERROR(__xludf.DUMMYFUNCTION("""COMPUTED_VALUE"""),"-")</f>
        <v>-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7">
        <f>IFERROR(__xludf.DUMMYFUNCTION("""COMPUTED_VALUE"""),45870.0)</f>
        <v>45870</v>
      </c>
      <c r="B535" s="8">
        <f>IFERROR(__xludf.DUMMYFUNCTION("""COMPUTED_VALUE"""),45864.0)</f>
        <v>45864</v>
      </c>
      <c r="C535" s="1" t="str">
        <f>IFERROR(__xludf.DUMMYFUNCTION("""COMPUTED_VALUE"""),"Golden Pet")</f>
        <v>Golden Pet</v>
      </c>
      <c r="D535" s="2">
        <f>IFERROR(__xludf.DUMMYFUNCTION("""COMPUTED_VALUE"""),68.0)</f>
        <v>68</v>
      </c>
      <c r="E535" s="1" t="str">
        <f>IFERROR(__xludf.DUMMYFUNCTION("""COMPUTED_VALUE"""),"-")</f>
        <v>-</v>
      </c>
      <c r="F535" s="1" t="str">
        <f>IFERROR(__xludf.DUMMYFUNCTION("""COMPUTED_VALUE"""),"Golden Pet")</f>
        <v>Golden Pet</v>
      </c>
      <c r="G535" s="1" t="str">
        <f>IFERROR(__xludf.DUMMYFUNCTION("""COMPUTED_VALUE"""),"Hulk")</f>
        <v>Hulk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7">
        <f>IFERROR(__xludf.DUMMYFUNCTION("""COMPUTED_VALUE"""),45870.0)</f>
        <v>45870</v>
      </c>
      <c r="B536" s="8">
        <f>IFERROR(__xludf.DUMMYFUNCTION("""COMPUTED_VALUE"""),45864.0)</f>
        <v>45864</v>
      </c>
      <c r="C536" s="1" t="str">
        <f>IFERROR(__xludf.DUMMYFUNCTION("""COMPUTED_VALUE"""),"Casa Da Serra")</f>
        <v>Casa Da Serra</v>
      </c>
      <c r="D536" s="2">
        <f>IFERROR(__xludf.DUMMYFUNCTION("""COMPUTED_VALUE"""),22.95)</f>
        <v>22.95</v>
      </c>
      <c r="E536" s="1" t="str">
        <f>IFERROR(__xludf.DUMMYFUNCTION("""COMPUTED_VALUE"""),"-")</f>
        <v>-</v>
      </c>
      <c r="F536" s="1" t="str">
        <f>IFERROR(__xludf.DUMMYFUNCTION("""COMPUTED_VALUE"""),"Casa Da Serra")</f>
        <v>Casa Da Serra</v>
      </c>
      <c r="G536" s="1" t="str">
        <f>IFERROR(__xludf.DUMMYFUNCTION("""COMPUTED_VALUE"""),"-")</f>
        <v>-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7">
        <f>IFERROR(__xludf.DUMMYFUNCTION("""COMPUTED_VALUE"""),45870.0)</f>
        <v>45870</v>
      </c>
      <c r="B537" s="8">
        <f>IFERROR(__xludf.DUMMYFUNCTION("""COMPUTED_VALUE"""),45864.0)</f>
        <v>45864</v>
      </c>
      <c r="C537" s="1" t="str">
        <f>IFERROR(__xludf.DUMMYFUNCTION("""COMPUTED_VALUE"""),"Dma Distribuidora Sa (3/3)")</f>
        <v>Dma Distribuidora Sa (3/3)</v>
      </c>
      <c r="D537" s="2">
        <f>IFERROR(__xludf.DUMMYFUNCTION("""COMPUTED_VALUE"""),63.04)</f>
        <v>63.04</v>
      </c>
      <c r="E537" s="1" t="str">
        <f>IFERROR(__xludf.DUMMYFUNCTION("""COMPUTED_VALUE"""),"-")</f>
        <v>-</v>
      </c>
      <c r="F537" s="1" t="str">
        <f>IFERROR(__xludf.DUMMYFUNCTION("""COMPUTED_VALUE"""),"Dma Distribuidora Sa")</f>
        <v>Dma Distribuidora Sa</v>
      </c>
      <c r="G537" s="1" t="str">
        <f>IFERROR(__xludf.DUMMYFUNCTION("""COMPUTED_VALUE"""),"Supermercado")</f>
        <v>Supermercado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7">
        <f>IFERROR(__xludf.DUMMYFUNCTION("""COMPUTED_VALUE"""),45870.0)</f>
        <v>45870</v>
      </c>
      <c r="B538" s="8">
        <f>IFERROR(__xludf.DUMMYFUNCTION("""COMPUTED_VALUE"""),45864.0)</f>
        <v>45864</v>
      </c>
      <c r="C538" s="1" t="str">
        <f>IFERROR(__xludf.DUMMYFUNCTION("""COMPUTED_VALUE"""),"Dma Distribuidora Sa (2/3)")</f>
        <v>Dma Distribuidora Sa (2/3)</v>
      </c>
      <c r="D538" s="2">
        <f>IFERROR(__xludf.DUMMYFUNCTION("""COMPUTED_VALUE"""),63.04)</f>
        <v>63.04</v>
      </c>
      <c r="E538" s="1" t="str">
        <f>IFERROR(__xludf.DUMMYFUNCTION("""COMPUTED_VALUE"""),"-")</f>
        <v>-</v>
      </c>
      <c r="F538" s="1" t="str">
        <f>IFERROR(__xludf.DUMMYFUNCTION("""COMPUTED_VALUE"""),"Dma Distribuidora Sa")</f>
        <v>Dma Distribuidora Sa</v>
      </c>
      <c r="G538" s="1" t="str">
        <f>IFERROR(__xludf.DUMMYFUNCTION("""COMPUTED_VALUE"""),"Supermercado")</f>
        <v>Supermercado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7">
        <f>IFERROR(__xludf.DUMMYFUNCTION("""COMPUTED_VALUE"""),45870.0)</f>
        <v>45870</v>
      </c>
      <c r="B539" s="8">
        <f>IFERROR(__xludf.DUMMYFUNCTION("""COMPUTED_VALUE"""),45864.0)</f>
        <v>45864</v>
      </c>
      <c r="C539" s="1" t="str">
        <f>IFERROR(__xludf.DUMMYFUNCTION("""COMPUTED_VALUE"""),"Dma Distribuidora Sa (1/3)")</f>
        <v>Dma Distribuidora Sa (1/3)</v>
      </c>
      <c r="D539" s="2">
        <f>IFERROR(__xludf.DUMMYFUNCTION("""COMPUTED_VALUE"""),63.06)</f>
        <v>63.06</v>
      </c>
      <c r="E539" s="1" t="str">
        <f>IFERROR(__xludf.DUMMYFUNCTION("""COMPUTED_VALUE"""),"-")</f>
        <v>-</v>
      </c>
      <c r="F539" s="1" t="str">
        <f>IFERROR(__xludf.DUMMYFUNCTION("""COMPUTED_VALUE"""),"Dma Distribuidora Sa")</f>
        <v>Dma Distribuidora Sa</v>
      </c>
      <c r="G539" s="1" t="str">
        <f>IFERROR(__xludf.DUMMYFUNCTION("""COMPUTED_VALUE"""),"Supermercado")</f>
        <v>Supermercado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7">
        <f>IFERROR(__xludf.DUMMYFUNCTION("""COMPUTED_VALUE"""),45870.0)</f>
        <v>45870</v>
      </c>
      <c r="B540" s="8">
        <f>IFERROR(__xludf.DUMMYFUNCTION("""COMPUTED_VALUE"""),45864.0)</f>
        <v>45864</v>
      </c>
      <c r="C540" s="1" t="str">
        <f>IFERROR(__xludf.DUMMYFUNCTION("""COMPUTED_VALUE"""),"Farmácias Pa 324 (5/5)")</f>
        <v>Farmácias Pa 324 (5/5)</v>
      </c>
      <c r="D540" s="2">
        <f>IFERROR(__xludf.DUMMYFUNCTION("""COMPUTED_VALUE"""),50.89)</f>
        <v>50.89</v>
      </c>
      <c r="E540" s="1" t="str">
        <f>IFERROR(__xludf.DUMMYFUNCTION("""COMPUTED_VALUE"""),"-")</f>
        <v>-</v>
      </c>
      <c r="F540" s="1" t="str">
        <f>IFERROR(__xludf.DUMMYFUNCTION("""COMPUTED_VALUE"""),"Farmácias Pa 324")</f>
        <v>Farmácias Pa 324</v>
      </c>
      <c r="G540" s="1" t="str">
        <f>IFERROR(__xludf.DUMMYFUNCTION("""COMPUTED_VALUE"""),"Compras")</f>
        <v>Compras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7">
        <f>IFERROR(__xludf.DUMMYFUNCTION("""COMPUTED_VALUE"""),45870.0)</f>
        <v>45870</v>
      </c>
      <c r="B541" s="8">
        <f>IFERROR(__xludf.DUMMYFUNCTION("""COMPUTED_VALUE"""),45864.0)</f>
        <v>45864</v>
      </c>
      <c r="C541" s="1" t="str">
        <f>IFERROR(__xludf.DUMMYFUNCTION("""COMPUTED_VALUE"""),"Farmácias Pa 324 (4/5)")</f>
        <v>Farmácias Pa 324 (4/5)</v>
      </c>
      <c r="D541" s="2">
        <f>IFERROR(__xludf.DUMMYFUNCTION("""COMPUTED_VALUE"""),50.89)</f>
        <v>50.89</v>
      </c>
      <c r="E541" s="1" t="str">
        <f>IFERROR(__xludf.DUMMYFUNCTION("""COMPUTED_VALUE"""),"-")</f>
        <v>-</v>
      </c>
      <c r="F541" s="1" t="str">
        <f>IFERROR(__xludf.DUMMYFUNCTION("""COMPUTED_VALUE"""),"Farmácias Pa 324")</f>
        <v>Farmácias Pa 324</v>
      </c>
      <c r="G541" s="1" t="str">
        <f>IFERROR(__xludf.DUMMYFUNCTION("""COMPUTED_VALUE"""),"Compras")</f>
        <v>Compras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7">
        <f>IFERROR(__xludf.DUMMYFUNCTION("""COMPUTED_VALUE"""),45870.0)</f>
        <v>45870</v>
      </c>
      <c r="B542" s="8">
        <f>IFERROR(__xludf.DUMMYFUNCTION("""COMPUTED_VALUE"""),45864.0)</f>
        <v>45864</v>
      </c>
      <c r="C542" s="1" t="str">
        <f>IFERROR(__xludf.DUMMYFUNCTION("""COMPUTED_VALUE"""),"Farmácias Pa 324 (3/5)")</f>
        <v>Farmácias Pa 324 (3/5)</v>
      </c>
      <c r="D542" s="2">
        <f>IFERROR(__xludf.DUMMYFUNCTION("""COMPUTED_VALUE"""),50.89)</f>
        <v>50.89</v>
      </c>
      <c r="E542" s="1" t="str">
        <f>IFERROR(__xludf.DUMMYFUNCTION("""COMPUTED_VALUE"""),"-")</f>
        <v>-</v>
      </c>
      <c r="F542" s="1" t="str">
        <f>IFERROR(__xludf.DUMMYFUNCTION("""COMPUTED_VALUE"""),"Farmácias Pa 324")</f>
        <v>Farmácias Pa 324</v>
      </c>
      <c r="G542" s="1" t="str">
        <f>IFERROR(__xludf.DUMMYFUNCTION("""COMPUTED_VALUE"""),"Compras")</f>
        <v>Compras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7">
        <f>IFERROR(__xludf.DUMMYFUNCTION("""COMPUTED_VALUE"""),45870.0)</f>
        <v>45870</v>
      </c>
      <c r="B543" s="8">
        <f>IFERROR(__xludf.DUMMYFUNCTION("""COMPUTED_VALUE"""),45864.0)</f>
        <v>45864</v>
      </c>
      <c r="C543" s="1" t="str">
        <f>IFERROR(__xludf.DUMMYFUNCTION("""COMPUTED_VALUE"""),"Farmácias Pa 324 (2/5)")</f>
        <v>Farmácias Pa 324 (2/5)</v>
      </c>
      <c r="D543" s="2">
        <f>IFERROR(__xludf.DUMMYFUNCTION("""COMPUTED_VALUE"""),50.89)</f>
        <v>50.89</v>
      </c>
      <c r="E543" s="1" t="str">
        <f>IFERROR(__xludf.DUMMYFUNCTION("""COMPUTED_VALUE"""),"-")</f>
        <v>-</v>
      </c>
      <c r="F543" s="1" t="str">
        <f>IFERROR(__xludf.DUMMYFUNCTION("""COMPUTED_VALUE"""),"Farmácias Pa 324")</f>
        <v>Farmácias Pa 324</v>
      </c>
      <c r="G543" s="1" t="str">
        <f>IFERROR(__xludf.DUMMYFUNCTION("""COMPUTED_VALUE"""),"Compras")</f>
        <v>Compras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7">
        <f>IFERROR(__xludf.DUMMYFUNCTION("""COMPUTED_VALUE"""),45870.0)</f>
        <v>45870</v>
      </c>
      <c r="B544" s="8">
        <f>IFERROR(__xludf.DUMMYFUNCTION("""COMPUTED_VALUE"""),45864.0)</f>
        <v>45864</v>
      </c>
      <c r="C544" s="1" t="str">
        <f>IFERROR(__xludf.DUMMYFUNCTION("""COMPUTED_VALUE"""),"Farmácias Pa 324 (1/5)")</f>
        <v>Farmácias Pa 324 (1/5)</v>
      </c>
      <c r="D544" s="2">
        <f>IFERROR(__xludf.DUMMYFUNCTION("""COMPUTED_VALUE"""),50.91)</f>
        <v>50.91</v>
      </c>
      <c r="E544" s="1" t="str">
        <f>IFERROR(__xludf.DUMMYFUNCTION("""COMPUTED_VALUE"""),"-")</f>
        <v>-</v>
      </c>
      <c r="F544" s="1" t="str">
        <f>IFERROR(__xludf.DUMMYFUNCTION("""COMPUTED_VALUE"""),"Farmácias Pa 324")</f>
        <v>Farmácias Pa 324</v>
      </c>
      <c r="G544" s="1" t="str">
        <f>IFERROR(__xludf.DUMMYFUNCTION("""COMPUTED_VALUE"""),"Compras")</f>
        <v>Compras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7">
        <f>IFERROR(__xludf.DUMMYFUNCTION("""COMPUTED_VALUE"""),45870.0)</f>
        <v>45870</v>
      </c>
      <c r="B545" s="8">
        <f>IFERROR(__xludf.DUMMYFUNCTION("""COMPUTED_VALUE"""),45864.0)</f>
        <v>45864</v>
      </c>
      <c r="C545" s="1" t="str">
        <f>IFERROR(__xludf.DUMMYFUNCTION("""COMPUTED_VALUE"""),"Farmácias Pa")</f>
        <v>Farmácias Pa</v>
      </c>
      <c r="D545" s="2">
        <f>IFERROR(__xludf.DUMMYFUNCTION("""COMPUTED_VALUE"""),65.99)</f>
        <v>65.99</v>
      </c>
      <c r="E545" s="1" t="str">
        <f>IFERROR(__xludf.DUMMYFUNCTION("""COMPUTED_VALUE"""),"-")</f>
        <v>-</v>
      </c>
      <c r="F545" s="1" t="str">
        <f>IFERROR(__xludf.DUMMYFUNCTION("""COMPUTED_VALUE"""),"Farmácias Pa")</f>
        <v>Farmácias Pa</v>
      </c>
      <c r="G545" s="1" t="str">
        <f>IFERROR(__xludf.DUMMYFUNCTION("""COMPUTED_VALUE"""),"Farmácia")</f>
        <v>Farmácia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7">
        <f>IFERROR(__xludf.DUMMYFUNCTION("""COMPUTED_VALUE"""),45870.0)</f>
        <v>45870</v>
      </c>
      <c r="B546" s="8">
        <f>IFERROR(__xludf.DUMMYFUNCTION("""COMPUTED_VALUE"""),45864.0)</f>
        <v>45864</v>
      </c>
      <c r="C546" s="1" t="str">
        <f>IFERROR(__xludf.DUMMYFUNCTION("""COMPUTED_VALUE"""),"Panif Mendes Sion")</f>
        <v>Panif Mendes Sion</v>
      </c>
      <c r="D546" s="2">
        <f>IFERROR(__xludf.DUMMYFUNCTION("""COMPUTED_VALUE"""),9.2)</f>
        <v>9.2</v>
      </c>
      <c r="E546" s="1" t="str">
        <f>IFERROR(__xludf.DUMMYFUNCTION("""COMPUTED_VALUE"""),"-")</f>
        <v>-</v>
      </c>
      <c r="F546" s="1" t="str">
        <f>IFERROR(__xludf.DUMMYFUNCTION("""COMPUTED_VALUE"""),"Panif Mendes Sion")</f>
        <v>Panif Mendes Sion</v>
      </c>
      <c r="G546" s="1" t="str">
        <f>IFERROR(__xludf.DUMMYFUNCTION("""COMPUTED_VALUE"""),"Comida")</f>
        <v>Comida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7">
        <f>IFERROR(__xludf.DUMMYFUNCTION("""COMPUTED_VALUE"""),45870.0)</f>
        <v>45870</v>
      </c>
      <c r="B547" s="8">
        <f>IFERROR(__xludf.DUMMYFUNCTION("""COMPUTED_VALUE"""),45865.0)</f>
        <v>45865</v>
      </c>
      <c r="C547" s="1" t="str">
        <f>IFERROR(__xludf.DUMMYFUNCTION("""COMPUTED_VALUE"""),"Amazon")</f>
        <v>Amazon</v>
      </c>
      <c r="D547" s="2">
        <f>IFERROR(__xludf.DUMMYFUNCTION("""COMPUTED_VALUE"""),4.17)</f>
        <v>4.17</v>
      </c>
      <c r="E547" s="1" t="str">
        <f>IFERROR(__xludf.DUMMYFUNCTION("""COMPUTED_VALUE"""),"-")</f>
        <v>-</v>
      </c>
      <c r="F547" s="1" t="str">
        <f>IFERROR(__xludf.DUMMYFUNCTION("""COMPUTED_VALUE"""),"Amazon")</f>
        <v>Amazon</v>
      </c>
      <c r="G547" s="1" t="str">
        <f>IFERROR(__xludf.DUMMYFUNCTION("""COMPUTED_VALUE"""),"Compras")</f>
        <v>Compras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7">
        <f>IFERROR(__xludf.DUMMYFUNCTION("""COMPUTED_VALUE"""),45870.0)</f>
        <v>45870</v>
      </c>
      <c r="B548" s="8">
        <f>IFERROR(__xludf.DUMMYFUNCTION("""COMPUTED_VALUE"""),45865.0)</f>
        <v>45865</v>
      </c>
      <c r="C548" s="1" t="str">
        <f>IFERROR(__xludf.DUMMYFUNCTION("""COMPUTED_VALUE"""),"Amazon")</f>
        <v>Amazon</v>
      </c>
      <c r="D548" s="2">
        <f>IFERROR(__xludf.DUMMYFUNCTION("""COMPUTED_VALUE"""),21.36)</f>
        <v>21.36</v>
      </c>
      <c r="E548" s="1" t="str">
        <f>IFERROR(__xludf.DUMMYFUNCTION("""COMPUTED_VALUE"""),"-")</f>
        <v>-</v>
      </c>
      <c r="F548" s="1" t="str">
        <f>IFERROR(__xludf.DUMMYFUNCTION("""COMPUTED_VALUE"""),"Amazon")</f>
        <v>Amazon</v>
      </c>
      <c r="G548" s="1" t="str">
        <f>IFERROR(__xludf.DUMMYFUNCTION("""COMPUTED_VALUE"""),"Compras")</f>
        <v>Compras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7">
        <f>IFERROR(__xludf.DUMMYFUNCTION("""COMPUTED_VALUE"""),45870.0)</f>
        <v>45870</v>
      </c>
      <c r="B549" s="8">
        <f>IFERROR(__xludf.DUMMYFUNCTION("""COMPUTED_VALUE"""),45865.0)</f>
        <v>45865</v>
      </c>
      <c r="C549" s="1" t="str">
        <f>IFERROR(__xludf.DUMMYFUNCTION("""COMPUTED_VALUE"""),"Pague Menos")</f>
        <v>Pague Menos</v>
      </c>
      <c r="D549" s="2">
        <f>IFERROR(__xludf.DUMMYFUNCTION("""COMPUTED_VALUE"""),16.2)</f>
        <v>16.2</v>
      </c>
      <c r="E549" s="1" t="str">
        <f>IFERROR(__xludf.DUMMYFUNCTION("""COMPUTED_VALUE"""),"-")</f>
        <v>-</v>
      </c>
      <c r="F549" s="1" t="str">
        <f>IFERROR(__xludf.DUMMYFUNCTION("""COMPUTED_VALUE"""),"Pague Menos")</f>
        <v>Pague Menos</v>
      </c>
      <c r="G549" s="1" t="str">
        <f>IFERROR(__xludf.DUMMYFUNCTION("""COMPUTED_VALUE"""),"-")</f>
        <v>-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7">
        <f>IFERROR(__xludf.DUMMYFUNCTION("""COMPUTED_VALUE"""),45870.0)</f>
        <v>45870</v>
      </c>
      <c r="B550" s="8">
        <f>IFERROR(__xludf.DUMMYFUNCTION("""COMPUTED_VALUE"""),45865.0)</f>
        <v>45865</v>
      </c>
      <c r="C550" s="1" t="str">
        <f>IFERROR(__xludf.DUMMYFUNCTION("""COMPUTED_VALUE"""),"Quiosque De Coco Jk")</f>
        <v>Quiosque De Coco Jk</v>
      </c>
      <c r="D550" s="2">
        <f>IFERROR(__xludf.DUMMYFUNCTION("""COMPUTED_VALUE"""),10.0)</f>
        <v>10</v>
      </c>
      <c r="E550" s="1" t="str">
        <f>IFERROR(__xludf.DUMMYFUNCTION("""COMPUTED_VALUE"""),"-")</f>
        <v>-</v>
      </c>
      <c r="F550" s="1" t="str">
        <f>IFERROR(__xludf.DUMMYFUNCTION("""COMPUTED_VALUE"""),"Quiosque De Coco Jk")</f>
        <v>Quiosque De Coco Jk</v>
      </c>
      <c r="G550" s="1" t="str">
        <f>IFERROR(__xludf.DUMMYFUNCTION("""COMPUTED_VALUE"""),"-")</f>
        <v>-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7">
        <f>IFERROR(__xludf.DUMMYFUNCTION("""COMPUTED_VALUE"""),45870.0)</f>
        <v>45870</v>
      </c>
      <c r="B551" s="8">
        <f>IFERROR(__xludf.DUMMYFUNCTION("""COMPUTED_VALUE"""),45866.0)</f>
        <v>45866</v>
      </c>
      <c r="C551" s="1" t="str">
        <f>IFERROR(__xludf.DUMMYFUNCTION("""COMPUTED_VALUE"""),"Amazon")</f>
        <v>Amazon</v>
      </c>
      <c r="D551" s="2">
        <f>IFERROR(__xludf.DUMMYFUNCTION("""COMPUTED_VALUE"""),38.9)</f>
        <v>38.9</v>
      </c>
      <c r="E551" s="1" t="str">
        <f>IFERROR(__xludf.DUMMYFUNCTION("""COMPUTED_VALUE"""),"-")</f>
        <v>-</v>
      </c>
      <c r="F551" s="1" t="str">
        <f>IFERROR(__xludf.DUMMYFUNCTION("""COMPUTED_VALUE"""),"Amazon")</f>
        <v>Amazon</v>
      </c>
      <c r="G551" s="1" t="str">
        <f>IFERROR(__xludf.DUMMYFUNCTION("""COMPUTED_VALUE"""),"Compras")</f>
        <v>Compras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7">
        <f>IFERROR(__xludf.DUMMYFUNCTION("""COMPUTED_VALUE"""),45870.0)</f>
        <v>45870</v>
      </c>
      <c r="B552" s="8">
        <f>IFERROR(__xludf.DUMMYFUNCTION("""COMPUTED_VALUE"""),45867.0)</f>
        <v>45867</v>
      </c>
      <c r="C552" s="1" t="str">
        <f>IFERROR(__xludf.DUMMYFUNCTION("""COMPUTED_VALUE"""),"Drogaria Araujo")</f>
        <v>Drogaria Araujo</v>
      </c>
      <c r="D552" s="2">
        <f>IFERROR(__xludf.DUMMYFUNCTION("""COMPUTED_VALUE"""),55.59)</f>
        <v>55.59</v>
      </c>
      <c r="E552" s="1" t="str">
        <f>IFERROR(__xludf.DUMMYFUNCTION("""COMPUTED_VALUE"""),"-")</f>
        <v>-</v>
      </c>
      <c r="F552" s="1" t="str">
        <f>IFERROR(__xludf.DUMMYFUNCTION("""COMPUTED_VALUE"""),"Drogaria Araujo")</f>
        <v>Drogaria Araujo</v>
      </c>
      <c r="G552" s="1" t="str">
        <f>IFERROR(__xludf.DUMMYFUNCTION("""COMPUTED_VALUE"""),"Farmácia")</f>
        <v>Farmácia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7">
        <f>IFERROR(__xludf.DUMMYFUNCTION("""COMPUTED_VALUE"""),45870.0)</f>
        <v>45870</v>
      </c>
      <c r="B553" s="8">
        <f>IFERROR(__xludf.DUMMYFUNCTION("""COMPUTED_VALUE"""),45867.0)</f>
        <v>45867</v>
      </c>
      <c r="C553" s="1" t="str">
        <f>IFERROR(__xludf.DUMMYFUNCTION("""COMPUTED_VALUE"""),"Shopee")</f>
        <v>Shopee</v>
      </c>
      <c r="D553" s="2">
        <f>IFERROR(__xludf.DUMMYFUNCTION("""COMPUTED_VALUE"""),85.58)</f>
        <v>85.58</v>
      </c>
      <c r="E553" s="1" t="str">
        <f>IFERROR(__xludf.DUMMYFUNCTION("""COMPUTED_VALUE"""),"-")</f>
        <v>-</v>
      </c>
      <c r="F553" s="1" t="str">
        <f>IFERROR(__xludf.DUMMYFUNCTION("""COMPUTED_VALUE"""),"Shopee")</f>
        <v>Shopee</v>
      </c>
      <c r="G553" s="1" t="str">
        <f>IFERROR(__xludf.DUMMYFUNCTION("""COMPUTED_VALUE"""),"Compras")</f>
        <v>Compras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7">
        <f>IFERROR(__xludf.DUMMYFUNCTION("""COMPUTED_VALUE"""),45870.0)</f>
        <v>45870</v>
      </c>
      <c r="B554" s="8">
        <f>IFERROR(__xludf.DUMMYFUNCTION("""COMPUTED_VALUE"""),45867.0)</f>
        <v>45867</v>
      </c>
      <c r="C554" s="1" t="str">
        <f>IFERROR(__xludf.DUMMYFUNCTION("""COMPUTED_VALUE"""),"Drogaria Araujo")</f>
        <v>Drogaria Araujo</v>
      </c>
      <c r="D554" s="2">
        <f>IFERROR(__xludf.DUMMYFUNCTION("""COMPUTED_VALUE"""),18.44)</f>
        <v>18.44</v>
      </c>
      <c r="E554" s="1" t="str">
        <f>IFERROR(__xludf.DUMMYFUNCTION("""COMPUTED_VALUE"""),"-")</f>
        <v>-</v>
      </c>
      <c r="F554" s="1" t="str">
        <f>IFERROR(__xludf.DUMMYFUNCTION("""COMPUTED_VALUE"""),"Drogaria Araujo")</f>
        <v>Drogaria Araujo</v>
      </c>
      <c r="G554" s="1" t="str">
        <f>IFERROR(__xludf.DUMMYFUNCTION("""COMPUTED_VALUE"""),"Farmácia")</f>
        <v>Farmácia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7">
        <f>IFERROR(__xludf.DUMMYFUNCTION("""COMPUTED_VALUE"""),45870.0)</f>
        <v>45870</v>
      </c>
      <c r="B555" s="8">
        <f>IFERROR(__xludf.DUMMYFUNCTION("""COMPUTED_VALUE"""),45868.0)</f>
        <v>45868</v>
      </c>
      <c r="C555" s="1" t="str">
        <f>IFERROR(__xludf.DUMMYFUNCTION("""COMPUTED_VALUE"""),"Drogaria Pacheco (1/3)")</f>
        <v>Drogaria Pacheco (1/3)</v>
      </c>
      <c r="D555" s="2">
        <f>IFERROR(__xludf.DUMMYFUNCTION("""COMPUTED_VALUE"""),83.41)</f>
        <v>83.41</v>
      </c>
      <c r="E555" s="1" t="str">
        <f>IFERROR(__xludf.DUMMYFUNCTION("""COMPUTED_VALUE"""),"-")</f>
        <v>-</v>
      </c>
      <c r="F555" s="1" t="str">
        <f>IFERROR(__xludf.DUMMYFUNCTION("""COMPUTED_VALUE"""),"Drogaria Pacheco")</f>
        <v>Drogaria Pacheco</v>
      </c>
      <c r="G555" s="1" t="str">
        <f>IFERROR(__xludf.DUMMYFUNCTION("""COMPUTED_VALUE"""),"Farmácia")</f>
        <v>Farmácia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7">
        <f>IFERROR(__xludf.DUMMYFUNCTION("""COMPUTED_VALUE"""),45870.0)</f>
        <v>45870</v>
      </c>
      <c r="B556" s="8">
        <f>IFERROR(__xludf.DUMMYFUNCTION("""COMPUTED_VALUE"""),45868.0)</f>
        <v>45868</v>
      </c>
      <c r="C556" s="1" t="str">
        <f>IFERROR(__xludf.DUMMYFUNCTION("""COMPUTED_VALUE"""),"Amazon")</f>
        <v>Amazon</v>
      </c>
      <c r="D556" s="2">
        <f>IFERROR(__xludf.DUMMYFUNCTION("""COMPUTED_VALUE"""),16.88)</f>
        <v>16.88</v>
      </c>
      <c r="E556" s="1" t="str">
        <f>IFERROR(__xludf.DUMMYFUNCTION("""COMPUTED_VALUE"""),"-")</f>
        <v>-</v>
      </c>
      <c r="F556" s="1" t="str">
        <f>IFERROR(__xludf.DUMMYFUNCTION("""COMPUTED_VALUE"""),"Amazon")</f>
        <v>Amazon</v>
      </c>
      <c r="G556" s="1" t="str">
        <f>IFERROR(__xludf.DUMMYFUNCTION("""COMPUTED_VALUE"""),"Compras")</f>
        <v>Compras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7">
        <f>IFERROR(__xludf.DUMMYFUNCTION("""COMPUTED_VALUE"""),45870.0)</f>
        <v>45870</v>
      </c>
      <c r="B557" s="8">
        <f>IFERROR(__xludf.DUMMYFUNCTION("""COMPUTED_VALUE"""),45868.0)</f>
        <v>45868</v>
      </c>
      <c r="C557" s="1" t="str">
        <f>IFERROR(__xludf.DUMMYFUNCTION("""COMPUTED_VALUE"""),"Sorveteria Arm")</f>
        <v>Sorveteria Arm</v>
      </c>
      <c r="D557" s="2">
        <f>IFERROR(__xludf.DUMMYFUNCTION("""COMPUTED_VALUE"""),16.13)</f>
        <v>16.13</v>
      </c>
      <c r="E557" s="1" t="str">
        <f>IFERROR(__xludf.DUMMYFUNCTION("""COMPUTED_VALUE"""),"-")</f>
        <v>-</v>
      </c>
      <c r="F557" s="1" t="str">
        <f>IFERROR(__xludf.DUMMYFUNCTION("""COMPUTED_VALUE"""),"Sorveteria Arm")</f>
        <v>Sorveteria Arm</v>
      </c>
      <c r="G557" s="1" t="str">
        <f>IFERROR(__xludf.DUMMYFUNCTION("""COMPUTED_VALUE"""),"-")</f>
        <v>-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7">
        <f>IFERROR(__xludf.DUMMYFUNCTION("""COMPUTED_VALUE"""),45870.0)</f>
        <v>45870</v>
      </c>
      <c r="B558" s="8">
        <f>IFERROR(__xludf.DUMMYFUNCTION("""COMPUTED_VALUE"""),45868.0)</f>
        <v>45868</v>
      </c>
      <c r="C558" s="1" t="str">
        <f>IFERROR(__xludf.DUMMYFUNCTION("""COMPUTED_VALUE"""),"Petz")</f>
        <v>Petz</v>
      </c>
      <c r="D558" s="2">
        <f>IFERROR(__xludf.DUMMYFUNCTION("""COMPUTED_VALUE"""),11.99)</f>
        <v>11.99</v>
      </c>
      <c r="E558" s="1" t="str">
        <f>IFERROR(__xludf.DUMMYFUNCTION("""COMPUTED_VALUE"""),"-")</f>
        <v>-</v>
      </c>
      <c r="F558" s="1" t="str">
        <f>IFERROR(__xludf.DUMMYFUNCTION("""COMPUTED_VALUE"""),"Petz")</f>
        <v>Petz</v>
      </c>
      <c r="G558" s="1" t="str">
        <f>IFERROR(__xludf.DUMMYFUNCTION("""COMPUTED_VALUE"""),"-")</f>
        <v>-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7">
        <f>IFERROR(__xludf.DUMMYFUNCTION("""COMPUTED_VALUE"""),45870.0)</f>
        <v>45870</v>
      </c>
      <c r="B559" s="8">
        <f>IFERROR(__xludf.DUMMYFUNCTION("""COMPUTED_VALUE"""),45869.0)</f>
        <v>45869</v>
      </c>
      <c r="C559" s="1" t="str">
        <f>IFERROR(__xludf.DUMMYFUNCTION("""COMPUTED_VALUE"""),"Uber")</f>
        <v>Uber</v>
      </c>
      <c r="D559" s="2">
        <f>IFERROR(__xludf.DUMMYFUNCTION("""COMPUTED_VALUE"""),8.93)</f>
        <v>8.93</v>
      </c>
      <c r="E559" s="1" t="str">
        <f>IFERROR(__xludf.DUMMYFUNCTION("""COMPUTED_VALUE"""),"-")</f>
        <v>-</v>
      </c>
      <c r="F559" s="1" t="str">
        <f>IFERROR(__xludf.DUMMYFUNCTION("""COMPUTED_VALUE"""),"Uber")</f>
        <v>Uber</v>
      </c>
      <c r="G559" s="1" t="str">
        <f>IFERROR(__xludf.DUMMYFUNCTION("""COMPUTED_VALUE"""),"Uber/99")</f>
        <v>Uber/99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7">
        <f>IFERROR(__xludf.DUMMYFUNCTION("""COMPUTED_VALUE"""),45870.0)</f>
        <v>45870</v>
      </c>
      <c r="B560" s="8">
        <f>IFERROR(__xludf.DUMMYFUNCTION("""COMPUTED_VALUE"""),45869.0)</f>
        <v>45869</v>
      </c>
      <c r="C560" s="1" t="str">
        <f>IFERROR(__xludf.DUMMYFUNCTION("""COMPUTED_VALUE"""),"Momento Super Nosso")</f>
        <v>Momento Super Nosso</v>
      </c>
      <c r="D560" s="2">
        <f>IFERROR(__xludf.DUMMYFUNCTION("""COMPUTED_VALUE"""),56.45)</f>
        <v>56.45</v>
      </c>
      <c r="E560" s="1" t="str">
        <f>IFERROR(__xludf.DUMMYFUNCTION("""COMPUTED_VALUE"""),"-")</f>
        <v>-</v>
      </c>
      <c r="F560" s="1" t="str">
        <f>IFERROR(__xludf.DUMMYFUNCTION("""COMPUTED_VALUE"""),"Momento Super Nosso")</f>
        <v>Momento Super Nosso</v>
      </c>
      <c r="G560" s="1" t="str">
        <f>IFERROR(__xludf.DUMMYFUNCTION("""COMPUTED_VALUE"""),"-")</f>
        <v>-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7">
        <f>IFERROR(__xludf.DUMMYFUNCTION("""COMPUTED_VALUE"""),45870.0)</f>
        <v>45870</v>
      </c>
      <c r="B561" s="8">
        <f>IFERROR(__xludf.DUMMYFUNCTION("""COMPUTED_VALUE"""),45870.0)</f>
        <v>45870</v>
      </c>
      <c r="C561" s="1">
        <f>IFERROR(__xludf.DUMMYFUNCTION("""COMPUTED_VALUE"""),99.0)</f>
        <v>99</v>
      </c>
      <c r="D561" s="2">
        <f>IFERROR(__xludf.DUMMYFUNCTION("""COMPUTED_VALUE"""),10.4)</f>
        <v>10.4</v>
      </c>
      <c r="E561" s="1" t="str">
        <f>IFERROR(__xludf.DUMMYFUNCTION("""COMPUTED_VALUE"""),"-")</f>
        <v>-</v>
      </c>
      <c r="F561" s="1" t="str">
        <f>IFERROR(__xludf.DUMMYFUNCTION("""COMPUTED_VALUE"""),"99")</f>
        <v>99</v>
      </c>
      <c r="G561" s="1" t="str">
        <f>IFERROR(__xludf.DUMMYFUNCTION("""COMPUTED_VALUE"""),"Uber/99")</f>
        <v>Uber/99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7">
        <f>IFERROR(__xludf.DUMMYFUNCTION("""COMPUTED_VALUE"""),45870.0)</f>
        <v>45870</v>
      </c>
      <c r="B562" s="8">
        <f>IFERROR(__xludf.DUMMYFUNCTION("""COMPUTED_VALUE"""),45870.0)</f>
        <v>45870</v>
      </c>
      <c r="C562" s="1" t="str">
        <f>IFERROR(__xludf.DUMMYFUNCTION("""COMPUTED_VALUE"""),"Panif Mendes Sion")</f>
        <v>Panif Mendes Sion</v>
      </c>
      <c r="D562" s="2">
        <f>IFERROR(__xludf.DUMMYFUNCTION("""COMPUTED_VALUE"""),15.28)</f>
        <v>15.28</v>
      </c>
      <c r="E562" s="1" t="str">
        <f>IFERROR(__xludf.DUMMYFUNCTION("""COMPUTED_VALUE"""),"-")</f>
        <v>-</v>
      </c>
      <c r="F562" s="1" t="str">
        <f>IFERROR(__xludf.DUMMYFUNCTION("""COMPUTED_VALUE"""),"Panif Mendes Sion")</f>
        <v>Panif Mendes Sion</v>
      </c>
      <c r="G562" s="1" t="str">
        <f>IFERROR(__xludf.DUMMYFUNCTION("""COMPUTED_VALUE"""),"Comida")</f>
        <v>Comida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7">
        <f>IFERROR(__xludf.DUMMYFUNCTION("""COMPUTED_VALUE"""),45870.0)</f>
        <v>45870</v>
      </c>
      <c r="B563" s="8">
        <f>IFERROR(__xludf.DUMMYFUNCTION("""COMPUTED_VALUE"""),45870.0)</f>
        <v>45870</v>
      </c>
      <c r="C563" s="1" t="str">
        <f>IFERROR(__xludf.DUMMYFUNCTION("""COMPUTED_VALUE"""),"Drogaria Araujo")</f>
        <v>Drogaria Araujo</v>
      </c>
      <c r="D563" s="2">
        <f>IFERROR(__xludf.DUMMYFUNCTION("""COMPUTED_VALUE"""),14.67)</f>
        <v>14.67</v>
      </c>
      <c r="E563" s="1" t="str">
        <f>IFERROR(__xludf.DUMMYFUNCTION("""COMPUTED_VALUE"""),"-")</f>
        <v>-</v>
      </c>
      <c r="F563" s="1" t="str">
        <f>IFERROR(__xludf.DUMMYFUNCTION("""COMPUTED_VALUE"""),"Drogaria Araujo")</f>
        <v>Drogaria Araujo</v>
      </c>
      <c r="G563" s="1" t="str">
        <f>IFERROR(__xludf.DUMMYFUNCTION("""COMPUTED_VALUE"""),"Farmácia")</f>
        <v>Farmácia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7">
        <f>IFERROR(__xludf.DUMMYFUNCTION("""COMPUTED_VALUE"""),45870.0)</f>
        <v>45870</v>
      </c>
      <c r="B564" s="8">
        <f>IFERROR(__xludf.DUMMYFUNCTION("""COMPUTED_VALUE"""),45829.0)</f>
        <v>45829</v>
      </c>
      <c r="C564" s="1" t="str">
        <f>IFERROR(__xludf.DUMMYFUNCTION("""COMPUTED_VALUE"""),"Cancelamento - Shopee")</f>
        <v>Cancelamento - Shopee</v>
      </c>
      <c r="D564" s="2">
        <f>IFERROR(__xludf.DUMMYFUNCTION("""COMPUTED_VALUE"""),-32.89)</f>
        <v>-32.89</v>
      </c>
      <c r="E564" s="1" t="str">
        <f>IFERROR(__xludf.DUMMYFUNCTION("""COMPUTED_VALUE"""),"-")</f>
        <v>-</v>
      </c>
      <c r="F564" s="1" t="str">
        <f>IFERROR(__xludf.DUMMYFUNCTION("""COMPUTED_VALUE"""),"Cancelamento - Shopee")</f>
        <v>Cancelamento - Shopee</v>
      </c>
      <c r="G564" s="1" t="str">
        <f>IFERROR(__xludf.DUMMYFUNCTION("""COMPUTED_VALUE"""),"-")</f>
        <v>-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7">
        <f>IFERROR(__xludf.DUMMYFUNCTION("""COMPUTED_VALUE"""),45870.0)</f>
        <v>45870</v>
      </c>
      <c r="B565" s="8">
        <f>IFERROR(__xludf.DUMMYFUNCTION("""COMPUTED_VALUE"""),45829.0)</f>
        <v>45829</v>
      </c>
      <c r="C565" s="1" t="str">
        <f>IFERROR(__xludf.DUMMYFUNCTION("""COMPUTED_VALUE"""),"Cancelamento - Shopee")</f>
        <v>Cancelamento - Shopee</v>
      </c>
      <c r="D565" s="2">
        <f>IFERROR(__xludf.DUMMYFUNCTION("""COMPUTED_VALUE"""),-32.89)</f>
        <v>-32.89</v>
      </c>
      <c r="E565" s="1" t="str">
        <f>IFERROR(__xludf.DUMMYFUNCTION("""COMPUTED_VALUE"""),"-")</f>
        <v>-</v>
      </c>
      <c r="F565" s="1" t="str">
        <f>IFERROR(__xludf.DUMMYFUNCTION("""COMPUTED_VALUE"""),"Cancelamento - Shopee")</f>
        <v>Cancelamento - Shopee</v>
      </c>
      <c r="G565" s="1" t="str">
        <f>IFERROR(__xludf.DUMMYFUNCTION("""COMPUTED_VALUE"""),"-")</f>
        <v>-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7">
        <f>IFERROR(__xludf.DUMMYFUNCTION("""COMPUTED_VALUE"""),45870.0)</f>
        <v>45870</v>
      </c>
      <c r="B566" s="8">
        <f>IFERROR(__xludf.DUMMYFUNCTION("""COMPUTED_VALUE"""),45837.0)</f>
        <v>45837</v>
      </c>
      <c r="C566" s="1" t="str">
        <f>IFERROR(__xludf.DUMMYFUNCTION("""COMPUTED_VALUE"""),"Cancelamento - Shopee")</f>
        <v>Cancelamento - Shopee</v>
      </c>
      <c r="D566" s="2">
        <f>IFERROR(__xludf.DUMMYFUNCTION("""COMPUTED_VALUE"""),-24.74)</f>
        <v>-24.74</v>
      </c>
      <c r="E566" s="1" t="str">
        <f>IFERROR(__xludf.DUMMYFUNCTION("""COMPUTED_VALUE"""),"-")</f>
        <v>-</v>
      </c>
      <c r="F566" s="1" t="str">
        <f>IFERROR(__xludf.DUMMYFUNCTION("""COMPUTED_VALUE"""),"Cancelamento - Shopee")</f>
        <v>Cancelamento - Shopee</v>
      </c>
      <c r="G566" s="1" t="str">
        <f>IFERROR(__xludf.DUMMYFUNCTION("""COMPUTED_VALUE"""),"-")</f>
        <v>-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7">
        <f>IFERROR(__xludf.DUMMYFUNCTION("""COMPUTED_VALUE"""),45870.0)</f>
        <v>45870</v>
      </c>
      <c r="B567" s="8">
        <f>IFERROR(__xludf.DUMMYFUNCTION("""COMPUTED_VALUE"""),45868.0)</f>
        <v>45868</v>
      </c>
      <c r="C567" s="1" t="str">
        <f>IFERROR(__xludf.DUMMYFUNCTION("""COMPUTED_VALUE"""),"Desconto Na Parcela 5 De 5 Farmácias Pa 324")</f>
        <v>Desconto Na Parcela 5 De 5 Farmácias Pa 324</v>
      </c>
      <c r="D567" s="2">
        <f>IFERROR(__xludf.DUMMYFUNCTION("""COMPUTED_VALUE"""),-0.75)</f>
        <v>-0.75</v>
      </c>
      <c r="E567" s="1" t="str">
        <f>IFERROR(__xludf.DUMMYFUNCTION("""COMPUTED_VALUE"""),"-")</f>
        <v>-</v>
      </c>
      <c r="F567" s="1" t="str">
        <f>IFERROR(__xludf.DUMMYFUNCTION("""COMPUTED_VALUE"""),"Desconto Na Parcela 5 De 5 Farmácias Pa 324")</f>
        <v>Desconto Na Parcela 5 De 5 Farmácias Pa 324</v>
      </c>
      <c r="G567" s="1" t="str">
        <f>IFERROR(__xludf.DUMMYFUNCTION("""COMPUTED_VALUE"""),"-")</f>
        <v>-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7">
        <f>IFERROR(__xludf.DUMMYFUNCTION("""COMPUTED_VALUE"""),45870.0)</f>
        <v>45870</v>
      </c>
      <c r="B568" s="8">
        <f>IFERROR(__xludf.DUMMYFUNCTION("""COMPUTED_VALUE"""),45868.0)</f>
        <v>45868</v>
      </c>
      <c r="C568" s="1" t="str">
        <f>IFERROR(__xludf.DUMMYFUNCTION("""COMPUTED_VALUE"""),"Desconto Na Parcela 3 De 5 Farmácias Pa 324")</f>
        <v>Desconto Na Parcela 3 De 5 Farmácias Pa 324</v>
      </c>
      <c r="D568" s="2">
        <f>IFERROR(__xludf.DUMMYFUNCTION("""COMPUTED_VALUE"""),-0.38)</f>
        <v>-0.38</v>
      </c>
      <c r="E568" s="1" t="str">
        <f>IFERROR(__xludf.DUMMYFUNCTION("""COMPUTED_VALUE"""),"-")</f>
        <v>-</v>
      </c>
      <c r="F568" s="1" t="str">
        <f>IFERROR(__xludf.DUMMYFUNCTION("""COMPUTED_VALUE"""),"Desconto Na Parcela 3 De 5 Farmácias Pa 324")</f>
        <v>Desconto Na Parcela 3 De 5 Farmácias Pa 324</v>
      </c>
      <c r="G568" s="1" t="str">
        <f>IFERROR(__xludf.DUMMYFUNCTION("""COMPUTED_VALUE"""),"-")</f>
        <v>-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7">
        <f>IFERROR(__xludf.DUMMYFUNCTION("""COMPUTED_VALUE"""),45870.0)</f>
        <v>45870</v>
      </c>
      <c r="B569" s="8">
        <f>IFERROR(__xludf.DUMMYFUNCTION("""COMPUTED_VALUE"""),45868.0)</f>
        <v>45868</v>
      </c>
      <c r="C569" s="1" t="str">
        <f>IFERROR(__xludf.DUMMYFUNCTION("""COMPUTED_VALUE"""),"Desconto Na Parcela 3 De 3 Dma Distribuidora Sa")</f>
        <v>Desconto Na Parcela 3 De 3 Dma Distribuidora Sa</v>
      </c>
      <c r="D569" s="2">
        <f>IFERROR(__xludf.DUMMYFUNCTION("""COMPUTED_VALUE"""),-0.47)</f>
        <v>-0.47</v>
      </c>
      <c r="E569" s="1" t="str">
        <f>IFERROR(__xludf.DUMMYFUNCTION("""COMPUTED_VALUE"""),"-")</f>
        <v>-</v>
      </c>
      <c r="F569" s="1" t="str">
        <f>IFERROR(__xludf.DUMMYFUNCTION("""COMPUTED_VALUE"""),"Desconto Na Parcela 3 De 3 Dma Distribuidora Sa")</f>
        <v>Desconto Na Parcela 3 De 3 Dma Distribuidora Sa</v>
      </c>
      <c r="G569" s="1" t="str">
        <f>IFERROR(__xludf.DUMMYFUNCTION("""COMPUTED_VALUE"""),"-")</f>
        <v>-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7">
        <f>IFERROR(__xludf.DUMMYFUNCTION("""COMPUTED_VALUE"""),45870.0)</f>
        <v>45870</v>
      </c>
      <c r="B570" s="8">
        <f>IFERROR(__xludf.DUMMYFUNCTION("""COMPUTED_VALUE"""),45868.0)</f>
        <v>45868</v>
      </c>
      <c r="C570" s="1" t="str">
        <f>IFERROR(__xludf.DUMMYFUNCTION("""COMPUTED_VALUE"""),"Desconto Na Parcela 4 De 5 Farmácias Pa 324")</f>
        <v>Desconto Na Parcela 4 De 5 Farmácias Pa 324</v>
      </c>
      <c r="D570" s="2">
        <f>IFERROR(__xludf.DUMMYFUNCTION("""COMPUTED_VALUE"""),-0.57)</f>
        <v>-0.57</v>
      </c>
      <c r="E570" s="1" t="str">
        <f>IFERROR(__xludf.DUMMYFUNCTION("""COMPUTED_VALUE"""),"-")</f>
        <v>-</v>
      </c>
      <c r="F570" s="1" t="str">
        <f>IFERROR(__xludf.DUMMYFUNCTION("""COMPUTED_VALUE"""),"Desconto Na Parcela 4 De 5 Farmácias Pa 324")</f>
        <v>Desconto Na Parcela 4 De 5 Farmácias Pa 324</v>
      </c>
      <c r="G570" s="1" t="str">
        <f>IFERROR(__xludf.DUMMYFUNCTION("""COMPUTED_VALUE"""),"-")</f>
        <v>-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7">
        <f>IFERROR(__xludf.DUMMYFUNCTION("""COMPUTED_VALUE"""),45870.0)</f>
        <v>45870</v>
      </c>
      <c r="B571" s="8">
        <f>IFERROR(__xludf.DUMMYFUNCTION("""COMPUTED_VALUE"""),45868.0)</f>
        <v>45868</v>
      </c>
      <c r="C571" s="1" t="str">
        <f>IFERROR(__xludf.DUMMYFUNCTION("""COMPUTED_VALUE"""),"Desconto Na Parcela 2 De 5 Farmácias Pa 324")</f>
        <v>Desconto Na Parcela 2 De 5 Farmácias Pa 324</v>
      </c>
      <c r="D571" s="2">
        <f>IFERROR(__xludf.DUMMYFUNCTION("""COMPUTED_VALUE"""),-0.19)</f>
        <v>-0.19</v>
      </c>
      <c r="E571" s="1" t="str">
        <f>IFERROR(__xludf.DUMMYFUNCTION("""COMPUTED_VALUE"""),"-")</f>
        <v>-</v>
      </c>
      <c r="F571" s="1" t="str">
        <f>IFERROR(__xludf.DUMMYFUNCTION("""COMPUTED_VALUE"""),"Desconto Na Parcela 2 De 5 Farmácias Pa 324")</f>
        <v>Desconto Na Parcela 2 De 5 Farmácias Pa 324</v>
      </c>
      <c r="G571" s="1" t="str">
        <f>IFERROR(__xludf.DUMMYFUNCTION("""COMPUTED_VALUE"""),"-")</f>
        <v>-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7">
        <f>IFERROR(__xludf.DUMMYFUNCTION("""COMPUTED_VALUE"""),45870.0)</f>
        <v>45870</v>
      </c>
      <c r="B572" s="8">
        <f>IFERROR(__xludf.DUMMYFUNCTION("""COMPUTED_VALUE"""),45868.0)</f>
        <v>45868</v>
      </c>
      <c r="C572" s="1" t="str">
        <f>IFERROR(__xludf.DUMMYFUNCTION("""COMPUTED_VALUE"""),"Desconto Na Parcela 2 De 3 Dma Distribuidora Sa")</f>
        <v>Desconto Na Parcela 2 De 3 Dma Distribuidora Sa</v>
      </c>
      <c r="D572" s="2">
        <f>IFERROR(__xludf.DUMMYFUNCTION("""COMPUTED_VALUE"""),-0.24)</f>
        <v>-0.24</v>
      </c>
      <c r="E572" s="1" t="str">
        <f>IFERROR(__xludf.DUMMYFUNCTION("""COMPUTED_VALUE"""),"-")</f>
        <v>-</v>
      </c>
      <c r="F572" s="1" t="str">
        <f>IFERROR(__xludf.DUMMYFUNCTION("""COMPUTED_VALUE"""),"Desconto Na Parcela 2 De 3 Dma Distribuidora Sa")</f>
        <v>Desconto Na Parcela 2 De 3 Dma Distribuidora Sa</v>
      </c>
      <c r="G572" s="1" t="str">
        <f>IFERROR(__xludf.DUMMYFUNCTION("""COMPUTED_VALUE"""),"-")</f>
        <v>-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7">
        <f>IFERROR(__xludf.DUMMYFUNCTION("""COMPUTED_VALUE"""),45870.0)</f>
        <v>45870</v>
      </c>
      <c r="B573" s="8">
        <f>IFERROR(__xludf.DUMMYFUNCTION("""COMPUTED_VALUE"""),45868.0)</f>
        <v>45868</v>
      </c>
      <c r="C573" s="1" t="str">
        <f>IFERROR(__xludf.DUMMYFUNCTION("""COMPUTED_VALUE"""),"Desconto Na Parcela 2 De 2 La No Mercado")</f>
        <v>Desconto Na Parcela 2 De 2 La No Mercado</v>
      </c>
      <c r="D573" s="2">
        <f>IFERROR(__xludf.DUMMYFUNCTION("""COMPUTED_VALUE"""),-0.3)</f>
        <v>-0.3</v>
      </c>
      <c r="E573" s="1" t="str">
        <f>IFERROR(__xludf.DUMMYFUNCTION("""COMPUTED_VALUE"""),"-")</f>
        <v>-</v>
      </c>
      <c r="F573" s="1" t="str">
        <f>IFERROR(__xludf.DUMMYFUNCTION("""COMPUTED_VALUE"""),"Desconto Na Parcela 2 De 2 La No Mercado")</f>
        <v>Desconto Na Parcela 2 De 2 La No Mercado</v>
      </c>
      <c r="G573" s="1" t="str">
        <f>IFERROR(__xludf.DUMMYFUNCTION("""COMPUTED_VALUE"""),"-")</f>
        <v>-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7">
        <f>IFERROR(__xludf.DUMMYFUNCTION("""COMPUTED_VALUE"""),45870.0)</f>
        <v>45870</v>
      </c>
      <c r="B574" s="8">
        <f>IFERROR(__xludf.DUMMYFUNCTION("""COMPUTED_VALUE"""),45868.0)</f>
        <v>45868</v>
      </c>
      <c r="C574" s="1" t="str">
        <f>IFERROR(__xludf.DUMMYFUNCTION("""COMPUTED_VALUE"""),"Desconto Na Parcela 2 De 2 Pet Loveorder 1031697")</f>
        <v>Desconto Na Parcela 2 De 2 Pet Loveorder 1031697</v>
      </c>
      <c r="D574" s="2">
        <f>IFERROR(__xludf.DUMMYFUNCTION("""COMPUTED_VALUE"""),-0.42)</f>
        <v>-0.42</v>
      </c>
      <c r="E574" s="1" t="str">
        <f>IFERROR(__xludf.DUMMYFUNCTION("""COMPUTED_VALUE"""),"-")</f>
        <v>-</v>
      </c>
      <c r="F574" s="1" t="str">
        <f>IFERROR(__xludf.DUMMYFUNCTION("""COMPUTED_VALUE"""),"Desconto Na Parcela 2 De 2 Pet Loveorder 1031697")</f>
        <v>Desconto Na Parcela 2 De 2 Pet Loveorder 1031697</v>
      </c>
      <c r="G574" s="1" t="str">
        <f>IFERROR(__xludf.DUMMYFUNCTION("""COMPUTED_VALUE"""),"-")</f>
        <v>-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7">
        <f>IFERROR(__xludf.DUMMYFUNCTION("""COMPUTED_VALUE"""),45870.0)</f>
        <v>45870</v>
      </c>
      <c r="B575" s="8">
        <f>IFERROR(__xludf.DUMMYFUNCTION("""COMPUTED_VALUE"""),45868.0)</f>
        <v>45868</v>
      </c>
      <c r="C575" s="1" t="str">
        <f>IFERROR(__xludf.DUMMYFUNCTION("""COMPUTED_VALUE"""),"Desconto Na Parcela 10 De 10 Amazonmktplc Planetaim")</f>
        <v>Desconto Na Parcela 10 De 10 Amazonmktplc Planetaim</v>
      </c>
      <c r="D575" s="2">
        <f>IFERROR(__xludf.DUMMYFUNCTION("""COMPUTED_VALUE"""),-2.12)</f>
        <v>-2.12</v>
      </c>
      <c r="E575" s="1" t="str">
        <f>IFERROR(__xludf.DUMMYFUNCTION("""COMPUTED_VALUE"""),"-")</f>
        <v>-</v>
      </c>
      <c r="F575" s="1" t="str">
        <f>IFERROR(__xludf.DUMMYFUNCTION("""COMPUTED_VALUE"""),"Amazonmktplc")</f>
        <v>Amazonmktplc</v>
      </c>
      <c r="G575" s="1" t="str">
        <f>IFERROR(__xludf.DUMMYFUNCTION("""COMPUTED_VALUE"""),"Compras")</f>
        <v>Compras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7">
        <f>IFERROR(__xludf.DUMMYFUNCTION("""COMPUTED_VALUE"""),45870.0)</f>
        <v>45870</v>
      </c>
      <c r="B576" s="8">
        <f>IFERROR(__xludf.DUMMYFUNCTION("""COMPUTED_VALUE"""),45868.0)</f>
        <v>45868</v>
      </c>
      <c r="C576" s="1" t="str">
        <f>IFERROR(__xludf.DUMMYFUNCTION("""COMPUTED_VALUE"""),"Desconto Na Parcela 8 De 10 Amazonmktplc Planetaim")</f>
        <v>Desconto Na Parcela 8 De 10 Amazonmktplc Planetaim</v>
      </c>
      <c r="D576" s="2">
        <f>IFERROR(__xludf.DUMMYFUNCTION("""COMPUTED_VALUE"""),-1.61)</f>
        <v>-1.61</v>
      </c>
      <c r="E576" s="1" t="str">
        <f>IFERROR(__xludf.DUMMYFUNCTION("""COMPUTED_VALUE"""),"-")</f>
        <v>-</v>
      </c>
      <c r="F576" s="1" t="str">
        <f>IFERROR(__xludf.DUMMYFUNCTION("""COMPUTED_VALUE"""),"Amazonmktplc")</f>
        <v>Amazonmktplc</v>
      </c>
      <c r="G576" s="1" t="str">
        <f>IFERROR(__xludf.DUMMYFUNCTION("""COMPUTED_VALUE"""),"Compras")</f>
        <v>Compras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7">
        <f>IFERROR(__xludf.DUMMYFUNCTION("""COMPUTED_VALUE"""),45870.0)</f>
        <v>45870</v>
      </c>
      <c r="B577" s="8">
        <f>IFERROR(__xludf.DUMMYFUNCTION("""COMPUTED_VALUE"""),45868.0)</f>
        <v>45868</v>
      </c>
      <c r="C577" s="1" t="str">
        <f>IFERROR(__xludf.DUMMYFUNCTION("""COMPUTED_VALUE"""),"Desconto Na Parcela 9 De 10 Amazonmktplc Planetaim")</f>
        <v>Desconto Na Parcela 9 De 10 Amazonmktplc Planetaim</v>
      </c>
      <c r="D577" s="2">
        <f>IFERROR(__xludf.DUMMYFUNCTION("""COMPUTED_VALUE"""),-1.85)</f>
        <v>-1.85</v>
      </c>
      <c r="E577" s="1" t="str">
        <f>IFERROR(__xludf.DUMMYFUNCTION("""COMPUTED_VALUE"""),"-")</f>
        <v>-</v>
      </c>
      <c r="F577" s="1" t="str">
        <f>IFERROR(__xludf.DUMMYFUNCTION("""COMPUTED_VALUE"""),"Amazonmktplc")</f>
        <v>Amazonmktplc</v>
      </c>
      <c r="G577" s="1" t="str">
        <f>IFERROR(__xludf.DUMMYFUNCTION("""COMPUTED_VALUE"""),"Compras")</f>
        <v>Compras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7">
        <f>IFERROR(__xludf.DUMMYFUNCTION("""COMPUTED_VALUE"""),45870.0)</f>
        <v>45870</v>
      </c>
      <c r="B578" s="8">
        <f>IFERROR(__xludf.DUMMYFUNCTION("""COMPUTED_VALUE"""),45868.0)</f>
        <v>45868</v>
      </c>
      <c r="C578" s="1" t="str">
        <f>IFERROR(__xludf.DUMMYFUNCTION("""COMPUTED_VALUE"""),"Desconto Na Parcela 5 De 10 Amazonmktplc Planetaim")</f>
        <v>Desconto Na Parcela 5 De 10 Amazonmktplc Planetaim</v>
      </c>
      <c r="D578" s="2">
        <f>IFERROR(__xludf.DUMMYFUNCTION("""COMPUTED_VALUE"""),-0.81)</f>
        <v>-0.81</v>
      </c>
      <c r="E578" s="1" t="str">
        <f>IFERROR(__xludf.DUMMYFUNCTION("""COMPUTED_VALUE"""),"-")</f>
        <v>-</v>
      </c>
      <c r="F578" s="1" t="str">
        <f>IFERROR(__xludf.DUMMYFUNCTION("""COMPUTED_VALUE"""),"Amazonmktplc")</f>
        <v>Amazonmktplc</v>
      </c>
      <c r="G578" s="1" t="str">
        <f>IFERROR(__xludf.DUMMYFUNCTION("""COMPUTED_VALUE"""),"Compras")</f>
        <v>Compras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7">
        <f>IFERROR(__xludf.DUMMYFUNCTION("""COMPUTED_VALUE"""),45870.0)</f>
        <v>45870</v>
      </c>
      <c r="B579" s="8">
        <f>IFERROR(__xludf.DUMMYFUNCTION("""COMPUTED_VALUE"""),45868.0)</f>
        <v>45868</v>
      </c>
      <c r="C579" s="1" t="str">
        <f>IFERROR(__xludf.DUMMYFUNCTION("""COMPUTED_VALUE"""),"Desconto Na Parcela 6 De 10 Amazonmktplc Planetaim")</f>
        <v>Desconto Na Parcela 6 De 10 Amazonmktplc Planetaim</v>
      </c>
      <c r="D579" s="2">
        <f>IFERROR(__xludf.DUMMYFUNCTION("""COMPUTED_VALUE"""),-1.07)</f>
        <v>-1.07</v>
      </c>
      <c r="E579" s="1" t="str">
        <f>IFERROR(__xludf.DUMMYFUNCTION("""COMPUTED_VALUE"""),"-")</f>
        <v>-</v>
      </c>
      <c r="F579" s="1" t="str">
        <f>IFERROR(__xludf.DUMMYFUNCTION("""COMPUTED_VALUE"""),"Amazonmktplc")</f>
        <v>Amazonmktplc</v>
      </c>
      <c r="G579" s="1" t="str">
        <f>IFERROR(__xludf.DUMMYFUNCTION("""COMPUTED_VALUE"""),"Compras")</f>
        <v>Compras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7">
        <f>IFERROR(__xludf.DUMMYFUNCTION("""COMPUTED_VALUE"""),45870.0)</f>
        <v>45870</v>
      </c>
      <c r="B580" s="8">
        <f>IFERROR(__xludf.DUMMYFUNCTION("""COMPUTED_VALUE"""),45868.0)</f>
        <v>45868</v>
      </c>
      <c r="C580" s="1" t="str">
        <f>IFERROR(__xludf.DUMMYFUNCTION("""COMPUTED_VALUE"""),"Desconto Na Parcela 7 De 10 Amazonmktplc Planetaim")</f>
        <v>Desconto Na Parcela 7 De 10 Amazonmktplc Planetaim</v>
      </c>
      <c r="D580" s="2">
        <f>IFERROR(__xludf.DUMMYFUNCTION("""COMPUTED_VALUE"""),-1.34)</f>
        <v>-1.34</v>
      </c>
      <c r="E580" s="1" t="str">
        <f>IFERROR(__xludf.DUMMYFUNCTION("""COMPUTED_VALUE"""),"-")</f>
        <v>-</v>
      </c>
      <c r="F580" s="1" t="str">
        <f>IFERROR(__xludf.DUMMYFUNCTION("""COMPUTED_VALUE"""),"Amazonmktplc")</f>
        <v>Amazonmktplc</v>
      </c>
      <c r="G580" s="1" t="str">
        <f>IFERROR(__xludf.DUMMYFUNCTION("""COMPUTED_VALUE"""),"Compras")</f>
        <v>Compras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7">
        <f>IFERROR(__xludf.DUMMYFUNCTION("""COMPUTED_VALUE"""),45870.0)</f>
        <v>45870</v>
      </c>
      <c r="B581" s="8">
        <f>IFERROR(__xludf.DUMMYFUNCTION("""COMPUTED_VALUE"""),45868.0)</f>
        <v>45868</v>
      </c>
      <c r="C581" s="1" t="str">
        <f>IFERROR(__xludf.DUMMYFUNCTION("""COMPUTED_VALUE"""),"Desconto Na Parcela 3 De 10 Amazonmktplc Planetaim")</f>
        <v>Desconto Na Parcela 3 De 10 Amazonmktplc Planetaim</v>
      </c>
      <c r="D581" s="2">
        <f>IFERROR(__xludf.DUMMYFUNCTION("""COMPUTED_VALUE"""),-0.27)</f>
        <v>-0.27</v>
      </c>
      <c r="E581" s="1" t="str">
        <f>IFERROR(__xludf.DUMMYFUNCTION("""COMPUTED_VALUE"""),"-")</f>
        <v>-</v>
      </c>
      <c r="F581" s="1" t="str">
        <f>IFERROR(__xludf.DUMMYFUNCTION("""COMPUTED_VALUE"""),"Amazonmktplc")</f>
        <v>Amazonmktplc</v>
      </c>
      <c r="G581" s="1" t="str">
        <f>IFERROR(__xludf.DUMMYFUNCTION("""COMPUTED_VALUE"""),"Compras")</f>
        <v>Compras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7">
        <f>IFERROR(__xludf.DUMMYFUNCTION("""COMPUTED_VALUE"""),45870.0)</f>
        <v>45870</v>
      </c>
      <c r="B582" s="8">
        <f>IFERROR(__xludf.DUMMYFUNCTION("""COMPUTED_VALUE"""),45868.0)</f>
        <v>45868</v>
      </c>
      <c r="C582" s="1" t="str">
        <f>IFERROR(__xludf.DUMMYFUNCTION("""COMPUTED_VALUE"""),"Desconto Na Parcela 4 De 10 Amazonmktplc Planetaim")</f>
        <v>Desconto Na Parcela 4 De 10 Amazonmktplc Planetaim</v>
      </c>
      <c r="D582" s="2">
        <f>IFERROR(__xludf.DUMMYFUNCTION("""COMPUTED_VALUE"""),-0.54)</f>
        <v>-0.54</v>
      </c>
      <c r="E582" s="1" t="str">
        <f>IFERROR(__xludf.DUMMYFUNCTION("""COMPUTED_VALUE"""),"-")</f>
        <v>-</v>
      </c>
      <c r="F582" s="1" t="str">
        <f>IFERROR(__xludf.DUMMYFUNCTION("""COMPUTED_VALUE"""),"Amazonmktplc")</f>
        <v>Amazonmktplc</v>
      </c>
      <c r="G582" s="1" t="str">
        <f>IFERROR(__xludf.DUMMYFUNCTION("""COMPUTED_VALUE"""),"Compras")</f>
        <v>Compras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7">
        <f>IFERROR(__xludf.DUMMYFUNCTION("""COMPUTED_VALUE"""),45901.0)</f>
        <v>45901</v>
      </c>
      <c r="B583" s="8" t="str">
        <f>IFERROR(__xludf.DUMMYFUNCTION("""COMPUTED_VALUE"""),"26/07/25")</f>
        <v>26/07/25</v>
      </c>
      <c r="C583" s="1" t="str">
        <f>IFERROR(__xludf.DUMMYFUNCTION("""COMPUTED_VALUE"""),"Cancelamento - Farmácias Pa")</f>
        <v>Cancelamento - Farmácias Pa</v>
      </c>
      <c r="D583" s="2">
        <f>IFERROR(__xludf.DUMMYFUNCTION("""COMPUTED_VALUE"""),-65.99)</f>
        <v>-65.99</v>
      </c>
      <c r="E583" s="1" t="str">
        <f>IFERROR(__xludf.DUMMYFUNCTION("""COMPUTED_VALUE"""),"-")</f>
        <v>-</v>
      </c>
      <c r="F583" s="1" t="str">
        <f>IFERROR(__xludf.DUMMYFUNCTION("""COMPUTED_VALUE"""),"Cancelamento - Farmácias Pa")</f>
        <v>Cancelamento - Farmácias Pa</v>
      </c>
      <c r="G583" s="1" t="str">
        <f>IFERROR(__xludf.DUMMYFUNCTION("""COMPUTED_VALUE"""),"-")</f>
        <v>-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7">
        <f>IFERROR(__xludf.DUMMYFUNCTION("""COMPUTED_VALUE"""),45901.0)</f>
        <v>45901</v>
      </c>
      <c r="B584" s="8">
        <f>IFERROR(__xludf.DUMMYFUNCTION("""COMPUTED_VALUE"""),45938.0)</f>
        <v>45938</v>
      </c>
      <c r="C584" s="1" t="str">
        <f>IFERROR(__xludf.DUMMYFUNCTION("""COMPUTED_VALUE"""),"Desconto Na Parcela 2 De 2 Drogaria Araaraujo")</f>
        <v>Desconto Na Parcela 2 De 2 Drogaria Araaraujo</v>
      </c>
      <c r="D584" s="2">
        <f>IFERROR(__xludf.DUMMYFUNCTION("""COMPUTED_VALUE"""),-0.3)</f>
        <v>-0.3</v>
      </c>
      <c r="E584" s="1" t="str">
        <f>IFERROR(__xludf.DUMMYFUNCTION("""COMPUTED_VALUE"""),"-")</f>
        <v>-</v>
      </c>
      <c r="F584" s="1" t="str">
        <f>IFERROR(__xludf.DUMMYFUNCTION("""COMPUTED_VALUE"""),"Desconto Na Parcela 2 De 2 Drogaria Araaraujo")</f>
        <v>Desconto Na Parcela 2 De 2 Drogaria Araaraujo</v>
      </c>
      <c r="G584" s="1" t="str">
        <f>IFERROR(__xludf.DUMMYFUNCTION("""COMPUTED_VALUE"""),"-")</f>
        <v>-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7">
        <f>IFERROR(__xludf.DUMMYFUNCTION("""COMPUTED_VALUE"""),45901.0)</f>
        <v>45901</v>
      </c>
      <c r="B585" s="8">
        <f>IFERROR(__xludf.DUMMYFUNCTION("""COMPUTED_VALUE"""),45938.0)</f>
        <v>45938</v>
      </c>
      <c r="C585" s="1" t="str">
        <f>IFERROR(__xludf.DUMMYFUNCTION("""COMPUTED_VALUE"""),"Desconto Na Parcela 2 De 2 Milon Patio Savassi")</f>
        <v>Desconto Na Parcela 2 De 2 Milon Patio Savassi</v>
      </c>
      <c r="D585" s="2">
        <f>IFERROR(__xludf.DUMMYFUNCTION("""COMPUTED_VALUE"""),-0.25)</f>
        <v>-0.25</v>
      </c>
      <c r="E585" s="1" t="str">
        <f>IFERROR(__xludf.DUMMYFUNCTION("""COMPUTED_VALUE"""),"-")</f>
        <v>-</v>
      </c>
      <c r="F585" s="1" t="str">
        <f>IFERROR(__xludf.DUMMYFUNCTION("""COMPUTED_VALUE"""),"Desconto Na Parcela 2 De 2 Milon Patio Savassi")</f>
        <v>Desconto Na Parcela 2 De 2 Milon Patio Savassi</v>
      </c>
      <c r="G585" s="1" t="str">
        <f>IFERROR(__xludf.DUMMYFUNCTION("""COMPUTED_VALUE"""),"-")</f>
        <v>-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7">
        <f>IFERROR(__xludf.DUMMYFUNCTION("""COMPUTED_VALUE"""),45901.0)</f>
        <v>45901</v>
      </c>
      <c r="B586" s="8">
        <f>IFERROR(__xludf.DUMMYFUNCTION("""COMPUTED_VALUE"""),45938.0)</f>
        <v>45938</v>
      </c>
      <c r="C586" s="1" t="str">
        <f>IFERROR(__xludf.DUMMYFUNCTION("""COMPUTED_VALUE"""),"Desconto Na Parcela 2 De 2 Shopee")</f>
        <v>Desconto Na Parcela 2 De 2 Shopee</v>
      </c>
      <c r="D586" s="2">
        <f>IFERROR(__xludf.DUMMYFUNCTION("""COMPUTED_VALUE"""),-0.27)</f>
        <v>-0.27</v>
      </c>
      <c r="E586" s="1" t="str">
        <f>IFERROR(__xludf.DUMMYFUNCTION("""COMPUTED_VALUE"""),"-")</f>
        <v>-</v>
      </c>
      <c r="F586" s="1" t="str">
        <f>IFERROR(__xludf.DUMMYFUNCTION("""COMPUTED_VALUE"""),"Desconto Na Parcela 2 De 2 Shopee")</f>
        <v>Desconto Na Parcela 2 De 2 Shopee</v>
      </c>
      <c r="G586" s="1" t="str">
        <f>IFERROR(__xludf.DUMMYFUNCTION("""COMPUTED_VALUE"""),"-")</f>
        <v>-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7">
        <f>IFERROR(__xludf.DUMMYFUNCTION("""COMPUTED_VALUE"""),45901.0)</f>
        <v>45901</v>
      </c>
      <c r="B587" s="8">
        <f>IFERROR(__xludf.DUMMYFUNCTION("""COMPUTED_VALUE"""),45938.0)</f>
        <v>45938</v>
      </c>
      <c r="C587" s="1" t="str">
        <f>IFERROR(__xludf.DUMMYFUNCTION("""COMPUTED_VALUE"""),"Desconto Na Parcela 3 De 3 Drogarias Pacheco")</f>
        <v>Desconto Na Parcela 3 De 3 Drogarias Pacheco</v>
      </c>
      <c r="D587" s="2">
        <f>IFERROR(__xludf.DUMMYFUNCTION("""COMPUTED_VALUE"""),-0.3)</f>
        <v>-0.3</v>
      </c>
      <c r="E587" s="1" t="str">
        <f>IFERROR(__xludf.DUMMYFUNCTION("""COMPUTED_VALUE"""),"-")</f>
        <v>-</v>
      </c>
      <c r="F587" s="1" t="str">
        <f>IFERROR(__xludf.DUMMYFUNCTION("""COMPUTED_VALUE"""),"Desconto Na Parcela 3 De 3 Drogarias Pacheco")</f>
        <v>Desconto Na Parcela 3 De 3 Drogarias Pacheco</v>
      </c>
      <c r="G587" s="1" t="str">
        <f>IFERROR(__xludf.DUMMYFUNCTION("""COMPUTED_VALUE"""),"-")</f>
        <v>-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7">
        <f>IFERROR(__xludf.DUMMYFUNCTION("""COMPUTED_VALUE"""),45901.0)</f>
        <v>45901</v>
      </c>
      <c r="B588" s="8" t="str">
        <f>IFERROR(__xludf.DUMMYFUNCTION("""COMPUTED_VALUE"""),"16/08/25")</f>
        <v>16/08/25</v>
      </c>
      <c r="C588" s="1" t="str">
        <f>IFERROR(__xludf.DUMMYFUNCTION("""COMPUTED_VALUE"""),"Cancelamento - Amazon")</f>
        <v>Cancelamento - Amazon</v>
      </c>
      <c r="D588" s="2">
        <f>IFERROR(__xludf.DUMMYFUNCTION("""COMPUTED_VALUE"""),-0.22)</f>
        <v>-0.22</v>
      </c>
      <c r="E588" s="1" t="str">
        <f>IFERROR(__xludf.DUMMYFUNCTION("""COMPUTED_VALUE"""),"-")</f>
        <v>-</v>
      </c>
      <c r="F588" s="1" t="str">
        <f>IFERROR(__xludf.DUMMYFUNCTION("""COMPUTED_VALUE"""),"Cancelamento - Amazon")</f>
        <v>Cancelamento - Amazon</v>
      </c>
      <c r="G588" s="1" t="str">
        <f>IFERROR(__xludf.DUMMYFUNCTION("""COMPUTED_VALUE"""),"-")</f>
        <v>-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7">
        <f>IFERROR(__xludf.DUMMYFUNCTION("""COMPUTED_VALUE"""),45901.0)</f>
        <v>45901</v>
      </c>
      <c r="B589" s="8" t="str">
        <f>IFERROR(__xludf.DUMMYFUNCTION("""COMPUTED_VALUE"""),"27/08/25")</f>
        <v>27/08/25</v>
      </c>
      <c r="C589" s="1" t="str">
        <f>IFERROR(__xludf.DUMMYFUNCTION("""COMPUTED_VALUE"""),"Cancelamento - Shopee")</f>
        <v>Cancelamento - Shopee</v>
      </c>
      <c r="D589" s="2">
        <f>IFERROR(__xludf.DUMMYFUNCTION("""COMPUTED_VALUE"""),-14.62)</f>
        <v>-14.62</v>
      </c>
      <c r="E589" s="1" t="str">
        <f>IFERROR(__xludf.DUMMYFUNCTION("""COMPUTED_VALUE"""),"-")</f>
        <v>-</v>
      </c>
      <c r="F589" s="1" t="str">
        <f>IFERROR(__xludf.DUMMYFUNCTION("""COMPUTED_VALUE"""),"Cancelamento - Shopee")</f>
        <v>Cancelamento - Shopee</v>
      </c>
      <c r="G589" s="1" t="str">
        <f>IFERROR(__xludf.DUMMYFUNCTION("""COMPUTED_VALUE"""),"-")</f>
        <v>-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7">
        <f>IFERROR(__xludf.DUMMYFUNCTION("""COMPUTED_VALUE"""),45901.0)</f>
        <v>45901</v>
      </c>
      <c r="B590" s="8">
        <f>IFERROR(__xludf.DUMMYFUNCTION("""COMPUTED_VALUE"""),45697.0)</f>
        <v>45697</v>
      </c>
      <c r="C590" s="1" t="str">
        <f>IFERROR(__xludf.DUMMYFUNCTION("""COMPUTED_VALUE"""),"Cancelamento - Amazonmktplc Gffcompan")</f>
        <v>Cancelamento - Amazonmktplc Gffcompan</v>
      </c>
      <c r="D590" s="2">
        <f>IFERROR(__xludf.DUMMYFUNCTION("""COMPUTED_VALUE"""),-39.9)</f>
        <v>-39.9</v>
      </c>
      <c r="E590" s="1" t="str">
        <f>IFERROR(__xludf.DUMMYFUNCTION("""COMPUTED_VALUE"""),"-")</f>
        <v>-</v>
      </c>
      <c r="F590" s="1" t="str">
        <f>IFERROR(__xludf.DUMMYFUNCTION("""COMPUTED_VALUE"""),"Amazonmktplc")</f>
        <v>Amazonmktplc</v>
      </c>
      <c r="G590" s="1" t="str">
        <f>IFERROR(__xludf.DUMMYFUNCTION("""COMPUTED_VALUE"""),"Compras")</f>
        <v>Compras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7">
        <f>IFERROR(__xludf.DUMMYFUNCTION("""COMPUTED_VALUE"""),45901.0)</f>
        <v>45901</v>
      </c>
      <c r="B591" s="8" t="str">
        <f>IFERROR(__xludf.DUMMYFUNCTION("""COMPUTED_VALUE"""),"18/04/25")</f>
        <v>18/04/25</v>
      </c>
      <c r="C591" s="1" t="str">
        <f>IFERROR(__xludf.DUMMYFUNCTION("""COMPUTED_VALUE"""),"Casas Bahia (5/10)")</f>
        <v>Casas Bahia (5/10)</v>
      </c>
      <c r="D591" s="2">
        <f>IFERROR(__xludf.DUMMYFUNCTION("""COMPUTED_VALUE"""),361.46)</f>
        <v>361.46</v>
      </c>
      <c r="E591" s="1" t="str">
        <f>IFERROR(__xludf.DUMMYFUNCTION("""COMPUTED_VALUE"""),"-")</f>
        <v>-</v>
      </c>
      <c r="F591" s="1" t="str">
        <f>IFERROR(__xludf.DUMMYFUNCTION("""COMPUTED_VALUE"""),"Casas Bahia")</f>
        <v>Casas Bahia</v>
      </c>
      <c r="G591" s="1" t="str">
        <f>IFERROR(__xludf.DUMMYFUNCTION("""COMPUTED_VALUE"""),"Compras")</f>
        <v>Compras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7">
        <f>IFERROR(__xludf.DUMMYFUNCTION("""COMPUTED_VALUE"""),45901.0)</f>
        <v>45901</v>
      </c>
      <c r="B592" s="8">
        <f>IFERROR(__xludf.DUMMYFUNCTION("""COMPUTED_VALUE"""),45936.0)</f>
        <v>45936</v>
      </c>
      <c r="C592" s="1" t="str">
        <f>IFERROR(__xludf.DUMMYFUNCTION("""COMPUTED_VALUE"""),"Crstina Marcia (3/10)")</f>
        <v>Crstina Marcia (3/10)</v>
      </c>
      <c r="D592" s="2">
        <f>IFERROR(__xludf.DUMMYFUNCTION("""COMPUTED_VALUE"""),696.0)</f>
        <v>696</v>
      </c>
      <c r="E592" s="1" t="str">
        <f>IFERROR(__xludf.DUMMYFUNCTION("""COMPUTED_VALUE"""),"-")</f>
        <v>-</v>
      </c>
      <c r="F592" s="1" t="str">
        <f>IFERROR(__xludf.DUMMYFUNCTION("""COMPUTED_VALUE"""),"Crstina Marcia")</f>
        <v>Crstina Marcia</v>
      </c>
      <c r="G592" s="1" t="str">
        <f>IFERROR(__xludf.DUMMYFUNCTION("""COMPUTED_VALUE"""),"-")</f>
        <v>-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7">
        <f>IFERROR(__xludf.DUMMYFUNCTION("""COMPUTED_VALUE"""),45901.0)</f>
        <v>45901</v>
      </c>
      <c r="B593" s="8" t="str">
        <f>IFERROR(__xludf.DUMMYFUNCTION("""COMPUTED_VALUE"""),"30/07/25")</f>
        <v>30/07/25</v>
      </c>
      <c r="C593" s="1" t="str">
        <f>IFERROR(__xludf.DUMMYFUNCTION("""COMPUTED_VALUE"""),"Drogaria Pacheco (3/3)")</f>
        <v>Drogaria Pacheco (3/3)</v>
      </c>
      <c r="D593" s="2">
        <f>IFERROR(__xludf.DUMMYFUNCTION("""COMPUTED_VALUE"""),83.39)</f>
        <v>83.39</v>
      </c>
      <c r="E593" s="1" t="str">
        <f>IFERROR(__xludf.DUMMYFUNCTION("""COMPUTED_VALUE"""),"-")</f>
        <v>-</v>
      </c>
      <c r="F593" s="1" t="str">
        <f>IFERROR(__xludf.DUMMYFUNCTION("""COMPUTED_VALUE"""),"Drogaria Pacheco")</f>
        <v>Drogaria Pacheco</v>
      </c>
      <c r="G593" s="1" t="str">
        <f>IFERROR(__xludf.DUMMYFUNCTION("""COMPUTED_VALUE"""),"Farmácia")</f>
        <v>Farmácia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7">
        <f>IFERROR(__xludf.DUMMYFUNCTION("""COMPUTED_VALUE"""),45901.0)</f>
        <v>45901</v>
      </c>
      <c r="B594" s="8" t="str">
        <f>IFERROR(__xludf.DUMMYFUNCTION("""COMPUTED_VALUE"""),"30/07/25")</f>
        <v>30/07/25</v>
      </c>
      <c r="C594" s="1" t="str">
        <f>IFERROR(__xludf.DUMMYFUNCTION("""COMPUTED_VALUE"""),"Drogaria Pacheco (2/3)")</f>
        <v>Drogaria Pacheco (2/3)</v>
      </c>
      <c r="D594" s="2">
        <f>IFERROR(__xludf.DUMMYFUNCTION("""COMPUTED_VALUE"""),83.39)</f>
        <v>83.39</v>
      </c>
      <c r="E594" s="1" t="str">
        <f>IFERROR(__xludf.DUMMYFUNCTION("""COMPUTED_VALUE"""),"-")</f>
        <v>-</v>
      </c>
      <c r="F594" s="1" t="str">
        <f>IFERROR(__xludf.DUMMYFUNCTION("""COMPUTED_VALUE"""),"Drogaria Pacheco")</f>
        <v>Drogaria Pacheco</v>
      </c>
      <c r="G594" s="1" t="str">
        <f>IFERROR(__xludf.DUMMYFUNCTION("""COMPUTED_VALUE"""),"Farmácia")</f>
        <v>Farmácia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7">
        <f>IFERROR(__xludf.DUMMYFUNCTION("""COMPUTED_VALUE"""),45901.0)</f>
        <v>45901</v>
      </c>
      <c r="B595" s="8">
        <f>IFERROR(__xludf.DUMMYFUNCTION("""COMPUTED_VALUE"""),45696.0)</f>
        <v>45696</v>
      </c>
      <c r="C595" s="1">
        <f>IFERROR(__xludf.DUMMYFUNCTION("""COMPUTED_VALUE"""),99.0)</f>
        <v>99</v>
      </c>
      <c r="D595" s="2">
        <f>IFERROR(__xludf.DUMMYFUNCTION("""COMPUTED_VALUE"""),16.87)</f>
        <v>16.87</v>
      </c>
      <c r="E595" s="1" t="str">
        <f>IFERROR(__xludf.DUMMYFUNCTION("""COMPUTED_VALUE"""),"-")</f>
        <v>-</v>
      </c>
      <c r="F595" s="1" t="str">
        <f>IFERROR(__xludf.DUMMYFUNCTION("""COMPUTED_VALUE"""),"99")</f>
        <v>99</v>
      </c>
      <c r="G595" s="1" t="str">
        <f>IFERROR(__xludf.DUMMYFUNCTION("""COMPUTED_VALUE"""),"Uber/99")</f>
        <v>Uber/99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7">
        <f>IFERROR(__xludf.DUMMYFUNCTION("""COMPUTED_VALUE"""),45901.0)</f>
        <v>45901</v>
      </c>
      <c r="B596" s="8">
        <f>IFERROR(__xludf.DUMMYFUNCTION("""COMPUTED_VALUE"""),45696.0)</f>
        <v>45696</v>
      </c>
      <c r="C596" s="1" t="str">
        <f>IFERROR(__xludf.DUMMYFUNCTION("""COMPUTED_VALUE"""),"27.120.447 Helia Alve")</f>
        <v>27.120.447 Helia Alve</v>
      </c>
      <c r="D596" s="2">
        <f>IFERROR(__xludf.DUMMYFUNCTION("""COMPUTED_VALUE"""),180.0)</f>
        <v>180</v>
      </c>
      <c r="E596" s="1" t="str">
        <f>IFERROR(__xludf.DUMMYFUNCTION("""COMPUTED_VALUE"""),"-")</f>
        <v>-</v>
      </c>
      <c r="F596" s="1" t="str">
        <f>IFERROR(__xludf.DUMMYFUNCTION("""COMPUTED_VALUE"""),"27.120.447 Helia Alve")</f>
        <v>27.120.447 Helia Alve</v>
      </c>
      <c r="G596" s="1" t="str">
        <f>IFERROR(__xludf.DUMMYFUNCTION("""COMPUTED_VALUE"""),"-")</f>
        <v>-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7">
        <f>IFERROR(__xludf.DUMMYFUNCTION("""COMPUTED_VALUE"""),45901.0)</f>
        <v>45901</v>
      </c>
      <c r="B597" s="8">
        <f>IFERROR(__xludf.DUMMYFUNCTION("""COMPUTED_VALUE"""),45696.0)</f>
        <v>45696</v>
      </c>
      <c r="C597" s="1">
        <f>IFERROR(__xludf.DUMMYFUNCTION("""COMPUTED_VALUE"""),99.0)</f>
        <v>99</v>
      </c>
      <c r="D597" s="2">
        <f>IFERROR(__xludf.DUMMYFUNCTION("""COMPUTED_VALUE"""),25.7)</f>
        <v>25.7</v>
      </c>
      <c r="E597" s="1" t="str">
        <f>IFERROR(__xludf.DUMMYFUNCTION("""COMPUTED_VALUE"""),"-")</f>
        <v>-</v>
      </c>
      <c r="F597" s="1" t="str">
        <f>IFERROR(__xludf.DUMMYFUNCTION("""COMPUTED_VALUE"""),"99")</f>
        <v>99</v>
      </c>
      <c r="G597" s="1" t="str">
        <f>IFERROR(__xludf.DUMMYFUNCTION("""COMPUTED_VALUE"""),"Uber/99")</f>
        <v>Uber/99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7">
        <f>IFERROR(__xludf.DUMMYFUNCTION("""COMPUTED_VALUE"""),45901.0)</f>
        <v>45901</v>
      </c>
      <c r="B598" s="8">
        <f>IFERROR(__xludf.DUMMYFUNCTION("""COMPUTED_VALUE"""),45696.0)</f>
        <v>45696</v>
      </c>
      <c r="C598" s="1" t="str">
        <f>IFERROR(__xludf.DUMMYFUNCTION("""COMPUTED_VALUE"""),"Unisant Matriculaead")</f>
        <v>Unisant Matriculaead</v>
      </c>
      <c r="D598" s="2">
        <f>IFERROR(__xludf.DUMMYFUNCTION("""COMPUTED_VALUE"""),197.43)</f>
        <v>197.43</v>
      </c>
      <c r="E598" s="1" t="str">
        <f>IFERROR(__xludf.DUMMYFUNCTION("""COMPUTED_VALUE"""),"-")</f>
        <v>-</v>
      </c>
      <c r="F598" s="1" t="str">
        <f>IFERROR(__xludf.DUMMYFUNCTION("""COMPUTED_VALUE"""),"Unisant Matriculaead")</f>
        <v>Unisant Matriculaead</v>
      </c>
      <c r="G598" s="1" t="str">
        <f>IFERROR(__xludf.DUMMYFUNCTION("""COMPUTED_VALUE"""),"-")</f>
        <v>-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7">
        <f>IFERROR(__xludf.DUMMYFUNCTION("""COMPUTED_VALUE"""),45901.0)</f>
        <v>45901</v>
      </c>
      <c r="B599" s="8">
        <f>IFERROR(__xludf.DUMMYFUNCTION("""COMPUTED_VALUE"""),45696.0)</f>
        <v>45696</v>
      </c>
      <c r="C599" s="1" t="str">
        <f>IFERROR(__xludf.DUMMYFUNCTION("""COMPUTED_VALUE"""),"Microsoft")</f>
        <v>Microsoft</v>
      </c>
      <c r="D599" s="2">
        <f>IFERROR(__xludf.DUMMYFUNCTION("""COMPUTED_VALUE"""),32.41)</f>
        <v>32.41</v>
      </c>
      <c r="E599" s="1" t="str">
        <f>IFERROR(__xludf.DUMMYFUNCTION("""COMPUTED_VALUE"""),"-")</f>
        <v>-</v>
      </c>
      <c r="F599" s="1" t="str">
        <f>IFERROR(__xludf.DUMMYFUNCTION("""COMPUTED_VALUE"""),"Microsoft")</f>
        <v>Microsoft</v>
      </c>
      <c r="G599" s="1" t="str">
        <f>IFERROR(__xludf.DUMMYFUNCTION("""COMPUTED_VALUE"""),"Assinatura")</f>
        <v>Assinatura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7">
        <f>IFERROR(__xludf.DUMMYFUNCTION("""COMPUTED_VALUE"""),45901.0)</f>
        <v>45901</v>
      </c>
      <c r="B600" s="8">
        <f>IFERROR(__xludf.DUMMYFUNCTION("""COMPUTED_VALUE"""),45696.0)</f>
        <v>45696</v>
      </c>
      <c r="C600" s="1" t="str">
        <f>IFERROR(__xludf.DUMMYFUNCTION("""COMPUTED_VALUE"""),"Microsoft")</f>
        <v>Microsoft</v>
      </c>
      <c r="D600" s="2">
        <f>IFERROR(__xludf.DUMMYFUNCTION("""COMPUTED_VALUE"""),28.27)</f>
        <v>28.27</v>
      </c>
      <c r="E600" s="1" t="str">
        <f>IFERROR(__xludf.DUMMYFUNCTION("""COMPUTED_VALUE"""),"-")</f>
        <v>-</v>
      </c>
      <c r="F600" s="1" t="str">
        <f>IFERROR(__xludf.DUMMYFUNCTION("""COMPUTED_VALUE"""),"Microsoft")</f>
        <v>Microsoft</v>
      </c>
      <c r="G600" s="1" t="str">
        <f>IFERROR(__xludf.DUMMYFUNCTION("""COMPUTED_VALUE"""),"Assinatura")</f>
        <v>Assinatura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7">
        <f>IFERROR(__xludf.DUMMYFUNCTION("""COMPUTED_VALUE"""),45901.0)</f>
        <v>45901</v>
      </c>
      <c r="B601" s="8">
        <f>IFERROR(__xludf.DUMMYFUNCTION("""COMPUTED_VALUE"""),45696.0)</f>
        <v>45696</v>
      </c>
      <c r="C601" s="1" t="str">
        <f>IFERROR(__xludf.DUMMYFUNCTION("""COMPUTED_VALUE"""),"Shpstecnologia")</f>
        <v>Shpstecnologia</v>
      </c>
      <c r="D601" s="2">
        <f>IFERROR(__xludf.DUMMYFUNCTION("""COMPUTED_VALUE"""),52.9)</f>
        <v>52.9</v>
      </c>
      <c r="E601" s="1" t="str">
        <f>IFERROR(__xludf.DUMMYFUNCTION("""COMPUTED_VALUE"""),"-")</f>
        <v>-</v>
      </c>
      <c r="F601" s="1" t="str">
        <f>IFERROR(__xludf.DUMMYFUNCTION("""COMPUTED_VALUE"""),"Shpstecnologia")</f>
        <v>Shpstecnologia</v>
      </c>
      <c r="G601" s="1" t="str">
        <f>IFERROR(__xludf.DUMMYFUNCTION("""COMPUTED_VALUE"""),"-")</f>
        <v>-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7">
        <f>IFERROR(__xludf.DUMMYFUNCTION("""COMPUTED_VALUE"""),45901.0)</f>
        <v>45901</v>
      </c>
      <c r="B602" s="8">
        <f>IFERROR(__xludf.DUMMYFUNCTION("""COMPUTED_VALUE"""),45696.0)</f>
        <v>45696</v>
      </c>
      <c r="C602" s="1" t="str">
        <f>IFERROR(__xludf.DUMMYFUNCTION("""COMPUTED_VALUE"""),"Shopee (2/2)")</f>
        <v>Shopee (2/2)</v>
      </c>
      <c r="D602" s="2">
        <f>IFERROR(__xludf.DUMMYFUNCTION("""COMPUTED_VALUE"""),73.0)</f>
        <v>73</v>
      </c>
      <c r="E602" s="1" t="str">
        <f>IFERROR(__xludf.DUMMYFUNCTION("""COMPUTED_VALUE"""),"-")</f>
        <v>-</v>
      </c>
      <c r="F602" s="1" t="str">
        <f>IFERROR(__xludf.DUMMYFUNCTION("""COMPUTED_VALUE"""),"Shopee")</f>
        <v>Shopee</v>
      </c>
      <c r="G602" s="1" t="str">
        <f>IFERROR(__xludf.DUMMYFUNCTION("""COMPUTED_VALUE"""),"Compras")</f>
        <v>Compras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7">
        <f>IFERROR(__xludf.DUMMYFUNCTION("""COMPUTED_VALUE"""),45901.0)</f>
        <v>45901</v>
      </c>
      <c r="B603" s="8">
        <f>IFERROR(__xludf.DUMMYFUNCTION("""COMPUTED_VALUE"""),45696.0)</f>
        <v>45696</v>
      </c>
      <c r="C603" s="1" t="str">
        <f>IFERROR(__xludf.DUMMYFUNCTION("""COMPUTED_VALUE"""),"Shopee (1/2)")</f>
        <v>Shopee (1/2)</v>
      </c>
      <c r="D603" s="2">
        <f>IFERROR(__xludf.DUMMYFUNCTION("""COMPUTED_VALUE"""),73.01)</f>
        <v>73.01</v>
      </c>
      <c r="E603" s="1" t="str">
        <f>IFERROR(__xludf.DUMMYFUNCTION("""COMPUTED_VALUE"""),"-")</f>
        <v>-</v>
      </c>
      <c r="F603" s="1" t="str">
        <f>IFERROR(__xludf.DUMMYFUNCTION("""COMPUTED_VALUE"""),"Shopee")</f>
        <v>Shopee</v>
      </c>
      <c r="G603" s="1" t="str">
        <f>IFERROR(__xludf.DUMMYFUNCTION("""COMPUTED_VALUE"""),"Compras")</f>
        <v>Compras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7">
        <f>IFERROR(__xludf.DUMMYFUNCTION("""COMPUTED_VALUE"""),45901.0)</f>
        <v>45901</v>
      </c>
      <c r="B604" s="8">
        <f>IFERROR(__xludf.DUMMYFUNCTION("""COMPUTED_VALUE"""),45724.0)</f>
        <v>45724</v>
      </c>
      <c r="C604" s="1" t="str">
        <f>IFERROR(__xludf.DUMMYFUNCTION("""COMPUTED_VALUE"""),"Panif Mendes Sion")</f>
        <v>Panif Mendes Sion</v>
      </c>
      <c r="D604" s="2">
        <f>IFERROR(__xludf.DUMMYFUNCTION("""COMPUTED_VALUE"""),17.97)</f>
        <v>17.97</v>
      </c>
      <c r="E604" s="1" t="str">
        <f>IFERROR(__xludf.DUMMYFUNCTION("""COMPUTED_VALUE"""),"-")</f>
        <v>-</v>
      </c>
      <c r="F604" s="1" t="str">
        <f>IFERROR(__xludf.DUMMYFUNCTION("""COMPUTED_VALUE"""),"Panif Mendes Sion")</f>
        <v>Panif Mendes Sion</v>
      </c>
      <c r="G604" s="1" t="str">
        <f>IFERROR(__xludf.DUMMYFUNCTION("""COMPUTED_VALUE"""),"Comida")</f>
        <v>Comida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7">
        <f>IFERROR(__xludf.DUMMYFUNCTION("""COMPUTED_VALUE"""),45901.0)</f>
        <v>45901</v>
      </c>
      <c r="B605" s="8">
        <f>IFERROR(__xludf.DUMMYFUNCTION("""COMPUTED_VALUE"""),45724.0)</f>
        <v>45724</v>
      </c>
      <c r="C605" s="1" t="str">
        <f>IFERROR(__xludf.DUMMYFUNCTION("""COMPUTED_VALUE"""),"Smoothies")</f>
        <v>Smoothies</v>
      </c>
      <c r="D605" s="2">
        <f>IFERROR(__xludf.DUMMYFUNCTION("""COMPUTED_VALUE"""),27.99)</f>
        <v>27.99</v>
      </c>
      <c r="E605" s="1" t="str">
        <f>IFERROR(__xludf.DUMMYFUNCTION("""COMPUTED_VALUE"""),"-")</f>
        <v>-</v>
      </c>
      <c r="F605" s="1" t="str">
        <f>IFERROR(__xludf.DUMMYFUNCTION("""COMPUTED_VALUE"""),"Smoothies")</f>
        <v>Smoothies</v>
      </c>
      <c r="G605" s="1" t="str">
        <f>IFERROR(__xludf.DUMMYFUNCTION("""COMPUTED_VALUE"""),"Comida")</f>
        <v>Comida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7">
        <f>IFERROR(__xludf.DUMMYFUNCTION("""COMPUTED_VALUE"""),45901.0)</f>
        <v>45901</v>
      </c>
      <c r="B606" s="8">
        <f>IFERROR(__xludf.DUMMYFUNCTION("""COMPUTED_VALUE"""),45724.0)</f>
        <v>45724</v>
      </c>
      <c r="C606" s="1" t="str">
        <f>IFERROR(__xludf.DUMMYFUNCTION("""COMPUTED_VALUE"""),"Super Nosso")</f>
        <v>Super Nosso</v>
      </c>
      <c r="D606" s="2">
        <f>IFERROR(__xludf.DUMMYFUNCTION("""COMPUTED_VALUE"""),113.63)</f>
        <v>113.63</v>
      </c>
      <c r="E606" s="1" t="str">
        <f>IFERROR(__xludf.DUMMYFUNCTION("""COMPUTED_VALUE"""),"-")</f>
        <v>-</v>
      </c>
      <c r="F606" s="1" t="str">
        <f>IFERROR(__xludf.DUMMYFUNCTION("""COMPUTED_VALUE"""),"Super Nosso")</f>
        <v>Super Nosso</v>
      </c>
      <c r="G606" s="1" t="str">
        <f>IFERROR(__xludf.DUMMYFUNCTION("""COMPUTED_VALUE"""),"Supermercado")</f>
        <v>Supermercado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7">
        <f>IFERROR(__xludf.DUMMYFUNCTION("""COMPUTED_VALUE"""),45901.0)</f>
        <v>45901</v>
      </c>
      <c r="B607" s="8">
        <f>IFERROR(__xludf.DUMMYFUNCTION("""COMPUTED_VALUE"""),45724.0)</f>
        <v>45724</v>
      </c>
      <c r="C607" s="1" t="str">
        <f>IFERROR(__xludf.DUMMYFUNCTION("""COMPUTED_VALUE"""),"Drogaria Araujo")</f>
        <v>Drogaria Araujo</v>
      </c>
      <c r="D607" s="2">
        <f>IFERROR(__xludf.DUMMYFUNCTION("""COMPUTED_VALUE"""),18.99)</f>
        <v>18.99</v>
      </c>
      <c r="E607" s="1" t="str">
        <f>IFERROR(__xludf.DUMMYFUNCTION("""COMPUTED_VALUE"""),"-")</f>
        <v>-</v>
      </c>
      <c r="F607" s="1" t="str">
        <f>IFERROR(__xludf.DUMMYFUNCTION("""COMPUTED_VALUE"""),"Drogaria Araujo")</f>
        <v>Drogaria Araujo</v>
      </c>
      <c r="G607" s="1" t="str">
        <f>IFERROR(__xludf.DUMMYFUNCTION("""COMPUTED_VALUE"""),"Farmácia")</f>
        <v>Farmácia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7">
        <f>IFERROR(__xludf.DUMMYFUNCTION("""COMPUTED_VALUE"""),45901.0)</f>
        <v>45901</v>
      </c>
      <c r="B608" s="8">
        <f>IFERROR(__xludf.DUMMYFUNCTION("""COMPUTED_VALUE"""),45755.0)</f>
        <v>45755</v>
      </c>
      <c r="C608" s="1" t="str">
        <f>IFERROR(__xludf.DUMMYFUNCTION("""COMPUTED_VALUE"""),"Amazon")</f>
        <v>Amazon</v>
      </c>
      <c r="D608" s="2">
        <f>IFERROR(__xludf.DUMMYFUNCTION("""COMPUTED_VALUE"""),24.99)</f>
        <v>24.99</v>
      </c>
      <c r="E608" s="1" t="str">
        <f>IFERROR(__xludf.DUMMYFUNCTION("""COMPUTED_VALUE"""),"-")</f>
        <v>-</v>
      </c>
      <c r="F608" s="1" t="str">
        <f>IFERROR(__xludf.DUMMYFUNCTION("""COMPUTED_VALUE"""),"Amazon")</f>
        <v>Amazon</v>
      </c>
      <c r="G608" s="1" t="str">
        <f>IFERROR(__xludf.DUMMYFUNCTION("""COMPUTED_VALUE"""),"Compras")</f>
        <v>Compras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7">
        <f>IFERROR(__xludf.DUMMYFUNCTION("""COMPUTED_VALUE"""),45901.0)</f>
        <v>45901</v>
      </c>
      <c r="B609" s="8">
        <f>IFERROR(__xludf.DUMMYFUNCTION("""COMPUTED_VALUE"""),45785.0)</f>
        <v>45785</v>
      </c>
      <c r="C609" s="1" t="str">
        <f>IFERROR(__xludf.DUMMYFUNCTION("""COMPUTED_VALUE"""),"Drogaria Pacheco")</f>
        <v>Drogaria Pacheco</v>
      </c>
      <c r="D609" s="2">
        <f>IFERROR(__xludf.DUMMYFUNCTION("""COMPUTED_VALUE"""),18.99)</f>
        <v>18.99</v>
      </c>
      <c r="E609" s="1" t="str">
        <f>IFERROR(__xludf.DUMMYFUNCTION("""COMPUTED_VALUE"""),"-")</f>
        <v>-</v>
      </c>
      <c r="F609" s="1" t="str">
        <f>IFERROR(__xludf.DUMMYFUNCTION("""COMPUTED_VALUE"""),"Drogaria Pacheco")</f>
        <v>Drogaria Pacheco</v>
      </c>
      <c r="G609" s="1" t="str">
        <f>IFERROR(__xludf.DUMMYFUNCTION("""COMPUTED_VALUE"""),"Farmácia")</f>
        <v>Farmácia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7">
        <f>IFERROR(__xludf.DUMMYFUNCTION("""COMPUTED_VALUE"""),45901.0)</f>
        <v>45901</v>
      </c>
      <c r="B610" s="8">
        <f>IFERROR(__xludf.DUMMYFUNCTION("""COMPUTED_VALUE"""),45785.0)</f>
        <v>45785</v>
      </c>
      <c r="C610" s="1" t="str">
        <f>IFERROR(__xludf.DUMMYFUNCTION("""COMPUTED_VALUE"""),"Mercado Livre")</f>
        <v>Mercado Livre</v>
      </c>
      <c r="D610" s="2">
        <f>IFERROR(__xludf.DUMMYFUNCTION("""COMPUTED_VALUE"""),46.24)</f>
        <v>46.24</v>
      </c>
      <c r="E610" s="1" t="str">
        <f>IFERROR(__xludf.DUMMYFUNCTION("""COMPUTED_VALUE"""),"-")</f>
        <v>-</v>
      </c>
      <c r="F610" s="1" t="str">
        <f>IFERROR(__xludf.DUMMYFUNCTION("""COMPUTED_VALUE"""),"Mercado Livre")</f>
        <v>Mercado Livre</v>
      </c>
      <c r="G610" s="1" t="str">
        <f>IFERROR(__xludf.DUMMYFUNCTION("""COMPUTED_VALUE"""),"Compras")</f>
        <v>Compras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7">
        <f>IFERROR(__xludf.DUMMYFUNCTION("""COMPUTED_VALUE"""),45901.0)</f>
        <v>45901</v>
      </c>
      <c r="B611" s="8">
        <f>IFERROR(__xludf.DUMMYFUNCTION("""COMPUTED_VALUE"""),45785.0)</f>
        <v>45785</v>
      </c>
      <c r="C611" s="1" t="str">
        <f>IFERROR(__xludf.DUMMYFUNCTION("""COMPUTED_VALUE"""),"Pacheco Barbearia")</f>
        <v>Pacheco Barbearia</v>
      </c>
      <c r="D611" s="2">
        <f>IFERROR(__xludf.DUMMYFUNCTION("""COMPUTED_VALUE"""),75.0)</f>
        <v>75</v>
      </c>
      <c r="E611" s="1" t="str">
        <f>IFERROR(__xludf.DUMMYFUNCTION("""COMPUTED_VALUE"""),"-")</f>
        <v>-</v>
      </c>
      <c r="F611" s="1" t="str">
        <f>IFERROR(__xludf.DUMMYFUNCTION("""COMPUTED_VALUE"""),"Pacheco Barbearia")</f>
        <v>Pacheco Barbearia</v>
      </c>
      <c r="G611" s="1" t="str">
        <f>IFERROR(__xludf.DUMMYFUNCTION("""COMPUTED_VALUE"""),"-")</f>
        <v>-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7">
        <f>IFERROR(__xludf.DUMMYFUNCTION("""COMPUTED_VALUE"""),45901.0)</f>
        <v>45901</v>
      </c>
      <c r="B612" s="8">
        <f>IFERROR(__xludf.DUMMYFUNCTION("""COMPUTED_VALUE"""),45785.0)</f>
        <v>45785</v>
      </c>
      <c r="C612" s="1" t="str">
        <f>IFERROR(__xludf.DUMMYFUNCTION("""COMPUTED_VALUE"""),"Amazon")</f>
        <v>Amazon</v>
      </c>
      <c r="D612" s="2">
        <f>IFERROR(__xludf.DUMMYFUNCTION("""COMPUTED_VALUE"""),25.9)</f>
        <v>25.9</v>
      </c>
      <c r="E612" s="1" t="str">
        <f>IFERROR(__xludf.DUMMYFUNCTION("""COMPUTED_VALUE"""),"-")</f>
        <v>-</v>
      </c>
      <c r="F612" s="1" t="str">
        <f>IFERROR(__xludf.DUMMYFUNCTION("""COMPUTED_VALUE"""),"Amazon")</f>
        <v>Amazon</v>
      </c>
      <c r="G612" s="1" t="str">
        <f>IFERROR(__xludf.DUMMYFUNCTION("""COMPUTED_VALUE"""),"Compras")</f>
        <v>Compras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7">
        <f>IFERROR(__xludf.DUMMYFUNCTION("""COMPUTED_VALUE"""),45901.0)</f>
        <v>45901</v>
      </c>
      <c r="B613" s="8">
        <f>IFERROR(__xludf.DUMMYFUNCTION("""COMPUTED_VALUE"""),45816.0)</f>
        <v>45816</v>
      </c>
      <c r="C613" s="1" t="str">
        <f>IFERROR(__xludf.DUMMYFUNCTION("""COMPUTED_VALUE"""),"Supermercado &amp; Padaria")</f>
        <v>Supermercado &amp; Padaria</v>
      </c>
      <c r="D613" s="2">
        <f>IFERROR(__xludf.DUMMYFUNCTION("""COMPUTED_VALUE"""),173.92)</f>
        <v>173.92</v>
      </c>
      <c r="E613" s="1" t="str">
        <f>IFERROR(__xludf.DUMMYFUNCTION("""COMPUTED_VALUE"""),"-")</f>
        <v>-</v>
      </c>
      <c r="F613" s="1" t="str">
        <f>IFERROR(__xludf.DUMMYFUNCTION("""COMPUTED_VALUE"""),"Supermercado &amp; Padaria")</f>
        <v>Supermercado &amp; Padaria</v>
      </c>
      <c r="G613" s="1" t="str">
        <f>IFERROR(__xludf.DUMMYFUNCTION("""COMPUTED_VALUE"""),"Comida")</f>
        <v>Comida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7">
        <f>IFERROR(__xludf.DUMMYFUNCTION("""COMPUTED_VALUE"""),45901.0)</f>
        <v>45901</v>
      </c>
      <c r="B614" s="8">
        <f>IFERROR(__xludf.DUMMYFUNCTION("""COMPUTED_VALUE"""),45816.0)</f>
        <v>45816</v>
      </c>
      <c r="C614" s="1" t="str">
        <f>IFERROR(__xludf.DUMMYFUNCTION("""COMPUTED_VALUE"""),"Barnabe Emporio")</f>
        <v>Barnabe Emporio</v>
      </c>
      <c r="D614" s="2">
        <f>IFERROR(__xludf.DUMMYFUNCTION("""COMPUTED_VALUE"""),50.8)</f>
        <v>50.8</v>
      </c>
      <c r="E614" s="1" t="str">
        <f>IFERROR(__xludf.DUMMYFUNCTION("""COMPUTED_VALUE"""),"-")</f>
        <v>-</v>
      </c>
      <c r="F614" s="1" t="str">
        <f>IFERROR(__xludf.DUMMYFUNCTION("""COMPUTED_VALUE"""),"Barnabe Emporio")</f>
        <v>Barnabe Emporio</v>
      </c>
      <c r="G614" s="1" t="str">
        <f>IFERROR(__xludf.DUMMYFUNCTION("""COMPUTED_VALUE"""),"Comida")</f>
        <v>Comida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7">
        <f>IFERROR(__xludf.DUMMYFUNCTION("""COMPUTED_VALUE"""),45901.0)</f>
        <v>45901</v>
      </c>
      <c r="B615" s="8">
        <f>IFERROR(__xludf.DUMMYFUNCTION("""COMPUTED_VALUE"""),45846.0)</f>
        <v>45846</v>
      </c>
      <c r="C615" s="1" t="str">
        <f>IFERROR(__xludf.DUMMYFUNCTION("""COMPUTED_VALUE"""),"Uber")</f>
        <v>Uber</v>
      </c>
      <c r="D615" s="2">
        <f>IFERROR(__xludf.DUMMYFUNCTION("""COMPUTED_VALUE"""),8.9)</f>
        <v>8.9</v>
      </c>
      <c r="E615" s="1" t="str">
        <f>IFERROR(__xludf.DUMMYFUNCTION("""COMPUTED_VALUE"""),"-")</f>
        <v>-</v>
      </c>
      <c r="F615" s="1" t="str">
        <f>IFERROR(__xludf.DUMMYFUNCTION("""COMPUTED_VALUE"""),"Uber")</f>
        <v>Uber</v>
      </c>
      <c r="G615" s="1" t="str">
        <f>IFERROR(__xludf.DUMMYFUNCTION("""COMPUTED_VALUE"""),"Uber/99")</f>
        <v>Uber/99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7">
        <f>IFERROR(__xludf.DUMMYFUNCTION("""COMPUTED_VALUE"""),45901.0)</f>
        <v>45901</v>
      </c>
      <c r="B616" s="8">
        <f>IFERROR(__xludf.DUMMYFUNCTION("""COMPUTED_VALUE"""),45846.0)</f>
        <v>45846</v>
      </c>
      <c r="C616" s="1">
        <f>IFERROR(__xludf.DUMMYFUNCTION("""COMPUTED_VALUE"""),99.0)</f>
        <v>99</v>
      </c>
      <c r="D616" s="2">
        <f>IFERROR(__xludf.DUMMYFUNCTION("""COMPUTED_VALUE"""),19.5)</f>
        <v>19.5</v>
      </c>
      <c r="E616" s="1" t="str">
        <f>IFERROR(__xludf.DUMMYFUNCTION("""COMPUTED_VALUE"""),"-")</f>
        <v>-</v>
      </c>
      <c r="F616" s="1" t="str">
        <f>IFERROR(__xludf.DUMMYFUNCTION("""COMPUTED_VALUE"""),"99")</f>
        <v>99</v>
      </c>
      <c r="G616" s="1" t="str">
        <f>IFERROR(__xludf.DUMMYFUNCTION("""COMPUTED_VALUE"""),"Uber/99")</f>
        <v>Uber/99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7">
        <f>IFERROR(__xludf.DUMMYFUNCTION("""COMPUTED_VALUE"""),45901.0)</f>
        <v>45901</v>
      </c>
      <c r="B617" s="8">
        <f>IFERROR(__xludf.DUMMYFUNCTION("""COMPUTED_VALUE"""),45846.0)</f>
        <v>45846</v>
      </c>
      <c r="C617" s="1">
        <f>IFERROR(__xludf.DUMMYFUNCTION("""COMPUTED_VALUE"""),99.0)</f>
        <v>99</v>
      </c>
      <c r="D617" s="2">
        <f>IFERROR(__xludf.DUMMYFUNCTION("""COMPUTED_VALUE"""),23.4)</f>
        <v>23.4</v>
      </c>
      <c r="E617" s="1" t="str">
        <f>IFERROR(__xludf.DUMMYFUNCTION("""COMPUTED_VALUE"""),"-")</f>
        <v>-</v>
      </c>
      <c r="F617" s="1" t="str">
        <f>IFERROR(__xludf.DUMMYFUNCTION("""COMPUTED_VALUE"""),"99")</f>
        <v>99</v>
      </c>
      <c r="G617" s="1" t="str">
        <f>IFERROR(__xludf.DUMMYFUNCTION("""COMPUTED_VALUE"""),"Uber/99")</f>
        <v>Uber/99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7">
        <f>IFERROR(__xludf.DUMMYFUNCTION("""COMPUTED_VALUE"""),45901.0)</f>
        <v>45901</v>
      </c>
      <c r="B618" s="8">
        <f>IFERROR(__xludf.DUMMYFUNCTION("""COMPUTED_VALUE"""),45877.0)</f>
        <v>45877</v>
      </c>
      <c r="C618" s="1" t="str">
        <f>IFERROR(__xludf.DUMMYFUNCTION("""COMPUTED_VALUE"""),"Uber")</f>
        <v>Uber</v>
      </c>
      <c r="D618" s="2">
        <f>IFERROR(__xludf.DUMMYFUNCTION("""COMPUTED_VALUE"""),13.99)</f>
        <v>13.99</v>
      </c>
      <c r="E618" s="1" t="str">
        <f>IFERROR(__xludf.DUMMYFUNCTION("""COMPUTED_VALUE"""),"-")</f>
        <v>-</v>
      </c>
      <c r="F618" s="1" t="str">
        <f>IFERROR(__xludf.DUMMYFUNCTION("""COMPUTED_VALUE"""),"Uber")</f>
        <v>Uber</v>
      </c>
      <c r="G618" s="1" t="str">
        <f>IFERROR(__xludf.DUMMYFUNCTION("""COMPUTED_VALUE"""),"Uber/99")</f>
        <v>Uber/99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7">
        <f>IFERROR(__xludf.DUMMYFUNCTION("""COMPUTED_VALUE"""),45901.0)</f>
        <v>45901</v>
      </c>
      <c r="B619" s="8">
        <f>IFERROR(__xludf.DUMMYFUNCTION("""COMPUTED_VALUE"""),45877.0)</f>
        <v>45877</v>
      </c>
      <c r="C619" s="1" t="str">
        <f>IFERROR(__xludf.DUMMYFUNCTION("""COMPUTED_VALUE"""),"Track&amp;field (1/5)")</f>
        <v>Track&amp;field (1/5)</v>
      </c>
      <c r="D619" s="2">
        <f>IFERROR(__xludf.DUMMYFUNCTION("""COMPUTED_VALUE"""),267.78)</f>
        <v>267.78</v>
      </c>
      <c r="E619" s="1" t="str">
        <f>IFERROR(__xludf.DUMMYFUNCTION("""COMPUTED_VALUE"""),"-")</f>
        <v>-</v>
      </c>
      <c r="F619" s="1" t="str">
        <f>IFERROR(__xludf.DUMMYFUNCTION("""COMPUTED_VALUE"""),"Track&amp;field")</f>
        <v>Track&amp;field</v>
      </c>
      <c r="G619" s="1" t="str">
        <f>IFERROR(__xludf.DUMMYFUNCTION("""COMPUTED_VALUE"""),"Compras")</f>
        <v>Compras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7">
        <f>IFERROR(__xludf.DUMMYFUNCTION("""COMPUTED_VALUE"""),45901.0)</f>
        <v>45901</v>
      </c>
      <c r="B620" s="8">
        <f>IFERROR(__xludf.DUMMYFUNCTION("""COMPUTED_VALUE"""),45877.0)</f>
        <v>45877</v>
      </c>
      <c r="C620" s="1" t="str">
        <f>IFERROR(__xludf.DUMMYFUNCTION("""COMPUTED_VALUE"""),"Milon Patio Savassi (2/2)")</f>
        <v>Milon Patio Savassi (2/2)</v>
      </c>
      <c r="D620" s="2">
        <f>IFERROR(__xludf.DUMMYFUNCTION("""COMPUTED_VALUE"""),67.45)</f>
        <v>67.45</v>
      </c>
      <c r="E620" s="1" t="str">
        <f>IFERROR(__xludf.DUMMYFUNCTION("""COMPUTED_VALUE"""),"-")</f>
        <v>-</v>
      </c>
      <c r="F620" s="1" t="str">
        <f>IFERROR(__xludf.DUMMYFUNCTION("""COMPUTED_VALUE"""),"Milon Patio Savassi")</f>
        <v>Milon Patio Savassi</v>
      </c>
      <c r="G620" s="1" t="str">
        <f>IFERROR(__xludf.DUMMYFUNCTION("""COMPUTED_VALUE"""),"-")</f>
        <v>-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7">
        <f>IFERROR(__xludf.DUMMYFUNCTION("""COMPUTED_VALUE"""),45901.0)</f>
        <v>45901</v>
      </c>
      <c r="B621" s="8">
        <f>IFERROR(__xludf.DUMMYFUNCTION("""COMPUTED_VALUE"""),45877.0)</f>
        <v>45877</v>
      </c>
      <c r="C621" s="1" t="str">
        <f>IFERROR(__xludf.DUMMYFUNCTION("""COMPUTED_VALUE"""),"Milon Patio Savassi (1/2)")</f>
        <v>Milon Patio Savassi (1/2)</v>
      </c>
      <c r="D621" s="2">
        <f>IFERROR(__xludf.DUMMYFUNCTION("""COMPUTED_VALUE"""),67.45)</f>
        <v>67.45</v>
      </c>
      <c r="E621" s="1" t="str">
        <f>IFERROR(__xludf.DUMMYFUNCTION("""COMPUTED_VALUE"""),"-")</f>
        <v>-</v>
      </c>
      <c r="F621" s="1" t="str">
        <f>IFERROR(__xludf.DUMMYFUNCTION("""COMPUTED_VALUE"""),"Milon Patio Savassi")</f>
        <v>Milon Patio Savassi</v>
      </c>
      <c r="G621" s="1" t="str">
        <f>IFERROR(__xludf.DUMMYFUNCTION("""COMPUTED_VALUE"""),"-")</f>
        <v>-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7">
        <f>IFERROR(__xludf.DUMMYFUNCTION("""COMPUTED_VALUE"""),45901.0)</f>
        <v>45901</v>
      </c>
      <c r="B622" s="8">
        <f>IFERROR(__xludf.DUMMYFUNCTION("""COMPUTED_VALUE"""),45908.0)</f>
        <v>45908</v>
      </c>
      <c r="C622" s="1" t="str">
        <f>IFERROR(__xludf.DUMMYFUNCTION("""COMPUTED_VALUE"""),"Golden Pet")</f>
        <v>Golden Pet</v>
      </c>
      <c r="D622" s="2">
        <f>IFERROR(__xludf.DUMMYFUNCTION("""COMPUTED_VALUE"""),68.0)</f>
        <v>68</v>
      </c>
      <c r="E622" s="1" t="str">
        <f>IFERROR(__xludf.DUMMYFUNCTION("""COMPUTED_VALUE"""),"-")</f>
        <v>-</v>
      </c>
      <c r="F622" s="1" t="str">
        <f>IFERROR(__xludf.DUMMYFUNCTION("""COMPUTED_VALUE"""),"Golden Pet")</f>
        <v>Golden Pet</v>
      </c>
      <c r="G622" s="1" t="str">
        <f>IFERROR(__xludf.DUMMYFUNCTION("""COMPUTED_VALUE"""),"Hulk")</f>
        <v>Hulk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7">
        <f>IFERROR(__xludf.DUMMYFUNCTION("""COMPUTED_VALUE"""),45901.0)</f>
        <v>45901</v>
      </c>
      <c r="B623" s="8">
        <f>IFERROR(__xludf.DUMMYFUNCTION("""COMPUTED_VALUE"""),45908.0)</f>
        <v>45908</v>
      </c>
      <c r="C623" s="1" t="str">
        <f>IFERROR(__xludf.DUMMYFUNCTION("""COMPUTED_VALUE"""),"Super Nosso")</f>
        <v>Super Nosso</v>
      </c>
      <c r="D623" s="2">
        <f>IFERROR(__xludf.DUMMYFUNCTION("""COMPUTED_VALUE"""),171.96)</f>
        <v>171.96</v>
      </c>
      <c r="E623" s="1" t="str">
        <f>IFERROR(__xludf.DUMMYFUNCTION("""COMPUTED_VALUE"""),"-")</f>
        <v>-</v>
      </c>
      <c r="F623" s="1" t="str">
        <f>IFERROR(__xludf.DUMMYFUNCTION("""COMPUTED_VALUE"""),"Super Nosso")</f>
        <v>Super Nosso</v>
      </c>
      <c r="G623" s="1" t="str">
        <f>IFERROR(__xludf.DUMMYFUNCTION("""COMPUTED_VALUE"""),"Supermercado")</f>
        <v>Supermercado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7">
        <f>IFERROR(__xludf.DUMMYFUNCTION("""COMPUTED_VALUE"""),45901.0)</f>
        <v>45901</v>
      </c>
      <c r="B624" s="8">
        <f>IFERROR(__xludf.DUMMYFUNCTION("""COMPUTED_VALUE"""),45908.0)</f>
        <v>45908</v>
      </c>
      <c r="C624" s="1" t="str">
        <f>IFERROR(__xludf.DUMMYFUNCTION("""COMPUTED_VALUE"""),"Bem Oriente")</f>
        <v>Bem Oriente</v>
      </c>
      <c r="D624" s="2">
        <f>IFERROR(__xludf.DUMMYFUNCTION("""COMPUTED_VALUE"""),9.99)</f>
        <v>9.99</v>
      </c>
      <c r="E624" s="1" t="str">
        <f>IFERROR(__xludf.DUMMYFUNCTION("""COMPUTED_VALUE"""),"-")</f>
        <v>-</v>
      </c>
      <c r="F624" s="1" t="str">
        <f>IFERROR(__xludf.DUMMYFUNCTION("""COMPUTED_VALUE"""),"Bem Oriente")</f>
        <v>Bem Oriente</v>
      </c>
      <c r="G624" s="1" t="str">
        <f>IFERROR(__xludf.DUMMYFUNCTION("""COMPUTED_VALUE"""),"-")</f>
        <v>-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7">
        <f>IFERROR(__xludf.DUMMYFUNCTION("""COMPUTED_VALUE"""),45901.0)</f>
        <v>45901</v>
      </c>
      <c r="B625" s="8">
        <f>IFERROR(__xludf.DUMMYFUNCTION("""COMPUTED_VALUE"""),45908.0)</f>
        <v>45908</v>
      </c>
      <c r="C625" s="1" t="str">
        <f>IFERROR(__xludf.DUMMYFUNCTION("""COMPUTED_VALUE"""),"Sion 1001 Festas")</f>
        <v>Sion 1001 Festas</v>
      </c>
      <c r="D625" s="2">
        <f>IFERROR(__xludf.DUMMYFUNCTION("""COMPUTED_VALUE"""),20.0)</f>
        <v>20</v>
      </c>
      <c r="E625" s="1" t="str">
        <f>IFERROR(__xludf.DUMMYFUNCTION("""COMPUTED_VALUE"""),"-")</f>
        <v>-</v>
      </c>
      <c r="F625" s="1" t="str">
        <f>IFERROR(__xludf.DUMMYFUNCTION("""COMPUTED_VALUE"""),"Sion 1001 Festas")</f>
        <v>Sion 1001 Festas</v>
      </c>
      <c r="G625" s="1" t="str">
        <f>IFERROR(__xludf.DUMMYFUNCTION("""COMPUTED_VALUE"""),"-")</f>
        <v>-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7">
        <f>IFERROR(__xludf.DUMMYFUNCTION("""COMPUTED_VALUE"""),45901.0)</f>
        <v>45901</v>
      </c>
      <c r="B626" s="8">
        <f>IFERROR(__xludf.DUMMYFUNCTION("""COMPUTED_VALUE"""),45908.0)</f>
        <v>45908</v>
      </c>
      <c r="C626" s="1" t="str">
        <f>IFERROR(__xludf.DUMMYFUNCTION("""COMPUTED_VALUE"""),"Cobasi")</f>
        <v>Cobasi</v>
      </c>
      <c r="D626" s="2">
        <f>IFERROR(__xludf.DUMMYFUNCTION("""COMPUTED_VALUE"""),145.5)</f>
        <v>145.5</v>
      </c>
      <c r="E626" s="1" t="str">
        <f>IFERROR(__xludf.DUMMYFUNCTION("""COMPUTED_VALUE"""),"-")</f>
        <v>-</v>
      </c>
      <c r="F626" s="1" t="str">
        <f>IFERROR(__xludf.DUMMYFUNCTION("""COMPUTED_VALUE"""),"Cobasi")</f>
        <v>Cobasi</v>
      </c>
      <c r="G626" s="1" t="str">
        <f>IFERROR(__xludf.DUMMYFUNCTION("""COMPUTED_VALUE"""),"-")</f>
        <v>-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7">
        <f>IFERROR(__xludf.DUMMYFUNCTION("""COMPUTED_VALUE"""),45901.0)</f>
        <v>45901</v>
      </c>
      <c r="B627" s="8">
        <f>IFERROR(__xludf.DUMMYFUNCTION("""COMPUTED_VALUE"""),45908.0)</f>
        <v>45908</v>
      </c>
      <c r="C627" s="1" t="str">
        <f>IFERROR(__xludf.DUMMYFUNCTION("""COMPUTED_VALUE"""),"Fany Bombons")</f>
        <v>Fany Bombons</v>
      </c>
      <c r="D627" s="2">
        <f>IFERROR(__xludf.DUMMYFUNCTION("""COMPUTED_VALUE"""),65.0)</f>
        <v>65</v>
      </c>
      <c r="E627" s="1" t="str">
        <f>IFERROR(__xludf.DUMMYFUNCTION("""COMPUTED_VALUE"""),"-")</f>
        <v>-</v>
      </c>
      <c r="F627" s="1" t="str">
        <f>IFERROR(__xludf.DUMMYFUNCTION("""COMPUTED_VALUE"""),"Fany Bombons")</f>
        <v>Fany Bombons</v>
      </c>
      <c r="G627" s="1" t="str">
        <f>IFERROR(__xludf.DUMMYFUNCTION("""COMPUTED_VALUE"""),"-")</f>
        <v>-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7">
        <f>IFERROR(__xludf.DUMMYFUNCTION("""COMPUTED_VALUE"""),45901.0)</f>
        <v>45901</v>
      </c>
      <c r="B628" s="8">
        <f>IFERROR(__xludf.DUMMYFUNCTION("""COMPUTED_VALUE"""),45908.0)</f>
        <v>45908</v>
      </c>
      <c r="C628" s="1" t="str">
        <f>IFERROR(__xludf.DUMMYFUNCTION("""COMPUTED_VALUE"""),"Drogaria Ara Araujo (2/2)")</f>
        <v>Drogaria Ara Araujo (2/2)</v>
      </c>
      <c r="D628" s="2">
        <f>IFERROR(__xludf.DUMMYFUNCTION("""COMPUTED_VALUE"""),83.49)</f>
        <v>83.49</v>
      </c>
      <c r="E628" s="1" t="str">
        <f>IFERROR(__xludf.DUMMYFUNCTION("""COMPUTED_VALUE"""),"-")</f>
        <v>-</v>
      </c>
      <c r="F628" s="1" t="str">
        <f>IFERROR(__xludf.DUMMYFUNCTION("""COMPUTED_VALUE"""),"Drogaria Ara Araujo")</f>
        <v>Drogaria Ara Araujo</v>
      </c>
      <c r="G628" s="1" t="str">
        <f>IFERROR(__xludf.DUMMYFUNCTION("""COMPUTED_VALUE"""),"Farmácia")</f>
        <v>Farmácia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7">
        <f>IFERROR(__xludf.DUMMYFUNCTION("""COMPUTED_VALUE"""),45901.0)</f>
        <v>45901</v>
      </c>
      <c r="B629" s="8">
        <f>IFERROR(__xludf.DUMMYFUNCTION("""COMPUTED_VALUE"""),45908.0)</f>
        <v>45908</v>
      </c>
      <c r="C629" s="1" t="str">
        <f>IFERROR(__xludf.DUMMYFUNCTION("""COMPUTED_VALUE"""),"Drogaria Ara Araujo (1/2)")</f>
        <v>Drogaria Ara Araujo (1/2)</v>
      </c>
      <c r="D629" s="2">
        <f>IFERROR(__xludf.DUMMYFUNCTION("""COMPUTED_VALUE"""),83.49)</f>
        <v>83.49</v>
      </c>
      <c r="E629" s="1" t="str">
        <f>IFERROR(__xludf.DUMMYFUNCTION("""COMPUTED_VALUE"""),"-")</f>
        <v>-</v>
      </c>
      <c r="F629" s="1" t="str">
        <f>IFERROR(__xludf.DUMMYFUNCTION("""COMPUTED_VALUE"""),"Drogaria Ara Araujo")</f>
        <v>Drogaria Ara Araujo</v>
      </c>
      <c r="G629" s="1" t="str">
        <f>IFERROR(__xludf.DUMMYFUNCTION("""COMPUTED_VALUE"""),"Farmácia")</f>
        <v>Farmácia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7">
        <f>IFERROR(__xludf.DUMMYFUNCTION("""COMPUTED_VALUE"""),45901.0)</f>
        <v>45901</v>
      </c>
      <c r="B630" s="8">
        <f>IFERROR(__xludf.DUMMYFUNCTION("""COMPUTED_VALUE"""),45908.0)</f>
        <v>45908</v>
      </c>
      <c r="C630" s="1" t="str">
        <f>IFERROR(__xludf.DUMMYFUNCTION("""COMPUTED_VALUE"""),"Panif Mendes Sion")</f>
        <v>Panif Mendes Sion</v>
      </c>
      <c r="D630" s="2">
        <f>IFERROR(__xludf.DUMMYFUNCTION("""COMPUTED_VALUE"""),19.35)</f>
        <v>19.35</v>
      </c>
      <c r="E630" s="1" t="str">
        <f>IFERROR(__xludf.DUMMYFUNCTION("""COMPUTED_VALUE"""),"-")</f>
        <v>-</v>
      </c>
      <c r="F630" s="1" t="str">
        <f>IFERROR(__xludf.DUMMYFUNCTION("""COMPUTED_VALUE"""),"Panif Mendes Sion")</f>
        <v>Panif Mendes Sion</v>
      </c>
      <c r="G630" s="1" t="str">
        <f>IFERROR(__xludf.DUMMYFUNCTION("""COMPUTED_VALUE"""),"Comida")</f>
        <v>Comida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7">
        <f>IFERROR(__xludf.DUMMYFUNCTION("""COMPUTED_VALUE"""),45901.0)</f>
        <v>45901</v>
      </c>
      <c r="B631" s="8">
        <f>IFERROR(__xludf.DUMMYFUNCTION("""COMPUTED_VALUE"""),45908.0)</f>
        <v>45908</v>
      </c>
      <c r="C631" s="1" t="str">
        <f>IFERROR(__xludf.DUMMYFUNCTION("""COMPUTED_VALUE"""),"Supermercado &amp; Padaria")</f>
        <v>Supermercado &amp; Padaria</v>
      </c>
      <c r="D631" s="2">
        <f>IFERROR(__xludf.DUMMYFUNCTION("""COMPUTED_VALUE"""),145.54)</f>
        <v>145.54</v>
      </c>
      <c r="E631" s="1" t="str">
        <f>IFERROR(__xludf.DUMMYFUNCTION("""COMPUTED_VALUE"""),"-")</f>
        <v>-</v>
      </c>
      <c r="F631" s="1" t="str">
        <f>IFERROR(__xludf.DUMMYFUNCTION("""COMPUTED_VALUE"""),"Supermercado &amp; Padaria")</f>
        <v>Supermercado &amp; Padaria</v>
      </c>
      <c r="G631" s="1" t="str">
        <f>IFERROR(__xludf.DUMMYFUNCTION("""COMPUTED_VALUE"""),"Comida")</f>
        <v>Comida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7">
        <f>IFERROR(__xludf.DUMMYFUNCTION("""COMPUTED_VALUE"""),45901.0)</f>
        <v>45901</v>
      </c>
      <c r="B632" s="8">
        <f>IFERROR(__xludf.DUMMYFUNCTION("""COMPUTED_VALUE"""),45908.0)</f>
        <v>45908</v>
      </c>
      <c r="C632" s="1" t="str">
        <f>IFERROR(__xludf.DUMMYFUNCTION("""COMPUTED_VALUE"""),"Supermercado &amp; Padaria")</f>
        <v>Supermercado &amp; Padaria</v>
      </c>
      <c r="D632" s="2">
        <f>IFERROR(__xludf.DUMMYFUNCTION("""COMPUTED_VALUE"""),69.98)</f>
        <v>69.98</v>
      </c>
      <c r="E632" s="1" t="str">
        <f>IFERROR(__xludf.DUMMYFUNCTION("""COMPUTED_VALUE"""),"-")</f>
        <v>-</v>
      </c>
      <c r="F632" s="1" t="str">
        <f>IFERROR(__xludf.DUMMYFUNCTION("""COMPUTED_VALUE"""),"Supermercado &amp; Padaria")</f>
        <v>Supermercado &amp; Padaria</v>
      </c>
      <c r="G632" s="1" t="str">
        <f>IFERROR(__xludf.DUMMYFUNCTION("""COMPUTED_VALUE"""),"Comida")</f>
        <v>Comida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7">
        <f>IFERROR(__xludf.DUMMYFUNCTION("""COMPUTED_VALUE"""),45901.0)</f>
        <v>45901</v>
      </c>
      <c r="B633" s="8">
        <f>IFERROR(__xludf.DUMMYFUNCTION("""COMPUTED_VALUE"""),45938.0)</f>
        <v>45938</v>
      </c>
      <c r="C633" s="1" t="str">
        <f>IFERROR(__xludf.DUMMYFUNCTION("""COMPUTED_VALUE"""),"Bem Hortifruti")</f>
        <v>Bem Hortifruti</v>
      </c>
      <c r="D633" s="2">
        <f>IFERROR(__xludf.DUMMYFUNCTION("""COMPUTED_VALUE"""),9.99)</f>
        <v>9.99</v>
      </c>
      <c r="E633" s="1" t="str">
        <f>IFERROR(__xludf.DUMMYFUNCTION("""COMPUTED_VALUE"""),"-")</f>
        <v>-</v>
      </c>
      <c r="F633" s="1" t="str">
        <f>IFERROR(__xludf.DUMMYFUNCTION("""COMPUTED_VALUE"""),"Bem Hortifruti")</f>
        <v>Bem Hortifruti</v>
      </c>
      <c r="G633" s="1" t="str">
        <f>IFERROR(__xludf.DUMMYFUNCTION("""COMPUTED_VALUE"""),"Comida")</f>
        <v>Comida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7">
        <f>IFERROR(__xludf.DUMMYFUNCTION("""COMPUTED_VALUE"""),45901.0)</f>
        <v>45901</v>
      </c>
      <c r="B634" s="8">
        <f>IFERROR(__xludf.DUMMYFUNCTION("""COMPUTED_VALUE"""),45938.0)</f>
        <v>45938</v>
      </c>
      <c r="C634" s="1" t="str">
        <f>IFERROR(__xludf.DUMMYFUNCTION("""COMPUTED_VALUE"""),"Smoothies")</f>
        <v>Smoothies</v>
      </c>
      <c r="D634" s="2">
        <f>IFERROR(__xludf.DUMMYFUNCTION("""COMPUTED_VALUE"""),35.99)</f>
        <v>35.99</v>
      </c>
      <c r="E634" s="1" t="str">
        <f>IFERROR(__xludf.DUMMYFUNCTION("""COMPUTED_VALUE"""),"-")</f>
        <v>-</v>
      </c>
      <c r="F634" s="1" t="str">
        <f>IFERROR(__xludf.DUMMYFUNCTION("""COMPUTED_VALUE"""),"Smoothies")</f>
        <v>Smoothies</v>
      </c>
      <c r="G634" s="1" t="str">
        <f>IFERROR(__xludf.DUMMYFUNCTION("""COMPUTED_VALUE"""),"Comida")</f>
        <v>Comida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7">
        <f>IFERROR(__xludf.DUMMYFUNCTION("""COMPUTED_VALUE"""),45901.0)</f>
        <v>45901</v>
      </c>
      <c r="B635" s="8">
        <f>IFERROR(__xludf.DUMMYFUNCTION("""COMPUTED_VALUE"""),45938.0)</f>
        <v>45938</v>
      </c>
      <c r="C635" s="1" t="str">
        <f>IFERROR(__xludf.DUMMYFUNCTION("""COMPUTED_VALUE"""),"Spotify")</f>
        <v>Spotify</v>
      </c>
      <c r="D635" s="2">
        <f>IFERROR(__xludf.DUMMYFUNCTION("""COMPUTED_VALUE"""),34.9)</f>
        <v>34.9</v>
      </c>
      <c r="E635" s="1" t="str">
        <f>IFERROR(__xludf.DUMMYFUNCTION("""COMPUTED_VALUE"""),"-")</f>
        <v>-</v>
      </c>
      <c r="F635" s="1" t="str">
        <f>IFERROR(__xludf.DUMMYFUNCTION("""COMPUTED_VALUE"""),"Spotify")</f>
        <v>Spotify</v>
      </c>
      <c r="G635" s="1" t="str">
        <f>IFERROR(__xludf.DUMMYFUNCTION("""COMPUTED_VALUE"""),"Assinatura")</f>
        <v>Assinatura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7">
        <f>IFERROR(__xludf.DUMMYFUNCTION("""COMPUTED_VALUE"""),45901.0)</f>
        <v>45901</v>
      </c>
      <c r="B636" s="8">
        <f>IFERROR(__xludf.DUMMYFUNCTION("""COMPUTED_VALUE"""),45999.0)</f>
        <v>45999</v>
      </c>
      <c r="C636" s="1" t="str">
        <f>IFERROR(__xludf.DUMMYFUNCTION("""COMPUTED_VALUE"""),"Amazon")</f>
        <v>Amazon</v>
      </c>
      <c r="D636" s="2">
        <f>IFERROR(__xludf.DUMMYFUNCTION("""COMPUTED_VALUE"""),9.99)</f>
        <v>9.99</v>
      </c>
      <c r="E636" s="1" t="str">
        <f>IFERROR(__xludf.DUMMYFUNCTION("""COMPUTED_VALUE"""),"-")</f>
        <v>-</v>
      </c>
      <c r="F636" s="1" t="str">
        <f>IFERROR(__xludf.DUMMYFUNCTION("""COMPUTED_VALUE"""),"Amazon")</f>
        <v>Amazon</v>
      </c>
      <c r="G636" s="1" t="str">
        <f>IFERROR(__xludf.DUMMYFUNCTION("""COMPUTED_VALUE"""),"Compras")</f>
        <v>Compras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7">
        <f>IFERROR(__xludf.DUMMYFUNCTION("""COMPUTED_VALUE"""),45901.0)</f>
        <v>45901</v>
      </c>
      <c r="B637" s="8">
        <f>IFERROR(__xludf.DUMMYFUNCTION("""COMPUTED_VALUE"""),45999.0)</f>
        <v>45999</v>
      </c>
      <c r="C637" s="1" t="str">
        <f>IFERROR(__xludf.DUMMYFUNCTION("""COMPUTED_VALUE"""),"Amazon")</f>
        <v>Amazon</v>
      </c>
      <c r="D637" s="2">
        <f>IFERROR(__xludf.DUMMYFUNCTION("""COMPUTED_VALUE"""),64.71)</f>
        <v>64.71</v>
      </c>
      <c r="E637" s="1" t="str">
        <f>IFERROR(__xludf.DUMMYFUNCTION("""COMPUTED_VALUE"""),"-")</f>
        <v>-</v>
      </c>
      <c r="F637" s="1" t="str">
        <f>IFERROR(__xludf.DUMMYFUNCTION("""COMPUTED_VALUE"""),"Amazon")</f>
        <v>Amazon</v>
      </c>
      <c r="G637" s="1" t="str">
        <f>IFERROR(__xludf.DUMMYFUNCTION("""COMPUTED_VALUE"""),"Compras")</f>
        <v>Compras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7">
        <f>IFERROR(__xludf.DUMMYFUNCTION("""COMPUTED_VALUE"""),45901.0)</f>
        <v>45901</v>
      </c>
      <c r="B638" s="8" t="str">
        <f>IFERROR(__xludf.DUMMYFUNCTION("""COMPUTED_VALUE"""),"13/08/25")</f>
        <v>13/08/25</v>
      </c>
      <c r="C638" s="1" t="str">
        <f>IFERROR(__xludf.DUMMYFUNCTION("""COMPUTED_VALUE"""),"Petrobrasprem")</f>
        <v>Petrobrasprem</v>
      </c>
      <c r="D638" s="2">
        <f>IFERROR(__xludf.DUMMYFUNCTION("""COMPUTED_VALUE"""),254.31)</f>
        <v>254.31</v>
      </c>
      <c r="E638" s="1" t="str">
        <f>IFERROR(__xludf.DUMMYFUNCTION("""COMPUTED_VALUE"""),"-")</f>
        <v>-</v>
      </c>
      <c r="F638" s="1" t="str">
        <f>IFERROR(__xludf.DUMMYFUNCTION("""COMPUTED_VALUE"""),"Petrobrasprem")</f>
        <v>Petrobrasprem</v>
      </c>
      <c r="G638" s="1" t="str">
        <f>IFERROR(__xludf.DUMMYFUNCTION("""COMPUTED_VALUE"""),"Carro")</f>
        <v>Carro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7">
        <f>IFERROR(__xludf.DUMMYFUNCTION("""COMPUTED_VALUE"""),45901.0)</f>
        <v>45901</v>
      </c>
      <c r="B639" s="8" t="str">
        <f>IFERROR(__xludf.DUMMYFUNCTION("""COMPUTED_VALUE"""),"13/08/25")</f>
        <v>13/08/25</v>
      </c>
      <c r="C639" s="1" t="str">
        <f>IFERROR(__xludf.DUMMYFUNCTION("""COMPUTED_VALUE"""),"Shopee")</f>
        <v>Shopee</v>
      </c>
      <c r="D639" s="2">
        <f>IFERROR(__xludf.DUMMYFUNCTION("""COMPUTED_VALUE"""),33.02)</f>
        <v>33.02</v>
      </c>
      <c r="E639" s="1" t="str">
        <f>IFERROR(__xludf.DUMMYFUNCTION("""COMPUTED_VALUE"""),"-")</f>
        <v>-</v>
      </c>
      <c r="F639" s="1" t="str">
        <f>IFERROR(__xludf.DUMMYFUNCTION("""COMPUTED_VALUE"""),"Shopee")</f>
        <v>Shopee</v>
      </c>
      <c r="G639" s="1" t="str">
        <f>IFERROR(__xludf.DUMMYFUNCTION("""COMPUTED_VALUE"""),"Compras")</f>
        <v>Compras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7">
        <f>IFERROR(__xludf.DUMMYFUNCTION("""COMPUTED_VALUE"""),45901.0)</f>
        <v>45901</v>
      </c>
      <c r="B640" s="8" t="str">
        <f>IFERROR(__xludf.DUMMYFUNCTION("""COMPUTED_VALUE"""),"13/08/25")</f>
        <v>13/08/25</v>
      </c>
      <c r="C640" s="1" t="str">
        <f>IFERROR(__xludf.DUMMYFUNCTION("""COMPUTED_VALUE"""),"One")</f>
        <v>One</v>
      </c>
      <c r="D640" s="2">
        <f>IFERROR(__xludf.DUMMYFUNCTION("""COMPUTED_VALUE"""),99.99)</f>
        <v>99.99</v>
      </c>
      <c r="E640" s="1" t="str">
        <f>IFERROR(__xludf.DUMMYFUNCTION("""COMPUTED_VALUE"""),"-")</f>
        <v>-</v>
      </c>
      <c r="F640" s="1" t="str">
        <f>IFERROR(__xludf.DUMMYFUNCTION("""COMPUTED_VALUE"""),"One")</f>
        <v>One</v>
      </c>
      <c r="G640" s="1" t="str">
        <f>IFERROR(__xludf.DUMMYFUNCTION("""COMPUTED_VALUE"""),"-")</f>
        <v>-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7">
        <f>IFERROR(__xludf.DUMMYFUNCTION("""COMPUTED_VALUE"""),45901.0)</f>
        <v>45901</v>
      </c>
      <c r="B641" s="8" t="str">
        <f>IFERROR(__xludf.DUMMYFUNCTION("""COMPUTED_VALUE"""),"13/08/25")</f>
        <v>13/08/25</v>
      </c>
      <c r="C641" s="1" t="str">
        <f>IFERROR(__xludf.DUMMYFUNCTION("""COMPUTED_VALUE"""),"Imunizar (1/6)")</f>
        <v>Imunizar (1/6)</v>
      </c>
      <c r="D641" s="2">
        <f>IFERROR(__xludf.DUMMYFUNCTION("""COMPUTED_VALUE"""),1350.0)</f>
        <v>1350</v>
      </c>
      <c r="E641" s="1" t="str">
        <f>IFERROR(__xludf.DUMMYFUNCTION("""COMPUTED_VALUE"""),"-")</f>
        <v>-</v>
      </c>
      <c r="F641" s="1" t="str">
        <f>IFERROR(__xludf.DUMMYFUNCTION("""COMPUTED_VALUE"""),"Imunizar")</f>
        <v>Imunizar</v>
      </c>
      <c r="G641" s="1" t="str">
        <f>IFERROR(__xludf.DUMMYFUNCTION("""COMPUTED_VALUE"""),"Bianca")</f>
        <v>Bianca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7">
        <f>IFERROR(__xludf.DUMMYFUNCTION("""COMPUTED_VALUE"""),45901.0)</f>
        <v>45901</v>
      </c>
      <c r="B642" s="8" t="str">
        <f>IFERROR(__xludf.DUMMYFUNCTION("""COMPUTED_VALUE"""),"13/08/25")</f>
        <v>13/08/25</v>
      </c>
      <c r="C642" s="1" t="str">
        <f>IFERROR(__xludf.DUMMYFUNCTION("""COMPUTED_VALUE"""),"Drogaria Araujo")</f>
        <v>Drogaria Araujo</v>
      </c>
      <c r="D642" s="2">
        <f>IFERROR(__xludf.DUMMYFUNCTION("""COMPUTED_VALUE"""),12.99)</f>
        <v>12.99</v>
      </c>
      <c r="E642" s="1" t="str">
        <f>IFERROR(__xludf.DUMMYFUNCTION("""COMPUTED_VALUE"""),"-")</f>
        <v>-</v>
      </c>
      <c r="F642" s="1" t="str">
        <f>IFERROR(__xludf.DUMMYFUNCTION("""COMPUTED_VALUE"""),"Drogaria Araujo")</f>
        <v>Drogaria Araujo</v>
      </c>
      <c r="G642" s="1" t="str">
        <f>IFERROR(__xludf.DUMMYFUNCTION("""COMPUTED_VALUE"""),"Farmácia")</f>
        <v>Farmácia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7">
        <f>IFERROR(__xludf.DUMMYFUNCTION("""COMPUTED_VALUE"""),45901.0)</f>
        <v>45901</v>
      </c>
      <c r="B643" s="8" t="str">
        <f>IFERROR(__xludf.DUMMYFUNCTION("""COMPUTED_VALUE"""),"14/08/25")</f>
        <v>14/08/25</v>
      </c>
      <c r="C643" s="1" t="str">
        <f>IFERROR(__xludf.DUMMYFUNCTION("""COMPUTED_VALUE"""),"Youtube")</f>
        <v>Youtube</v>
      </c>
      <c r="D643" s="2">
        <f>IFERROR(__xludf.DUMMYFUNCTION("""COMPUTED_VALUE"""),19.99)</f>
        <v>19.99</v>
      </c>
      <c r="E643" s="1" t="str">
        <f>IFERROR(__xludf.DUMMYFUNCTION("""COMPUTED_VALUE"""),"-")</f>
        <v>-</v>
      </c>
      <c r="F643" s="1" t="str">
        <f>IFERROR(__xludf.DUMMYFUNCTION("""COMPUTED_VALUE"""),"Youtube")</f>
        <v>Youtube</v>
      </c>
      <c r="G643" s="1" t="str">
        <f>IFERROR(__xludf.DUMMYFUNCTION("""COMPUTED_VALUE"""),"Assinatura")</f>
        <v>Assinatura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7">
        <f>IFERROR(__xludf.DUMMYFUNCTION("""COMPUTED_VALUE"""),45901.0)</f>
        <v>45901</v>
      </c>
      <c r="B644" s="8" t="str">
        <f>IFERROR(__xludf.DUMMYFUNCTION("""COMPUTED_VALUE"""),"14/08/25")</f>
        <v>14/08/25</v>
      </c>
      <c r="C644" s="1" t="str">
        <f>IFERROR(__xludf.DUMMYFUNCTION("""COMPUTED_VALUE"""),"Amazon Digital Br")</f>
        <v>Amazon Digital Br</v>
      </c>
      <c r="D644" s="2">
        <f>IFERROR(__xludf.DUMMYFUNCTION("""COMPUTED_VALUE"""),29.11)</f>
        <v>29.11</v>
      </c>
      <c r="E644" s="1" t="str">
        <f>IFERROR(__xludf.DUMMYFUNCTION("""COMPUTED_VALUE"""),"-")</f>
        <v>-</v>
      </c>
      <c r="F644" s="1" t="str">
        <f>IFERROR(__xludf.DUMMYFUNCTION("""COMPUTED_VALUE"""),"Amazon Digital Br")</f>
        <v>Amazon Digital Br</v>
      </c>
      <c r="G644" s="1" t="str">
        <f>IFERROR(__xludf.DUMMYFUNCTION("""COMPUTED_VALUE"""),"Compras")</f>
        <v>Compras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7">
        <f>IFERROR(__xludf.DUMMYFUNCTION("""COMPUTED_VALUE"""),45901.0)</f>
        <v>45901</v>
      </c>
      <c r="B645" s="8" t="str">
        <f>IFERROR(__xludf.DUMMYFUNCTION("""COMPUTED_VALUE"""),"14/08/25")</f>
        <v>14/08/25</v>
      </c>
      <c r="C645" s="1" t="str">
        <f>IFERROR(__xludf.DUMMYFUNCTION("""COMPUTED_VALUE"""),"Uber")</f>
        <v>Uber</v>
      </c>
      <c r="D645" s="2">
        <f>IFERROR(__xludf.DUMMYFUNCTION("""COMPUTED_VALUE"""),8.96)</f>
        <v>8.96</v>
      </c>
      <c r="E645" s="1" t="str">
        <f>IFERROR(__xludf.DUMMYFUNCTION("""COMPUTED_VALUE"""),"-")</f>
        <v>-</v>
      </c>
      <c r="F645" s="1" t="str">
        <f>IFERROR(__xludf.DUMMYFUNCTION("""COMPUTED_VALUE"""),"Uber")</f>
        <v>Uber</v>
      </c>
      <c r="G645" s="1" t="str">
        <f>IFERROR(__xludf.DUMMYFUNCTION("""COMPUTED_VALUE"""),"Uber/99")</f>
        <v>Uber/99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7">
        <f>IFERROR(__xludf.DUMMYFUNCTION("""COMPUTED_VALUE"""),45901.0)</f>
        <v>45901</v>
      </c>
      <c r="B646" s="8" t="str">
        <f>IFERROR(__xludf.DUMMYFUNCTION("""COMPUTED_VALUE"""),"14/08/25")</f>
        <v>14/08/25</v>
      </c>
      <c r="C646" s="1" t="str">
        <f>IFERROR(__xludf.DUMMYFUNCTION("""COMPUTED_VALUE"""),"Amazon Digital Br")</f>
        <v>Amazon Digital Br</v>
      </c>
      <c r="D646" s="2">
        <f>IFERROR(__xludf.DUMMYFUNCTION("""COMPUTED_VALUE"""),40.61)</f>
        <v>40.61</v>
      </c>
      <c r="E646" s="1" t="str">
        <f>IFERROR(__xludf.DUMMYFUNCTION("""COMPUTED_VALUE"""),"-")</f>
        <v>-</v>
      </c>
      <c r="F646" s="1" t="str">
        <f>IFERROR(__xludf.DUMMYFUNCTION("""COMPUTED_VALUE"""),"Amazon Digital Br")</f>
        <v>Amazon Digital Br</v>
      </c>
      <c r="G646" s="1" t="str">
        <f>IFERROR(__xludf.DUMMYFUNCTION("""COMPUTED_VALUE"""),"Compras")</f>
        <v>Compras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7">
        <f>IFERROR(__xludf.DUMMYFUNCTION("""COMPUTED_VALUE"""),45901.0)</f>
        <v>45901</v>
      </c>
      <c r="B647" s="8" t="str">
        <f>IFERROR(__xludf.DUMMYFUNCTION("""COMPUTED_VALUE"""),"15/08/25")</f>
        <v>15/08/25</v>
      </c>
      <c r="C647" s="1" t="str">
        <f>IFERROR(__xludf.DUMMYFUNCTION("""COMPUTED_VALUE"""),"Supermercado &amp; Padaria")</f>
        <v>Supermercado &amp; Padaria</v>
      </c>
      <c r="D647" s="2">
        <f>IFERROR(__xludf.DUMMYFUNCTION("""COMPUTED_VALUE"""),153.0)</f>
        <v>153</v>
      </c>
      <c r="E647" s="1" t="str">
        <f>IFERROR(__xludf.DUMMYFUNCTION("""COMPUTED_VALUE"""),"-")</f>
        <v>-</v>
      </c>
      <c r="F647" s="1" t="str">
        <f>IFERROR(__xludf.DUMMYFUNCTION("""COMPUTED_VALUE"""),"Supermercado &amp; Padaria")</f>
        <v>Supermercado &amp; Padaria</v>
      </c>
      <c r="G647" s="1" t="str">
        <f>IFERROR(__xludf.DUMMYFUNCTION("""COMPUTED_VALUE"""),"Comida")</f>
        <v>Comida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7">
        <f>IFERROR(__xludf.DUMMYFUNCTION("""COMPUTED_VALUE"""),45901.0)</f>
        <v>45901</v>
      </c>
      <c r="B648" s="8" t="str">
        <f>IFERROR(__xludf.DUMMYFUNCTION("""COMPUTED_VALUE"""),"15/08/25")</f>
        <v>15/08/25</v>
      </c>
      <c r="C648" s="1" t="str">
        <f>IFERROR(__xludf.DUMMYFUNCTION("""COMPUTED_VALUE"""),"Panif Mendes Sion")</f>
        <v>Panif Mendes Sion</v>
      </c>
      <c r="D648" s="2">
        <f>IFERROR(__xludf.DUMMYFUNCTION("""COMPUTED_VALUE"""),32.35)</f>
        <v>32.35</v>
      </c>
      <c r="E648" s="1" t="str">
        <f>IFERROR(__xludf.DUMMYFUNCTION("""COMPUTED_VALUE"""),"-")</f>
        <v>-</v>
      </c>
      <c r="F648" s="1" t="str">
        <f>IFERROR(__xludf.DUMMYFUNCTION("""COMPUTED_VALUE"""),"Panif Mendes Sion")</f>
        <v>Panif Mendes Sion</v>
      </c>
      <c r="G648" s="1" t="str">
        <f>IFERROR(__xludf.DUMMYFUNCTION("""COMPUTED_VALUE"""),"Comida")</f>
        <v>Comida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7">
        <f>IFERROR(__xludf.DUMMYFUNCTION("""COMPUTED_VALUE"""),45901.0)</f>
        <v>45901</v>
      </c>
      <c r="B649" s="8" t="str">
        <f>IFERROR(__xludf.DUMMYFUNCTION("""COMPUTED_VALUE"""),"16/08/25")</f>
        <v>16/08/25</v>
      </c>
      <c r="C649" s="1" t="str">
        <f>IFERROR(__xludf.DUMMYFUNCTION("""COMPUTED_VALUE"""),"Shopee")</f>
        <v>Shopee</v>
      </c>
      <c r="D649" s="2">
        <f>IFERROR(__xludf.DUMMYFUNCTION("""COMPUTED_VALUE"""),24.0)</f>
        <v>24</v>
      </c>
      <c r="E649" s="1" t="str">
        <f>IFERROR(__xludf.DUMMYFUNCTION("""COMPUTED_VALUE"""),"-")</f>
        <v>-</v>
      </c>
      <c r="F649" s="1" t="str">
        <f>IFERROR(__xludf.DUMMYFUNCTION("""COMPUTED_VALUE"""),"Shopee")</f>
        <v>Shopee</v>
      </c>
      <c r="G649" s="1" t="str">
        <f>IFERROR(__xludf.DUMMYFUNCTION("""COMPUTED_VALUE"""),"Compras")</f>
        <v>Compras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7">
        <f>IFERROR(__xludf.DUMMYFUNCTION("""COMPUTED_VALUE"""),45901.0)</f>
        <v>45901</v>
      </c>
      <c r="B650" s="8" t="str">
        <f>IFERROR(__xludf.DUMMYFUNCTION("""COMPUTED_VALUE"""),"17/08/25")</f>
        <v>17/08/25</v>
      </c>
      <c r="C650" s="1" t="str">
        <f>IFERROR(__xludf.DUMMYFUNCTION("""COMPUTED_VALUE"""),"Smoothies")</f>
        <v>Smoothies</v>
      </c>
      <c r="D650" s="2">
        <f>IFERROR(__xludf.DUMMYFUNCTION("""COMPUTED_VALUE"""),35.99)</f>
        <v>35.99</v>
      </c>
      <c r="E650" s="1" t="str">
        <f>IFERROR(__xludf.DUMMYFUNCTION("""COMPUTED_VALUE"""),"-")</f>
        <v>-</v>
      </c>
      <c r="F650" s="1" t="str">
        <f>IFERROR(__xludf.DUMMYFUNCTION("""COMPUTED_VALUE"""),"Smoothies")</f>
        <v>Smoothies</v>
      </c>
      <c r="G650" s="1" t="str">
        <f>IFERROR(__xludf.DUMMYFUNCTION("""COMPUTED_VALUE"""),"Comida")</f>
        <v>Comida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7">
        <f>IFERROR(__xludf.DUMMYFUNCTION("""COMPUTED_VALUE"""),45901.0)</f>
        <v>45901</v>
      </c>
      <c r="B651" s="8" t="str">
        <f>IFERROR(__xludf.DUMMYFUNCTION("""COMPUTED_VALUE"""),"17/08/25")</f>
        <v>17/08/25</v>
      </c>
      <c r="C651" s="1" t="str">
        <f>IFERROR(__xludf.DUMMYFUNCTION("""COMPUTED_VALUE"""),"Bem Hortifruti")</f>
        <v>Bem Hortifruti</v>
      </c>
      <c r="D651" s="2">
        <f>IFERROR(__xludf.DUMMYFUNCTION("""COMPUTED_VALUE"""),9.99)</f>
        <v>9.99</v>
      </c>
      <c r="E651" s="1" t="str">
        <f>IFERROR(__xludf.DUMMYFUNCTION("""COMPUTED_VALUE"""),"-")</f>
        <v>-</v>
      </c>
      <c r="F651" s="1" t="str">
        <f>IFERROR(__xludf.DUMMYFUNCTION("""COMPUTED_VALUE"""),"Bem Hortifruti")</f>
        <v>Bem Hortifruti</v>
      </c>
      <c r="G651" s="1" t="str">
        <f>IFERROR(__xludf.DUMMYFUNCTION("""COMPUTED_VALUE"""),"Comida")</f>
        <v>Comida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7">
        <f>IFERROR(__xludf.DUMMYFUNCTION("""COMPUTED_VALUE"""),45901.0)</f>
        <v>45901</v>
      </c>
      <c r="B652" s="8" t="str">
        <f>IFERROR(__xludf.DUMMYFUNCTION("""COMPUTED_VALUE"""),"17/08/25")</f>
        <v>17/08/25</v>
      </c>
      <c r="C652" s="1" t="str">
        <f>IFERROR(__xludf.DUMMYFUNCTION("""COMPUTED_VALUE"""),"Rei Dos Biscoitos Ltda")</f>
        <v>Rei Dos Biscoitos Ltda</v>
      </c>
      <c r="D652" s="2">
        <f>IFERROR(__xludf.DUMMYFUNCTION("""COMPUTED_VALUE"""),17.0)</f>
        <v>17</v>
      </c>
      <c r="E652" s="1" t="str">
        <f>IFERROR(__xludf.DUMMYFUNCTION("""COMPUTED_VALUE"""),"-")</f>
        <v>-</v>
      </c>
      <c r="F652" s="1" t="str">
        <f>IFERROR(__xludf.DUMMYFUNCTION("""COMPUTED_VALUE"""),"Rei Dos Biscoitos Ltda")</f>
        <v>Rei Dos Biscoitos Ltda</v>
      </c>
      <c r="G652" s="1" t="str">
        <f>IFERROR(__xludf.DUMMYFUNCTION("""COMPUTED_VALUE"""),"Comida")</f>
        <v>Comida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7">
        <f>IFERROR(__xludf.DUMMYFUNCTION("""COMPUTED_VALUE"""),45901.0)</f>
        <v>45901</v>
      </c>
      <c r="B653" s="8" t="str">
        <f>IFERROR(__xludf.DUMMYFUNCTION("""COMPUTED_VALUE"""),"17/08/25")</f>
        <v>17/08/25</v>
      </c>
      <c r="C653" s="1" t="str">
        <f>IFERROR(__xludf.DUMMYFUNCTION("""COMPUTED_VALUE"""),"Gleice")</f>
        <v>Gleice</v>
      </c>
      <c r="D653" s="2">
        <f>IFERROR(__xludf.DUMMYFUNCTION("""COMPUTED_VALUE"""),29.9)</f>
        <v>29.9</v>
      </c>
      <c r="E653" s="1" t="str">
        <f>IFERROR(__xludf.DUMMYFUNCTION("""COMPUTED_VALUE"""),"-")</f>
        <v>-</v>
      </c>
      <c r="F653" s="1" t="str">
        <f>IFERROR(__xludf.DUMMYFUNCTION("""COMPUTED_VALUE"""),"Gleice")</f>
        <v>Gleice</v>
      </c>
      <c r="G653" s="1" t="str">
        <f>IFERROR(__xludf.DUMMYFUNCTION("""COMPUTED_VALUE"""),"Bypass")</f>
        <v>Bypass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7">
        <f>IFERROR(__xludf.DUMMYFUNCTION("""COMPUTED_VALUE"""),45901.0)</f>
        <v>45901</v>
      </c>
      <c r="B654" s="8" t="str">
        <f>IFERROR(__xludf.DUMMYFUNCTION("""COMPUTED_VALUE"""),"17/08/25")</f>
        <v>17/08/25</v>
      </c>
      <c r="C654" s="1" t="str">
        <f>IFERROR(__xludf.DUMMYFUNCTION("""COMPUTED_VALUE"""),"Du Pain Mercado")</f>
        <v>Du Pain Mercado</v>
      </c>
      <c r="D654" s="2">
        <f>IFERROR(__xludf.DUMMYFUNCTION("""COMPUTED_VALUE"""),38.0)</f>
        <v>38</v>
      </c>
      <c r="E654" s="1" t="str">
        <f>IFERROR(__xludf.DUMMYFUNCTION("""COMPUTED_VALUE"""),"-")</f>
        <v>-</v>
      </c>
      <c r="F654" s="1" t="str">
        <f>IFERROR(__xludf.DUMMYFUNCTION("""COMPUTED_VALUE"""),"Du Pain Mercado")</f>
        <v>Du Pain Mercado</v>
      </c>
      <c r="G654" s="1" t="str">
        <f>IFERROR(__xludf.DUMMYFUNCTION("""COMPUTED_VALUE"""),"Comida")</f>
        <v>Comida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7">
        <f>IFERROR(__xludf.DUMMYFUNCTION("""COMPUTED_VALUE"""),45901.0)</f>
        <v>45901</v>
      </c>
      <c r="B655" s="8" t="str">
        <f>IFERROR(__xludf.DUMMYFUNCTION("""COMPUTED_VALUE"""),"17/08/25")</f>
        <v>17/08/25</v>
      </c>
      <c r="C655" s="1" t="str">
        <f>IFERROR(__xludf.DUMMYFUNCTION("""COMPUTED_VALUE"""),"Queijaria Mineira Uai")</f>
        <v>Queijaria Mineira Uai</v>
      </c>
      <c r="D655" s="2">
        <f>IFERROR(__xludf.DUMMYFUNCTION("""COMPUTED_VALUE"""),26.95)</f>
        <v>26.95</v>
      </c>
      <c r="E655" s="1" t="str">
        <f>IFERROR(__xludf.DUMMYFUNCTION("""COMPUTED_VALUE"""),"-")</f>
        <v>-</v>
      </c>
      <c r="F655" s="1" t="str">
        <f>IFERROR(__xludf.DUMMYFUNCTION("""COMPUTED_VALUE"""),"Queijaria Mineira Uai")</f>
        <v>Queijaria Mineira Uai</v>
      </c>
      <c r="G655" s="1" t="str">
        <f>IFERROR(__xludf.DUMMYFUNCTION("""COMPUTED_VALUE"""),"Comida")</f>
        <v>Comida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7">
        <f>IFERROR(__xludf.DUMMYFUNCTION("""COMPUTED_VALUE"""),45901.0)</f>
        <v>45901</v>
      </c>
      <c r="B656" s="8" t="str">
        <f>IFERROR(__xludf.DUMMYFUNCTION("""COMPUTED_VALUE"""),"17/08/25")</f>
        <v>17/08/25</v>
      </c>
      <c r="C656" s="1" t="str">
        <f>IFERROR(__xludf.DUMMYFUNCTION("""COMPUTED_VALUE"""),"Mercado Central")</f>
        <v>Mercado Central</v>
      </c>
      <c r="D656" s="2">
        <f>IFERROR(__xludf.DUMMYFUNCTION("""COMPUTED_VALUE"""),8.0)</f>
        <v>8</v>
      </c>
      <c r="E656" s="1" t="str">
        <f>IFERROR(__xludf.DUMMYFUNCTION("""COMPUTED_VALUE"""),"-")</f>
        <v>-</v>
      </c>
      <c r="F656" s="1" t="str">
        <f>IFERROR(__xludf.DUMMYFUNCTION("""COMPUTED_VALUE"""),"Mercado Central")</f>
        <v>Mercado Central</v>
      </c>
      <c r="G656" s="1" t="str">
        <f>IFERROR(__xludf.DUMMYFUNCTION("""COMPUTED_VALUE"""),"Bypass")</f>
        <v>Bypass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7">
        <f>IFERROR(__xludf.DUMMYFUNCTION("""COMPUTED_VALUE"""),45901.0)</f>
        <v>45901</v>
      </c>
      <c r="B657" s="8" t="str">
        <f>IFERROR(__xludf.DUMMYFUNCTION("""COMPUTED_VALUE"""),"17/08/25")</f>
        <v>17/08/25</v>
      </c>
      <c r="C657" s="1" t="str">
        <f>IFERROR(__xludf.DUMMYFUNCTION("""COMPUTED_VALUE"""),"O Bhar")</f>
        <v>O Bhar</v>
      </c>
      <c r="D657" s="2">
        <f>IFERROR(__xludf.DUMMYFUNCTION("""COMPUTED_VALUE"""),56.5)</f>
        <v>56.5</v>
      </c>
      <c r="E657" s="1" t="str">
        <f>IFERROR(__xludf.DUMMYFUNCTION("""COMPUTED_VALUE"""),"-")</f>
        <v>-</v>
      </c>
      <c r="F657" s="1" t="str">
        <f>IFERROR(__xludf.DUMMYFUNCTION("""COMPUTED_VALUE"""),"O Bhar")</f>
        <v>O Bhar</v>
      </c>
      <c r="G657" s="1" t="str">
        <f>IFERROR(__xludf.DUMMYFUNCTION("""COMPUTED_VALUE"""),"Comida")</f>
        <v>Comida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7">
        <f>IFERROR(__xludf.DUMMYFUNCTION("""COMPUTED_VALUE"""),45901.0)</f>
        <v>45901</v>
      </c>
      <c r="B658" s="8" t="str">
        <f>IFERROR(__xludf.DUMMYFUNCTION("""COMPUTED_VALUE"""),"17/08/25")</f>
        <v>17/08/25</v>
      </c>
      <c r="C658" s="1" t="str">
        <f>IFERROR(__xludf.DUMMYFUNCTION("""COMPUTED_VALUE"""),"Melimais")</f>
        <v>Melimais</v>
      </c>
      <c r="D658" s="2">
        <f>IFERROR(__xludf.DUMMYFUNCTION("""COMPUTED_VALUE"""),24.9)</f>
        <v>24.9</v>
      </c>
      <c r="E658" s="1" t="str">
        <f>IFERROR(__xludf.DUMMYFUNCTION("""COMPUTED_VALUE"""),"-")</f>
        <v>-</v>
      </c>
      <c r="F658" s="1" t="str">
        <f>IFERROR(__xludf.DUMMYFUNCTION("""COMPUTED_VALUE"""),"Melimais")</f>
        <v>Melimais</v>
      </c>
      <c r="G658" s="1" t="str">
        <f>IFERROR(__xludf.DUMMYFUNCTION("""COMPUTED_VALUE"""),"Bypass")</f>
        <v>Bypass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7">
        <f>IFERROR(__xludf.DUMMYFUNCTION("""COMPUTED_VALUE"""),45901.0)</f>
        <v>45901</v>
      </c>
      <c r="B659" s="8" t="str">
        <f>IFERROR(__xludf.DUMMYFUNCTION("""COMPUTED_VALUE"""),"18/08/25")</f>
        <v>18/08/25</v>
      </c>
      <c r="C659" s="1">
        <f>IFERROR(__xludf.DUMMYFUNCTION("""COMPUTED_VALUE"""),99.0)</f>
        <v>99</v>
      </c>
      <c r="D659" s="2">
        <f>IFERROR(__xludf.DUMMYFUNCTION("""COMPUTED_VALUE"""),8.4)</f>
        <v>8.4</v>
      </c>
      <c r="E659" s="1" t="str">
        <f>IFERROR(__xludf.DUMMYFUNCTION("""COMPUTED_VALUE"""),"-")</f>
        <v>-</v>
      </c>
      <c r="F659" s="1" t="str">
        <f>IFERROR(__xludf.DUMMYFUNCTION("""COMPUTED_VALUE"""),"99")</f>
        <v>99</v>
      </c>
      <c r="G659" s="1" t="str">
        <f>IFERROR(__xludf.DUMMYFUNCTION("""COMPUTED_VALUE"""),"Uber/99")</f>
        <v>Uber/99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7">
        <f>IFERROR(__xludf.DUMMYFUNCTION("""COMPUTED_VALUE"""),45901.0)</f>
        <v>45901</v>
      </c>
      <c r="B660" s="8" t="str">
        <f>IFERROR(__xludf.DUMMYFUNCTION("""COMPUTED_VALUE"""),"19/08/25")</f>
        <v>19/08/25</v>
      </c>
      <c r="C660" s="1" t="str">
        <f>IFERROR(__xludf.DUMMYFUNCTION("""COMPUTED_VALUE"""),"Amazon")</f>
        <v>Amazon</v>
      </c>
      <c r="D660" s="2">
        <f>IFERROR(__xludf.DUMMYFUNCTION("""COMPUTED_VALUE"""),60.74)</f>
        <v>60.74</v>
      </c>
      <c r="E660" s="1" t="str">
        <f>IFERROR(__xludf.DUMMYFUNCTION("""COMPUTED_VALUE"""),"-")</f>
        <v>-</v>
      </c>
      <c r="F660" s="1" t="str">
        <f>IFERROR(__xludf.DUMMYFUNCTION("""COMPUTED_VALUE"""),"Amazon")</f>
        <v>Amazon</v>
      </c>
      <c r="G660" s="1" t="str">
        <f>IFERROR(__xludf.DUMMYFUNCTION("""COMPUTED_VALUE"""),"Compras")</f>
        <v>Compras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7">
        <f>IFERROR(__xludf.DUMMYFUNCTION("""COMPUTED_VALUE"""),45901.0)</f>
        <v>45901</v>
      </c>
      <c r="B661" s="8" t="str">
        <f>IFERROR(__xludf.DUMMYFUNCTION("""COMPUTED_VALUE"""),"19/08/25")</f>
        <v>19/08/25</v>
      </c>
      <c r="C661" s="1" t="str">
        <f>IFERROR(__xludf.DUMMYFUNCTION("""COMPUTED_VALUE"""),"Shopee")</f>
        <v>Shopee</v>
      </c>
      <c r="D661" s="2">
        <f>IFERROR(__xludf.DUMMYFUNCTION("""COMPUTED_VALUE"""),19.85)</f>
        <v>19.85</v>
      </c>
      <c r="E661" s="1" t="str">
        <f>IFERROR(__xludf.DUMMYFUNCTION("""COMPUTED_VALUE"""),"-")</f>
        <v>-</v>
      </c>
      <c r="F661" s="1" t="str">
        <f>IFERROR(__xludf.DUMMYFUNCTION("""COMPUTED_VALUE"""),"Shopee")</f>
        <v>Shopee</v>
      </c>
      <c r="G661" s="1" t="str">
        <f>IFERROR(__xludf.DUMMYFUNCTION("""COMPUTED_VALUE"""),"Compras")</f>
        <v>Compras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7">
        <f>IFERROR(__xludf.DUMMYFUNCTION("""COMPUTED_VALUE"""),45901.0)</f>
        <v>45901</v>
      </c>
      <c r="B662" s="8" t="str">
        <f>IFERROR(__xludf.DUMMYFUNCTION("""COMPUTED_VALUE"""),"20/08/25")</f>
        <v>20/08/25</v>
      </c>
      <c r="C662" s="1" t="str">
        <f>IFERROR(__xludf.DUMMYFUNCTION("""COMPUTED_VALUE"""),"Shopee (1/3)")</f>
        <v>Shopee (1/3)</v>
      </c>
      <c r="D662" s="2">
        <f>IFERROR(__xludf.DUMMYFUNCTION("""COMPUTED_VALUE"""),75.21)</f>
        <v>75.21</v>
      </c>
      <c r="E662" s="1" t="str">
        <f>IFERROR(__xludf.DUMMYFUNCTION("""COMPUTED_VALUE"""),"-")</f>
        <v>-</v>
      </c>
      <c r="F662" s="1" t="str">
        <f>IFERROR(__xludf.DUMMYFUNCTION("""COMPUTED_VALUE"""),"Shopee")</f>
        <v>Shopee</v>
      </c>
      <c r="G662" s="1" t="str">
        <f>IFERROR(__xludf.DUMMYFUNCTION("""COMPUTED_VALUE"""),"Compras")</f>
        <v>Compras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7">
        <f>IFERROR(__xludf.DUMMYFUNCTION("""COMPUTED_VALUE"""),45901.0)</f>
        <v>45901</v>
      </c>
      <c r="B663" s="8" t="str">
        <f>IFERROR(__xludf.DUMMYFUNCTION("""COMPUTED_VALUE"""),"20/08/25")</f>
        <v>20/08/25</v>
      </c>
      <c r="C663" s="1" t="str">
        <f>IFERROR(__xludf.DUMMYFUNCTION("""COMPUTED_VALUE"""),"Panif Mendes Sion")</f>
        <v>Panif Mendes Sion</v>
      </c>
      <c r="D663" s="2">
        <f>IFERROR(__xludf.DUMMYFUNCTION("""COMPUTED_VALUE"""),5.49)</f>
        <v>5.49</v>
      </c>
      <c r="E663" s="1" t="str">
        <f>IFERROR(__xludf.DUMMYFUNCTION("""COMPUTED_VALUE"""),"-")</f>
        <v>-</v>
      </c>
      <c r="F663" s="1" t="str">
        <f>IFERROR(__xludf.DUMMYFUNCTION("""COMPUTED_VALUE"""),"Panif Mendes Sion")</f>
        <v>Panif Mendes Sion</v>
      </c>
      <c r="G663" s="1" t="str">
        <f>IFERROR(__xludf.DUMMYFUNCTION("""COMPUTED_VALUE"""),"Comida")</f>
        <v>Comida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7">
        <f>IFERROR(__xludf.DUMMYFUNCTION("""COMPUTED_VALUE"""),45901.0)</f>
        <v>45901</v>
      </c>
      <c r="B664" s="8" t="str">
        <f>IFERROR(__xludf.DUMMYFUNCTION("""COMPUTED_VALUE"""),"20/08/25")</f>
        <v>20/08/25</v>
      </c>
      <c r="C664" s="1" t="str">
        <f>IFERROR(__xludf.DUMMYFUNCTION("""COMPUTED_VALUE"""),"Amazon")</f>
        <v>Amazon</v>
      </c>
      <c r="D664" s="2">
        <f>IFERROR(__xludf.DUMMYFUNCTION("""COMPUTED_VALUE"""),32.36)</f>
        <v>32.36</v>
      </c>
      <c r="E664" s="1" t="str">
        <f>IFERROR(__xludf.DUMMYFUNCTION("""COMPUTED_VALUE"""),"-")</f>
        <v>-</v>
      </c>
      <c r="F664" s="1" t="str">
        <f>IFERROR(__xludf.DUMMYFUNCTION("""COMPUTED_VALUE"""),"Amazon")</f>
        <v>Amazon</v>
      </c>
      <c r="G664" s="1" t="str">
        <f>IFERROR(__xludf.DUMMYFUNCTION("""COMPUTED_VALUE"""),"Compras")</f>
        <v>Compras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7">
        <f>IFERROR(__xludf.DUMMYFUNCTION("""COMPUTED_VALUE"""),45901.0)</f>
        <v>45901</v>
      </c>
      <c r="B665" s="8" t="str">
        <f>IFERROR(__xludf.DUMMYFUNCTION("""COMPUTED_VALUE"""),"20/08/25")</f>
        <v>20/08/25</v>
      </c>
      <c r="C665" s="1" t="str">
        <f>IFERROR(__xludf.DUMMYFUNCTION("""COMPUTED_VALUE"""),"Casa De Casa De Carne")</f>
        <v>Casa De Casa De Carne</v>
      </c>
      <c r="D665" s="2">
        <f>IFERROR(__xludf.DUMMYFUNCTION("""COMPUTED_VALUE"""),100.64)</f>
        <v>100.64</v>
      </c>
      <c r="E665" s="1" t="str">
        <f>IFERROR(__xludf.DUMMYFUNCTION("""COMPUTED_VALUE"""),"-")</f>
        <v>-</v>
      </c>
      <c r="F665" s="1" t="str">
        <f>IFERROR(__xludf.DUMMYFUNCTION("""COMPUTED_VALUE"""),"Casa De Casa De Carne")</f>
        <v>Casa De Casa De Carne</v>
      </c>
      <c r="G665" s="1" t="str">
        <f>IFERROR(__xludf.DUMMYFUNCTION("""COMPUTED_VALUE"""),"Comida")</f>
        <v>Comida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7">
        <f>IFERROR(__xludf.DUMMYFUNCTION("""COMPUTED_VALUE"""),45901.0)</f>
        <v>45901</v>
      </c>
      <c r="B666" s="8" t="str">
        <f>IFERROR(__xludf.DUMMYFUNCTION("""COMPUTED_VALUE"""),"20/08/25")</f>
        <v>20/08/25</v>
      </c>
      <c r="C666" s="1" t="str">
        <f>IFERROR(__xludf.DUMMYFUNCTION("""COMPUTED_VALUE"""),"Super Nosso")</f>
        <v>Super Nosso</v>
      </c>
      <c r="D666" s="2">
        <f>IFERROR(__xludf.DUMMYFUNCTION("""COMPUTED_VALUE"""),283.6)</f>
        <v>283.6</v>
      </c>
      <c r="E666" s="1" t="str">
        <f>IFERROR(__xludf.DUMMYFUNCTION("""COMPUTED_VALUE"""),"-")</f>
        <v>-</v>
      </c>
      <c r="F666" s="1" t="str">
        <f>IFERROR(__xludf.DUMMYFUNCTION("""COMPUTED_VALUE"""),"Super Nosso")</f>
        <v>Super Nosso</v>
      </c>
      <c r="G666" s="1" t="str">
        <f>IFERROR(__xludf.DUMMYFUNCTION("""COMPUTED_VALUE"""),"Supermercado")</f>
        <v>Supermercado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7">
        <f>IFERROR(__xludf.DUMMYFUNCTION("""COMPUTED_VALUE"""),45901.0)</f>
        <v>45901</v>
      </c>
      <c r="B667" s="8" t="str">
        <f>IFERROR(__xludf.DUMMYFUNCTION("""COMPUTED_VALUE"""),"20/08/25")</f>
        <v>20/08/25</v>
      </c>
      <c r="C667" s="1" t="str">
        <f>IFERROR(__xludf.DUMMYFUNCTION("""COMPUTED_VALUE"""),"Drogaria Araujo")</f>
        <v>Drogaria Araujo</v>
      </c>
      <c r="D667" s="2">
        <f>IFERROR(__xludf.DUMMYFUNCTION("""COMPUTED_VALUE"""),7.89)</f>
        <v>7.89</v>
      </c>
      <c r="E667" s="1" t="str">
        <f>IFERROR(__xludf.DUMMYFUNCTION("""COMPUTED_VALUE"""),"-")</f>
        <v>-</v>
      </c>
      <c r="F667" s="1" t="str">
        <f>IFERROR(__xludf.DUMMYFUNCTION("""COMPUTED_VALUE"""),"Drogaria Araujo")</f>
        <v>Drogaria Araujo</v>
      </c>
      <c r="G667" s="1" t="str">
        <f>IFERROR(__xludf.DUMMYFUNCTION("""COMPUTED_VALUE"""),"Farmácia")</f>
        <v>Farmácia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7">
        <f>IFERROR(__xludf.DUMMYFUNCTION("""COMPUTED_VALUE"""),45901.0)</f>
        <v>45901</v>
      </c>
      <c r="B668" s="8" t="str">
        <f>IFERROR(__xludf.DUMMYFUNCTION("""COMPUTED_VALUE"""),"21/08/25")</f>
        <v>21/08/25</v>
      </c>
      <c r="C668" s="1" t="str">
        <f>IFERROR(__xludf.DUMMYFUNCTION("""COMPUTED_VALUE"""),"Amazon")</f>
        <v>Amazon</v>
      </c>
      <c r="D668" s="2">
        <f>IFERROR(__xludf.DUMMYFUNCTION("""COMPUTED_VALUE"""),32.36)</f>
        <v>32.36</v>
      </c>
      <c r="E668" s="1" t="str">
        <f>IFERROR(__xludf.DUMMYFUNCTION("""COMPUTED_VALUE"""),"-")</f>
        <v>-</v>
      </c>
      <c r="F668" s="1" t="str">
        <f>IFERROR(__xludf.DUMMYFUNCTION("""COMPUTED_VALUE"""),"Amazon")</f>
        <v>Amazon</v>
      </c>
      <c r="G668" s="1" t="str">
        <f>IFERROR(__xludf.DUMMYFUNCTION("""COMPUTED_VALUE"""),"Compras")</f>
        <v>Compras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7">
        <f>IFERROR(__xludf.DUMMYFUNCTION("""COMPUTED_VALUE"""),45901.0)</f>
        <v>45901</v>
      </c>
      <c r="B669" s="8" t="str">
        <f>IFERROR(__xludf.DUMMYFUNCTION("""COMPUTED_VALUE"""),"23/08/25")</f>
        <v>23/08/25</v>
      </c>
      <c r="C669" s="1" t="str">
        <f>IFERROR(__xludf.DUMMYFUNCTION("""COMPUTED_VALUE"""),"Golden Pet")</f>
        <v>Golden Pet</v>
      </c>
      <c r="D669" s="2">
        <f>IFERROR(__xludf.DUMMYFUNCTION("""COMPUTED_VALUE"""),132.0)</f>
        <v>132</v>
      </c>
      <c r="E669" s="1" t="str">
        <f>IFERROR(__xludf.DUMMYFUNCTION("""COMPUTED_VALUE"""),"-")</f>
        <v>-</v>
      </c>
      <c r="F669" s="1" t="str">
        <f>IFERROR(__xludf.DUMMYFUNCTION("""COMPUTED_VALUE"""),"Golden Pet")</f>
        <v>Golden Pet</v>
      </c>
      <c r="G669" s="1" t="str">
        <f>IFERROR(__xludf.DUMMYFUNCTION("""COMPUTED_VALUE"""),"Hulk")</f>
        <v>Hulk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7">
        <f>IFERROR(__xludf.DUMMYFUNCTION("""COMPUTED_VALUE"""),45901.0)</f>
        <v>45901</v>
      </c>
      <c r="B670" s="8" t="str">
        <f>IFERROR(__xludf.DUMMYFUNCTION("""COMPUTED_VALUE"""),"24/08/25")</f>
        <v>24/08/25</v>
      </c>
      <c r="C670" s="1" t="str">
        <f>IFERROR(__xludf.DUMMYFUNCTION("""COMPUTED_VALUE"""),"Drogaria Araujo")</f>
        <v>Drogaria Araujo</v>
      </c>
      <c r="D670" s="2">
        <f>IFERROR(__xludf.DUMMYFUNCTION("""COMPUTED_VALUE"""),44.9)</f>
        <v>44.9</v>
      </c>
      <c r="E670" s="1" t="str">
        <f>IFERROR(__xludf.DUMMYFUNCTION("""COMPUTED_VALUE"""),"-")</f>
        <v>-</v>
      </c>
      <c r="F670" s="1" t="str">
        <f>IFERROR(__xludf.DUMMYFUNCTION("""COMPUTED_VALUE"""),"Drogaria Araujo")</f>
        <v>Drogaria Araujo</v>
      </c>
      <c r="G670" s="1" t="str">
        <f>IFERROR(__xludf.DUMMYFUNCTION("""COMPUTED_VALUE"""),"Farmácia")</f>
        <v>Farmácia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7">
        <f>IFERROR(__xludf.DUMMYFUNCTION("""COMPUTED_VALUE"""),45901.0)</f>
        <v>45901</v>
      </c>
      <c r="B671" s="8" t="str">
        <f>IFERROR(__xludf.DUMMYFUNCTION("""COMPUTED_VALUE"""),"24/08/25")</f>
        <v>24/08/25</v>
      </c>
      <c r="C671" s="1" t="str">
        <f>IFERROR(__xludf.DUMMYFUNCTION("""COMPUTED_VALUE"""),"Panif Mendes Sion")</f>
        <v>Panif Mendes Sion</v>
      </c>
      <c r="D671" s="2">
        <f>IFERROR(__xludf.DUMMYFUNCTION("""COMPUTED_VALUE"""),3.4)</f>
        <v>3.4</v>
      </c>
      <c r="E671" s="1" t="str">
        <f>IFERROR(__xludf.DUMMYFUNCTION("""COMPUTED_VALUE"""),"-")</f>
        <v>-</v>
      </c>
      <c r="F671" s="1" t="str">
        <f>IFERROR(__xludf.DUMMYFUNCTION("""COMPUTED_VALUE"""),"Panif Mendes Sion")</f>
        <v>Panif Mendes Sion</v>
      </c>
      <c r="G671" s="1" t="str">
        <f>IFERROR(__xludf.DUMMYFUNCTION("""COMPUTED_VALUE"""),"Comida")</f>
        <v>Comida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7">
        <f>IFERROR(__xludf.DUMMYFUNCTION("""COMPUTED_VALUE"""),45901.0)</f>
        <v>45901</v>
      </c>
      <c r="B672" s="8" t="str">
        <f>IFERROR(__xludf.DUMMYFUNCTION("""COMPUTED_VALUE"""),"24/08/25")</f>
        <v>24/08/25</v>
      </c>
      <c r="C672" s="1" t="str">
        <f>IFERROR(__xludf.DUMMYFUNCTION("""COMPUTED_VALUE"""),"Smoothies")</f>
        <v>Smoothies</v>
      </c>
      <c r="D672" s="2">
        <f>IFERROR(__xludf.DUMMYFUNCTION("""COMPUTED_VALUE"""),24.99)</f>
        <v>24.99</v>
      </c>
      <c r="E672" s="1" t="str">
        <f>IFERROR(__xludf.DUMMYFUNCTION("""COMPUTED_VALUE"""),"-")</f>
        <v>-</v>
      </c>
      <c r="F672" s="1" t="str">
        <f>IFERROR(__xludf.DUMMYFUNCTION("""COMPUTED_VALUE"""),"Smoothies")</f>
        <v>Smoothies</v>
      </c>
      <c r="G672" s="1" t="str">
        <f>IFERROR(__xludf.DUMMYFUNCTION("""COMPUTED_VALUE"""),"Comida")</f>
        <v>Comida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7">
        <f>IFERROR(__xludf.DUMMYFUNCTION("""COMPUTED_VALUE"""),45901.0)</f>
        <v>45901</v>
      </c>
      <c r="B673" s="8" t="str">
        <f>IFERROR(__xludf.DUMMYFUNCTION("""COMPUTED_VALUE"""),"24/08/25")</f>
        <v>24/08/25</v>
      </c>
      <c r="C673" s="1" t="str">
        <f>IFERROR(__xludf.DUMMYFUNCTION("""COMPUTED_VALUE"""),"Bem Hortifruti")</f>
        <v>Bem Hortifruti</v>
      </c>
      <c r="D673" s="2">
        <f>IFERROR(__xludf.DUMMYFUNCTION("""COMPUTED_VALUE"""),9.99)</f>
        <v>9.99</v>
      </c>
      <c r="E673" s="1" t="str">
        <f>IFERROR(__xludf.DUMMYFUNCTION("""COMPUTED_VALUE"""),"-")</f>
        <v>-</v>
      </c>
      <c r="F673" s="1" t="str">
        <f>IFERROR(__xludf.DUMMYFUNCTION("""COMPUTED_VALUE"""),"Bem Hortifruti")</f>
        <v>Bem Hortifruti</v>
      </c>
      <c r="G673" s="1" t="str">
        <f>IFERROR(__xludf.DUMMYFUNCTION("""COMPUTED_VALUE"""),"Comida")</f>
        <v>Comida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7">
        <f>IFERROR(__xludf.DUMMYFUNCTION("""COMPUTED_VALUE"""),45901.0)</f>
        <v>45901</v>
      </c>
      <c r="B674" s="8" t="str">
        <f>IFERROR(__xludf.DUMMYFUNCTION("""COMPUTED_VALUE"""),"24/08/25")</f>
        <v>24/08/25</v>
      </c>
      <c r="C674" s="1" t="str">
        <f>IFERROR(__xludf.DUMMYFUNCTION("""COMPUTED_VALUE"""),"Shopee")</f>
        <v>Shopee</v>
      </c>
      <c r="D674" s="2">
        <f>IFERROR(__xludf.DUMMYFUNCTION("""COMPUTED_VALUE"""),10.99)</f>
        <v>10.99</v>
      </c>
      <c r="E674" s="1" t="str">
        <f>IFERROR(__xludf.DUMMYFUNCTION("""COMPUTED_VALUE"""),"-")</f>
        <v>-</v>
      </c>
      <c r="F674" s="1" t="str">
        <f>IFERROR(__xludf.DUMMYFUNCTION("""COMPUTED_VALUE"""),"Shopee")</f>
        <v>Shopee</v>
      </c>
      <c r="G674" s="1" t="str">
        <f>IFERROR(__xludf.DUMMYFUNCTION("""COMPUTED_VALUE"""),"Compras")</f>
        <v>Compras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7">
        <f>IFERROR(__xludf.DUMMYFUNCTION("""COMPUTED_VALUE"""),45901.0)</f>
        <v>45901</v>
      </c>
      <c r="B675" s="8" t="str">
        <f>IFERROR(__xludf.DUMMYFUNCTION("""COMPUTED_VALUE"""),"24/08/25")</f>
        <v>24/08/25</v>
      </c>
      <c r="C675" s="1" t="str">
        <f>IFERROR(__xludf.DUMMYFUNCTION("""COMPUTED_VALUE"""),"Amazonmktplc Mercadome")</f>
        <v>Amazonmktplc Mercadome</v>
      </c>
      <c r="D675" s="2">
        <f>IFERROR(__xludf.DUMMYFUNCTION("""COMPUTED_VALUE"""),12.78)</f>
        <v>12.78</v>
      </c>
      <c r="E675" s="1" t="str">
        <f>IFERROR(__xludf.DUMMYFUNCTION("""COMPUTED_VALUE"""),"-")</f>
        <v>-</v>
      </c>
      <c r="F675" s="1" t="str">
        <f>IFERROR(__xludf.DUMMYFUNCTION("""COMPUTED_VALUE"""),"Amazonmktplc")</f>
        <v>Amazonmktplc</v>
      </c>
      <c r="G675" s="1" t="str">
        <f>IFERROR(__xludf.DUMMYFUNCTION("""COMPUTED_VALUE"""),"Compras")</f>
        <v>Compras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7">
        <f>IFERROR(__xludf.DUMMYFUNCTION("""COMPUTED_VALUE"""),45901.0)</f>
        <v>45901</v>
      </c>
      <c r="B676" s="8" t="str">
        <f>IFERROR(__xludf.DUMMYFUNCTION("""COMPUTED_VALUE"""),"25/08/25")</f>
        <v>25/08/25</v>
      </c>
      <c r="C676" s="1" t="str">
        <f>IFERROR(__xludf.DUMMYFUNCTION("""COMPUTED_VALUE"""),"Uber")</f>
        <v>Uber</v>
      </c>
      <c r="D676" s="2">
        <f>IFERROR(__xludf.DUMMYFUNCTION("""COMPUTED_VALUE"""),99.93)</f>
        <v>99.93</v>
      </c>
      <c r="E676" s="1" t="str">
        <f>IFERROR(__xludf.DUMMYFUNCTION("""COMPUTED_VALUE"""),"-")</f>
        <v>-</v>
      </c>
      <c r="F676" s="1" t="str">
        <f>IFERROR(__xludf.DUMMYFUNCTION("""COMPUTED_VALUE"""),"Uber")</f>
        <v>Uber</v>
      </c>
      <c r="G676" s="1" t="str">
        <f>IFERROR(__xludf.DUMMYFUNCTION("""COMPUTED_VALUE"""),"Uber/99")</f>
        <v>Uber/99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7">
        <f>IFERROR(__xludf.DUMMYFUNCTION("""COMPUTED_VALUE"""),45901.0)</f>
        <v>45901</v>
      </c>
      <c r="B677" s="8" t="str">
        <f>IFERROR(__xludf.DUMMYFUNCTION("""COMPUTED_VALUE"""),"25/08/25")</f>
        <v>25/08/25</v>
      </c>
      <c r="C677" s="1" t="str">
        <f>IFERROR(__xludf.DUMMYFUNCTION("""COMPUTED_VALUE"""),"Gelato Artesanal Parai")</f>
        <v>Gelato Artesanal Parai</v>
      </c>
      <c r="D677" s="2">
        <f>IFERROR(__xludf.DUMMYFUNCTION("""COMPUTED_VALUE"""),9.5)</f>
        <v>9.5</v>
      </c>
      <c r="E677" s="1" t="str">
        <f>IFERROR(__xludf.DUMMYFUNCTION("""COMPUTED_VALUE"""),"-")</f>
        <v>-</v>
      </c>
      <c r="F677" s="1" t="str">
        <f>IFERROR(__xludf.DUMMYFUNCTION("""COMPUTED_VALUE"""),"Gelato Artesanal Parai")</f>
        <v>Gelato Artesanal Parai</v>
      </c>
      <c r="G677" s="1" t="str">
        <f>IFERROR(__xludf.DUMMYFUNCTION("""COMPUTED_VALUE"""),"Comida")</f>
        <v>Comida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7">
        <f>IFERROR(__xludf.DUMMYFUNCTION("""COMPUTED_VALUE"""),45901.0)</f>
        <v>45901</v>
      </c>
      <c r="B678" s="8" t="str">
        <f>IFERROR(__xludf.DUMMYFUNCTION("""COMPUTED_VALUE"""),"25/08/25")</f>
        <v>25/08/25</v>
      </c>
      <c r="C678" s="1" t="str">
        <f>IFERROR(__xludf.DUMMYFUNCTION("""COMPUTED_VALUE"""),"Mi Garba")</f>
        <v>Mi Garba</v>
      </c>
      <c r="D678" s="2">
        <f>IFERROR(__xludf.DUMMYFUNCTION("""COMPUTED_VALUE"""),46.0)</f>
        <v>46</v>
      </c>
      <c r="E678" s="1" t="str">
        <f>IFERROR(__xludf.DUMMYFUNCTION("""COMPUTED_VALUE"""),"-")</f>
        <v>-</v>
      </c>
      <c r="F678" s="1" t="str">
        <f>IFERROR(__xludf.DUMMYFUNCTION("""COMPUTED_VALUE"""),"Mi Garba")</f>
        <v>Mi Garba</v>
      </c>
      <c r="G678" s="1" t="str">
        <f>IFERROR(__xludf.DUMMYFUNCTION("""COMPUTED_VALUE"""),"Comida")</f>
        <v>Comida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7">
        <f>IFERROR(__xludf.DUMMYFUNCTION("""COMPUTED_VALUE"""),45901.0)</f>
        <v>45901</v>
      </c>
      <c r="B679" s="8" t="str">
        <f>IFERROR(__xludf.DUMMYFUNCTION("""COMPUTED_VALUE"""),"25/08/25")</f>
        <v>25/08/25</v>
      </c>
      <c r="C679" s="1" t="str">
        <f>IFERROR(__xludf.DUMMYFUNCTION("""COMPUTED_VALUE"""),"Bem Hortifruti")</f>
        <v>Bem Hortifruti</v>
      </c>
      <c r="D679" s="2">
        <f>IFERROR(__xludf.DUMMYFUNCTION("""COMPUTED_VALUE"""),9.99)</f>
        <v>9.99</v>
      </c>
      <c r="E679" s="1" t="str">
        <f>IFERROR(__xludf.DUMMYFUNCTION("""COMPUTED_VALUE"""),"-")</f>
        <v>-</v>
      </c>
      <c r="F679" s="1" t="str">
        <f>IFERROR(__xludf.DUMMYFUNCTION("""COMPUTED_VALUE"""),"Bem Hortifruti")</f>
        <v>Bem Hortifruti</v>
      </c>
      <c r="G679" s="1" t="str">
        <f>IFERROR(__xludf.DUMMYFUNCTION("""COMPUTED_VALUE"""),"Comida")</f>
        <v>Comida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7">
        <f>IFERROR(__xludf.DUMMYFUNCTION("""COMPUTED_VALUE"""),45901.0)</f>
        <v>45901</v>
      </c>
      <c r="B680" s="8" t="str">
        <f>IFERROR(__xludf.DUMMYFUNCTION("""COMPUTED_VALUE"""),"25/08/25")</f>
        <v>25/08/25</v>
      </c>
      <c r="C680" s="1" t="str">
        <f>IFERROR(__xludf.DUMMYFUNCTION("""COMPUTED_VALUE"""),"Amazon")</f>
        <v>Amazon</v>
      </c>
      <c r="D680" s="2">
        <f>IFERROR(__xludf.DUMMYFUNCTION("""COMPUTED_VALUE"""),43.6)</f>
        <v>43.6</v>
      </c>
      <c r="E680" s="1" t="str">
        <f>IFERROR(__xludf.DUMMYFUNCTION("""COMPUTED_VALUE"""),"-")</f>
        <v>-</v>
      </c>
      <c r="F680" s="1" t="str">
        <f>IFERROR(__xludf.DUMMYFUNCTION("""COMPUTED_VALUE"""),"Amazon")</f>
        <v>Amazon</v>
      </c>
      <c r="G680" s="1" t="str">
        <f>IFERROR(__xludf.DUMMYFUNCTION("""COMPUTED_VALUE"""),"Compras")</f>
        <v>Compras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7">
        <f>IFERROR(__xludf.DUMMYFUNCTION("""COMPUTED_VALUE"""),45901.0)</f>
        <v>45901</v>
      </c>
      <c r="B681" s="8" t="str">
        <f>IFERROR(__xludf.DUMMYFUNCTION("""COMPUTED_VALUE"""),"25/08/25")</f>
        <v>25/08/25</v>
      </c>
      <c r="C681" s="1" t="str">
        <f>IFERROR(__xludf.DUMMYFUNCTION("""COMPUTED_VALUE"""),"Uber")</f>
        <v>Uber</v>
      </c>
      <c r="D681" s="2">
        <f>IFERROR(__xludf.DUMMYFUNCTION("""COMPUTED_VALUE"""),11.03)</f>
        <v>11.03</v>
      </c>
      <c r="E681" s="1" t="str">
        <f>IFERROR(__xludf.DUMMYFUNCTION("""COMPUTED_VALUE"""),"-")</f>
        <v>-</v>
      </c>
      <c r="F681" s="1" t="str">
        <f>IFERROR(__xludf.DUMMYFUNCTION("""COMPUTED_VALUE"""),"Uber")</f>
        <v>Uber</v>
      </c>
      <c r="G681" s="1" t="str">
        <f>IFERROR(__xludf.DUMMYFUNCTION("""COMPUTED_VALUE"""),"Uber/99")</f>
        <v>Uber/99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7">
        <f>IFERROR(__xludf.DUMMYFUNCTION("""COMPUTED_VALUE"""),45901.0)</f>
        <v>45901</v>
      </c>
      <c r="B682" s="8" t="str">
        <f>IFERROR(__xludf.DUMMYFUNCTION("""COMPUTED_VALUE"""),"26/08/25")</f>
        <v>26/08/25</v>
      </c>
      <c r="C682" s="1" t="str">
        <f>IFERROR(__xludf.DUMMYFUNCTION("""COMPUTED_VALUE"""),"Uber")</f>
        <v>Uber</v>
      </c>
      <c r="D682" s="2">
        <f>IFERROR(__xludf.DUMMYFUNCTION("""COMPUTED_VALUE"""),21.84)</f>
        <v>21.84</v>
      </c>
      <c r="E682" s="1" t="str">
        <f>IFERROR(__xludf.DUMMYFUNCTION("""COMPUTED_VALUE"""),"-")</f>
        <v>-</v>
      </c>
      <c r="F682" s="1" t="str">
        <f>IFERROR(__xludf.DUMMYFUNCTION("""COMPUTED_VALUE"""),"Uber")</f>
        <v>Uber</v>
      </c>
      <c r="G682" s="1" t="str">
        <f>IFERROR(__xludf.DUMMYFUNCTION("""COMPUTED_VALUE"""),"Uber/99")</f>
        <v>Uber/99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7">
        <f>IFERROR(__xludf.DUMMYFUNCTION("""COMPUTED_VALUE"""),45901.0)</f>
        <v>45901</v>
      </c>
      <c r="B683" s="8" t="str">
        <f>IFERROR(__xludf.DUMMYFUNCTION("""COMPUTED_VALUE"""),"26/08/25")</f>
        <v>26/08/25</v>
      </c>
      <c r="C683" s="1" t="str">
        <f>IFERROR(__xludf.DUMMYFUNCTION("""COMPUTED_VALUE"""),"Shopee")</f>
        <v>Shopee</v>
      </c>
      <c r="D683" s="2">
        <f>IFERROR(__xludf.DUMMYFUNCTION("""COMPUTED_VALUE"""),12.95)</f>
        <v>12.95</v>
      </c>
      <c r="E683" s="1" t="str">
        <f>IFERROR(__xludf.DUMMYFUNCTION("""COMPUTED_VALUE"""),"-")</f>
        <v>-</v>
      </c>
      <c r="F683" s="1" t="str">
        <f>IFERROR(__xludf.DUMMYFUNCTION("""COMPUTED_VALUE"""),"Shopee")</f>
        <v>Shopee</v>
      </c>
      <c r="G683" s="1" t="str">
        <f>IFERROR(__xludf.DUMMYFUNCTION("""COMPUTED_VALUE"""),"Compras")</f>
        <v>Compras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7">
        <f>IFERROR(__xludf.DUMMYFUNCTION("""COMPUTED_VALUE"""),45901.0)</f>
        <v>45901</v>
      </c>
      <c r="B684" s="8" t="str">
        <f>IFERROR(__xludf.DUMMYFUNCTION("""COMPUTED_VALUE"""),"26/08/25")</f>
        <v>26/08/25</v>
      </c>
      <c r="C684" s="1" t="str">
        <f>IFERROR(__xludf.DUMMYFUNCTION("""COMPUTED_VALUE"""),"Uber")</f>
        <v>Uber</v>
      </c>
      <c r="D684" s="2">
        <f>IFERROR(__xludf.DUMMYFUNCTION("""COMPUTED_VALUE"""),43.99)</f>
        <v>43.99</v>
      </c>
      <c r="E684" s="1" t="str">
        <f>IFERROR(__xludf.DUMMYFUNCTION("""COMPUTED_VALUE"""),"-")</f>
        <v>-</v>
      </c>
      <c r="F684" s="1" t="str">
        <f>IFERROR(__xludf.DUMMYFUNCTION("""COMPUTED_VALUE"""),"Uber")</f>
        <v>Uber</v>
      </c>
      <c r="G684" s="1" t="str">
        <f>IFERROR(__xludf.DUMMYFUNCTION("""COMPUTED_VALUE"""),"Uber/99")</f>
        <v>Uber/99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7">
        <f>IFERROR(__xludf.DUMMYFUNCTION("""COMPUTED_VALUE"""),45901.0)</f>
        <v>45901</v>
      </c>
      <c r="B685" s="8" t="str">
        <f>IFERROR(__xludf.DUMMYFUNCTION("""COMPUTED_VALUE"""),"27/08/25")</f>
        <v>27/08/25</v>
      </c>
      <c r="C685" s="1" t="str">
        <f>IFERROR(__xludf.DUMMYFUNCTION("""COMPUTED_VALUE"""),"Drogaria Ara Araujo")</f>
        <v>Drogaria Ara Araujo</v>
      </c>
      <c r="D685" s="2">
        <f>IFERROR(__xludf.DUMMYFUNCTION("""COMPUTED_VALUE"""),13.59)</f>
        <v>13.59</v>
      </c>
      <c r="E685" s="1" t="str">
        <f>IFERROR(__xludf.DUMMYFUNCTION("""COMPUTED_VALUE"""),"-")</f>
        <v>-</v>
      </c>
      <c r="F685" s="1" t="str">
        <f>IFERROR(__xludf.DUMMYFUNCTION("""COMPUTED_VALUE"""),"Drogaria Ara Araujo")</f>
        <v>Drogaria Ara Araujo</v>
      </c>
      <c r="G685" s="1" t="str">
        <f>IFERROR(__xludf.DUMMYFUNCTION("""COMPUTED_VALUE"""),"Farmácia")</f>
        <v>Farmácia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7">
        <f>IFERROR(__xludf.DUMMYFUNCTION("""COMPUTED_VALUE"""),45901.0)</f>
        <v>45901</v>
      </c>
      <c r="B686" s="8" t="str">
        <f>IFERROR(__xludf.DUMMYFUNCTION("""COMPUTED_VALUE"""),"27/08/25")</f>
        <v>27/08/25</v>
      </c>
      <c r="C686" s="1" t="str">
        <f>IFERROR(__xludf.DUMMYFUNCTION("""COMPUTED_VALUE"""),"Hakkopan")</f>
        <v>Hakkopan</v>
      </c>
      <c r="D686" s="2">
        <f>IFERROR(__xludf.DUMMYFUNCTION("""COMPUTED_VALUE"""),105.0)</f>
        <v>105</v>
      </c>
      <c r="E686" s="1" t="str">
        <f>IFERROR(__xludf.DUMMYFUNCTION("""COMPUTED_VALUE"""),"-")</f>
        <v>-</v>
      </c>
      <c r="F686" s="1" t="str">
        <f>IFERROR(__xludf.DUMMYFUNCTION("""COMPUTED_VALUE"""),"Hakkopan")</f>
        <v>Hakkopan</v>
      </c>
      <c r="G686" s="1" t="str">
        <f>IFERROR(__xludf.DUMMYFUNCTION("""COMPUTED_VALUE"""),"Comida")</f>
        <v>Comida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7">
        <f>IFERROR(__xludf.DUMMYFUNCTION("""COMPUTED_VALUE"""),45901.0)</f>
        <v>45901</v>
      </c>
      <c r="B687" s="8" t="str">
        <f>IFERROR(__xludf.DUMMYFUNCTION("""COMPUTED_VALUE"""),"27/08/25")</f>
        <v>27/08/25</v>
      </c>
      <c r="C687" s="1" t="str">
        <f>IFERROR(__xludf.DUMMYFUNCTION("""COMPUTED_VALUE"""),"Amazon")</f>
        <v>Amazon</v>
      </c>
      <c r="D687" s="2">
        <f>IFERROR(__xludf.DUMMYFUNCTION("""COMPUTED_VALUE"""),26.5)</f>
        <v>26.5</v>
      </c>
      <c r="E687" s="1" t="str">
        <f>IFERROR(__xludf.DUMMYFUNCTION("""COMPUTED_VALUE"""),"-")</f>
        <v>-</v>
      </c>
      <c r="F687" s="1" t="str">
        <f>IFERROR(__xludf.DUMMYFUNCTION("""COMPUTED_VALUE"""),"Amazon")</f>
        <v>Amazon</v>
      </c>
      <c r="G687" s="1" t="str">
        <f>IFERROR(__xludf.DUMMYFUNCTION("""COMPUTED_VALUE"""),"Compras")</f>
        <v>Compras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7">
        <f>IFERROR(__xludf.DUMMYFUNCTION("""COMPUTED_VALUE"""),45901.0)</f>
        <v>45901</v>
      </c>
      <c r="B688" s="8" t="str">
        <f>IFERROR(__xludf.DUMMYFUNCTION("""COMPUTED_VALUE"""),"27/08/25")</f>
        <v>27/08/25</v>
      </c>
      <c r="C688" s="1" t="str">
        <f>IFERROR(__xludf.DUMMYFUNCTION("""COMPUTED_VALUE"""),"Uber")</f>
        <v>Uber</v>
      </c>
      <c r="D688" s="2">
        <f>IFERROR(__xludf.DUMMYFUNCTION("""COMPUTED_VALUE"""),96.93)</f>
        <v>96.93</v>
      </c>
      <c r="E688" s="1" t="str">
        <f>IFERROR(__xludf.DUMMYFUNCTION("""COMPUTED_VALUE"""),"-")</f>
        <v>-</v>
      </c>
      <c r="F688" s="1" t="str">
        <f>IFERROR(__xludf.DUMMYFUNCTION("""COMPUTED_VALUE"""),"Uber")</f>
        <v>Uber</v>
      </c>
      <c r="G688" s="1" t="str">
        <f>IFERROR(__xludf.DUMMYFUNCTION("""COMPUTED_VALUE"""),"Uber/99")</f>
        <v>Uber/99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7">
        <f>IFERROR(__xludf.DUMMYFUNCTION("""COMPUTED_VALUE"""),45901.0)</f>
        <v>45901</v>
      </c>
      <c r="B689" s="8" t="str">
        <f>IFERROR(__xludf.DUMMYFUNCTION("""COMPUTED_VALUE"""),"28/08/25")</f>
        <v>28/08/25</v>
      </c>
      <c r="C689" s="1" t="str">
        <f>IFERROR(__xludf.DUMMYFUNCTION("""COMPUTED_VALUE"""),"Uber")</f>
        <v>Uber</v>
      </c>
      <c r="D689" s="2">
        <f>IFERROR(__xludf.DUMMYFUNCTION("""COMPUTED_VALUE"""),92.91)</f>
        <v>92.91</v>
      </c>
      <c r="E689" s="1" t="str">
        <f>IFERROR(__xludf.DUMMYFUNCTION("""COMPUTED_VALUE"""),"-")</f>
        <v>-</v>
      </c>
      <c r="F689" s="1" t="str">
        <f>IFERROR(__xludf.DUMMYFUNCTION("""COMPUTED_VALUE"""),"Uber")</f>
        <v>Uber</v>
      </c>
      <c r="G689" s="1" t="str">
        <f>IFERROR(__xludf.DUMMYFUNCTION("""COMPUTED_VALUE"""),"Uber/99")</f>
        <v>Uber/99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7">
        <f>IFERROR(__xludf.DUMMYFUNCTION("""COMPUTED_VALUE"""),45901.0)</f>
        <v>45901</v>
      </c>
      <c r="B690" s="8" t="str">
        <f>IFERROR(__xludf.DUMMYFUNCTION("""COMPUTED_VALUE"""),"28/08/25")</f>
        <v>28/08/25</v>
      </c>
      <c r="C690" s="1" t="str">
        <f>IFERROR(__xludf.DUMMYFUNCTION("""COMPUTED_VALUE"""),"Uber")</f>
        <v>Uber</v>
      </c>
      <c r="D690" s="2">
        <f>IFERROR(__xludf.DUMMYFUNCTION("""COMPUTED_VALUE"""),8.53)</f>
        <v>8.53</v>
      </c>
      <c r="E690" s="1" t="str">
        <f>IFERROR(__xludf.DUMMYFUNCTION("""COMPUTED_VALUE"""),"-")</f>
        <v>-</v>
      </c>
      <c r="F690" s="1" t="str">
        <f>IFERROR(__xludf.DUMMYFUNCTION("""COMPUTED_VALUE"""),"Uber")</f>
        <v>Uber</v>
      </c>
      <c r="G690" s="1" t="str">
        <f>IFERROR(__xludf.DUMMYFUNCTION("""COMPUTED_VALUE"""),"Uber/99")</f>
        <v>Uber/99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7">
        <f>IFERROR(__xludf.DUMMYFUNCTION("""COMPUTED_VALUE"""),45901.0)</f>
        <v>45901</v>
      </c>
      <c r="B691" s="8" t="str">
        <f>IFERROR(__xludf.DUMMYFUNCTION("""COMPUTED_VALUE"""),"28/08/25")</f>
        <v>28/08/25</v>
      </c>
      <c r="C691" s="1" t="str">
        <f>IFERROR(__xludf.DUMMYFUNCTION("""COMPUTED_VALUE"""),"Amazon")</f>
        <v>Amazon</v>
      </c>
      <c r="D691" s="2">
        <f>IFERROR(__xludf.DUMMYFUNCTION("""COMPUTED_VALUE"""),35.24)</f>
        <v>35.24</v>
      </c>
      <c r="E691" s="1" t="str">
        <f>IFERROR(__xludf.DUMMYFUNCTION("""COMPUTED_VALUE"""),"-")</f>
        <v>-</v>
      </c>
      <c r="F691" s="1" t="str">
        <f>IFERROR(__xludf.DUMMYFUNCTION("""COMPUTED_VALUE"""),"Amazon")</f>
        <v>Amazon</v>
      </c>
      <c r="G691" s="1" t="str">
        <f>IFERROR(__xludf.DUMMYFUNCTION("""COMPUTED_VALUE"""),"Compras")</f>
        <v>Compras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7">
        <f>IFERROR(__xludf.DUMMYFUNCTION("""COMPUTED_VALUE"""),45901.0)</f>
        <v>45901</v>
      </c>
      <c r="B692" s="8" t="str">
        <f>IFERROR(__xludf.DUMMYFUNCTION("""COMPUTED_VALUE"""),"29/08/25")</f>
        <v>29/08/25</v>
      </c>
      <c r="C692" s="1" t="str">
        <f>IFERROR(__xludf.DUMMYFUNCTION("""COMPUTED_VALUE"""),"Amazonmktplc Gffcompan")</f>
        <v>Amazonmktplc Gffcompan</v>
      </c>
      <c r="D692" s="2">
        <f>IFERROR(__xludf.DUMMYFUNCTION("""COMPUTED_VALUE"""),79.8)</f>
        <v>79.8</v>
      </c>
      <c r="E692" s="1" t="str">
        <f>IFERROR(__xludf.DUMMYFUNCTION("""COMPUTED_VALUE"""),"-")</f>
        <v>-</v>
      </c>
      <c r="F692" s="1" t="str">
        <f>IFERROR(__xludf.DUMMYFUNCTION("""COMPUTED_VALUE"""),"Amazonmktplc")</f>
        <v>Amazonmktplc</v>
      </c>
      <c r="G692" s="1" t="str">
        <f>IFERROR(__xludf.DUMMYFUNCTION("""COMPUTED_VALUE"""),"Compras")</f>
        <v>Compras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7">
        <f>IFERROR(__xludf.DUMMYFUNCTION("""COMPUTED_VALUE"""),45901.0)</f>
        <v>45901</v>
      </c>
      <c r="B693" s="8" t="str">
        <f>IFERROR(__xludf.DUMMYFUNCTION("""COMPUTED_VALUE"""),"29/08/25")</f>
        <v>29/08/25</v>
      </c>
      <c r="C693" s="1" t="str">
        <f>IFERROR(__xludf.DUMMYFUNCTION("""COMPUTED_VALUE"""),"Mercado Livre (1/4)")</f>
        <v>Mercado Livre (1/4)</v>
      </c>
      <c r="D693" s="2">
        <f>IFERROR(__xludf.DUMMYFUNCTION("""COMPUTED_VALUE"""),4.89)</f>
        <v>4.89</v>
      </c>
      <c r="E693" s="1" t="str">
        <f>IFERROR(__xludf.DUMMYFUNCTION("""COMPUTED_VALUE"""),"-")</f>
        <v>-</v>
      </c>
      <c r="F693" s="1" t="str">
        <f>IFERROR(__xludf.DUMMYFUNCTION("""COMPUTED_VALUE"""),"Mercado Livre")</f>
        <v>Mercado Livre</v>
      </c>
      <c r="G693" s="1" t="str">
        <f>IFERROR(__xludf.DUMMYFUNCTION("""COMPUTED_VALUE"""),"Compras")</f>
        <v>Compras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7">
        <f>IFERROR(__xludf.DUMMYFUNCTION("""COMPUTED_VALUE"""),45901.0)</f>
        <v>45901</v>
      </c>
      <c r="B694" s="8" t="str">
        <f>IFERROR(__xludf.DUMMYFUNCTION("""COMPUTED_VALUE"""),"29/08/25")</f>
        <v>29/08/25</v>
      </c>
      <c r="C694" s="1" t="str">
        <f>IFERROR(__xludf.DUMMYFUNCTION("""COMPUTED_VALUE"""),"Uber")</f>
        <v>Uber</v>
      </c>
      <c r="D694" s="2">
        <f>IFERROR(__xludf.DUMMYFUNCTION("""COMPUTED_VALUE"""),14.17)</f>
        <v>14.17</v>
      </c>
      <c r="E694" s="1" t="str">
        <f>IFERROR(__xludf.DUMMYFUNCTION("""COMPUTED_VALUE"""),"-")</f>
        <v>-</v>
      </c>
      <c r="F694" s="1" t="str">
        <f>IFERROR(__xludf.DUMMYFUNCTION("""COMPUTED_VALUE"""),"Uber")</f>
        <v>Uber</v>
      </c>
      <c r="G694" s="1" t="str">
        <f>IFERROR(__xludf.DUMMYFUNCTION("""COMPUTED_VALUE"""),"Uber/99")</f>
        <v>Uber/99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7">
        <f>IFERROR(__xludf.DUMMYFUNCTION("""COMPUTED_VALUE"""),45901.0)</f>
        <v>45901</v>
      </c>
      <c r="B695" s="8" t="str">
        <f>IFERROR(__xludf.DUMMYFUNCTION("""COMPUTED_VALUE"""),"29/08/25")</f>
        <v>29/08/25</v>
      </c>
      <c r="C695" s="1" t="str">
        <f>IFERROR(__xludf.DUMMYFUNCTION("""COMPUTED_VALUE"""),"Uber")</f>
        <v>Uber</v>
      </c>
      <c r="D695" s="2">
        <f>IFERROR(__xludf.DUMMYFUNCTION("""COMPUTED_VALUE"""),14.2)</f>
        <v>14.2</v>
      </c>
      <c r="E695" s="1" t="str">
        <f>IFERROR(__xludf.DUMMYFUNCTION("""COMPUTED_VALUE"""),"-")</f>
        <v>-</v>
      </c>
      <c r="F695" s="1" t="str">
        <f>IFERROR(__xludf.DUMMYFUNCTION("""COMPUTED_VALUE"""),"Uber")</f>
        <v>Uber</v>
      </c>
      <c r="G695" s="1" t="str">
        <f>IFERROR(__xludf.DUMMYFUNCTION("""COMPUTED_VALUE"""),"Uber/99")</f>
        <v>Uber/99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7">
        <f>IFERROR(__xludf.DUMMYFUNCTION("""COMPUTED_VALUE"""),45901.0)</f>
        <v>45901</v>
      </c>
      <c r="B696" s="8" t="str">
        <f>IFERROR(__xludf.DUMMYFUNCTION("""COMPUTED_VALUE"""),"29/08/25")</f>
        <v>29/08/25</v>
      </c>
      <c r="C696" s="1" t="str">
        <f>IFERROR(__xludf.DUMMYFUNCTION("""COMPUTED_VALUE"""),"Joao Das Frutas")</f>
        <v>Joao Das Frutas</v>
      </c>
      <c r="D696" s="2">
        <f>IFERROR(__xludf.DUMMYFUNCTION("""COMPUTED_VALUE"""),20.0)</f>
        <v>20</v>
      </c>
      <c r="E696" s="1" t="str">
        <f>IFERROR(__xludf.DUMMYFUNCTION("""COMPUTED_VALUE"""),"-")</f>
        <v>-</v>
      </c>
      <c r="F696" s="1" t="str">
        <f>IFERROR(__xludf.DUMMYFUNCTION("""COMPUTED_VALUE"""),"Joao Das Frutas")</f>
        <v>Joao Das Frutas</v>
      </c>
      <c r="G696" s="1" t="str">
        <f>IFERROR(__xludf.DUMMYFUNCTION("""COMPUTED_VALUE"""),"Comida")</f>
        <v>Comida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7">
        <f>IFERROR(__xludf.DUMMYFUNCTION("""COMPUTED_VALUE"""),45901.0)</f>
        <v>45901</v>
      </c>
      <c r="B697" s="8" t="str">
        <f>IFERROR(__xludf.DUMMYFUNCTION("""COMPUTED_VALUE"""),"30/08/25")</f>
        <v>30/08/25</v>
      </c>
      <c r="C697" s="1" t="str">
        <f>IFERROR(__xludf.DUMMYFUNCTION("""COMPUTED_VALUE"""),"Marcus Vinicius")</f>
        <v>Marcus Vinicius</v>
      </c>
      <c r="D697" s="2">
        <f>IFERROR(__xludf.DUMMYFUNCTION("""COMPUTED_VALUE"""),164.9)</f>
        <v>164.9</v>
      </c>
      <c r="E697" s="1" t="str">
        <f>IFERROR(__xludf.DUMMYFUNCTION("""COMPUTED_VALUE"""),"-")</f>
        <v>-</v>
      </c>
      <c r="F697" s="1" t="str">
        <f>IFERROR(__xludf.DUMMYFUNCTION("""COMPUTED_VALUE"""),"Marcus Vinicius")</f>
        <v>Marcus Vinicius</v>
      </c>
      <c r="G697" s="1" t="str">
        <f>IFERROR(__xludf.DUMMYFUNCTION("""COMPUTED_VALUE"""),"Bypass")</f>
        <v>Bypass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7">
        <f>IFERROR(__xludf.DUMMYFUNCTION("""COMPUTED_VALUE"""),45901.0)</f>
        <v>45901</v>
      </c>
      <c r="B698" s="8" t="str">
        <f>IFERROR(__xludf.DUMMYFUNCTION("""COMPUTED_VALUE"""),"30/08/25")</f>
        <v>30/08/25</v>
      </c>
      <c r="C698" s="1" t="str">
        <f>IFERROR(__xludf.DUMMYFUNCTION("""COMPUTED_VALUE"""),"Empório Fazenda Velh")</f>
        <v>Empório Fazenda Velh</v>
      </c>
      <c r="D698" s="2">
        <f>IFERROR(__xludf.DUMMYFUNCTION("""COMPUTED_VALUE"""),64.5)</f>
        <v>64.5</v>
      </c>
      <c r="E698" s="1" t="str">
        <f>IFERROR(__xludf.DUMMYFUNCTION("""COMPUTED_VALUE"""),"-")</f>
        <v>-</v>
      </c>
      <c r="F698" s="1" t="str">
        <f>IFERROR(__xludf.DUMMYFUNCTION("""COMPUTED_VALUE"""),"Empório Fazenda Velh")</f>
        <v>Empório Fazenda Velh</v>
      </c>
      <c r="G698" s="1" t="str">
        <f>IFERROR(__xludf.DUMMYFUNCTION("""COMPUTED_VALUE"""),"Comida")</f>
        <v>Comida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7">
        <f>IFERROR(__xludf.DUMMYFUNCTION("""COMPUTED_VALUE"""),45901.0)</f>
        <v>45901</v>
      </c>
      <c r="B699" s="8" t="str">
        <f>IFERROR(__xludf.DUMMYFUNCTION("""COMPUTED_VALUE"""),"30/08/25")</f>
        <v>30/08/25</v>
      </c>
      <c r="C699" s="1" t="str">
        <f>IFERROR(__xludf.DUMMYFUNCTION("""COMPUTED_VALUE"""),"Posto Volkssete Iii")</f>
        <v>Posto Volkssete Iii</v>
      </c>
      <c r="D699" s="2">
        <f>IFERROR(__xludf.DUMMYFUNCTION("""COMPUTED_VALUE"""),217.17)</f>
        <v>217.17</v>
      </c>
      <c r="E699" s="1" t="str">
        <f>IFERROR(__xludf.DUMMYFUNCTION("""COMPUTED_VALUE"""),"-")</f>
        <v>-</v>
      </c>
      <c r="F699" s="1" t="str">
        <f>IFERROR(__xludf.DUMMYFUNCTION("""COMPUTED_VALUE"""),"Posto Volkssete Iii")</f>
        <v>Posto Volkssete Iii</v>
      </c>
      <c r="G699" s="1" t="str">
        <f>IFERROR(__xludf.DUMMYFUNCTION("""COMPUTED_VALUE"""),"Carro")</f>
        <v>Carro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7">
        <f>IFERROR(__xludf.DUMMYFUNCTION("""COMPUTED_VALUE"""),45901.0)</f>
        <v>45901</v>
      </c>
      <c r="B700" s="8" t="str">
        <f>IFERROR(__xludf.DUMMYFUNCTION("""COMPUTED_VALUE"""),"30/08/25")</f>
        <v>30/08/25</v>
      </c>
      <c r="C700" s="1" t="str">
        <f>IFERROR(__xludf.DUMMYFUNCTION("""COMPUTED_VALUE"""),"Concessionaria Da Rodo")</f>
        <v>Concessionaria Da Rodo</v>
      </c>
      <c r="D700" s="2">
        <f>IFERROR(__xludf.DUMMYFUNCTION("""COMPUTED_VALUE"""),15.5)</f>
        <v>15.5</v>
      </c>
      <c r="E700" s="1" t="str">
        <f>IFERROR(__xludf.DUMMYFUNCTION("""COMPUTED_VALUE"""),"-")</f>
        <v>-</v>
      </c>
      <c r="F700" s="1" t="str">
        <f>IFERROR(__xludf.DUMMYFUNCTION("""COMPUTED_VALUE"""),"Concessionaria Da Rodo")</f>
        <v>Concessionaria Da Rodo</v>
      </c>
      <c r="G700" s="1" t="str">
        <f>IFERROR(__xludf.DUMMYFUNCTION("""COMPUTED_VALUE"""),"Compras")</f>
        <v>Compras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7">
        <f>IFERROR(__xludf.DUMMYFUNCTION("""COMPUTED_VALUE"""),45901.0)</f>
        <v>45901</v>
      </c>
      <c r="B701" s="8" t="str">
        <f>IFERROR(__xludf.DUMMYFUNCTION("""COMPUTED_VALUE"""),"30/08/25")</f>
        <v>30/08/25</v>
      </c>
      <c r="C701" s="1" t="str">
        <f>IFERROR(__xludf.DUMMYFUNCTION("""COMPUTED_VALUE"""),"Track&amp;field")</f>
        <v>Track&amp;field</v>
      </c>
      <c r="D701" s="2">
        <f>IFERROR(__xludf.DUMMYFUNCTION("""COMPUTED_VALUE"""),20.0)</f>
        <v>20</v>
      </c>
      <c r="E701" s="1" t="str">
        <f>IFERROR(__xludf.DUMMYFUNCTION("""COMPUTED_VALUE"""),"-")</f>
        <v>-</v>
      </c>
      <c r="F701" s="1" t="str">
        <f>IFERROR(__xludf.DUMMYFUNCTION("""COMPUTED_VALUE"""),"Track&amp;field")</f>
        <v>Track&amp;field</v>
      </c>
      <c r="G701" s="1" t="str">
        <f>IFERROR(__xludf.DUMMYFUNCTION("""COMPUTED_VALUE"""),"Compras")</f>
        <v>Compras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7">
        <f>IFERROR(__xludf.DUMMYFUNCTION("""COMPUTED_VALUE"""),45901.0)</f>
        <v>45901</v>
      </c>
      <c r="B702" s="8" t="str">
        <f>IFERROR(__xludf.DUMMYFUNCTION("""COMPUTED_VALUE"""),"31/08/25")</f>
        <v>31/08/25</v>
      </c>
      <c r="C702" s="1" t="str">
        <f>IFERROR(__xludf.DUMMYFUNCTION("""COMPUTED_VALUE"""),"Bonissima Mangabeira")</f>
        <v>Bonissima Mangabeira</v>
      </c>
      <c r="D702" s="2">
        <f>IFERROR(__xludf.DUMMYFUNCTION("""COMPUTED_VALUE"""),12.04)</f>
        <v>12.04</v>
      </c>
      <c r="E702" s="1" t="str">
        <f>IFERROR(__xludf.DUMMYFUNCTION("""COMPUTED_VALUE"""),"-")</f>
        <v>-</v>
      </c>
      <c r="F702" s="1" t="str">
        <f>IFERROR(__xludf.DUMMYFUNCTION("""COMPUTED_VALUE"""),"Bonissima Mangabeira")</f>
        <v>Bonissima Mangabeira</v>
      </c>
      <c r="G702" s="1" t="str">
        <f>IFERROR(__xludf.DUMMYFUNCTION("""COMPUTED_VALUE"""),"Comida")</f>
        <v>Comida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7">
        <f>IFERROR(__xludf.DUMMYFUNCTION("""COMPUTED_VALUE"""),45901.0)</f>
        <v>45901</v>
      </c>
      <c r="B703" s="8" t="str">
        <f>IFERROR(__xludf.DUMMYFUNCTION("""COMPUTED_VALUE"""),"31/08/25")</f>
        <v>31/08/25</v>
      </c>
      <c r="C703" s="1" t="str">
        <f>IFERROR(__xludf.DUMMYFUNCTION("""COMPUTED_VALUE"""),"Drogaria Araujo")</f>
        <v>Drogaria Araujo</v>
      </c>
      <c r="D703" s="2">
        <f>IFERROR(__xludf.DUMMYFUNCTION("""COMPUTED_VALUE"""),23.74)</f>
        <v>23.74</v>
      </c>
      <c r="E703" s="1" t="str">
        <f>IFERROR(__xludf.DUMMYFUNCTION("""COMPUTED_VALUE"""),"-")</f>
        <v>-</v>
      </c>
      <c r="F703" s="1" t="str">
        <f>IFERROR(__xludf.DUMMYFUNCTION("""COMPUTED_VALUE"""),"Drogaria Araujo")</f>
        <v>Drogaria Araujo</v>
      </c>
      <c r="G703" s="1" t="str">
        <f>IFERROR(__xludf.DUMMYFUNCTION("""COMPUTED_VALUE"""),"Farmácia")</f>
        <v>Farmácia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7">
        <f>IFERROR(__xludf.DUMMYFUNCTION("""COMPUTED_VALUE"""),45901.0)</f>
        <v>45901</v>
      </c>
      <c r="B704" s="8" t="str">
        <f>IFERROR(__xludf.DUMMYFUNCTION("""COMPUTED_VALUE"""),"31/08/25")</f>
        <v>31/08/25</v>
      </c>
      <c r="C704" s="1" t="str">
        <f>IFERROR(__xludf.DUMMYFUNCTION("""COMPUTED_VALUE"""),"Bem Hortifruti")</f>
        <v>Bem Hortifruti</v>
      </c>
      <c r="D704" s="2">
        <f>IFERROR(__xludf.DUMMYFUNCTION("""COMPUTED_VALUE"""),14.99)</f>
        <v>14.99</v>
      </c>
      <c r="E704" s="1" t="str">
        <f>IFERROR(__xludf.DUMMYFUNCTION("""COMPUTED_VALUE"""),"-")</f>
        <v>-</v>
      </c>
      <c r="F704" s="1" t="str">
        <f>IFERROR(__xludf.DUMMYFUNCTION("""COMPUTED_VALUE"""),"Bem Hortifruti")</f>
        <v>Bem Hortifruti</v>
      </c>
      <c r="G704" s="1" t="str">
        <f>IFERROR(__xludf.DUMMYFUNCTION("""COMPUTED_VALUE"""),"Comida")</f>
        <v>Comida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7">
        <f>IFERROR(__xludf.DUMMYFUNCTION("""COMPUTED_VALUE"""),45901.0)</f>
        <v>45901</v>
      </c>
      <c r="B705" s="8" t="str">
        <f>IFERROR(__xludf.DUMMYFUNCTION("""COMPUTED_VALUE"""),"31/08/25")</f>
        <v>31/08/25</v>
      </c>
      <c r="C705" s="1" t="str">
        <f>IFERROR(__xludf.DUMMYFUNCTION("""COMPUTED_VALUE"""),"Petlove")</f>
        <v>Petlove</v>
      </c>
      <c r="D705" s="2">
        <f>IFERROR(__xludf.DUMMYFUNCTION("""COMPUTED_VALUE"""),41.93)</f>
        <v>41.93</v>
      </c>
      <c r="E705" s="1" t="str">
        <f>IFERROR(__xludf.DUMMYFUNCTION("""COMPUTED_VALUE"""),"-")</f>
        <v>-</v>
      </c>
      <c r="F705" s="1" t="str">
        <f>IFERROR(__xludf.DUMMYFUNCTION("""COMPUTED_VALUE"""),"Petlove")</f>
        <v>Petlove</v>
      </c>
      <c r="G705" s="1" t="str">
        <f>IFERROR(__xludf.DUMMYFUNCTION("""COMPUTED_VALUE"""),"Hulk")</f>
        <v>Hulk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7">
        <f>IFERROR(__xludf.DUMMYFUNCTION("""COMPUTED_VALUE"""),45901.0)</f>
        <v>45901</v>
      </c>
      <c r="B706" s="8">
        <f>IFERROR(__xludf.DUMMYFUNCTION("""COMPUTED_VALUE"""),45666.0)</f>
        <v>45666</v>
      </c>
      <c r="C706" s="1" t="str">
        <f>IFERROR(__xludf.DUMMYFUNCTION("""COMPUTED_VALUE"""),"Drogaria Ara Araujo")</f>
        <v>Drogaria Ara Araujo</v>
      </c>
      <c r="D706" s="2">
        <f>IFERROR(__xludf.DUMMYFUNCTION("""COMPUTED_VALUE"""),19.99)</f>
        <v>19.99</v>
      </c>
      <c r="E706" s="1" t="str">
        <f>IFERROR(__xludf.DUMMYFUNCTION("""COMPUTED_VALUE"""),"-")</f>
        <v>-</v>
      </c>
      <c r="F706" s="1" t="str">
        <f>IFERROR(__xludf.DUMMYFUNCTION("""COMPUTED_VALUE"""),"Drogaria Ara Araujo")</f>
        <v>Drogaria Ara Araujo</v>
      </c>
      <c r="G706" s="1" t="str">
        <f>IFERROR(__xludf.DUMMYFUNCTION("""COMPUTED_VALUE"""),"Farmácia")</f>
        <v>Farmácia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7">
        <f>IFERROR(__xludf.DUMMYFUNCTION("""COMPUTED_VALUE"""),45901.0)</f>
        <v>45901</v>
      </c>
      <c r="B707" s="8">
        <f>IFERROR(__xludf.DUMMYFUNCTION("""COMPUTED_VALUE"""),45666.0)</f>
        <v>45666</v>
      </c>
      <c r="C707" s="1" t="str">
        <f>IFERROR(__xludf.DUMMYFUNCTION("""COMPUTED_VALUE"""),"Uber")</f>
        <v>Uber</v>
      </c>
      <c r="D707" s="2">
        <f>IFERROR(__xludf.DUMMYFUNCTION("""COMPUTED_VALUE"""),12.93)</f>
        <v>12.93</v>
      </c>
      <c r="E707" s="1" t="str">
        <f>IFERROR(__xludf.DUMMYFUNCTION("""COMPUTED_VALUE"""),"-")</f>
        <v>-</v>
      </c>
      <c r="F707" s="1" t="str">
        <f>IFERROR(__xludf.DUMMYFUNCTION("""COMPUTED_VALUE"""),"Uber")</f>
        <v>Uber</v>
      </c>
      <c r="G707" s="1" t="str">
        <f>IFERROR(__xludf.DUMMYFUNCTION("""COMPUTED_VALUE"""),"Uber/99")</f>
        <v>Uber/99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7">
        <f>IFERROR(__xludf.DUMMYFUNCTION("""COMPUTED_VALUE"""),45901.0)</f>
        <v>45901</v>
      </c>
      <c r="B708" s="8">
        <f>IFERROR(__xludf.DUMMYFUNCTION("""COMPUTED_VALUE"""),45666.0)</f>
        <v>45666</v>
      </c>
      <c r="C708" s="1">
        <f>IFERROR(__xludf.DUMMYFUNCTION("""COMPUTED_VALUE"""),99.0)</f>
        <v>99</v>
      </c>
      <c r="D708" s="2">
        <f>IFERROR(__xludf.DUMMYFUNCTION("""COMPUTED_VALUE"""),4.0)</f>
        <v>4</v>
      </c>
      <c r="E708" s="1" t="str">
        <f>IFERROR(__xludf.DUMMYFUNCTION("""COMPUTED_VALUE"""),"-")</f>
        <v>-</v>
      </c>
      <c r="F708" s="1" t="str">
        <f>IFERROR(__xludf.DUMMYFUNCTION("""COMPUTED_VALUE"""),"99")</f>
        <v>99</v>
      </c>
      <c r="G708" s="1" t="str">
        <f>IFERROR(__xludf.DUMMYFUNCTION("""COMPUTED_VALUE"""),"Uber/99")</f>
        <v>Uber/99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7">
        <f>IFERROR(__xludf.DUMMYFUNCTION("""COMPUTED_VALUE"""),45901.0)</f>
        <v>45901</v>
      </c>
      <c r="B709" s="8">
        <f>IFERROR(__xludf.DUMMYFUNCTION("""COMPUTED_VALUE"""),45697.0)</f>
        <v>45697</v>
      </c>
      <c r="C709" s="1" t="str">
        <f>IFERROR(__xludf.DUMMYFUNCTION("""COMPUTED_VALUE"""),"Mercado Livre")</f>
        <v>Mercado Livre</v>
      </c>
      <c r="D709" s="2">
        <f>IFERROR(__xludf.DUMMYFUNCTION("""COMPUTED_VALUE"""),39.52)</f>
        <v>39.52</v>
      </c>
      <c r="E709" s="1" t="str">
        <f>IFERROR(__xludf.DUMMYFUNCTION("""COMPUTED_VALUE"""),"-")</f>
        <v>-</v>
      </c>
      <c r="F709" s="1" t="str">
        <f>IFERROR(__xludf.DUMMYFUNCTION("""COMPUTED_VALUE"""),"Mercado Livre")</f>
        <v>Mercado Livre</v>
      </c>
      <c r="G709" s="1" t="str">
        <f>IFERROR(__xludf.DUMMYFUNCTION("""COMPUTED_VALUE"""),"Compras")</f>
        <v>Compras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7">
        <f>IFERROR(__xludf.DUMMYFUNCTION("""COMPUTED_VALUE"""),45901.0)</f>
        <v>45901</v>
      </c>
      <c r="B710" s="8">
        <f>IFERROR(__xludf.DUMMYFUNCTION("""COMPUTED_VALUE"""),45697.0)</f>
        <v>45697</v>
      </c>
      <c r="C710" s="1" t="str">
        <f>IFERROR(__xludf.DUMMYFUNCTION("""COMPUTED_VALUE"""),"Shopee")</f>
        <v>Shopee</v>
      </c>
      <c r="D710" s="2">
        <f>IFERROR(__xludf.DUMMYFUNCTION("""COMPUTED_VALUE"""),14.99)</f>
        <v>14.99</v>
      </c>
      <c r="E710" s="1" t="str">
        <f>IFERROR(__xludf.DUMMYFUNCTION("""COMPUTED_VALUE"""),"-")</f>
        <v>-</v>
      </c>
      <c r="F710" s="1" t="str">
        <f>IFERROR(__xludf.DUMMYFUNCTION("""COMPUTED_VALUE"""),"Shopee")</f>
        <v>Shopee</v>
      </c>
      <c r="G710" s="1" t="str">
        <f>IFERROR(__xludf.DUMMYFUNCTION("""COMPUTED_VALUE"""),"Compras")</f>
        <v>Compras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7">
        <f>IFERROR(__xludf.DUMMYFUNCTION("""COMPUTED_VALUE"""),45931.0)</f>
        <v>45931</v>
      </c>
      <c r="B711" s="1" t="str">
        <f>IFERROR(__xludf.DUMMYFUNCTION("""COMPUTED_VALUE"""),"-")</f>
        <v>-</v>
      </c>
      <c r="C711" s="1" t="str">
        <f>IFERROR(__xludf.DUMMYFUNCTION("""COMPUTED_VALUE"""),"Desconto Na Parcela 2 De 2 Dma Distribuidora Sa")</f>
        <v>Desconto Na Parcela 2 De 2 Dma Distribuidora Sa</v>
      </c>
      <c r="D711" s="2">
        <f>IFERROR(__xludf.DUMMYFUNCTION("""COMPUTED_VALUE"""),-0.09)</f>
        <v>-0.09</v>
      </c>
      <c r="E711" s="1" t="str">
        <f>IFERROR(__xludf.DUMMYFUNCTION("""COMPUTED_VALUE"""),"-")</f>
        <v>-</v>
      </c>
      <c r="F711" s="1" t="str">
        <f>IFERROR(__xludf.DUMMYFUNCTION("""COMPUTED_VALUE"""),"Desconto Na Parcela 2 De 2 Dma Distribuidora Sa")</f>
        <v>Desconto Na Parcela 2 De 2 Dma Distribuidora Sa</v>
      </c>
      <c r="G711" s="1" t="str">
        <f>IFERROR(__xludf.DUMMYFUNCTION("""COMPUTED_VALUE"""),"-")</f>
        <v>-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7">
        <f>IFERROR(__xludf.DUMMYFUNCTION("""COMPUTED_VALUE"""),45931.0)</f>
        <v>45931</v>
      </c>
      <c r="B712" s="1" t="str">
        <f>IFERROR(__xludf.DUMMYFUNCTION("""COMPUTED_VALUE"""),"-")</f>
        <v>-</v>
      </c>
      <c r="C712" s="1" t="str">
        <f>IFERROR(__xludf.DUMMYFUNCTION("""COMPUTED_VALUE"""),"Cancelamento - Amazon")</f>
        <v>Cancelamento - Amazon</v>
      </c>
      <c r="D712" s="2">
        <f>IFERROR(__xludf.DUMMYFUNCTION("""COMPUTED_VALUE"""),-13.72)</f>
        <v>-13.72</v>
      </c>
      <c r="E712" s="1" t="str">
        <f>IFERROR(__xludf.DUMMYFUNCTION("""COMPUTED_VALUE"""),"-")</f>
        <v>-</v>
      </c>
      <c r="F712" s="1" t="str">
        <f>IFERROR(__xludf.DUMMYFUNCTION("""COMPUTED_VALUE"""),"Cancelamento - Amazon")</f>
        <v>Cancelamento - Amazon</v>
      </c>
      <c r="G712" s="1" t="str">
        <f>IFERROR(__xludf.DUMMYFUNCTION("""COMPUTED_VALUE"""),"-")</f>
        <v>-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7">
        <f>IFERROR(__xludf.DUMMYFUNCTION("""COMPUTED_VALUE"""),45931.0)</f>
        <v>45931</v>
      </c>
      <c r="B713" s="1" t="str">
        <f>IFERROR(__xludf.DUMMYFUNCTION("""COMPUTED_VALUE"""),"-")</f>
        <v>-</v>
      </c>
      <c r="C713" s="1" t="str">
        <f>IFERROR(__xludf.DUMMYFUNCTION("""COMPUTED_VALUE"""),"Desconto Na Parcela 2 De 2 Super Nosso")</f>
        <v>Desconto Na Parcela 2 De 2 Super Nosso</v>
      </c>
      <c r="D713" s="2">
        <f>IFERROR(__xludf.DUMMYFUNCTION("""COMPUTED_VALUE"""),-0.79)</f>
        <v>-0.79</v>
      </c>
      <c r="E713" s="1" t="str">
        <f>IFERROR(__xludf.DUMMYFUNCTION("""COMPUTED_VALUE"""),"-")</f>
        <v>-</v>
      </c>
      <c r="F713" s="1" t="str">
        <f>IFERROR(__xludf.DUMMYFUNCTION("""COMPUTED_VALUE"""),"Desconto Na Parcela 2 De 2 Super Nosso")</f>
        <v>Desconto Na Parcela 2 De 2 Super Nosso</v>
      </c>
      <c r="G713" s="1" t="str">
        <f>IFERROR(__xludf.DUMMYFUNCTION("""COMPUTED_VALUE"""),"-")</f>
        <v>-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7">
        <f>IFERROR(__xludf.DUMMYFUNCTION("""COMPUTED_VALUE"""),45931.0)</f>
        <v>45931</v>
      </c>
      <c r="B714" s="1" t="str">
        <f>IFERROR(__xludf.DUMMYFUNCTION("""COMPUTED_VALUE"""),"-")</f>
        <v>-</v>
      </c>
      <c r="C714" s="1" t="str">
        <f>IFERROR(__xludf.DUMMYFUNCTION("""COMPUTED_VALUE"""),"Desconto Na Parcela 4 De 4 Mercado Livre")</f>
        <v>Desconto Na Parcela 4 De 4 Mercado Livre</v>
      </c>
      <c r="D714" s="2">
        <f>IFERROR(__xludf.DUMMYFUNCTION("""COMPUTED_VALUE"""),-0.04)</f>
        <v>-0.04</v>
      </c>
      <c r="E714" s="1" t="str">
        <f>IFERROR(__xludf.DUMMYFUNCTION("""COMPUTED_VALUE"""),"-")</f>
        <v>-</v>
      </c>
      <c r="F714" s="1" t="str">
        <f>IFERROR(__xludf.DUMMYFUNCTION("""COMPUTED_VALUE"""),"Desconto Na Parcela 4 De 4 Mercado Livre")</f>
        <v>Desconto Na Parcela 4 De 4 Mercado Livre</v>
      </c>
      <c r="G714" s="1" t="str">
        <f>IFERROR(__xludf.DUMMYFUNCTION("""COMPUTED_VALUE"""),"-")</f>
        <v>-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7">
        <f>IFERROR(__xludf.DUMMYFUNCTION("""COMPUTED_VALUE"""),45931.0)</f>
        <v>45931</v>
      </c>
      <c r="B715" s="1" t="str">
        <f>IFERROR(__xludf.DUMMYFUNCTION("""COMPUTED_VALUE"""),"-")</f>
        <v>-</v>
      </c>
      <c r="C715" s="1" t="str">
        <f>IFERROR(__xludf.DUMMYFUNCTION("""COMPUTED_VALUE"""),"Desconto Na Parcela 3 De 4 Mercado Livre")</f>
        <v>Desconto Na Parcela 3 De 4 Mercado Livre</v>
      </c>
      <c r="D715" s="2">
        <f>IFERROR(__xludf.DUMMYFUNCTION("""COMPUTED_VALUE"""),-0.02)</f>
        <v>-0.02</v>
      </c>
      <c r="E715" s="1" t="str">
        <f>IFERROR(__xludf.DUMMYFUNCTION("""COMPUTED_VALUE"""),"-")</f>
        <v>-</v>
      </c>
      <c r="F715" s="1" t="str">
        <f>IFERROR(__xludf.DUMMYFUNCTION("""COMPUTED_VALUE"""),"Desconto Na Parcela 3 De 4 Mercado Livre")</f>
        <v>Desconto Na Parcela 3 De 4 Mercado Livre</v>
      </c>
      <c r="G715" s="1" t="str">
        <f>IFERROR(__xludf.DUMMYFUNCTION("""COMPUTED_VALUE"""),"-")</f>
        <v>-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7">
        <f>IFERROR(__xludf.DUMMYFUNCTION("""COMPUTED_VALUE"""),45931.0)</f>
        <v>45931</v>
      </c>
      <c r="B716" s="1" t="str">
        <f>IFERROR(__xludf.DUMMYFUNCTION("""COMPUTED_VALUE"""),"-")</f>
        <v>-</v>
      </c>
      <c r="C716" s="1" t="str">
        <f>IFERROR(__xludf.DUMMYFUNCTION("""COMPUTED_VALUE"""),"Desconto Na Parcela 3 De 3 Shopee Rivirlavarieda")</f>
        <v>Desconto Na Parcela 3 De 3 Shopee Rivirlavarieda</v>
      </c>
      <c r="D716" s="2">
        <f>IFERROR(__xludf.DUMMYFUNCTION("""COMPUTED_VALUE"""),-0.28)</f>
        <v>-0.28</v>
      </c>
      <c r="E716" s="1" t="str">
        <f>IFERROR(__xludf.DUMMYFUNCTION("""COMPUTED_VALUE"""),"-")</f>
        <v>-</v>
      </c>
      <c r="F716" s="1" t="str">
        <f>IFERROR(__xludf.DUMMYFUNCTION("""COMPUTED_VALUE"""),"Desconto Na Parcela 3 De 3 Shopee Rivirlavarieda")</f>
        <v>Desconto Na Parcela 3 De 3 Shopee Rivirlavarieda</v>
      </c>
      <c r="G716" s="1" t="str">
        <f>IFERROR(__xludf.DUMMYFUNCTION("""COMPUTED_VALUE"""),"-")</f>
        <v>-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7">
        <f>IFERROR(__xludf.DUMMYFUNCTION("""COMPUTED_VALUE"""),45931.0)</f>
        <v>45931</v>
      </c>
      <c r="B717" s="1" t="str">
        <f>IFERROR(__xludf.DUMMYFUNCTION("""COMPUTED_VALUE"""),"-")</f>
        <v>-</v>
      </c>
      <c r="C717" s="1" t="str">
        <f>IFERROR(__xludf.DUMMYFUNCTION("""COMPUTED_VALUE"""),"Desconto Na Parcela 2 De 3 Dma Distribuidora Sa")</f>
        <v>Desconto Na Parcela 2 De 3 Dma Distribuidora Sa</v>
      </c>
      <c r="D717" s="2">
        <f>IFERROR(__xludf.DUMMYFUNCTION("""COMPUTED_VALUE"""),-0.36)</f>
        <v>-0.36</v>
      </c>
      <c r="E717" s="1" t="str">
        <f>IFERROR(__xludf.DUMMYFUNCTION("""COMPUTED_VALUE"""),"-")</f>
        <v>-</v>
      </c>
      <c r="F717" s="1" t="str">
        <f>IFERROR(__xludf.DUMMYFUNCTION("""COMPUTED_VALUE"""),"Desconto Na Parcela 2 De 3 Dma Distribuidora Sa")</f>
        <v>Desconto Na Parcela 2 De 3 Dma Distribuidora Sa</v>
      </c>
      <c r="G717" s="1" t="str">
        <f>IFERROR(__xludf.DUMMYFUNCTION("""COMPUTED_VALUE"""),"-")</f>
        <v>-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7">
        <f>IFERROR(__xludf.DUMMYFUNCTION("""COMPUTED_VALUE"""),45931.0)</f>
        <v>45931</v>
      </c>
      <c r="B718" s="1" t="str">
        <f>IFERROR(__xludf.DUMMYFUNCTION("""COMPUTED_VALUE"""),"-")</f>
        <v>-</v>
      </c>
      <c r="C718" s="1" t="str">
        <f>IFERROR(__xludf.DUMMYFUNCTION("""COMPUTED_VALUE"""),"Desconto Na Parcela 3 De 3 Dma Distribuidora Sa")</f>
        <v>Desconto Na Parcela 3 De 3 Dma Distribuidora Sa</v>
      </c>
      <c r="D718" s="2">
        <f>IFERROR(__xludf.DUMMYFUNCTION("""COMPUTED_VALUE"""),-0.71)</f>
        <v>-0.71</v>
      </c>
      <c r="E718" s="1" t="str">
        <f>IFERROR(__xludf.DUMMYFUNCTION("""COMPUTED_VALUE"""),"-")</f>
        <v>-</v>
      </c>
      <c r="F718" s="1" t="str">
        <f>IFERROR(__xludf.DUMMYFUNCTION("""COMPUTED_VALUE"""),"Desconto Na Parcela 3 De 3 Dma Distribuidora Sa")</f>
        <v>Desconto Na Parcela 3 De 3 Dma Distribuidora Sa</v>
      </c>
      <c r="G718" s="1" t="str">
        <f>IFERROR(__xludf.DUMMYFUNCTION("""COMPUTED_VALUE"""),"-")</f>
        <v>-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7">
        <f>IFERROR(__xludf.DUMMYFUNCTION("""COMPUTED_VALUE"""),45931.0)</f>
        <v>45931</v>
      </c>
      <c r="B719" s="1" t="str">
        <f>IFERROR(__xludf.DUMMYFUNCTION("""COMPUTED_VALUE"""),"-")</f>
        <v>-</v>
      </c>
      <c r="C719" s="1" t="str">
        <f>IFERROR(__xludf.DUMMYFUNCTION("""COMPUTED_VALUE"""),"Desconto Na Parcela 4 De 4 Drogaria Ara Araujo")</f>
        <v>Desconto Na Parcela 4 De 4 Drogaria Ara Araujo</v>
      </c>
      <c r="D719" s="2">
        <f>IFERROR(__xludf.DUMMYFUNCTION("""COMPUTED_VALUE"""),-0.73)</f>
        <v>-0.73</v>
      </c>
      <c r="E719" s="1" t="str">
        <f>IFERROR(__xludf.DUMMYFUNCTION("""COMPUTED_VALUE"""),"-")</f>
        <v>-</v>
      </c>
      <c r="F719" s="1" t="str">
        <f>IFERROR(__xludf.DUMMYFUNCTION("""COMPUTED_VALUE"""),"Desconto Na Parcela 4 De 4 Drogaria Ara Araujo")</f>
        <v>Desconto Na Parcela 4 De 4 Drogaria Ara Araujo</v>
      </c>
      <c r="G719" s="1" t="str">
        <f>IFERROR(__xludf.DUMMYFUNCTION("""COMPUTED_VALUE"""),"-")</f>
        <v>-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7">
        <f>IFERROR(__xludf.DUMMYFUNCTION("""COMPUTED_VALUE"""),45931.0)</f>
        <v>45931</v>
      </c>
      <c r="B720" s="1" t="str">
        <f>IFERROR(__xludf.DUMMYFUNCTION("""COMPUTED_VALUE"""),"-")</f>
        <v>-</v>
      </c>
      <c r="C720" s="1" t="str">
        <f>IFERROR(__xludf.DUMMYFUNCTION("""COMPUTED_VALUE"""),"Desconto Na Parcela 2 De 4 Drogaria Ara Araujo")</f>
        <v>Desconto Na Parcela 2 De 4 Drogaria Ara Araujo</v>
      </c>
      <c r="D720" s="2">
        <f>IFERROR(__xludf.DUMMYFUNCTION("""COMPUTED_VALUE"""),-0.25)</f>
        <v>-0.25</v>
      </c>
      <c r="E720" s="1" t="str">
        <f>IFERROR(__xludf.DUMMYFUNCTION("""COMPUTED_VALUE"""),"-")</f>
        <v>-</v>
      </c>
      <c r="F720" s="1" t="str">
        <f>IFERROR(__xludf.DUMMYFUNCTION("""COMPUTED_VALUE"""),"Desconto Na Parcela 2 De 4 Drogaria Ara Araujo")</f>
        <v>Desconto Na Parcela 2 De 4 Drogaria Ara Araujo</v>
      </c>
      <c r="G720" s="1" t="str">
        <f>IFERROR(__xludf.DUMMYFUNCTION("""COMPUTED_VALUE"""),"-")</f>
        <v>-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7">
        <f>IFERROR(__xludf.DUMMYFUNCTION("""COMPUTED_VALUE"""),45931.0)</f>
        <v>45931</v>
      </c>
      <c r="B721" s="1" t="str">
        <f>IFERROR(__xludf.DUMMYFUNCTION("""COMPUTED_VALUE"""),"-")</f>
        <v>-</v>
      </c>
      <c r="C721" s="1" t="str">
        <f>IFERROR(__xludf.DUMMYFUNCTION("""COMPUTED_VALUE"""),"Desconto Na Parcela 3 De 4 Drogaria Ara Araujo")</f>
        <v>Desconto Na Parcela 3 De 4 Drogaria Ara Araujo</v>
      </c>
      <c r="D721" s="2">
        <f>IFERROR(__xludf.DUMMYFUNCTION("""COMPUTED_VALUE"""),-0.49)</f>
        <v>-0.49</v>
      </c>
      <c r="E721" s="1" t="str">
        <f>IFERROR(__xludf.DUMMYFUNCTION("""COMPUTED_VALUE"""),"-")</f>
        <v>-</v>
      </c>
      <c r="F721" s="1" t="str">
        <f>IFERROR(__xludf.DUMMYFUNCTION("""COMPUTED_VALUE"""),"Desconto Na Parcela 3 De 4 Drogaria Ara Araujo")</f>
        <v>Desconto Na Parcela 3 De 4 Drogaria Ara Araujo</v>
      </c>
      <c r="G721" s="1" t="str">
        <f>IFERROR(__xludf.DUMMYFUNCTION("""COMPUTED_VALUE"""),"-")</f>
        <v>-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7">
        <f>IFERROR(__xludf.DUMMYFUNCTION("""COMPUTED_VALUE"""),45931.0)</f>
        <v>45931</v>
      </c>
      <c r="B722" s="1" t="str">
        <f>IFERROR(__xludf.DUMMYFUNCTION("""COMPUTED_VALUE"""),"-")</f>
        <v>-</v>
      </c>
      <c r="C722" s="1" t="str">
        <f>IFERROR(__xludf.DUMMYFUNCTION("""COMPUTED_VALUE"""),"Casas Bahia (6/10)")</f>
        <v>Casas Bahia (6/10)</v>
      </c>
      <c r="D722" s="2">
        <f>IFERROR(__xludf.DUMMYFUNCTION("""COMPUTED_VALUE"""),361.46)</f>
        <v>361.46</v>
      </c>
      <c r="E722" s="1" t="str">
        <f>IFERROR(__xludf.DUMMYFUNCTION("""COMPUTED_VALUE"""),"-")</f>
        <v>-</v>
      </c>
      <c r="F722" s="1" t="str">
        <f>IFERROR(__xludf.DUMMYFUNCTION("""COMPUTED_VALUE"""),"Casas Bahia")</f>
        <v>Casas Bahia</v>
      </c>
      <c r="G722" s="1" t="str">
        <f>IFERROR(__xludf.DUMMYFUNCTION("""COMPUTED_VALUE"""),"Compras")</f>
        <v>Compras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7">
        <f>IFERROR(__xludf.DUMMYFUNCTION("""COMPUTED_VALUE"""),45931.0)</f>
        <v>45931</v>
      </c>
      <c r="B723" s="1" t="str">
        <f>IFERROR(__xludf.DUMMYFUNCTION("""COMPUTED_VALUE"""),"-")</f>
        <v>-</v>
      </c>
      <c r="C723" s="1" t="str">
        <f>IFERROR(__xludf.DUMMYFUNCTION("""COMPUTED_VALUE"""),"Crstina Marcia (4/10)")</f>
        <v>Crstina Marcia (4/10)</v>
      </c>
      <c r="D723" s="2">
        <f>IFERROR(__xludf.DUMMYFUNCTION("""COMPUTED_VALUE"""),696.0)</f>
        <v>696</v>
      </c>
      <c r="E723" s="1" t="str">
        <f>IFERROR(__xludf.DUMMYFUNCTION("""COMPUTED_VALUE"""),"-")</f>
        <v>-</v>
      </c>
      <c r="F723" s="1" t="str">
        <f>IFERROR(__xludf.DUMMYFUNCTION("""COMPUTED_VALUE"""),"Crstina Marcia")</f>
        <v>Crstina Marcia</v>
      </c>
      <c r="G723" s="1" t="str">
        <f>IFERROR(__xludf.DUMMYFUNCTION("""COMPUTED_VALUE"""),"-")</f>
        <v>-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7">
        <f>IFERROR(__xludf.DUMMYFUNCTION("""COMPUTED_VALUE"""),45931.0)</f>
        <v>45931</v>
      </c>
      <c r="B724" s="1" t="str">
        <f>IFERROR(__xludf.DUMMYFUNCTION("""COMPUTED_VALUE"""),"-")</f>
        <v>-</v>
      </c>
      <c r="C724" s="1" t="str">
        <f>IFERROR(__xludf.DUMMYFUNCTION("""COMPUTED_VALUE"""),"Track&amp;field (2/5)")</f>
        <v>Track&amp;field (2/5)</v>
      </c>
      <c r="D724" s="2">
        <f>IFERROR(__xludf.DUMMYFUNCTION("""COMPUTED_VALUE"""),267.78)</f>
        <v>267.78</v>
      </c>
      <c r="E724" s="1" t="str">
        <f>IFERROR(__xludf.DUMMYFUNCTION("""COMPUTED_VALUE"""),"-")</f>
        <v>-</v>
      </c>
      <c r="F724" s="1" t="str">
        <f>IFERROR(__xludf.DUMMYFUNCTION("""COMPUTED_VALUE"""),"Track&amp;field")</f>
        <v>Track&amp;field</v>
      </c>
      <c r="G724" s="1" t="str">
        <f>IFERROR(__xludf.DUMMYFUNCTION("""COMPUTED_VALUE"""),"Compras")</f>
        <v>Compras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7">
        <f>IFERROR(__xludf.DUMMYFUNCTION("""COMPUTED_VALUE"""),45931.0)</f>
        <v>45931</v>
      </c>
      <c r="B725" s="1" t="str">
        <f>IFERROR(__xludf.DUMMYFUNCTION("""COMPUTED_VALUE"""),"-")</f>
        <v>-</v>
      </c>
      <c r="C725" s="1" t="str">
        <f>IFERROR(__xludf.DUMMYFUNCTION("""COMPUTED_VALUE"""),"Imunizar (2/6)")</f>
        <v>Imunizar (2/6)</v>
      </c>
      <c r="D725" s="2">
        <f>IFERROR(__xludf.DUMMYFUNCTION("""COMPUTED_VALUE"""),1350.0)</f>
        <v>1350</v>
      </c>
      <c r="E725" s="1" t="str">
        <f>IFERROR(__xludf.DUMMYFUNCTION("""COMPUTED_VALUE"""),"-")</f>
        <v>-</v>
      </c>
      <c r="F725" s="1" t="str">
        <f>IFERROR(__xludf.DUMMYFUNCTION("""COMPUTED_VALUE"""),"Imunizar")</f>
        <v>Imunizar</v>
      </c>
      <c r="G725" s="1" t="str">
        <f>IFERROR(__xludf.DUMMYFUNCTION("""COMPUTED_VALUE"""),"Bianca")</f>
        <v>Bianca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7">
        <f>IFERROR(__xludf.DUMMYFUNCTION("""COMPUTED_VALUE"""),45931.0)</f>
        <v>45931</v>
      </c>
      <c r="B726" s="1" t="str">
        <f>IFERROR(__xludf.DUMMYFUNCTION("""COMPUTED_VALUE"""),"-")</f>
        <v>-</v>
      </c>
      <c r="C726" s="1" t="str">
        <f>IFERROR(__xludf.DUMMYFUNCTION("""COMPUTED_VALUE"""),"Shopee (3/3)")</f>
        <v>Shopee (3/3)</v>
      </c>
      <c r="D726" s="2">
        <f>IFERROR(__xludf.DUMMYFUNCTION("""COMPUTED_VALUE"""),75.2)</f>
        <v>75.2</v>
      </c>
      <c r="E726" s="1" t="str">
        <f>IFERROR(__xludf.DUMMYFUNCTION("""COMPUTED_VALUE"""),"-")</f>
        <v>-</v>
      </c>
      <c r="F726" s="1" t="str">
        <f>IFERROR(__xludf.DUMMYFUNCTION("""COMPUTED_VALUE"""),"Shopee")</f>
        <v>Shopee</v>
      </c>
      <c r="G726" s="1" t="str">
        <f>IFERROR(__xludf.DUMMYFUNCTION("""COMPUTED_VALUE"""),"Compras")</f>
        <v>Compras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7">
        <f>IFERROR(__xludf.DUMMYFUNCTION("""COMPUTED_VALUE"""),45931.0)</f>
        <v>45931</v>
      </c>
      <c r="B727" s="1" t="str">
        <f>IFERROR(__xludf.DUMMYFUNCTION("""COMPUTED_VALUE"""),"-")</f>
        <v>-</v>
      </c>
      <c r="C727" s="1" t="str">
        <f>IFERROR(__xludf.DUMMYFUNCTION("""COMPUTED_VALUE"""),"Shopee (2/3)")</f>
        <v>Shopee (2/3)</v>
      </c>
      <c r="D727" s="2">
        <f>IFERROR(__xludf.DUMMYFUNCTION("""COMPUTED_VALUE"""),75.2)</f>
        <v>75.2</v>
      </c>
      <c r="E727" s="1" t="str">
        <f>IFERROR(__xludf.DUMMYFUNCTION("""COMPUTED_VALUE"""),"-")</f>
        <v>-</v>
      </c>
      <c r="F727" s="1" t="str">
        <f>IFERROR(__xludf.DUMMYFUNCTION("""COMPUTED_VALUE"""),"Shopee")</f>
        <v>Shopee</v>
      </c>
      <c r="G727" s="1" t="str">
        <f>IFERROR(__xludf.DUMMYFUNCTION("""COMPUTED_VALUE"""),"Compras")</f>
        <v>Compras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7">
        <f>IFERROR(__xludf.DUMMYFUNCTION("""COMPUTED_VALUE"""),45931.0)</f>
        <v>45931</v>
      </c>
      <c r="B728" s="1" t="str">
        <f>IFERROR(__xludf.DUMMYFUNCTION("""COMPUTED_VALUE"""),"-")</f>
        <v>-</v>
      </c>
      <c r="C728" s="1" t="str">
        <f>IFERROR(__xludf.DUMMYFUNCTION("""COMPUTED_VALUE"""),"Mercado Livre (4/4)")</f>
        <v>Mercado Livre (4/4)</v>
      </c>
      <c r="D728" s="2">
        <f>IFERROR(__xludf.DUMMYFUNCTION("""COMPUTED_VALUE"""),4.87)</f>
        <v>4.87</v>
      </c>
      <c r="E728" s="1" t="str">
        <f>IFERROR(__xludf.DUMMYFUNCTION("""COMPUTED_VALUE"""),"-")</f>
        <v>-</v>
      </c>
      <c r="F728" s="1" t="str">
        <f>IFERROR(__xludf.DUMMYFUNCTION("""COMPUTED_VALUE"""),"Mercado Livre")</f>
        <v>Mercado Livre</v>
      </c>
      <c r="G728" s="1" t="str">
        <f>IFERROR(__xludf.DUMMYFUNCTION("""COMPUTED_VALUE"""),"Compras")</f>
        <v>Compras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7">
        <f>IFERROR(__xludf.DUMMYFUNCTION("""COMPUTED_VALUE"""),45931.0)</f>
        <v>45931</v>
      </c>
      <c r="B729" s="1" t="str">
        <f>IFERROR(__xludf.DUMMYFUNCTION("""COMPUTED_VALUE"""),"-")</f>
        <v>-</v>
      </c>
      <c r="C729" s="1" t="str">
        <f>IFERROR(__xludf.DUMMYFUNCTION("""COMPUTED_VALUE"""),"Mercado Livre (3/4)")</f>
        <v>Mercado Livre (3/4)</v>
      </c>
      <c r="D729" s="2">
        <f>IFERROR(__xludf.DUMMYFUNCTION("""COMPUTED_VALUE"""),4.87)</f>
        <v>4.87</v>
      </c>
      <c r="E729" s="1" t="str">
        <f>IFERROR(__xludf.DUMMYFUNCTION("""COMPUTED_VALUE"""),"-")</f>
        <v>-</v>
      </c>
      <c r="F729" s="1" t="str">
        <f>IFERROR(__xludf.DUMMYFUNCTION("""COMPUTED_VALUE"""),"Mercado Livre")</f>
        <v>Mercado Livre</v>
      </c>
      <c r="G729" s="1" t="str">
        <f>IFERROR(__xludf.DUMMYFUNCTION("""COMPUTED_VALUE"""),"Compras")</f>
        <v>Compras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7">
        <f>IFERROR(__xludf.DUMMYFUNCTION("""COMPUTED_VALUE"""),45931.0)</f>
        <v>45931</v>
      </c>
      <c r="B730" s="1" t="str">
        <f>IFERROR(__xludf.DUMMYFUNCTION("""COMPUTED_VALUE"""),"-")</f>
        <v>-</v>
      </c>
      <c r="C730" s="1" t="str">
        <f>IFERROR(__xludf.DUMMYFUNCTION("""COMPUTED_VALUE"""),"Mercado Livre (2/4)")</f>
        <v>Mercado Livre (2/4)</v>
      </c>
      <c r="D730" s="2">
        <f>IFERROR(__xludf.DUMMYFUNCTION("""COMPUTED_VALUE"""),4.87)</f>
        <v>4.87</v>
      </c>
      <c r="E730" s="1" t="str">
        <f>IFERROR(__xludf.DUMMYFUNCTION("""COMPUTED_VALUE"""),"-")</f>
        <v>-</v>
      </c>
      <c r="F730" s="1" t="str">
        <f>IFERROR(__xludf.DUMMYFUNCTION("""COMPUTED_VALUE"""),"Mercado Livre")</f>
        <v>Mercado Livre</v>
      </c>
      <c r="G730" s="1" t="str">
        <f>IFERROR(__xludf.DUMMYFUNCTION("""COMPUTED_VALUE"""),"Compras")</f>
        <v>Compras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7">
        <f>IFERROR(__xludf.DUMMYFUNCTION("""COMPUTED_VALUE"""),45931.0)</f>
        <v>45931</v>
      </c>
      <c r="B731" s="1" t="str">
        <f>IFERROR(__xludf.DUMMYFUNCTION("""COMPUTED_VALUE"""),"-")</f>
        <v>-</v>
      </c>
      <c r="C731" s="1" t="str">
        <f>IFERROR(__xludf.DUMMYFUNCTION("""COMPUTED_VALUE"""),"Amazon Digital Br")</f>
        <v>Amazon Digital Br</v>
      </c>
      <c r="D731" s="2">
        <f>IFERROR(__xludf.DUMMYFUNCTION("""COMPUTED_VALUE"""),33.24)</f>
        <v>33.24</v>
      </c>
      <c r="E731" s="1" t="str">
        <f>IFERROR(__xludf.DUMMYFUNCTION("""COMPUTED_VALUE"""),"-")</f>
        <v>-</v>
      </c>
      <c r="F731" s="1" t="str">
        <f>IFERROR(__xludf.DUMMYFUNCTION("""COMPUTED_VALUE"""),"Amazon Digital Br")</f>
        <v>Amazon Digital Br</v>
      </c>
      <c r="G731" s="1" t="str">
        <f>IFERROR(__xludf.DUMMYFUNCTION("""COMPUTED_VALUE"""),"Compras")</f>
        <v>Compras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7">
        <f>IFERROR(__xludf.DUMMYFUNCTION("""COMPUTED_VALUE"""),45931.0)</f>
        <v>45931</v>
      </c>
      <c r="B732" s="1" t="str">
        <f>IFERROR(__xludf.DUMMYFUNCTION("""COMPUTED_VALUE"""),"-")</f>
        <v>-</v>
      </c>
      <c r="C732" s="1" t="str">
        <f>IFERROR(__xludf.DUMMYFUNCTION("""COMPUTED_VALUE"""),"Amazon")</f>
        <v>Amazon</v>
      </c>
      <c r="D732" s="2">
        <f>IFERROR(__xludf.DUMMYFUNCTION("""COMPUTED_VALUE"""),112.93)</f>
        <v>112.93</v>
      </c>
      <c r="E732" s="1" t="str">
        <f>IFERROR(__xludf.DUMMYFUNCTION("""COMPUTED_VALUE"""),"-")</f>
        <v>-</v>
      </c>
      <c r="F732" s="1" t="str">
        <f>IFERROR(__xludf.DUMMYFUNCTION("""COMPUTED_VALUE"""),"Amazon")</f>
        <v>Amazon</v>
      </c>
      <c r="G732" s="1" t="str">
        <f>IFERROR(__xludf.DUMMYFUNCTION("""COMPUTED_VALUE"""),"Compras")</f>
        <v>Compras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7">
        <f>IFERROR(__xludf.DUMMYFUNCTION("""COMPUTED_VALUE"""),45931.0)</f>
        <v>45931</v>
      </c>
      <c r="B733" s="1" t="str">
        <f>IFERROR(__xludf.DUMMYFUNCTION("""COMPUTED_VALUE"""),"-")</f>
        <v>-</v>
      </c>
      <c r="C733" s="1" t="str">
        <f>IFERROR(__xludf.DUMMYFUNCTION("""COMPUTED_VALUE"""),"Unisant")</f>
        <v>Unisant</v>
      </c>
      <c r="D733" s="2">
        <f>IFERROR(__xludf.DUMMYFUNCTION("""COMPUTED_VALUE"""),225.52)</f>
        <v>225.52</v>
      </c>
      <c r="E733" s="1" t="str">
        <f>IFERROR(__xludf.DUMMYFUNCTION("""COMPUTED_VALUE"""),"-")</f>
        <v>-</v>
      </c>
      <c r="F733" s="1" t="str">
        <f>IFERROR(__xludf.DUMMYFUNCTION("""COMPUTED_VALUE"""),"Unisant")</f>
        <v>Unisant</v>
      </c>
      <c r="G733" s="1" t="str">
        <f>IFERROR(__xludf.DUMMYFUNCTION("""COMPUTED_VALUE"""),"-")</f>
        <v>-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7">
        <f>IFERROR(__xludf.DUMMYFUNCTION("""COMPUTED_VALUE"""),45931.0)</f>
        <v>45931</v>
      </c>
      <c r="B734" s="1" t="str">
        <f>IFERROR(__xludf.DUMMYFUNCTION("""COMPUTED_VALUE"""),"-")</f>
        <v>-</v>
      </c>
      <c r="C734" s="1">
        <f>IFERROR(__xludf.DUMMYFUNCTION("""COMPUTED_VALUE"""),99.0)</f>
        <v>99</v>
      </c>
      <c r="D734" s="2">
        <f>IFERROR(__xludf.DUMMYFUNCTION("""COMPUTED_VALUE"""),13.79)</f>
        <v>13.79</v>
      </c>
      <c r="E734" s="1" t="str">
        <f>IFERROR(__xludf.DUMMYFUNCTION("""COMPUTED_VALUE"""),"-")</f>
        <v>-</v>
      </c>
      <c r="F734" s="1" t="str">
        <f>IFERROR(__xludf.DUMMYFUNCTION("""COMPUTED_VALUE"""),"99")</f>
        <v>99</v>
      </c>
      <c r="G734" s="1" t="str">
        <f>IFERROR(__xludf.DUMMYFUNCTION("""COMPUTED_VALUE"""),"Uber/99")</f>
        <v>Uber/99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7">
        <f>IFERROR(__xludf.DUMMYFUNCTION("""COMPUTED_VALUE"""),45931.0)</f>
        <v>45931</v>
      </c>
      <c r="B735" s="1" t="str">
        <f>IFERROR(__xludf.DUMMYFUNCTION("""COMPUTED_VALUE"""),"-")</f>
        <v>-</v>
      </c>
      <c r="C735" s="1" t="str">
        <f>IFERROR(__xludf.DUMMYFUNCTION("""COMPUTED_VALUE"""),"Uber")</f>
        <v>Uber</v>
      </c>
      <c r="D735" s="2">
        <f>IFERROR(__xludf.DUMMYFUNCTION("""COMPUTED_VALUE"""),12.97)</f>
        <v>12.97</v>
      </c>
      <c r="E735" s="1" t="str">
        <f>IFERROR(__xludf.DUMMYFUNCTION("""COMPUTED_VALUE"""),"-")</f>
        <v>-</v>
      </c>
      <c r="F735" s="1" t="str">
        <f>IFERROR(__xludf.DUMMYFUNCTION("""COMPUTED_VALUE"""),"Uber")</f>
        <v>Uber</v>
      </c>
      <c r="G735" s="1" t="str">
        <f>IFERROR(__xludf.DUMMYFUNCTION("""COMPUTED_VALUE"""),"Uber/99")</f>
        <v>Uber/99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7">
        <f>IFERROR(__xludf.DUMMYFUNCTION("""COMPUTED_VALUE"""),45931.0)</f>
        <v>45931</v>
      </c>
      <c r="B736" s="1" t="str">
        <f>IFERROR(__xludf.DUMMYFUNCTION("""COMPUTED_VALUE"""),"-")</f>
        <v>-</v>
      </c>
      <c r="C736" s="1" t="str">
        <f>IFERROR(__xludf.DUMMYFUNCTION("""COMPUTED_VALUE"""),"Shopee")</f>
        <v>Shopee</v>
      </c>
      <c r="D736" s="2">
        <f>IFERROR(__xludf.DUMMYFUNCTION("""COMPUTED_VALUE"""),59.98)</f>
        <v>59.98</v>
      </c>
      <c r="E736" s="1" t="str">
        <f>IFERROR(__xludf.DUMMYFUNCTION("""COMPUTED_VALUE"""),"-")</f>
        <v>-</v>
      </c>
      <c r="F736" s="1" t="str">
        <f>IFERROR(__xludf.DUMMYFUNCTION("""COMPUTED_VALUE"""),"Shopee")</f>
        <v>Shopee</v>
      </c>
      <c r="G736" s="1" t="str">
        <f>IFERROR(__xludf.DUMMYFUNCTION("""COMPUTED_VALUE"""),"Compras")</f>
        <v>Compras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7">
        <f>IFERROR(__xludf.DUMMYFUNCTION("""COMPUTED_VALUE"""),45931.0)</f>
        <v>45931</v>
      </c>
      <c r="B737" s="1" t="str">
        <f>IFERROR(__xludf.DUMMYFUNCTION("""COMPUTED_VALUE"""),"-")</f>
        <v>-</v>
      </c>
      <c r="C737" s="1" t="str">
        <f>IFERROR(__xludf.DUMMYFUNCTION("""COMPUTED_VALUE"""),"Uber")</f>
        <v>Uber</v>
      </c>
      <c r="D737" s="2">
        <f>IFERROR(__xludf.DUMMYFUNCTION("""COMPUTED_VALUE"""),23.96)</f>
        <v>23.96</v>
      </c>
      <c r="E737" s="1" t="str">
        <f>IFERROR(__xludf.DUMMYFUNCTION("""COMPUTED_VALUE"""),"-")</f>
        <v>-</v>
      </c>
      <c r="F737" s="1" t="str">
        <f>IFERROR(__xludf.DUMMYFUNCTION("""COMPUTED_VALUE"""),"Uber")</f>
        <v>Uber</v>
      </c>
      <c r="G737" s="1" t="str">
        <f>IFERROR(__xludf.DUMMYFUNCTION("""COMPUTED_VALUE"""),"Uber/99")</f>
        <v>Uber/99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7">
        <f>IFERROR(__xludf.DUMMYFUNCTION("""COMPUTED_VALUE"""),45931.0)</f>
        <v>45931</v>
      </c>
      <c r="B738" s="1" t="str">
        <f>IFERROR(__xludf.DUMMYFUNCTION("""COMPUTED_VALUE"""),"-")</f>
        <v>-</v>
      </c>
      <c r="C738" s="1" t="str">
        <f>IFERROR(__xludf.DUMMYFUNCTION("""COMPUTED_VALUE"""),"Sorveteria Bandeiran")</f>
        <v>Sorveteria Bandeiran</v>
      </c>
      <c r="D738" s="2">
        <f>IFERROR(__xludf.DUMMYFUNCTION("""COMPUTED_VALUE"""),25.98)</f>
        <v>25.98</v>
      </c>
      <c r="E738" s="1" t="str">
        <f>IFERROR(__xludf.DUMMYFUNCTION("""COMPUTED_VALUE"""),"-")</f>
        <v>-</v>
      </c>
      <c r="F738" s="1" t="str">
        <f>IFERROR(__xludf.DUMMYFUNCTION("""COMPUTED_VALUE"""),"Sorveteria Bandeiran")</f>
        <v>Sorveteria Bandeiran</v>
      </c>
      <c r="G738" s="1" t="str">
        <f>IFERROR(__xludf.DUMMYFUNCTION("""COMPUTED_VALUE"""),"-")</f>
        <v>-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7">
        <f>IFERROR(__xludf.DUMMYFUNCTION("""COMPUTED_VALUE"""),45931.0)</f>
        <v>45931</v>
      </c>
      <c r="B739" s="1" t="str">
        <f>IFERROR(__xludf.DUMMYFUNCTION("""COMPUTED_VALUE"""),"-")</f>
        <v>-</v>
      </c>
      <c r="C739" s="1" t="str">
        <f>IFERROR(__xludf.DUMMYFUNCTION("""COMPUTED_VALUE"""),"Barnabe Emporio")</f>
        <v>Barnabe Emporio</v>
      </c>
      <c r="D739" s="2">
        <f>IFERROR(__xludf.DUMMYFUNCTION("""COMPUTED_VALUE"""),19.9)</f>
        <v>19.9</v>
      </c>
      <c r="E739" s="1" t="str">
        <f>IFERROR(__xludf.DUMMYFUNCTION("""COMPUTED_VALUE"""),"-")</f>
        <v>-</v>
      </c>
      <c r="F739" s="1" t="str">
        <f>IFERROR(__xludf.DUMMYFUNCTION("""COMPUTED_VALUE"""),"Barnabe Emporio")</f>
        <v>Barnabe Emporio</v>
      </c>
      <c r="G739" s="1" t="str">
        <f>IFERROR(__xludf.DUMMYFUNCTION("""COMPUTED_VALUE"""),"Comida")</f>
        <v>Comida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7">
        <f>IFERROR(__xludf.DUMMYFUNCTION("""COMPUTED_VALUE"""),45931.0)</f>
        <v>45931</v>
      </c>
      <c r="B740" s="1" t="str">
        <f>IFERROR(__xludf.DUMMYFUNCTION("""COMPUTED_VALUE"""),"-")</f>
        <v>-</v>
      </c>
      <c r="C740" s="1" t="str">
        <f>IFERROR(__xludf.DUMMYFUNCTION("""COMPUTED_VALUE"""),"Momento Super Nosso")</f>
        <v>Momento Super Nosso</v>
      </c>
      <c r="D740" s="2">
        <f>IFERROR(__xludf.DUMMYFUNCTION("""COMPUTED_VALUE"""),22.25)</f>
        <v>22.25</v>
      </c>
      <c r="E740" s="1" t="str">
        <f>IFERROR(__xludf.DUMMYFUNCTION("""COMPUTED_VALUE"""),"-")</f>
        <v>-</v>
      </c>
      <c r="F740" s="1" t="str">
        <f>IFERROR(__xludf.DUMMYFUNCTION("""COMPUTED_VALUE"""),"Momento Super Nosso")</f>
        <v>Momento Super Nosso</v>
      </c>
      <c r="G740" s="1" t="str">
        <f>IFERROR(__xludf.DUMMYFUNCTION("""COMPUTED_VALUE"""),"-")</f>
        <v>-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7">
        <f>IFERROR(__xludf.DUMMYFUNCTION("""COMPUTED_VALUE"""),45931.0)</f>
        <v>45931</v>
      </c>
      <c r="B741" s="1" t="str">
        <f>IFERROR(__xludf.DUMMYFUNCTION("""COMPUTED_VALUE"""),"-")</f>
        <v>-</v>
      </c>
      <c r="C741" s="1" t="str">
        <f>IFERROR(__xludf.DUMMYFUNCTION("""COMPUTED_VALUE"""),"Golden Pet")</f>
        <v>Golden Pet</v>
      </c>
      <c r="D741" s="2">
        <f>IFERROR(__xludf.DUMMYFUNCTION("""COMPUTED_VALUE"""),59.0)</f>
        <v>59</v>
      </c>
      <c r="E741" s="1" t="str">
        <f>IFERROR(__xludf.DUMMYFUNCTION("""COMPUTED_VALUE"""),"-")</f>
        <v>-</v>
      </c>
      <c r="F741" s="1" t="str">
        <f>IFERROR(__xludf.DUMMYFUNCTION("""COMPUTED_VALUE"""),"Golden Pet")</f>
        <v>Golden Pet</v>
      </c>
      <c r="G741" s="1" t="str">
        <f>IFERROR(__xludf.DUMMYFUNCTION("""COMPUTED_VALUE"""),"Hulk")</f>
        <v>Hulk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7">
        <f>IFERROR(__xludf.DUMMYFUNCTION("""COMPUTED_VALUE"""),45931.0)</f>
        <v>45931</v>
      </c>
      <c r="B742" s="1" t="str">
        <f>IFERROR(__xludf.DUMMYFUNCTION("""COMPUTED_VALUE"""),"-")</f>
        <v>-</v>
      </c>
      <c r="C742" s="1" t="str">
        <f>IFERROR(__xludf.DUMMYFUNCTION("""COMPUTED_VALUE"""),"Shopee")</f>
        <v>Shopee</v>
      </c>
      <c r="D742" s="2">
        <f>IFERROR(__xludf.DUMMYFUNCTION("""COMPUTED_VALUE"""),86.0)</f>
        <v>86</v>
      </c>
      <c r="E742" s="1" t="str">
        <f>IFERROR(__xludf.DUMMYFUNCTION("""COMPUTED_VALUE"""),"-")</f>
        <v>-</v>
      </c>
      <c r="F742" s="1" t="str">
        <f>IFERROR(__xludf.DUMMYFUNCTION("""COMPUTED_VALUE"""),"Shopee")</f>
        <v>Shopee</v>
      </c>
      <c r="G742" s="1" t="str">
        <f>IFERROR(__xludf.DUMMYFUNCTION("""COMPUTED_VALUE"""),"Compras")</f>
        <v>Compras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7">
        <f>IFERROR(__xludf.DUMMYFUNCTION("""COMPUTED_VALUE"""),45931.0)</f>
        <v>45931</v>
      </c>
      <c r="B743" s="1" t="str">
        <f>IFERROR(__xludf.DUMMYFUNCTION("""COMPUTED_VALUE"""),"-")</f>
        <v>-</v>
      </c>
      <c r="C743" s="1" t="str">
        <f>IFERROR(__xludf.DUMMYFUNCTION("""COMPUTED_VALUE"""),"Drogaria Ara Araujo")</f>
        <v>Drogaria Ara Araujo</v>
      </c>
      <c r="D743" s="2">
        <f>IFERROR(__xludf.DUMMYFUNCTION("""COMPUTED_VALUE"""),55.47)</f>
        <v>55.47</v>
      </c>
      <c r="E743" s="1" t="str">
        <f>IFERROR(__xludf.DUMMYFUNCTION("""COMPUTED_VALUE"""),"-")</f>
        <v>-</v>
      </c>
      <c r="F743" s="1" t="str">
        <f>IFERROR(__xludf.DUMMYFUNCTION("""COMPUTED_VALUE"""),"Drogaria Ara Araujo")</f>
        <v>Drogaria Ara Araujo</v>
      </c>
      <c r="G743" s="1" t="str">
        <f>IFERROR(__xludf.DUMMYFUNCTION("""COMPUTED_VALUE"""),"Farmácia")</f>
        <v>Farmácia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7">
        <f>IFERROR(__xludf.DUMMYFUNCTION("""COMPUTED_VALUE"""),45931.0)</f>
        <v>45931</v>
      </c>
      <c r="B744" s="1" t="str">
        <f>IFERROR(__xludf.DUMMYFUNCTION("""COMPUTED_VALUE"""),"-")</f>
        <v>-</v>
      </c>
      <c r="C744" s="1" t="str">
        <f>IFERROR(__xludf.DUMMYFUNCTION("""COMPUTED_VALUE"""),"Unisant")</f>
        <v>Unisant</v>
      </c>
      <c r="D744" s="2">
        <f>IFERROR(__xludf.DUMMYFUNCTION("""COMPUTED_VALUE"""),236.8)</f>
        <v>236.8</v>
      </c>
      <c r="E744" s="1" t="str">
        <f>IFERROR(__xludf.DUMMYFUNCTION("""COMPUTED_VALUE"""),"-")</f>
        <v>-</v>
      </c>
      <c r="F744" s="1" t="str">
        <f>IFERROR(__xludf.DUMMYFUNCTION("""COMPUTED_VALUE"""),"Unisant")</f>
        <v>Unisant</v>
      </c>
      <c r="G744" s="1" t="str">
        <f>IFERROR(__xludf.DUMMYFUNCTION("""COMPUTED_VALUE"""),"-")</f>
        <v>-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7">
        <f>IFERROR(__xludf.DUMMYFUNCTION("""COMPUTED_VALUE"""),45931.0)</f>
        <v>45931</v>
      </c>
      <c r="B745" s="1" t="str">
        <f>IFERROR(__xludf.DUMMYFUNCTION("""COMPUTED_VALUE"""),"-")</f>
        <v>-</v>
      </c>
      <c r="C745" s="1" t="str">
        <f>IFERROR(__xludf.DUMMYFUNCTION("""COMPUTED_VALUE"""),"Paixao Pela Italia Res")</f>
        <v>Paixao Pela Italia Res</v>
      </c>
      <c r="D745" s="2">
        <f>IFERROR(__xludf.DUMMYFUNCTION("""COMPUTED_VALUE"""),487.03)</f>
        <v>487.03</v>
      </c>
      <c r="E745" s="1" t="str">
        <f>IFERROR(__xludf.DUMMYFUNCTION("""COMPUTED_VALUE"""),"-")</f>
        <v>-</v>
      </c>
      <c r="F745" s="1" t="str">
        <f>IFERROR(__xludf.DUMMYFUNCTION("""COMPUTED_VALUE"""),"Paixao Pela Italia Res")</f>
        <v>Paixao Pela Italia Res</v>
      </c>
      <c r="G745" s="1" t="str">
        <f>IFERROR(__xludf.DUMMYFUNCTION("""COMPUTED_VALUE"""),"-")</f>
        <v>-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7">
        <f>IFERROR(__xludf.DUMMYFUNCTION("""COMPUTED_VALUE"""),45931.0)</f>
        <v>45931</v>
      </c>
      <c r="B746" s="1" t="str">
        <f>IFERROR(__xludf.DUMMYFUNCTION("""COMPUTED_VALUE"""),"-")</f>
        <v>-</v>
      </c>
      <c r="C746" s="1" t="str">
        <f>IFERROR(__xludf.DUMMYFUNCTION("""COMPUTED_VALUE"""),"Dma Distribuidora Sa (2/2)")</f>
        <v>Dma Distribuidora Sa (2/2)</v>
      </c>
      <c r="D746" s="2">
        <f>IFERROR(__xludf.DUMMYFUNCTION("""COMPUTED_VALUE"""),24.02)</f>
        <v>24.02</v>
      </c>
      <c r="E746" s="1" t="str">
        <f>IFERROR(__xludf.DUMMYFUNCTION("""COMPUTED_VALUE"""),"-")</f>
        <v>-</v>
      </c>
      <c r="F746" s="1" t="str">
        <f>IFERROR(__xludf.DUMMYFUNCTION("""COMPUTED_VALUE"""),"Dma Distribuidora Sa")</f>
        <v>Dma Distribuidora Sa</v>
      </c>
      <c r="G746" s="1" t="str">
        <f>IFERROR(__xludf.DUMMYFUNCTION("""COMPUTED_VALUE"""),"Supermercado")</f>
        <v>Supermercado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7">
        <f>IFERROR(__xludf.DUMMYFUNCTION("""COMPUTED_VALUE"""),45931.0)</f>
        <v>45931</v>
      </c>
      <c r="B747" s="1" t="str">
        <f>IFERROR(__xludf.DUMMYFUNCTION("""COMPUTED_VALUE"""),"-")</f>
        <v>-</v>
      </c>
      <c r="C747" s="1" t="str">
        <f>IFERROR(__xludf.DUMMYFUNCTION("""COMPUTED_VALUE"""),"Dma Distribuidora Sa (1/2)")</f>
        <v>Dma Distribuidora Sa (1/2)</v>
      </c>
      <c r="D747" s="2">
        <f>IFERROR(__xludf.DUMMYFUNCTION("""COMPUTED_VALUE"""),24.02)</f>
        <v>24.02</v>
      </c>
      <c r="E747" s="1" t="str">
        <f>IFERROR(__xludf.DUMMYFUNCTION("""COMPUTED_VALUE"""),"-")</f>
        <v>-</v>
      </c>
      <c r="F747" s="1" t="str">
        <f>IFERROR(__xludf.DUMMYFUNCTION("""COMPUTED_VALUE"""),"Dma Distribuidora Sa")</f>
        <v>Dma Distribuidora Sa</v>
      </c>
      <c r="G747" s="1" t="str">
        <f>IFERROR(__xludf.DUMMYFUNCTION("""COMPUTED_VALUE"""),"Supermercado")</f>
        <v>Supermercado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7">
        <f>IFERROR(__xludf.DUMMYFUNCTION("""COMPUTED_VALUE"""),45931.0)</f>
        <v>45931</v>
      </c>
      <c r="B748" s="1" t="str">
        <f>IFERROR(__xludf.DUMMYFUNCTION("""COMPUTED_VALUE"""),"-")</f>
        <v>-</v>
      </c>
      <c r="C748" s="1" t="str">
        <f>IFERROR(__xludf.DUMMYFUNCTION("""COMPUTED_VALUE"""),"Pops Lanches")</f>
        <v>Pops Lanches</v>
      </c>
      <c r="D748" s="2">
        <f>IFERROR(__xludf.DUMMYFUNCTION("""COMPUTED_VALUE"""),13.0)</f>
        <v>13</v>
      </c>
      <c r="E748" s="1" t="str">
        <f>IFERROR(__xludf.DUMMYFUNCTION("""COMPUTED_VALUE"""),"-")</f>
        <v>-</v>
      </c>
      <c r="F748" s="1" t="str">
        <f>IFERROR(__xludf.DUMMYFUNCTION("""COMPUTED_VALUE"""),"Pops Lanches")</f>
        <v>Pops Lanches</v>
      </c>
      <c r="G748" s="1" t="str">
        <f>IFERROR(__xludf.DUMMYFUNCTION("""COMPUTED_VALUE"""),"-")</f>
        <v>-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7">
        <f>IFERROR(__xludf.DUMMYFUNCTION("""COMPUTED_VALUE"""),45931.0)</f>
        <v>45931</v>
      </c>
      <c r="B749" s="1" t="str">
        <f>IFERROR(__xludf.DUMMYFUNCTION("""COMPUTED_VALUE"""),"-")</f>
        <v>-</v>
      </c>
      <c r="C749" s="1" t="str">
        <f>IFERROR(__xludf.DUMMYFUNCTION("""COMPUTED_VALUE"""),"Drogaria Ara Araujo")</f>
        <v>Drogaria Ara Araujo</v>
      </c>
      <c r="D749" s="2">
        <f>IFERROR(__xludf.DUMMYFUNCTION("""COMPUTED_VALUE"""),21.99)</f>
        <v>21.99</v>
      </c>
      <c r="E749" s="1" t="str">
        <f>IFERROR(__xludf.DUMMYFUNCTION("""COMPUTED_VALUE"""),"-")</f>
        <v>-</v>
      </c>
      <c r="F749" s="1" t="str">
        <f>IFERROR(__xludf.DUMMYFUNCTION("""COMPUTED_VALUE"""),"Drogaria Ara Araujo")</f>
        <v>Drogaria Ara Araujo</v>
      </c>
      <c r="G749" s="1" t="str">
        <f>IFERROR(__xludf.DUMMYFUNCTION("""COMPUTED_VALUE"""),"Farmácia")</f>
        <v>Farmácia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7">
        <f>IFERROR(__xludf.DUMMYFUNCTION("""COMPUTED_VALUE"""),45931.0)</f>
        <v>45931</v>
      </c>
      <c r="B750" s="1" t="str">
        <f>IFERROR(__xludf.DUMMYFUNCTION("""COMPUTED_VALUE"""),"-")</f>
        <v>-</v>
      </c>
      <c r="C750" s="1">
        <f>IFERROR(__xludf.DUMMYFUNCTION("""COMPUTED_VALUE"""),99.0)</f>
        <v>99</v>
      </c>
      <c r="D750" s="2">
        <f>IFERROR(__xludf.DUMMYFUNCTION("""COMPUTED_VALUE"""),11.7)</f>
        <v>11.7</v>
      </c>
      <c r="E750" s="1" t="str">
        <f>IFERROR(__xludf.DUMMYFUNCTION("""COMPUTED_VALUE"""),"-")</f>
        <v>-</v>
      </c>
      <c r="F750" s="1" t="str">
        <f>IFERROR(__xludf.DUMMYFUNCTION("""COMPUTED_VALUE"""),"99")</f>
        <v>99</v>
      </c>
      <c r="G750" s="1" t="str">
        <f>IFERROR(__xludf.DUMMYFUNCTION("""COMPUTED_VALUE"""),"Uber/99")</f>
        <v>Uber/99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7">
        <f>IFERROR(__xludf.DUMMYFUNCTION("""COMPUTED_VALUE"""),45931.0)</f>
        <v>45931</v>
      </c>
      <c r="B751" s="1" t="str">
        <f>IFERROR(__xludf.DUMMYFUNCTION("""COMPUTED_VALUE"""),"-")</f>
        <v>-</v>
      </c>
      <c r="C751" s="1">
        <f>IFERROR(__xludf.DUMMYFUNCTION("""COMPUTED_VALUE"""),99.0)</f>
        <v>99</v>
      </c>
      <c r="D751" s="2">
        <f>IFERROR(__xludf.DUMMYFUNCTION("""COMPUTED_VALUE"""),12.7)</f>
        <v>12.7</v>
      </c>
      <c r="E751" s="1" t="str">
        <f>IFERROR(__xludf.DUMMYFUNCTION("""COMPUTED_VALUE"""),"-")</f>
        <v>-</v>
      </c>
      <c r="F751" s="1" t="str">
        <f>IFERROR(__xludf.DUMMYFUNCTION("""COMPUTED_VALUE"""),"99")</f>
        <v>99</v>
      </c>
      <c r="G751" s="1" t="str">
        <f>IFERROR(__xludf.DUMMYFUNCTION("""COMPUTED_VALUE"""),"Uber/99")</f>
        <v>Uber/99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7">
        <f>IFERROR(__xludf.DUMMYFUNCTION("""COMPUTED_VALUE"""),45931.0)</f>
        <v>45931</v>
      </c>
      <c r="B752" s="1" t="str">
        <f>IFERROR(__xludf.DUMMYFUNCTION("""COMPUTED_VALUE"""),"-")</f>
        <v>-</v>
      </c>
      <c r="C752" s="1" t="str">
        <f>IFERROR(__xludf.DUMMYFUNCTION("""COMPUTED_VALUE"""),"Drogaria Ara Araujo")</f>
        <v>Drogaria Ara Araujo</v>
      </c>
      <c r="D752" s="2">
        <f>IFERROR(__xludf.DUMMYFUNCTION("""COMPUTED_VALUE"""),18.98)</f>
        <v>18.98</v>
      </c>
      <c r="E752" s="1" t="str">
        <f>IFERROR(__xludf.DUMMYFUNCTION("""COMPUTED_VALUE"""),"-")</f>
        <v>-</v>
      </c>
      <c r="F752" s="1" t="str">
        <f>IFERROR(__xludf.DUMMYFUNCTION("""COMPUTED_VALUE"""),"Drogaria Ara Araujo")</f>
        <v>Drogaria Ara Araujo</v>
      </c>
      <c r="G752" s="1" t="str">
        <f>IFERROR(__xludf.DUMMYFUNCTION("""COMPUTED_VALUE"""),"Farmácia")</f>
        <v>Farmácia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7">
        <f>IFERROR(__xludf.DUMMYFUNCTION("""COMPUTED_VALUE"""),45931.0)</f>
        <v>45931</v>
      </c>
      <c r="B753" s="1" t="str">
        <f>IFERROR(__xludf.DUMMYFUNCTION("""COMPUTED_VALUE"""),"-")</f>
        <v>-</v>
      </c>
      <c r="C753" s="1" t="str">
        <f>IFERROR(__xludf.DUMMYFUNCTION("""COMPUTED_VALUE"""),"Locaweb")</f>
        <v>Locaweb</v>
      </c>
      <c r="D753" s="2">
        <f>IFERROR(__xludf.DUMMYFUNCTION("""COMPUTED_VALUE"""),26.9)</f>
        <v>26.9</v>
      </c>
      <c r="E753" s="1" t="str">
        <f>IFERROR(__xludf.DUMMYFUNCTION("""COMPUTED_VALUE"""),"-")</f>
        <v>-</v>
      </c>
      <c r="F753" s="1" t="str">
        <f>IFERROR(__xludf.DUMMYFUNCTION("""COMPUTED_VALUE"""),"Locaweb")</f>
        <v>Locaweb</v>
      </c>
      <c r="G753" s="1" t="str">
        <f>IFERROR(__xludf.DUMMYFUNCTION("""COMPUTED_VALUE"""),"-")</f>
        <v>-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7">
        <f>IFERROR(__xludf.DUMMYFUNCTION("""COMPUTED_VALUE"""),45931.0)</f>
        <v>45931</v>
      </c>
      <c r="B754" s="1" t="str">
        <f>IFERROR(__xludf.DUMMYFUNCTION("""COMPUTED_VALUE"""),"-")</f>
        <v>-</v>
      </c>
      <c r="C754" s="1" t="str">
        <f>IFERROR(__xludf.DUMMYFUNCTION("""COMPUTED_VALUE"""),"Shopee")</f>
        <v>Shopee</v>
      </c>
      <c r="D754" s="2">
        <f>IFERROR(__xludf.DUMMYFUNCTION("""COMPUTED_VALUE"""),13.14)</f>
        <v>13.14</v>
      </c>
      <c r="E754" s="1" t="str">
        <f>IFERROR(__xludf.DUMMYFUNCTION("""COMPUTED_VALUE"""),"-")</f>
        <v>-</v>
      </c>
      <c r="F754" s="1" t="str">
        <f>IFERROR(__xludf.DUMMYFUNCTION("""COMPUTED_VALUE"""),"Shopee")</f>
        <v>Shopee</v>
      </c>
      <c r="G754" s="1" t="str">
        <f>IFERROR(__xludf.DUMMYFUNCTION("""COMPUTED_VALUE"""),"Compras")</f>
        <v>Compras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7">
        <f>IFERROR(__xludf.DUMMYFUNCTION("""COMPUTED_VALUE"""),45931.0)</f>
        <v>45931</v>
      </c>
      <c r="B755" s="1" t="str">
        <f>IFERROR(__xludf.DUMMYFUNCTION("""COMPUTED_VALUE"""),"-")</f>
        <v>-</v>
      </c>
      <c r="C755" s="1" t="str">
        <f>IFERROR(__xludf.DUMMYFUNCTION("""COMPUTED_VALUE"""),"Amazonmktplc Zidineiaa")</f>
        <v>Amazonmktplc Zidineiaa</v>
      </c>
      <c r="D755" s="2">
        <f>IFERROR(__xludf.DUMMYFUNCTION("""COMPUTED_VALUE"""),78.99)</f>
        <v>78.99</v>
      </c>
      <c r="E755" s="1" t="str">
        <f>IFERROR(__xludf.DUMMYFUNCTION("""COMPUTED_VALUE"""),"-")</f>
        <v>-</v>
      </c>
      <c r="F755" s="1" t="str">
        <f>IFERROR(__xludf.DUMMYFUNCTION("""COMPUTED_VALUE"""),"Amazonmktplc")</f>
        <v>Amazonmktplc</v>
      </c>
      <c r="G755" s="1" t="str">
        <f>IFERROR(__xludf.DUMMYFUNCTION("""COMPUTED_VALUE"""),"Compras")</f>
        <v>Compras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7">
        <f>IFERROR(__xludf.DUMMYFUNCTION("""COMPUTED_VALUE"""),45931.0)</f>
        <v>45931</v>
      </c>
      <c r="B756" s="1" t="str">
        <f>IFERROR(__xludf.DUMMYFUNCTION("""COMPUTED_VALUE"""),"-")</f>
        <v>-</v>
      </c>
      <c r="C756" s="1" t="str">
        <f>IFERROR(__xludf.DUMMYFUNCTION("""COMPUTED_VALUE"""),"Drogaria Araujo")</f>
        <v>Drogaria Araujo</v>
      </c>
      <c r="D756" s="2">
        <f>IFERROR(__xludf.DUMMYFUNCTION("""COMPUTED_VALUE"""),3.87)</f>
        <v>3.87</v>
      </c>
      <c r="E756" s="1" t="str">
        <f>IFERROR(__xludf.DUMMYFUNCTION("""COMPUTED_VALUE"""),"-")</f>
        <v>-</v>
      </c>
      <c r="F756" s="1" t="str">
        <f>IFERROR(__xludf.DUMMYFUNCTION("""COMPUTED_VALUE"""),"Drogaria Araujo")</f>
        <v>Drogaria Araujo</v>
      </c>
      <c r="G756" s="1" t="str">
        <f>IFERROR(__xludf.DUMMYFUNCTION("""COMPUTED_VALUE"""),"Farmácia")</f>
        <v>Farmácia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7">
        <f>IFERROR(__xludf.DUMMYFUNCTION("""COMPUTED_VALUE"""),45931.0)</f>
        <v>45931</v>
      </c>
      <c r="B757" s="1" t="str">
        <f>IFERROR(__xludf.DUMMYFUNCTION("""COMPUTED_VALUE"""),"-")</f>
        <v>-</v>
      </c>
      <c r="C757" s="1" t="str">
        <f>IFERROR(__xludf.DUMMYFUNCTION("""COMPUTED_VALUE"""),"Drogaria Araujo")</f>
        <v>Drogaria Araujo</v>
      </c>
      <c r="D757" s="2">
        <f>IFERROR(__xludf.DUMMYFUNCTION("""COMPUTED_VALUE"""),7.99)</f>
        <v>7.99</v>
      </c>
      <c r="E757" s="1" t="str">
        <f>IFERROR(__xludf.DUMMYFUNCTION("""COMPUTED_VALUE"""),"-")</f>
        <v>-</v>
      </c>
      <c r="F757" s="1" t="str">
        <f>IFERROR(__xludf.DUMMYFUNCTION("""COMPUTED_VALUE"""),"Drogaria Araujo")</f>
        <v>Drogaria Araujo</v>
      </c>
      <c r="G757" s="1" t="str">
        <f>IFERROR(__xludf.DUMMYFUNCTION("""COMPUTED_VALUE"""),"Farmácia")</f>
        <v>Farmácia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7">
        <f>IFERROR(__xludf.DUMMYFUNCTION("""COMPUTED_VALUE"""),45931.0)</f>
        <v>45931</v>
      </c>
      <c r="B758" s="1" t="str">
        <f>IFERROR(__xludf.DUMMYFUNCTION("""COMPUTED_VALUE"""),"-")</f>
        <v>-</v>
      </c>
      <c r="C758" s="1" t="str">
        <f>IFERROR(__xludf.DUMMYFUNCTION("""COMPUTED_VALUE"""),"Rizzo Horizonte")</f>
        <v>Rizzo Horizonte</v>
      </c>
      <c r="D758" s="2">
        <f>IFERROR(__xludf.DUMMYFUNCTION("""COMPUTED_VALUE"""),32.4)</f>
        <v>32.4</v>
      </c>
      <c r="E758" s="1" t="str">
        <f>IFERROR(__xludf.DUMMYFUNCTION("""COMPUTED_VALUE"""),"-")</f>
        <v>-</v>
      </c>
      <c r="F758" s="1" t="str">
        <f>IFERROR(__xludf.DUMMYFUNCTION("""COMPUTED_VALUE"""),"Rizzo Horizonte")</f>
        <v>Rizzo Horizonte</v>
      </c>
      <c r="G758" s="1" t="str">
        <f>IFERROR(__xludf.DUMMYFUNCTION("""COMPUTED_VALUE"""),"-")</f>
        <v>-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7">
        <f>IFERROR(__xludf.DUMMYFUNCTION("""COMPUTED_VALUE"""),45931.0)</f>
        <v>45931</v>
      </c>
      <c r="B759" s="1" t="str">
        <f>IFERROR(__xludf.DUMMYFUNCTION("""COMPUTED_VALUE"""),"-")</f>
        <v>-</v>
      </c>
      <c r="C759" s="1" t="str">
        <f>IFERROR(__xludf.DUMMYFUNCTION("""COMPUTED_VALUE"""),"Super Nosso (2/2)")</f>
        <v>Super Nosso (2/2)</v>
      </c>
      <c r="D759" s="2">
        <f>IFERROR(__xludf.DUMMYFUNCTION("""COMPUTED_VALUE"""),210.01)</f>
        <v>210.01</v>
      </c>
      <c r="E759" s="1" t="str">
        <f>IFERROR(__xludf.DUMMYFUNCTION("""COMPUTED_VALUE"""),"-")</f>
        <v>-</v>
      </c>
      <c r="F759" s="1" t="str">
        <f>IFERROR(__xludf.DUMMYFUNCTION("""COMPUTED_VALUE"""),"Super Nosso")</f>
        <v>Super Nosso</v>
      </c>
      <c r="G759" s="1" t="str">
        <f>IFERROR(__xludf.DUMMYFUNCTION("""COMPUTED_VALUE"""),"Supermercado")</f>
        <v>Supermercado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7">
        <f>IFERROR(__xludf.DUMMYFUNCTION("""COMPUTED_VALUE"""),45931.0)</f>
        <v>45931</v>
      </c>
      <c r="B760" s="1" t="str">
        <f>IFERROR(__xludf.DUMMYFUNCTION("""COMPUTED_VALUE"""),"-")</f>
        <v>-</v>
      </c>
      <c r="C760" s="1" t="str">
        <f>IFERROR(__xludf.DUMMYFUNCTION("""COMPUTED_VALUE"""),"Super Nosso (1/2)")</f>
        <v>Super Nosso (1/2)</v>
      </c>
      <c r="D760" s="2">
        <f>IFERROR(__xludf.DUMMYFUNCTION("""COMPUTED_VALUE"""),210.01)</f>
        <v>210.01</v>
      </c>
      <c r="E760" s="1" t="str">
        <f>IFERROR(__xludf.DUMMYFUNCTION("""COMPUTED_VALUE"""),"-")</f>
        <v>-</v>
      </c>
      <c r="F760" s="1" t="str">
        <f>IFERROR(__xludf.DUMMYFUNCTION("""COMPUTED_VALUE"""),"Super Nosso")</f>
        <v>Super Nosso</v>
      </c>
      <c r="G760" s="1" t="str">
        <f>IFERROR(__xludf.DUMMYFUNCTION("""COMPUTED_VALUE"""),"Supermercado")</f>
        <v>Supermercado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7">
        <f>IFERROR(__xludf.DUMMYFUNCTION("""COMPUTED_VALUE"""),45931.0)</f>
        <v>45931</v>
      </c>
      <c r="B761" s="1" t="str">
        <f>IFERROR(__xludf.DUMMYFUNCTION("""COMPUTED_VALUE"""),"-")</f>
        <v>-</v>
      </c>
      <c r="C761" s="1" t="str">
        <f>IFERROR(__xludf.DUMMYFUNCTION("""COMPUTED_VALUE"""),"Laserxinforma (1/12)")</f>
        <v>Laserxinforma (1/12)</v>
      </c>
      <c r="D761" s="2">
        <f>IFERROR(__xludf.DUMMYFUNCTION("""COMPUTED_VALUE"""),76.5)</f>
        <v>76.5</v>
      </c>
      <c r="E761" s="1" t="str">
        <f>IFERROR(__xludf.DUMMYFUNCTION("""COMPUTED_VALUE"""),"-")</f>
        <v>-</v>
      </c>
      <c r="F761" s="1" t="str">
        <f>IFERROR(__xludf.DUMMYFUNCTION("""COMPUTED_VALUE"""),"Laserxinforma")</f>
        <v>Laserxinforma</v>
      </c>
      <c r="G761" s="1" t="str">
        <f>IFERROR(__xludf.DUMMYFUNCTION("""COMPUTED_VALUE"""),"-")</f>
        <v>-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7">
        <f>IFERROR(__xludf.DUMMYFUNCTION("""COMPUTED_VALUE"""),45931.0)</f>
        <v>45931</v>
      </c>
      <c r="B762" s="1" t="str">
        <f>IFERROR(__xludf.DUMMYFUNCTION("""COMPUTED_VALUE"""),"-")</f>
        <v>-</v>
      </c>
      <c r="C762" s="1" t="str">
        <f>IFERROR(__xludf.DUMMYFUNCTION("""COMPUTED_VALUE"""),"Amazon")</f>
        <v>Amazon</v>
      </c>
      <c r="D762" s="2">
        <f>IFERROR(__xludf.DUMMYFUNCTION("""COMPUTED_VALUE"""),13.72)</f>
        <v>13.72</v>
      </c>
      <c r="E762" s="1" t="str">
        <f>IFERROR(__xludf.DUMMYFUNCTION("""COMPUTED_VALUE"""),"-")</f>
        <v>-</v>
      </c>
      <c r="F762" s="1" t="str">
        <f>IFERROR(__xludf.DUMMYFUNCTION("""COMPUTED_VALUE"""),"Amazon")</f>
        <v>Amazon</v>
      </c>
      <c r="G762" s="1" t="str">
        <f>IFERROR(__xludf.DUMMYFUNCTION("""COMPUTED_VALUE"""),"Compras")</f>
        <v>Compras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7">
        <f>IFERROR(__xludf.DUMMYFUNCTION("""COMPUTED_VALUE"""),45931.0)</f>
        <v>45931</v>
      </c>
      <c r="B763" s="1" t="str">
        <f>IFERROR(__xludf.DUMMYFUNCTION("""COMPUTED_VALUE"""),"-")</f>
        <v>-</v>
      </c>
      <c r="C763" s="1" t="str">
        <f>IFERROR(__xludf.DUMMYFUNCTION("""COMPUTED_VALUE"""),"Amazon")</f>
        <v>Amazon</v>
      </c>
      <c r="D763" s="2">
        <f>IFERROR(__xludf.DUMMYFUNCTION("""COMPUTED_VALUE"""),70.08)</f>
        <v>70.08</v>
      </c>
      <c r="E763" s="1" t="str">
        <f>IFERROR(__xludf.DUMMYFUNCTION("""COMPUTED_VALUE"""),"-")</f>
        <v>-</v>
      </c>
      <c r="F763" s="1" t="str">
        <f>IFERROR(__xludf.DUMMYFUNCTION("""COMPUTED_VALUE"""),"Amazon")</f>
        <v>Amazon</v>
      </c>
      <c r="G763" s="1" t="str">
        <f>IFERROR(__xludf.DUMMYFUNCTION("""COMPUTED_VALUE"""),"Compras")</f>
        <v>Compras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7">
        <f>IFERROR(__xludf.DUMMYFUNCTION("""COMPUTED_VALUE"""),45931.0)</f>
        <v>45931</v>
      </c>
      <c r="B764" s="1" t="str">
        <f>IFERROR(__xludf.DUMMYFUNCTION("""COMPUTED_VALUE"""),"-")</f>
        <v>-</v>
      </c>
      <c r="C764" s="1" t="str">
        <f>IFERROR(__xludf.DUMMYFUNCTION("""COMPUTED_VALUE"""),"Spotify")</f>
        <v>Spotify</v>
      </c>
      <c r="D764" s="2">
        <f>IFERROR(__xludf.DUMMYFUNCTION("""COMPUTED_VALUE"""),40.9)</f>
        <v>40.9</v>
      </c>
      <c r="E764" s="1" t="str">
        <f>IFERROR(__xludf.DUMMYFUNCTION("""COMPUTED_VALUE"""),"-")</f>
        <v>-</v>
      </c>
      <c r="F764" s="1" t="str">
        <f>IFERROR(__xludf.DUMMYFUNCTION("""COMPUTED_VALUE"""),"Spotify")</f>
        <v>Spotify</v>
      </c>
      <c r="G764" s="1" t="str">
        <f>IFERROR(__xludf.DUMMYFUNCTION("""COMPUTED_VALUE"""),"Assinatura")</f>
        <v>Assinatura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7">
        <f>IFERROR(__xludf.DUMMYFUNCTION("""COMPUTED_VALUE"""),45931.0)</f>
        <v>45931</v>
      </c>
      <c r="B765" s="1" t="str">
        <f>IFERROR(__xludf.DUMMYFUNCTION("""COMPUTED_VALUE"""),"-")</f>
        <v>-</v>
      </c>
      <c r="C765" s="1" t="str">
        <f>IFERROR(__xludf.DUMMYFUNCTION("""COMPUTED_VALUE"""),"Choky Confeitaria")</f>
        <v>Choky Confeitaria</v>
      </c>
      <c r="D765" s="2">
        <f>IFERROR(__xludf.DUMMYFUNCTION("""COMPUTED_VALUE"""),21.0)</f>
        <v>21</v>
      </c>
      <c r="E765" s="1" t="str">
        <f>IFERROR(__xludf.DUMMYFUNCTION("""COMPUTED_VALUE"""),"-")</f>
        <v>-</v>
      </c>
      <c r="F765" s="1" t="str">
        <f>IFERROR(__xludf.DUMMYFUNCTION("""COMPUTED_VALUE"""),"Choky Confeitaria")</f>
        <v>Choky Confeitaria</v>
      </c>
      <c r="G765" s="1" t="str">
        <f>IFERROR(__xludf.DUMMYFUNCTION("""COMPUTED_VALUE"""),"-")</f>
        <v>-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7">
        <f>IFERROR(__xludf.DUMMYFUNCTION("""COMPUTED_VALUE"""),45931.0)</f>
        <v>45931</v>
      </c>
      <c r="B766" s="1" t="str">
        <f>IFERROR(__xludf.DUMMYFUNCTION("""COMPUTED_VALUE"""),"-")</f>
        <v>-</v>
      </c>
      <c r="C766" s="1">
        <f>IFERROR(__xludf.DUMMYFUNCTION("""COMPUTED_VALUE"""),99.0)</f>
        <v>99</v>
      </c>
      <c r="D766" s="2">
        <f>IFERROR(__xludf.DUMMYFUNCTION("""COMPUTED_VALUE"""),19.8)</f>
        <v>19.8</v>
      </c>
      <c r="E766" s="1" t="str">
        <f>IFERROR(__xludf.DUMMYFUNCTION("""COMPUTED_VALUE"""),"-")</f>
        <v>-</v>
      </c>
      <c r="F766" s="1" t="str">
        <f>IFERROR(__xludf.DUMMYFUNCTION("""COMPUTED_VALUE"""),"99")</f>
        <v>99</v>
      </c>
      <c r="G766" s="1" t="str">
        <f>IFERROR(__xludf.DUMMYFUNCTION("""COMPUTED_VALUE"""),"Uber/99")</f>
        <v>Uber/99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7">
        <f>IFERROR(__xludf.DUMMYFUNCTION("""COMPUTED_VALUE"""),45931.0)</f>
        <v>45931</v>
      </c>
      <c r="B767" s="1" t="str">
        <f>IFERROR(__xludf.DUMMYFUNCTION("""COMPUTED_VALUE"""),"-")</f>
        <v>-</v>
      </c>
      <c r="C767" s="1" t="str">
        <f>IFERROR(__xludf.DUMMYFUNCTION("""COMPUTED_VALUE"""),"Uber")</f>
        <v>Uber</v>
      </c>
      <c r="D767" s="2">
        <f>IFERROR(__xludf.DUMMYFUNCTION("""COMPUTED_VALUE"""),26.32)</f>
        <v>26.32</v>
      </c>
      <c r="E767" s="1" t="str">
        <f>IFERROR(__xludf.DUMMYFUNCTION("""COMPUTED_VALUE"""),"-")</f>
        <v>-</v>
      </c>
      <c r="F767" s="1" t="str">
        <f>IFERROR(__xludf.DUMMYFUNCTION("""COMPUTED_VALUE"""),"Uber")</f>
        <v>Uber</v>
      </c>
      <c r="G767" s="1" t="str">
        <f>IFERROR(__xludf.DUMMYFUNCTION("""COMPUTED_VALUE"""),"Uber/99")</f>
        <v>Uber/99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7">
        <f>IFERROR(__xludf.DUMMYFUNCTION("""COMPUTED_VALUE"""),45931.0)</f>
        <v>45931</v>
      </c>
      <c r="B768" s="1" t="str">
        <f>IFERROR(__xludf.DUMMYFUNCTION("""COMPUTED_VALUE"""),"-")</f>
        <v>-</v>
      </c>
      <c r="C768" s="1" t="str">
        <f>IFERROR(__xludf.DUMMYFUNCTION("""COMPUTED_VALUE"""),"Uber")</f>
        <v>Uber</v>
      </c>
      <c r="D768" s="2">
        <f>IFERROR(__xludf.DUMMYFUNCTION("""COMPUTED_VALUE"""),22.25)</f>
        <v>22.25</v>
      </c>
      <c r="E768" s="1" t="str">
        <f>IFERROR(__xludf.DUMMYFUNCTION("""COMPUTED_VALUE"""),"-")</f>
        <v>-</v>
      </c>
      <c r="F768" s="1" t="str">
        <f>IFERROR(__xludf.DUMMYFUNCTION("""COMPUTED_VALUE"""),"Uber")</f>
        <v>Uber</v>
      </c>
      <c r="G768" s="1" t="str">
        <f>IFERROR(__xludf.DUMMYFUNCTION("""COMPUTED_VALUE"""),"Uber/99")</f>
        <v>Uber/99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7">
        <f>IFERROR(__xludf.DUMMYFUNCTION("""COMPUTED_VALUE"""),45931.0)</f>
        <v>45931</v>
      </c>
      <c r="B769" s="1" t="str">
        <f>IFERROR(__xludf.DUMMYFUNCTION("""COMPUTED_VALUE"""),"-")</f>
        <v>-</v>
      </c>
      <c r="C769" s="1" t="str">
        <f>IFERROR(__xludf.DUMMYFUNCTION("""COMPUTED_VALUE"""),"Amazon")</f>
        <v>Amazon</v>
      </c>
      <c r="D769" s="2">
        <f>IFERROR(__xludf.DUMMYFUNCTION("""COMPUTED_VALUE"""),9.91)</f>
        <v>9.91</v>
      </c>
      <c r="E769" s="1" t="str">
        <f>IFERROR(__xludf.DUMMYFUNCTION("""COMPUTED_VALUE"""),"-")</f>
        <v>-</v>
      </c>
      <c r="F769" s="1" t="str">
        <f>IFERROR(__xludf.DUMMYFUNCTION("""COMPUTED_VALUE"""),"Amazon")</f>
        <v>Amazon</v>
      </c>
      <c r="G769" s="1" t="str">
        <f>IFERROR(__xludf.DUMMYFUNCTION("""COMPUTED_VALUE"""),"Compras")</f>
        <v>Compras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7">
        <f>IFERROR(__xludf.DUMMYFUNCTION("""COMPUTED_VALUE"""),45931.0)</f>
        <v>45931</v>
      </c>
      <c r="B770" s="1" t="str">
        <f>IFERROR(__xludf.DUMMYFUNCTION("""COMPUTED_VALUE"""),"-")</f>
        <v>-</v>
      </c>
      <c r="C770" s="1">
        <f>IFERROR(__xludf.DUMMYFUNCTION("""COMPUTED_VALUE"""),99.0)</f>
        <v>99</v>
      </c>
      <c r="D770" s="2">
        <f>IFERROR(__xludf.DUMMYFUNCTION("""COMPUTED_VALUE"""),12.69)</f>
        <v>12.69</v>
      </c>
      <c r="E770" s="1" t="str">
        <f>IFERROR(__xludf.DUMMYFUNCTION("""COMPUTED_VALUE"""),"-")</f>
        <v>-</v>
      </c>
      <c r="F770" s="1" t="str">
        <f>IFERROR(__xludf.DUMMYFUNCTION("""COMPUTED_VALUE"""),"99")</f>
        <v>99</v>
      </c>
      <c r="G770" s="1" t="str">
        <f>IFERROR(__xludf.DUMMYFUNCTION("""COMPUTED_VALUE"""),"Uber/99")</f>
        <v>Uber/99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7">
        <f>IFERROR(__xludf.DUMMYFUNCTION("""COMPUTED_VALUE"""),45931.0)</f>
        <v>45931</v>
      </c>
      <c r="B771" s="1" t="str">
        <f>IFERROR(__xludf.DUMMYFUNCTION("""COMPUTED_VALUE"""),"-")</f>
        <v>-</v>
      </c>
      <c r="C771" s="1" t="str">
        <f>IFERROR(__xludf.DUMMYFUNCTION("""COMPUTED_VALUE"""),"Amazon")</f>
        <v>Amazon</v>
      </c>
      <c r="D771" s="2">
        <f>IFERROR(__xludf.DUMMYFUNCTION("""COMPUTED_VALUE"""),22.79)</f>
        <v>22.79</v>
      </c>
      <c r="E771" s="1" t="str">
        <f>IFERROR(__xludf.DUMMYFUNCTION("""COMPUTED_VALUE"""),"-")</f>
        <v>-</v>
      </c>
      <c r="F771" s="1" t="str">
        <f>IFERROR(__xludf.DUMMYFUNCTION("""COMPUTED_VALUE"""),"Amazon")</f>
        <v>Amazon</v>
      </c>
      <c r="G771" s="1" t="str">
        <f>IFERROR(__xludf.DUMMYFUNCTION("""COMPUTED_VALUE"""),"Compras")</f>
        <v>Compras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7">
        <f>IFERROR(__xludf.DUMMYFUNCTION("""COMPUTED_VALUE"""),45931.0)</f>
        <v>45931</v>
      </c>
      <c r="B772" s="1" t="str">
        <f>IFERROR(__xludf.DUMMYFUNCTION("""COMPUTED_VALUE"""),"-")</f>
        <v>-</v>
      </c>
      <c r="C772" s="1" t="str">
        <f>IFERROR(__xludf.DUMMYFUNCTION("""COMPUTED_VALUE"""),"Amazon")</f>
        <v>Amazon</v>
      </c>
      <c r="D772" s="2">
        <f>IFERROR(__xludf.DUMMYFUNCTION("""COMPUTED_VALUE"""),18.96)</f>
        <v>18.96</v>
      </c>
      <c r="E772" s="1" t="str">
        <f>IFERROR(__xludf.DUMMYFUNCTION("""COMPUTED_VALUE"""),"-")</f>
        <v>-</v>
      </c>
      <c r="F772" s="1" t="str">
        <f>IFERROR(__xludf.DUMMYFUNCTION("""COMPUTED_VALUE"""),"Amazon")</f>
        <v>Amazon</v>
      </c>
      <c r="G772" s="1" t="str">
        <f>IFERROR(__xludf.DUMMYFUNCTION("""COMPUTED_VALUE"""),"Compras")</f>
        <v>Compras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7">
        <f>IFERROR(__xludf.DUMMYFUNCTION("""COMPUTED_VALUE"""),45931.0)</f>
        <v>45931</v>
      </c>
      <c r="B773" s="1" t="str">
        <f>IFERROR(__xludf.DUMMYFUNCTION("""COMPUTED_VALUE"""),"-")</f>
        <v>-</v>
      </c>
      <c r="C773" s="1">
        <f>IFERROR(__xludf.DUMMYFUNCTION("""COMPUTED_VALUE"""),99.0)</f>
        <v>99</v>
      </c>
      <c r="D773" s="2">
        <f>IFERROR(__xludf.DUMMYFUNCTION("""COMPUTED_VALUE"""),18.9)</f>
        <v>18.9</v>
      </c>
      <c r="E773" s="1" t="str">
        <f>IFERROR(__xludf.DUMMYFUNCTION("""COMPUTED_VALUE"""),"-")</f>
        <v>-</v>
      </c>
      <c r="F773" s="1" t="str">
        <f>IFERROR(__xludf.DUMMYFUNCTION("""COMPUTED_VALUE"""),"99")</f>
        <v>99</v>
      </c>
      <c r="G773" s="1" t="str">
        <f>IFERROR(__xludf.DUMMYFUNCTION("""COMPUTED_VALUE"""),"Uber/99")</f>
        <v>Uber/99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7">
        <f>IFERROR(__xludf.DUMMYFUNCTION("""COMPUTED_VALUE"""),45931.0)</f>
        <v>45931</v>
      </c>
      <c r="B774" s="1" t="str">
        <f>IFERROR(__xludf.DUMMYFUNCTION("""COMPUTED_VALUE"""),"-")</f>
        <v>-</v>
      </c>
      <c r="C774" s="1">
        <f>IFERROR(__xludf.DUMMYFUNCTION("""COMPUTED_VALUE"""),99.0)</f>
        <v>99</v>
      </c>
      <c r="D774" s="2">
        <f>IFERROR(__xludf.DUMMYFUNCTION("""COMPUTED_VALUE"""),17.6)</f>
        <v>17.6</v>
      </c>
      <c r="E774" s="1" t="str">
        <f>IFERROR(__xludf.DUMMYFUNCTION("""COMPUTED_VALUE"""),"-")</f>
        <v>-</v>
      </c>
      <c r="F774" s="1" t="str">
        <f>IFERROR(__xludf.DUMMYFUNCTION("""COMPUTED_VALUE"""),"99")</f>
        <v>99</v>
      </c>
      <c r="G774" s="1" t="str">
        <f>IFERROR(__xludf.DUMMYFUNCTION("""COMPUTED_VALUE"""),"Uber/99")</f>
        <v>Uber/99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7">
        <f>IFERROR(__xludf.DUMMYFUNCTION("""COMPUTED_VALUE"""),45931.0)</f>
        <v>45931</v>
      </c>
      <c r="B775" s="1" t="str">
        <f>IFERROR(__xludf.DUMMYFUNCTION("""COMPUTED_VALUE"""),"-")</f>
        <v>-</v>
      </c>
      <c r="C775" s="1" t="str">
        <f>IFERROR(__xludf.DUMMYFUNCTION("""COMPUTED_VALUE"""),"Maru")</f>
        <v>Maru</v>
      </c>
      <c r="D775" s="2">
        <f>IFERROR(__xludf.DUMMYFUNCTION("""COMPUTED_VALUE"""),93.98)</f>
        <v>93.98</v>
      </c>
      <c r="E775" s="1" t="str">
        <f>IFERROR(__xludf.DUMMYFUNCTION("""COMPUTED_VALUE"""),"-")</f>
        <v>-</v>
      </c>
      <c r="F775" s="1" t="str">
        <f>IFERROR(__xludf.DUMMYFUNCTION("""COMPUTED_VALUE"""),"Maru")</f>
        <v>Maru</v>
      </c>
      <c r="G775" s="1" t="str">
        <f>IFERROR(__xludf.DUMMYFUNCTION("""COMPUTED_VALUE"""),"-")</f>
        <v>-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7">
        <f>IFERROR(__xludf.DUMMYFUNCTION("""COMPUTED_VALUE"""),45931.0)</f>
        <v>45931</v>
      </c>
      <c r="B776" s="1" t="str">
        <f>IFERROR(__xludf.DUMMYFUNCTION("""COMPUTED_VALUE"""),"-")</f>
        <v>-</v>
      </c>
      <c r="C776" s="1">
        <f>IFERROR(__xludf.DUMMYFUNCTION("""COMPUTED_VALUE"""),99.0)</f>
        <v>99</v>
      </c>
      <c r="D776" s="2">
        <f>IFERROR(__xludf.DUMMYFUNCTION("""COMPUTED_VALUE"""),16.4)</f>
        <v>16.4</v>
      </c>
      <c r="E776" s="1" t="str">
        <f>IFERROR(__xludf.DUMMYFUNCTION("""COMPUTED_VALUE"""),"-")</f>
        <v>-</v>
      </c>
      <c r="F776" s="1" t="str">
        <f>IFERROR(__xludf.DUMMYFUNCTION("""COMPUTED_VALUE"""),"99")</f>
        <v>99</v>
      </c>
      <c r="G776" s="1" t="str">
        <f>IFERROR(__xludf.DUMMYFUNCTION("""COMPUTED_VALUE"""),"Uber/99")</f>
        <v>Uber/99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7">
        <f>IFERROR(__xludf.DUMMYFUNCTION("""COMPUTED_VALUE"""),45931.0)</f>
        <v>45931</v>
      </c>
      <c r="B777" s="1" t="str">
        <f>IFERROR(__xludf.DUMMYFUNCTION("""COMPUTED_VALUE"""),"-")</f>
        <v>-</v>
      </c>
      <c r="C777" s="1" t="str">
        <f>IFERROR(__xludf.DUMMYFUNCTION("""COMPUTED_VALUE"""),"Dma Distribuidora Sa (3/3)")</f>
        <v>Dma Distribuidora Sa (3/3)</v>
      </c>
      <c r="D777" s="2">
        <f>IFERROR(__xludf.DUMMYFUNCTION("""COMPUTED_VALUE"""),96.74)</f>
        <v>96.74</v>
      </c>
      <c r="E777" s="1" t="str">
        <f>IFERROR(__xludf.DUMMYFUNCTION("""COMPUTED_VALUE"""),"-")</f>
        <v>-</v>
      </c>
      <c r="F777" s="1" t="str">
        <f>IFERROR(__xludf.DUMMYFUNCTION("""COMPUTED_VALUE"""),"Dma Distribuidora Sa")</f>
        <v>Dma Distribuidora Sa</v>
      </c>
      <c r="G777" s="1" t="str">
        <f>IFERROR(__xludf.DUMMYFUNCTION("""COMPUTED_VALUE"""),"Supermercado")</f>
        <v>Supermercado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7">
        <f>IFERROR(__xludf.DUMMYFUNCTION("""COMPUTED_VALUE"""),45931.0)</f>
        <v>45931</v>
      </c>
      <c r="B778" s="1" t="str">
        <f>IFERROR(__xludf.DUMMYFUNCTION("""COMPUTED_VALUE"""),"-")</f>
        <v>-</v>
      </c>
      <c r="C778" s="1" t="str">
        <f>IFERROR(__xludf.DUMMYFUNCTION("""COMPUTED_VALUE"""),"Dma Distribuidora Sa (2/3)")</f>
        <v>Dma Distribuidora Sa (2/3)</v>
      </c>
      <c r="D778" s="2">
        <f>IFERROR(__xludf.DUMMYFUNCTION("""COMPUTED_VALUE"""),96.74)</f>
        <v>96.74</v>
      </c>
      <c r="E778" s="1" t="str">
        <f>IFERROR(__xludf.DUMMYFUNCTION("""COMPUTED_VALUE"""),"-")</f>
        <v>-</v>
      </c>
      <c r="F778" s="1" t="str">
        <f>IFERROR(__xludf.DUMMYFUNCTION("""COMPUTED_VALUE"""),"Dma Distribuidora Sa")</f>
        <v>Dma Distribuidora Sa</v>
      </c>
      <c r="G778" s="1" t="str">
        <f>IFERROR(__xludf.DUMMYFUNCTION("""COMPUTED_VALUE"""),"Supermercado")</f>
        <v>Supermercado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7">
        <f>IFERROR(__xludf.DUMMYFUNCTION("""COMPUTED_VALUE"""),45931.0)</f>
        <v>45931</v>
      </c>
      <c r="B779" s="1" t="str">
        <f>IFERROR(__xludf.DUMMYFUNCTION("""COMPUTED_VALUE"""),"-")</f>
        <v>-</v>
      </c>
      <c r="C779" s="1" t="str">
        <f>IFERROR(__xludf.DUMMYFUNCTION("""COMPUTED_VALUE"""),"Dma Distribuidora Sa (1/3)")</f>
        <v>Dma Distribuidora Sa (1/3)</v>
      </c>
      <c r="D779" s="2">
        <f>IFERROR(__xludf.DUMMYFUNCTION("""COMPUTED_VALUE"""),96.76)</f>
        <v>96.76</v>
      </c>
      <c r="E779" s="1" t="str">
        <f>IFERROR(__xludf.DUMMYFUNCTION("""COMPUTED_VALUE"""),"-")</f>
        <v>-</v>
      </c>
      <c r="F779" s="1" t="str">
        <f>IFERROR(__xludf.DUMMYFUNCTION("""COMPUTED_VALUE"""),"Dma Distribuidora Sa")</f>
        <v>Dma Distribuidora Sa</v>
      </c>
      <c r="G779" s="1" t="str">
        <f>IFERROR(__xludf.DUMMYFUNCTION("""COMPUTED_VALUE"""),"Supermercado")</f>
        <v>Supermercado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7">
        <f>IFERROR(__xludf.DUMMYFUNCTION("""COMPUTED_VALUE"""),45931.0)</f>
        <v>45931</v>
      </c>
      <c r="B780" s="1" t="str">
        <f>IFERROR(__xludf.DUMMYFUNCTION("""COMPUTED_VALUE"""),"-")</f>
        <v>-</v>
      </c>
      <c r="C780" s="1" t="str">
        <f>IFERROR(__xludf.DUMMYFUNCTION("""COMPUTED_VALUE"""),"Youtube")</f>
        <v>Youtube</v>
      </c>
      <c r="D780" s="2">
        <f>IFERROR(__xludf.DUMMYFUNCTION("""COMPUTED_VALUE"""),19.99)</f>
        <v>19.99</v>
      </c>
      <c r="E780" s="1" t="str">
        <f>IFERROR(__xludf.DUMMYFUNCTION("""COMPUTED_VALUE"""),"-")</f>
        <v>-</v>
      </c>
      <c r="F780" s="1" t="str">
        <f>IFERROR(__xludf.DUMMYFUNCTION("""COMPUTED_VALUE"""),"Youtube")</f>
        <v>Youtube</v>
      </c>
      <c r="G780" s="1" t="str">
        <f>IFERROR(__xludf.DUMMYFUNCTION("""COMPUTED_VALUE"""),"Assinatura")</f>
        <v>Assinatura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7">
        <f>IFERROR(__xludf.DUMMYFUNCTION("""COMPUTED_VALUE"""),45931.0)</f>
        <v>45931</v>
      </c>
      <c r="B781" s="1" t="str">
        <f>IFERROR(__xludf.DUMMYFUNCTION("""COMPUTED_VALUE"""),"-")</f>
        <v>-</v>
      </c>
      <c r="C781" s="1" t="str">
        <f>IFERROR(__xludf.DUMMYFUNCTION("""COMPUTED_VALUE"""),"Drogaria Pacheco")</f>
        <v>Drogaria Pacheco</v>
      </c>
      <c r="D781" s="2">
        <f>IFERROR(__xludf.DUMMYFUNCTION("""COMPUTED_VALUE"""),70.49)</f>
        <v>70.49</v>
      </c>
      <c r="E781" s="1" t="str">
        <f>IFERROR(__xludf.DUMMYFUNCTION("""COMPUTED_VALUE"""),"-")</f>
        <v>-</v>
      </c>
      <c r="F781" s="1" t="str">
        <f>IFERROR(__xludf.DUMMYFUNCTION("""COMPUTED_VALUE"""),"Drogaria Pacheco")</f>
        <v>Drogaria Pacheco</v>
      </c>
      <c r="G781" s="1" t="str">
        <f>IFERROR(__xludf.DUMMYFUNCTION("""COMPUTED_VALUE"""),"Farmácia")</f>
        <v>Farmácia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7">
        <f>IFERROR(__xludf.DUMMYFUNCTION("""COMPUTED_VALUE"""),45931.0)</f>
        <v>45931</v>
      </c>
      <c r="B782" s="1" t="str">
        <f>IFERROR(__xludf.DUMMYFUNCTION("""COMPUTED_VALUE"""),"-")</f>
        <v>-</v>
      </c>
      <c r="C782" s="1" t="str">
        <f>IFERROR(__xludf.DUMMYFUNCTION("""COMPUTED_VALUE"""),"Oakberry")</f>
        <v>Oakberry</v>
      </c>
      <c r="D782" s="2">
        <f>IFERROR(__xludf.DUMMYFUNCTION("""COMPUTED_VALUE"""),49.98)</f>
        <v>49.98</v>
      </c>
      <c r="E782" s="1" t="str">
        <f>IFERROR(__xludf.DUMMYFUNCTION("""COMPUTED_VALUE"""),"-")</f>
        <v>-</v>
      </c>
      <c r="F782" s="1" t="str">
        <f>IFERROR(__xludf.DUMMYFUNCTION("""COMPUTED_VALUE"""),"Oakberry")</f>
        <v>Oakberry</v>
      </c>
      <c r="G782" s="1" t="str">
        <f>IFERROR(__xludf.DUMMYFUNCTION("""COMPUTED_VALUE"""),"-")</f>
        <v>-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7">
        <f>IFERROR(__xludf.DUMMYFUNCTION("""COMPUTED_VALUE"""),45931.0)</f>
        <v>45931</v>
      </c>
      <c r="B783" s="1" t="str">
        <f>IFERROR(__xludf.DUMMYFUNCTION("""COMPUTED_VALUE"""),"-")</f>
        <v>-</v>
      </c>
      <c r="C783" s="1" t="str">
        <f>IFERROR(__xludf.DUMMYFUNCTION("""COMPUTED_VALUE"""),"Uber")</f>
        <v>Uber</v>
      </c>
      <c r="D783" s="2">
        <f>IFERROR(__xludf.DUMMYFUNCTION("""COMPUTED_VALUE"""),17.97)</f>
        <v>17.97</v>
      </c>
      <c r="E783" s="1" t="str">
        <f>IFERROR(__xludf.DUMMYFUNCTION("""COMPUTED_VALUE"""),"-")</f>
        <v>-</v>
      </c>
      <c r="F783" s="1" t="str">
        <f>IFERROR(__xludf.DUMMYFUNCTION("""COMPUTED_VALUE"""),"Uber")</f>
        <v>Uber</v>
      </c>
      <c r="G783" s="1" t="str">
        <f>IFERROR(__xludf.DUMMYFUNCTION("""COMPUTED_VALUE"""),"Uber/99")</f>
        <v>Uber/99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7">
        <f>IFERROR(__xludf.DUMMYFUNCTION("""COMPUTED_VALUE"""),45931.0)</f>
        <v>45931</v>
      </c>
      <c r="B784" s="1" t="str">
        <f>IFERROR(__xludf.DUMMYFUNCTION("""COMPUTED_VALUE"""),"-")</f>
        <v>-</v>
      </c>
      <c r="C784" s="1" t="str">
        <f>IFERROR(__xludf.DUMMYFUNCTION("""COMPUTED_VALUE"""),"Drogaria Ara Araujo (4/4)")</f>
        <v>Drogaria Ara Araujo (4/4)</v>
      </c>
      <c r="D784" s="2">
        <f>IFERROR(__xludf.DUMMYFUNCTION("""COMPUTED_VALUE"""),65.99)</f>
        <v>65.99</v>
      </c>
      <c r="E784" s="1" t="str">
        <f>IFERROR(__xludf.DUMMYFUNCTION("""COMPUTED_VALUE"""),"-")</f>
        <v>-</v>
      </c>
      <c r="F784" s="1" t="str">
        <f>IFERROR(__xludf.DUMMYFUNCTION("""COMPUTED_VALUE"""),"Drogaria Ara Araujo")</f>
        <v>Drogaria Ara Araujo</v>
      </c>
      <c r="G784" s="1" t="str">
        <f>IFERROR(__xludf.DUMMYFUNCTION("""COMPUTED_VALUE"""),"Farmácia")</f>
        <v>Farmácia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7">
        <f>IFERROR(__xludf.DUMMYFUNCTION("""COMPUTED_VALUE"""),45931.0)</f>
        <v>45931</v>
      </c>
      <c r="B785" s="1" t="str">
        <f>IFERROR(__xludf.DUMMYFUNCTION("""COMPUTED_VALUE"""),"-")</f>
        <v>-</v>
      </c>
      <c r="C785" s="1" t="str">
        <f>IFERROR(__xludf.DUMMYFUNCTION("""COMPUTED_VALUE"""),"Drogaria Ara Araujo (3/4)")</f>
        <v>Drogaria Ara Araujo (3/4)</v>
      </c>
      <c r="D785" s="2">
        <f>IFERROR(__xludf.DUMMYFUNCTION("""COMPUTED_VALUE"""),65.99)</f>
        <v>65.99</v>
      </c>
      <c r="E785" s="1" t="str">
        <f>IFERROR(__xludf.DUMMYFUNCTION("""COMPUTED_VALUE"""),"-")</f>
        <v>-</v>
      </c>
      <c r="F785" s="1" t="str">
        <f>IFERROR(__xludf.DUMMYFUNCTION("""COMPUTED_VALUE"""),"Drogaria Ara Araujo")</f>
        <v>Drogaria Ara Araujo</v>
      </c>
      <c r="G785" s="1" t="str">
        <f>IFERROR(__xludf.DUMMYFUNCTION("""COMPUTED_VALUE"""),"Farmácia")</f>
        <v>Farmácia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7">
        <f>IFERROR(__xludf.DUMMYFUNCTION("""COMPUTED_VALUE"""),45931.0)</f>
        <v>45931</v>
      </c>
      <c r="B786" s="1" t="str">
        <f>IFERROR(__xludf.DUMMYFUNCTION("""COMPUTED_VALUE"""),"-")</f>
        <v>-</v>
      </c>
      <c r="C786" s="1" t="str">
        <f>IFERROR(__xludf.DUMMYFUNCTION("""COMPUTED_VALUE"""),"Drogaria Ara Araujo (2/4)")</f>
        <v>Drogaria Ara Araujo (2/4)</v>
      </c>
      <c r="D786" s="2">
        <f>IFERROR(__xludf.DUMMYFUNCTION("""COMPUTED_VALUE"""),65.99)</f>
        <v>65.99</v>
      </c>
      <c r="E786" s="1" t="str">
        <f>IFERROR(__xludf.DUMMYFUNCTION("""COMPUTED_VALUE"""),"-")</f>
        <v>-</v>
      </c>
      <c r="F786" s="1" t="str">
        <f>IFERROR(__xludf.DUMMYFUNCTION("""COMPUTED_VALUE"""),"Drogaria Ara Araujo")</f>
        <v>Drogaria Ara Araujo</v>
      </c>
      <c r="G786" s="1" t="str">
        <f>IFERROR(__xludf.DUMMYFUNCTION("""COMPUTED_VALUE"""),"Farmácia")</f>
        <v>Farmácia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7">
        <f>IFERROR(__xludf.DUMMYFUNCTION("""COMPUTED_VALUE"""),45931.0)</f>
        <v>45931</v>
      </c>
      <c r="B787" s="1" t="str">
        <f>IFERROR(__xludf.DUMMYFUNCTION("""COMPUTED_VALUE"""),"-")</f>
        <v>-</v>
      </c>
      <c r="C787" s="1" t="str">
        <f>IFERROR(__xludf.DUMMYFUNCTION("""COMPUTED_VALUE"""),"Drogaria Ara Araujo (1/4)")</f>
        <v>Drogaria Ara Araujo (1/4)</v>
      </c>
      <c r="D787" s="2">
        <f>IFERROR(__xludf.DUMMYFUNCTION("""COMPUTED_VALUE"""),66.02)</f>
        <v>66.02</v>
      </c>
      <c r="E787" s="1" t="str">
        <f>IFERROR(__xludf.DUMMYFUNCTION("""COMPUTED_VALUE"""),"-")</f>
        <v>-</v>
      </c>
      <c r="F787" s="1" t="str">
        <f>IFERROR(__xludf.DUMMYFUNCTION("""COMPUTED_VALUE"""),"Drogaria Ara Araujo")</f>
        <v>Drogaria Ara Araujo</v>
      </c>
      <c r="G787" s="1" t="str">
        <f>IFERROR(__xludf.DUMMYFUNCTION("""COMPUTED_VALUE"""),"Farmácia")</f>
        <v>Farmácia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7">
        <f>IFERROR(__xludf.DUMMYFUNCTION("""COMPUTED_VALUE"""),45931.0)</f>
        <v>45931</v>
      </c>
      <c r="B788" s="1" t="str">
        <f>IFERROR(__xludf.DUMMYFUNCTION("""COMPUTED_VALUE"""),"-")</f>
        <v>-</v>
      </c>
      <c r="C788" s="1" t="str">
        <f>IFERROR(__xludf.DUMMYFUNCTION("""COMPUTED_VALUE"""),"Drogaria Pacheco")</f>
        <v>Drogaria Pacheco</v>
      </c>
      <c r="D788" s="2">
        <f>IFERROR(__xludf.DUMMYFUNCTION("""COMPUTED_VALUE"""),20.59)</f>
        <v>20.59</v>
      </c>
      <c r="E788" s="1" t="str">
        <f>IFERROR(__xludf.DUMMYFUNCTION("""COMPUTED_VALUE"""),"-")</f>
        <v>-</v>
      </c>
      <c r="F788" s="1" t="str">
        <f>IFERROR(__xludf.DUMMYFUNCTION("""COMPUTED_VALUE"""),"Drogaria Pacheco")</f>
        <v>Drogaria Pacheco</v>
      </c>
      <c r="G788" s="1" t="str">
        <f>IFERROR(__xludf.DUMMYFUNCTION("""COMPUTED_VALUE"""),"Farmácia")</f>
        <v>Farmácia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7">
        <f>IFERROR(__xludf.DUMMYFUNCTION("""COMPUTED_VALUE"""),45931.0)</f>
        <v>45931</v>
      </c>
      <c r="B789" s="1" t="str">
        <f>IFERROR(__xludf.DUMMYFUNCTION("""COMPUTED_VALUE"""),"-")</f>
        <v>-</v>
      </c>
      <c r="C789" s="1">
        <f>IFERROR(__xludf.DUMMYFUNCTION("""COMPUTED_VALUE"""),99.0)</f>
        <v>99</v>
      </c>
      <c r="D789" s="2">
        <f>IFERROR(__xludf.DUMMYFUNCTION("""COMPUTED_VALUE"""),10.62)</f>
        <v>10.62</v>
      </c>
      <c r="E789" s="1" t="str">
        <f>IFERROR(__xludf.DUMMYFUNCTION("""COMPUTED_VALUE"""),"-")</f>
        <v>-</v>
      </c>
      <c r="F789" s="1" t="str">
        <f>IFERROR(__xludf.DUMMYFUNCTION("""COMPUTED_VALUE"""),"99")</f>
        <v>99</v>
      </c>
      <c r="G789" s="1" t="str">
        <f>IFERROR(__xludf.DUMMYFUNCTION("""COMPUTED_VALUE"""),"Uber/99")</f>
        <v>Uber/99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7">
        <f>IFERROR(__xludf.DUMMYFUNCTION("""COMPUTED_VALUE"""),45931.0)</f>
        <v>45931</v>
      </c>
      <c r="B790" s="1" t="str">
        <f>IFERROR(__xludf.DUMMYFUNCTION("""COMPUTED_VALUE"""),"-")</f>
        <v>-</v>
      </c>
      <c r="C790" s="1" t="str">
        <f>IFERROR(__xludf.DUMMYFUNCTION("""COMPUTED_VALUE"""),"Espasso Gourmet")</f>
        <v>Espasso Gourmet</v>
      </c>
      <c r="D790" s="2">
        <f>IFERROR(__xludf.DUMMYFUNCTION("""COMPUTED_VALUE"""),45.39)</f>
        <v>45.39</v>
      </c>
      <c r="E790" s="1" t="str">
        <f>IFERROR(__xludf.DUMMYFUNCTION("""COMPUTED_VALUE"""),"-")</f>
        <v>-</v>
      </c>
      <c r="F790" s="1" t="str">
        <f>IFERROR(__xludf.DUMMYFUNCTION("""COMPUTED_VALUE"""),"Espasso Gourmet")</f>
        <v>Espasso Gourmet</v>
      </c>
      <c r="G790" s="1" t="str">
        <f>IFERROR(__xludf.DUMMYFUNCTION("""COMPUTED_VALUE"""),"-")</f>
        <v>-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7">
        <f>IFERROR(__xludf.DUMMYFUNCTION("""COMPUTED_VALUE"""),45931.0)</f>
        <v>45931</v>
      </c>
      <c r="B791" s="1" t="str">
        <f>IFERROR(__xludf.DUMMYFUNCTION("""COMPUTED_VALUE"""),"-")</f>
        <v>-</v>
      </c>
      <c r="C791" s="1" t="str">
        <f>IFERROR(__xludf.DUMMYFUNCTION("""COMPUTED_VALUE"""),"Supermercado &amp; Padaria")</f>
        <v>Supermercado &amp; Padaria</v>
      </c>
      <c r="D791" s="2">
        <f>IFERROR(__xludf.DUMMYFUNCTION("""COMPUTED_VALUE"""),35.96)</f>
        <v>35.96</v>
      </c>
      <c r="E791" s="1" t="str">
        <f>IFERROR(__xludf.DUMMYFUNCTION("""COMPUTED_VALUE"""),"-")</f>
        <v>-</v>
      </c>
      <c r="F791" s="1" t="str">
        <f>IFERROR(__xludf.DUMMYFUNCTION("""COMPUTED_VALUE"""),"Supermercado &amp; Padaria")</f>
        <v>Supermercado &amp; Padaria</v>
      </c>
      <c r="G791" s="1" t="str">
        <f>IFERROR(__xludf.DUMMYFUNCTION("""COMPUTED_VALUE"""),"Comida")</f>
        <v>Comida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7">
        <f>IFERROR(__xludf.DUMMYFUNCTION("""COMPUTED_VALUE"""),45931.0)</f>
        <v>45931</v>
      </c>
      <c r="B792" s="1" t="str">
        <f>IFERROR(__xludf.DUMMYFUNCTION("""COMPUTED_VALUE"""),"-")</f>
        <v>-</v>
      </c>
      <c r="C792" s="1">
        <f>IFERROR(__xludf.DUMMYFUNCTION("""COMPUTED_VALUE"""),99.0)</f>
        <v>99</v>
      </c>
      <c r="D792" s="2">
        <f>IFERROR(__xludf.DUMMYFUNCTION("""COMPUTED_VALUE"""),15.3)</f>
        <v>15.3</v>
      </c>
      <c r="E792" s="1" t="str">
        <f>IFERROR(__xludf.DUMMYFUNCTION("""COMPUTED_VALUE"""),"-")</f>
        <v>-</v>
      </c>
      <c r="F792" s="1" t="str">
        <f>IFERROR(__xludf.DUMMYFUNCTION("""COMPUTED_VALUE"""),"99")</f>
        <v>99</v>
      </c>
      <c r="G792" s="1" t="str">
        <f>IFERROR(__xludf.DUMMYFUNCTION("""COMPUTED_VALUE"""),"Uber/99")</f>
        <v>Uber/99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7">
        <f>IFERROR(__xludf.DUMMYFUNCTION("""COMPUTED_VALUE"""),45931.0)</f>
        <v>45931</v>
      </c>
      <c r="B793" s="1" t="str">
        <f>IFERROR(__xludf.DUMMYFUNCTION("""COMPUTED_VALUE"""),"-")</f>
        <v>-</v>
      </c>
      <c r="C793" s="1" t="str">
        <f>IFERROR(__xludf.DUMMYFUNCTION("""COMPUTED_VALUE"""),"Mercado Livre")</f>
        <v>Mercado Livre</v>
      </c>
      <c r="D793" s="2">
        <f>IFERROR(__xludf.DUMMYFUNCTION("""COMPUTED_VALUE"""),93.1)</f>
        <v>93.1</v>
      </c>
      <c r="E793" s="1" t="str">
        <f>IFERROR(__xludf.DUMMYFUNCTION("""COMPUTED_VALUE"""),"-")</f>
        <v>-</v>
      </c>
      <c r="F793" s="1" t="str">
        <f>IFERROR(__xludf.DUMMYFUNCTION("""COMPUTED_VALUE"""),"Mercado Livre")</f>
        <v>Mercado Livre</v>
      </c>
      <c r="G793" s="1" t="str">
        <f>IFERROR(__xludf.DUMMYFUNCTION("""COMPUTED_VALUE"""),"Compras")</f>
        <v>Compras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7">
        <f>IFERROR(__xludf.DUMMYFUNCTION("""COMPUTED_VALUE"""),45931.0)</f>
        <v>45931</v>
      </c>
      <c r="B794" s="1" t="str">
        <f>IFERROR(__xludf.DUMMYFUNCTION("""COMPUTED_VALUE"""),"-")</f>
        <v>-</v>
      </c>
      <c r="C794" s="1">
        <f>IFERROR(__xludf.DUMMYFUNCTION("""COMPUTED_VALUE"""),99.0)</f>
        <v>99</v>
      </c>
      <c r="D794" s="2">
        <f>IFERROR(__xludf.DUMMYFUNCTION("""COMPUTED_VALUE"""),11.6)</f>
        <v>11.6</v>
      </c>
      <c r="E794" s="1" t="str">
        <f>IFERROR(__xludf.DUMMYFUNCTION("""COMPUTED_VALUE"""),"-")</f>
        <v>-</v>
      </c>
      <c r="F794" s="1" t="str">
        <f>IFERROR(__xludf.DUMMYFUNCTION("""COMPUTED_VALUE"""),"99")</f>
        <v>99</v>
      </c>
      <c r="G794" s="1" t="str">
        <f>IFERROR(__xludf.DUMMYFUNCTION("""COMPUTED_VALUE"""),"Uber/99")</f>
        <v>Uber/99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7">
        <f>IFERROR(__xludf.DUMMYFUNCTION("""COMPUTED_VALUE"""),45931.0)</f>
        <v>45931</v>
      </c>
      <c r="B795" s="1" t="str">
        <f>IFERROR(__xludf.DUMMYFUNCTION("""COMPUTED_VALUE"""),"-")</f>
        <v>-</v>
      </c>
      <c r="C795" s="1" t="str">
        <f>IFERROR(__xludf.DUMMYFUNCTION("""COMPUTED_VALUE"""),"Mbj Alimentos")</f>
        <v>Mbj Alimentos</v>
      </c>
      <c r="D795" s="2">
        <f>IFERROR(__xludf.DUMMYFUNCTION("""COMPUTED_VALUE"""),52.8)</f>
        <v>52.8</v>
      </c>
      <c r="E795" s="1" t="str">
        <f>IFERROR(__xludf.DUMMYFUNCTION("""COMPUTED_VALUE"""),"-")</f>
        <v>-</v>
      </c>
      <c r="F795" s="1" t="str">
        <f>IFERROR(__xludf.DUMMYFUNCTION("""COMPUTED_VALUE"""),"Mbj Alimentos")</f>
        <v>Mbj Alimentos</v>
      </c>
      <c r="G795" s="1" t="str">
        <f>IFERROR(__xludf.DUMMYFUNCTION("""COMPUTED_VALUE"""),"-")</f>
        <v>-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7">
        <f>IFERROR(__xludf.DUMMYFUNCTION("""COMPUTED_VALUE"""),45931.0)</f>
        <v>45931</v>
      </c>
      <c r="B796" s="1" t="str">
        <f>IFERROR(__xludf.DUMMYFUNCTION("""COMPUTED_VALUE"""),"-")</f>
        <v>-</v>
      </c>
      <c r="C796" s="1">
        <f>IFERROR(__xludf.DUMMYFUNCTION("""COMPUTED_VALUE"""),99.0)</f>
        <v>99</v>
      </c>
      <c r="D796" s="2">
        <f>IFERROR(__xludf.DUMMYFUNCTION("""COMPUTED_VALUE"""),14.7)</f>
        <v>14.7</v>
      </c>
      <c r="E796" s="1" t="str">
        <f>IFERROR(__xludf.DUMMYFUNCTION("""COMPUTED_VALUE"""),"-")</f>
        <v>-</v>
      </c>
      <c r="F796" s="1" t="str">
        <f>IFERROR(__xludf.DUMMYFUNCTION("""COMPUTED_VALUE"""),"99")</f>
        <v>99</v>
      </c>
      <c r="G796" s="1" t="str">
        <f>IFERROR(__xludf.DUMMYFUNCTION("""COMPUTED_VALUE"""),"Uber/99")</f>
        <v>Uber/99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7">
        <f>IFERROR(__xludf.DUMMYFUNCTION("""COMPUTED_VALUE"""),45931.0)</f>
        <v>45931</v>
      </c>
      <c r="B797" s="1" t="str">
        <f>IFERROR(__xludf.DUMMYFUNCTION("""COMPUTED_VALUE"""),"-")</f>
        <v>-</v>
      </c>
      <c r="C797" s="1" t="str">
        <f>IFERROR(__xludf.DUMMYFUNCTION("""COMPUTED_VALUE"""),"Melimais")</f>
        <v>Melimais</v>
      </c>
      <c r="D797" s="2">
        <f>IFERROR(__xludf.DUMMYFUNCTION("""COMPUTED_VALUE"""),24.9)</f>
        <v>24.9</v>
      </c>
      <c r="E797" s="1" t="str">
        <f>IFERROR(__xludf.DUMMYFUNCTION("""COMPUTED_VALUE"""),"-")</f>
        <v>-</v>
      </c>
      <c r="F797" s="1" t="str">
        <f>IFERROR(__xludf.DUMMYFUNCTION("""COMPUTED_VALUE"""),"Melimais")</f>
        <v>Melimais</v>
      </c>
      <c r="G797" s="1" t="str">
        <f>IFERROR(__xludf.DUMMYFUNCTION("""COMPUTED_VALUE"""),"-")</f>
        <v>-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7">
        <f>IFERROR(__xludf.DUMMYFUNCTION("""COMPUTED_VALUE"""),45931.0)</f>
        <v>45931</v>
      </c>
      <c r="B798" s="1" t="str">
        <f>IFERROR(__xludf.DUMMYFUNCTION("""COMPUTED_VALUE"""),"-")</f>
        <v>-</v>
      </c>
      <c r="C798" s="1">
        <f>IFERROR(__xludf.DUMMYFUNCTION("""COMPUTED_VALUE"""),99.0)</f>
        <v>99</v>
      </c>
      <c r="D798" s="2">
        <f>IFERROR(__xludf.DUMMYFUNCTION("""COMPUTED_VALUE"""),9.63)</f>
        <v>9.63</v>
      </c>
      <c r="E798" s="1" t="str">
        <f>IFERROR(__xludf.DUMMYFUNCTION("""COMPUTED_VALUE"""),"-")</f>
        <v>-</v>
      </c>
      <c r="F798" s="1" t="str">
        <f>IFERROR(__xludf.DUMMYFUNCTION("""COMPUTED_VALUE"""),"99")</f>
        <v>99</v>
      </c>
      <c r="G798" s="1" t="str">
        <f>IFERROR(__xludf.DUMMYFUNCTION("""COMPUTED_VALUE"""),"Uber/99")</f>
        <v>Uber/99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7">
        <f>IFERROR(__xludf.DUMMYFUNCTION("""COMPUTED_VALUE"""),45931.0)</f>
        <v>45931</v>
      </c>
      <c r="B799" s="1" t="str">
        <f>IFERROR(__xludf.DUMMYFUNCTION("""COMPUTED_VALUE"""),"-")</f>
        <v>-</v>
      </c>
      <c r="C799" s="1" t="str">
        <f>IFERROR(__xludf.DUMMYFUNCTION("""COMPUTED_VALUE"""),"Supermercado &amp; Padaria")</f>
        <v>Supermercado &amp; Padaria</v>
      </c>
      <c r="D799" s="2">
        <f>IFERROR(__xludf.DUMMYFUNCTION("""COMPUTED_VALUE"""),107.71)</f>
        <v>107.71</v>
      </c>
      <c r="E799" s="1" t="str">
        <f>IFERROR(__xludf.DUMMYFUNCTION("""COMPUTED_VALUE"""),"-")</f>
        <v>-</v>
      </c>
      <c r="F799" s="1" t="str">
        <f>IFERROR(__xludf.DUMMYFUNCTION("""COMPUTED_VALUE"""),"Supermercado &amp; Padaria")</f>
        <v>Supermercado &amp; Padaria</v>
      </c>
      <c r="G799" s="1" t="str">
        <f>IFERROR(__xludf.DUMMYFUNCTION("""COMPUTED_VALUE"""),"Comida")</f>
        <v>Comida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7">
        <f>IFERROR(__xludf.DUMMYFUNCTION("""COMPUTED_VALUE"""),45931.0)</f>
        <v>45931</v>
      </c>
      <c r="B800" s="1" t="str">
        <f>IFERROR(__xludf.DUMMYFUNCTION("""COMPUTED_VALUE"""),"-")</f>
        <v>-</v>
      </c>
      <c r="C800" s="1" t="str">
        <f>IFERROR(__xludf.DUMMYFUNCTION("""COMPUTED_VALUE"""),"Amazon Digital Br")</f>
        <v>Amazon Digital Br</v>
      </c>
      <c r="D800" s="2">
        <f>IFERROR(__xludf.DUMMYFUNCTION("""COMPUTED_VALUE"""),33.24)</f>
        <v>33.24</v>
      </c>
      <c r="E800" s="1" t="str">
        <f>IFERROR(__xludf.DUMMYFUNCTION("""COMPUTED_VALUE"""),"-")</f>
        <v>-</v>
      </c>
      <c r="F800" s="1" t="str">
        <f>IFERROR(__xludf.DUMMYFUNCTION("""COMPUTED_VALUE"""),"Amazon Digital Br")</f>
        <v>Amazon Digital Br</v>
      </c>
      <c r="G800" s="1" t="str">
        <f>IFERROR(__xludf.DUMMYFUNCTION("""COMPUTED_VALUE"""),"Compras")</f>
        <v>Compras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7">
        <f>IFERROR(__xludf.DUMMYFUNCTION("""COMPUTED_VALUE"""),45931.0)</f>
        <v>45931</v>
      </c>
      <c r="B801" s="1" t="str">
        <f>IFERROR(__xludf.DUMMYFUNCTION("""COMPUTED_VALUE"""),"-")</f>
        <v>-</v>
      </c>
      <c r="C801" s="1">
        <f>IFERROR(__xludf.DUMMYFUNCTION("""COMPUTED_VALUE"""),99.0)</f>
        <v>99</v>
      </c>
      <c r="D801" s="2">
        <f>IFERROR(__xludf.DUMMYFUNCTION("""COMPUTED_VALUE"""),13.66)</f>
        <v>13.66</v>
      </c>
      <c r="E801" s="1" t="str">
        <f>IFERROR(__xludf.DUMMYFUNCTION("""COMPUTED_VALUE"""),"-")</f>
        <v>-</v>
      </c>
      <c r="F801" s="1" t="str">
        <f>IFERROR(__xludf.DUMMYFUNCTION("""COMPUTED_VALUE"""),"99")</f>
        <v>99</v>
      </c>
      <c r="G801" s="1" t="str">
        <f>IFERROR(__xludf.DUMMYFUNCTION("""COMPUTED_VALUE"""),"Uber/99")</f>
        <v>Uber/99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7">
        <f>IFERROR(__xludf.DUMMYFUNCTION("""COMPUTED_VALUE"""),45931.0)</f>
        <v>45931</v>
      </c>
      <c r="B802" s="1" t="str">
        <f>IFERROR(__xludf.DUMMYFUNCTION("""COMPUTED_VALUE"""),"-")</f>
        <v>-</v>
      </c>
      <c r="C802" s="1">
        <f>IFERROR(__xludf.DUMMYFUNCTION("""COMPUTED_VALUE"""),99.0)</f>
        <v>99</v>
      </c>
      <c r="D802" s="2">
        <f>IFERROR(__xludf.DUMMYFUNCTION("""COMPUTED_VALUE"""),11.17)</f>
        <v>11.17</v>
      </c>
      <c r="E802" s="1" t="str">
        <f>IFERROR(__xludf.DUMMYFUNCTION("""COMPUTED_VALUE"""),"-")</f>
        <v>-</v>
      </c>
      <c r="F802" s="1" t="str">
        <f>IFERROR(__xludf.DUMMYFUNCTION("""COMPUTED_VALUE"""),"99")</f>
        <v>99</v>
      </c>
      <c r="G802" s="1" t="str">
        <f>IFERROR(__xludf.DUMMYFUNCTION("""COMPUTED_VALUE"""),"Uber/99")</f>
        <v>Uber/99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7">
        <f>IFERROR(__xludf.DUMMYFUNCTION("""COMPUTED_VALUE"""),45931.0)</f>
        <v>45931</v>
      </c>
      <c r="B803" s="1" t="str">
        <f>IFERROR(__xludf.DUMMYFUNCTION("""COMPUTED_VALUE"""),"-")</f>
        <v>-</v>
      </c>
      <c r="C803" s="1">
        <f>IFERROR(__xludf.DUMMYFUNCTION("""COMPUTED_VALUE"""),99.0)</f>
        <v>99</v>
      </c>
      <c r="D803" s="2">
        <f>IFERROR(__xludf.DUMMYFUNCTION("""COMPUTED_VALUE"""),11.91)</f>
        <v>11.91</v>
      </c>
      <c r="E803" s="1" t="str">
        <f>IFERROR(__xludf.DUMMYFUNCTION("""COMPUTED_VALUE"""),"-")</f>
        <v>-</v>
      </c>
      <c r="F803" s="1" t="str">
        <f>IFERROR(__xludf.DUMMYFUNCTION("""COMPUTED_VALUE"""),"99")</f>
        <v>99</v>
      </c>
      <c r="G803" s="1" t="str">
        <f>IFERROR(__xludf.DUMMYFUNCTION("""COMPUTED_VALUE"""),"Uber/99")</f>
        <v>Uber/99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7">
        <f>IFERROR(__xludf.DUMMYFUNCTION("""COMPUTED_VALUE"""),45931.0)</f>
        <v>45931</v>
      </c>
      <c r="B804" s="1" t="str">
        <f>IFERROR(__xludf.DUMMYFUNCTION("""COMPUTED_VALUE"""),"-")</f>
        <v>-</v>
      </c>
      <c r="C804" s="1" t="str">
        <f>IFERROR(__xludf.DUMMYFUNCTION("""COMPUTED_VALUE"""),"Dma Distribuidora Sa")</f>
        <v>Dma Distribuidora Sa</v>
      </c>
      <c r="D804" s="2">
        <f>IFERROR(__xludf.DUMMYFUNCTION("""COMPUTED_VALUE"""),51.41)</f>
        <v>51.41</v>
      </c>
      <c r="E804" s="1" t="str">
        <f>IFERROR(__xludf.DUMMYFUNCTION("""COMPUTED_VALUE"""),"-")</f>
        <v>-</v>
      </c>
      <c r="F804" s="1" t="str">
        <f>IFERROR(__xludf.DUMMYFUNCTION("""COMPUTED_VALUE"""),"Dma Distribuidora Sa")</f>
        <v>Dma Distribuidora Sa</v>
      </c>
      <c r="G804" s="1" t="str">
        <f>IFERROR(__xludf.DUMMYFUNCTION("""COMPUTED_VALUE"""),"Supermercado")</f>
        <v>Supermercado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7">
        <f>IFERROR(__xludf.DUMMYFUNCTION("""COMPUTED_VALUE"""),45931.0)</f>
        <v>45931</v>
      </c>
      <c r="B805" s="1" t="str">
        <f>IFERROR(__xludf.DUMMYFUNCTION("""COMPUTED_VALUE"""),"-")</f>
        <v>-</v>
      </c>
      <c r="C805" s="1" t="str">
        <f>IFERROR(__xludf.DUMMYFUNCTION("""COMPUTED_VALUE"""),"Panif Mendes Sion")</f>
        <v>Panif Mendes Sion</v>
      </c>
      <c r="D805" s="2">
        <f>IFERROR(__xludf.DUMMYFUNCTION("""COMPUTED_VALUE"""),32.49)</f>
        <v>32.49</v>
      </c>
      <c r="E805" s="1" t="str">
        <f>IFERROR(__xludf.DUMMYFUNCTION("""COMPUTED_VALUE"""),"-")</f>
        <v>-</v>
      </c>
      <c r="F805" s="1" t="str">
        <f>IFERROR(__xludf.DUMMYFUNCTION("""COMPUTED_VALUE"""),"Panif Mendes Sion")</f>
        <v>Panif Mendes Sion</v>
      </c>
      <c r="G805" s="1" t="str">
        <f>IFERROR(__xludf.DUMMYFUNCTION("""COMPUTED_VALUE"""),"Comida")</f>
        <v>Comida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7">
        <f>IFERROR(__xludf.DUMMYFUNCTION("""COMPUTED_VALUE"""),45931.0)</f>
        <v>45931</v>
      </c>
      <c r="B806" s="1" t="str">
        <f>IFERROR(__xludf.DUMMYFUNCTION("""COMPUTED_VALUE"""),"-")</f>
        <v>-</v>
      </c>
      <c r="C806" s="1">
        <f>IFERROR(__xludf.DUMMYFUNCTION("""COMPUTED_VALUE"""),99.0)</f>
        <v>99</v>
      </c>
      <c r="D806" s="2">
        <f>IFERROR(__xludf.DUMMYFUNCTION("""COMPUTED_VALUE"""),10.18)</f>
        <v>10.18</v>
      </c>
      <c r="E806" s="1" t="str">
        <f>IFERROR(__xludf.DUMMYFUNCTION("""COMPUTED_VALUE"""),"-")</f>
        <v>-</v>
      </c>
      <c r="F806" s="1" t="str">
        <f>IFERROR(__xludf.DUMMYFUNCTION("""COMPUTED_VALUE"""),"99")</f>
        <v>99</v>
      </c>
      <c r="G806" s="1" t="str">
        <f>IFERROR(__xludf.DUMMYFUNCTION("""COMPUTED_VALUE"""),"Uber/99")</f>
        <v>Uber/99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7">
        <f>IFERROR(__xludf.DUMMYFUNCTION("""COMPUTED_VALUE"""),45931.0)</f>
        <v>45931</v>
      </c>
      <c r="B807" s="1" t="str">
        <f>IFERROR(__xludf.DUMMYFUNCTION("""COMPUTED_VALUE"""),"-")</f>
        <v>-</v>
      </c>
      <c r="C807" s="1" t="str">
        <f>IFERROR(__xludf.DUMMYFUNCTION("""COMPUTED_VALUE"""),"Maria De Fatima Costa (1/2)")</f>
        <v>Maria De Fatima Costa (1/2)</v>
      </c>
      <c r="D807" s="2">
        <f>IFERROR(__xludf.DUMMYFUNCTION("""COMPUTED_VALUE"""),360.0)</f>
        <v>360</v>
      </c>
      <c r="E807" s="1" t="str">
        <f>IFERROR(__xludf.DUMMYFUNCTION("""COMPUTED_VALUE"""),"-")</f>
        <v>-</v>
      </c>
      <c r="F807" s="1" t="str">
        <f>IFERROR(__xludf.DUMMYFUNCTION("""COMPUTED_VALUE"""),"Maria De Fatima Costa")</f>
        <v>Maria De Fatima Costa</v>
      </c>
      <c r="G807" s="1" t="str">
        <f>IFERROR(__xludf.DUMMYFUNCTION("""COMPUTED_VALUE"""),"-")</f>
        <v>-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7">
        <f>IFERROR(__xludf.DUMMYFUNCTION("""COMPUTED_VALUE"""),45931.0)</f>
        <v>45931</v>
      </c>
      <c r="B808" s="1" t="str">
        <f>IFERROR(__xludf.DUMMYFUNCTION("""COMPUTED_VALUE"""),"-")</f>
        <v>-</v>
      </c>
      <c r="C808" s="1">
        <f>IFERROR(__xludf.DUMMYFUNCTION("""COMPUTED_VALUE"""),99.0)</f>
        <v>99</v>
      </c>
      <c r="D808" s="2">
        <f>IFERROR(__xludf.DUMMYFUNCTION("""COMPUTED_VALUE"""),18.6)</f>
        <v>18.6</v>
      </c>
      <c r="E808" s="1" t="str">
        <f>IFERROR(__xludf.DUMMYFUNCTION("""COMPUTED_VALUE"""),"-")</f>
        <v>-</v>
      </c>
      <c r="F808" s="1" t="str">
        <f>IFERROR(__xludf.DUMMYFUNCTION("""COMPUTED_VALUE"""),"99")</f>
        <v>99</v>
      </c>
      <c r="G808" s="1" t="str">
        <f>IFERROR(__xludf.DUMMYFUNCTION("""COMPUTED_VALUE"""),"Uber/99")</f>
        <v>Uber/99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7">
        <f>IFERROR(__xludf.DUMMYFUNCTION("""COMPUTED_VALUE"""),45931.0)</f>
        <v>45931</v>
      </c>
      <c r="B809" s="1" t="str">
        <f>IFERROR(__xludf.DUMMYFUNCTION("""COMPUTED_VALUE"""),"-")</f>
        <v>-</v>
      </c>
      <c r="C809" s="1" t="str">
        <f>IFERROR(__xludf.DUMMYFUNCTION("""COMPUTED_VALUE"""),"Martelinho David")</f>
        <v>Martelinho David</v>
      </c>
      <c r="D809" s="2">
        <f>IFERROR(__xludf.DUMMYFUNCTION("""COMPUTED_VALUE"""),150.0)</f>
        <v>150</v>
      </c>
      <c r="E809" s="1" t="str">
        <f>IFERROR(__xludf.DUMMYFUNCTION("""COMPUTED_VALUE"""),"-")</f>
        <v>-</v>
      </c>
      <c r="F809" s="1" t="str">
        <f>IFERROR(__xludf.DUMMYFUNCTION("""COMPUTED_VALUE"""),"Martelinho David")</f>
        <v>Martelinho David</v>
      </c>
      <c r="G809" s="1" t="str">
        <f>IFERROR(__xludf.DUMMYFUNCTION("""COMPUTED_VALUE"""),"-")</f>
        <v>-</v>
      </c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7">
        <f>IFERROR(__xludf.DUMMYFUNCTION("""COMPUTED_VALUE"""),45931.0)</f>
        <v>45931</v>
      </c>
      <c r="B810" s="1" t="str">
        <f>IFERROR(__xludf.DUMMYFUNCTION("""COMPUTED_VALUE"""),"-")</f>
        <v>-</v>
      </c>
      <c r="C810" s="1" t="str">
        <f>IFERROR(__xludf.DUMMYFUNCTION("""COMPUTED_VALUE"""),"Golden Pet")</f>
        <v>Golden Pet</v>
      </c>
      <c r="D810" s="2">
        <f>IFERROR(__xludf.DUMMYFUNCTION("""COMPUTED_VALUE"""),68.0)</f>
        <v>68</v>
      </c>
      <c r="E810" s="1" t="str">
        <f>IFERROR(__xludf.DUMMYFUNCTION("""COMPUTED_VALUE"""),"-")</f>
        <v>-</v>
      </c>
      <c r="F810" s="1" t="str">
        <f>IFERROR(__xludf.DUMMYFUNCTION("""COMPUTED_VALUE"""),"Golden Pet")</f>
        <v>Golden Pet</v>
      </c>
      <c r="G810" s="1" t="str">
        <f>IFERROR(__xludf.DUMMYFUNCTION("""COMPUTED_VALUE"""),"Hulk")</f>
        <v>Hulk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7">
        <f>IFERROR(__xludf.DUMMYFUNCTION("""COMPUTED_VALUE"""),45931.0)</f>
        <v>45931</v>
      </c>
      <c r="B811" s="1" t="str">
        <f>IFERROR(__xludf.DUMMYFUNCTION("""COMPUTED_VALUE"""),"-")</f>
        <v>-</v>
      </c>
      <c r="C811" s="1" t="str">
        <f>IFERROR(__xludf.DUMMYFUNCTION("""COMPUTED_VALUE"""),"Dma Distribuidora Sa")</f>
        <v>Dma Distribuidora Sa</v>
      </c>
      <c r="D811" s="2">
        <f>IFERROR(__xludf.DUMMYFUNCTION("""COMPUTED_VALUE"""),38.36)</f>
        <v>38.36</v>
      </c>
      <c r="E811" s="1" t="str">
        <f>IFERROR(__xludf.DUMMYFUNCTION("""COMPUTED_VALUE"""),"-")</f>
        <v>-</v>
      </c>
      <c r="F811" s="1" t="str">
        <f>IFERROR(__xludf.DUMMYFUNCTION("""COMPUTED_VALUE"""),"Dma Distribuidora Sa")</f>
        <v>Dma Distribuidora Sa</v>
      </c>
      <c r="G811" s="1" t="str">
        <f>IFERROR(__xludf.DUMMYFUNCTION("""COMPUTED_VALUE"""),"Supermercado")</f>
        <v>Supermercado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7">
        <f>IFERROR(__xludf.DUMMYFUNCTION("""COMPUTED_VALUE"""),45931.0)</f>
        <v>45931</v>
      </c>
      <c r="B812" s="1" t="str">
        <f>IFERROR(__xludf.DUMMYFUNCTION("""COMPUTED_VALUE"""),"-")</f>
        <v>-</v>
      </c>
      <c r="C812" s="1" t="str">
        <f>IFERROR(__xludf.DUMMYFUNCTION("""COMPUTED_VALUE"""),"Bem Oriente")</f>
        <v>Bem Oriente</v>
      </c>
      <c r="D812" s="2">
        <f>IFERROR(__xludf.DUMMYFUNCTION("""COMPUTED_VALUE"""),19.98)</f>
        <v>19.98</v>
      </c>
      <c r="E812" s="1" t="str">
        <f>IFERROR(__xludf.DUMMYFUNCTION("""COMPUTED_VALUE"""),"-")</f>
        <v>-</v>
      </c>
      <c r="F812" s="1" t="str">
        <f>IFERROR(__xludf.DUMMYFUNCTION("""COMPUTED_VALUE"""),"Bem Oriente")</f>
        <v>Bem Oriente</v>
      </c>
      <c r="G812" s="1" t="str">
        <f>IFERROR(__xludf.DUMMYFUNCTION("""COMPUTED_VALUE"""),"-")</f>
        <v>-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7">
        <f>IFERROR(__xludf.DUMMYFUNCTION("""COMPUTED_VALUE"""),45931.0)</f>
        <v>45931</v>
      </c>
      <c r="B813" s="1" t="str">
        <f>IFERROR(__xludf.DUMMYFUNCTION("""COMPUTED_VALUE"""),"-")</f>
        <v>-</v>
      </c>
      <c r="C813" s="1" t="str">
        <f>IFERROR(__xludf.DUMMYFUNCTION("""COMPUTED_VALUE"""),"Vila Paris")</f>
        <v>Vila Paris</v>
      </c>
      <c r="D813" s="2">
        <f>IFERROR(__xludf.DUMMYFUNCTION("""COMPUTED_VALUE"""),213.25)</f>
        <v>213.25</v>
      </c>
      <c r="E813" s="1" t="str">
        <f>IFERROR(__xludf.DUMMYFUNCTION("""COMPUTED_VALUE"""),"-")</f>
        <v>-</v>
      </c>
      <c r="F813" s="1" t="str">
        <f>IFERROR(__xludf.DUMMYFUNCTION("""COMPUTED_VALUE"""),"Vila Paris")</f>
        <v>Vila Paris</v>
      </c>
      <c r="G813" s="1" t="str">
        <f>IFERROR(__xludf.DUMMYFUNCTION("""COMPUTED_VALUE"""),"-")</f>
        <v>-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7">
        <f>IFERROR(__xludf.DUMMYFUNCTION("""COMPUTED_VALUE"""),45931.0)</f>
        <v>45931</v>
      </c>
      <c r="B814" s="1" t="str">
        <f>IFERROR(__xludf.DUMMYFUNCTION("""COMPUTED_VALUE"""),"-")</f>
        <v>-</v>
      </c>
      <c r="C814" s="1" t="str">
        <f>IFERROR(__xludf.DUMMYFUNCTION("""COMPUTED_VALUE"""),"Super Nosso")</f>
        <v>Super Nosso</v>
      </c>
      <c r="D814" s="2">
        <f>IFERROR(__xludf.DUMMYFUNCTION("""COMPUTED_VALUE"""),178.13)</f>
        <v>178.13</v>
      </c>
      <c r="E814" s="1" t="str">
        <f>IFERROR(__xludf.DUMMYFUNCTION("""COMPUTED_VALUE"""),"-")</f>
        <v>-</v>
      </c>
      <c r="F814" s="1" t="str">
        <f>IFERROR(__xludf.DUMMYFUNCTION("""COMPUTED_VALUE"""),"Super Nosso")</f>
        <v>Super Nosso</v>
      </c>
      <c r="G814" s="1" t="str">
        <f>IFERROR(__xludf.DUMMYFUNCTION("""COMPUTED_VALUE"""),"Supermercado")</f>
        <v>Supermercado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7">
        <f>IFERROR(__xludf.DUMMYFUNCTION("""COMPUTED_VALUE"""),45931.0)</f>
        <v>45931</v>
      </c>
      <c r="B815" s="1" t="str">
        <f>IFERROR(__xludf.DUMMYFUNCTION("""COMPUTED_VALUE"""),"-")</f>
        <v>-</v>
      </c>
      <c r="C815" s="1" t="str">
        <f>IFERROR(__xludf.DUMMYFUNCTION("""COMPUTED_VALUE"""),"Gabrielfabricio")</f>
        <v>Gabrielfabricio</v>
      </c>
      <c r="D815" s="2">
        <f>IFERROR(__xludf.DUMMYFUNCTION("""COMPUTED_VALUE"""),10.0)</f>
        <v>10</v>
      </c>
      <c r="E815" s="1" t="str">
        <f>IFERROR(__xludf.DUMMYFUNCTION("""COMPUTED_VALUE"""),"-")</f>
        <v>-</v>
      </c>
      <c r="F815" s="1" t="str">
        <f>IFERROR(__xludf.DUMMYFUNCTION("""COMPUTED_VALUE"""),"Gabrielfabricio")</f>
        <v>Gabrielfabricio</v>
      </c>
      <c r="G815" s="1" t="str">
        <f>IFERROR(__xludf.DUMMYFUNCTION("""COMPUTED_VALUE"""),"-")</f>
        <v>-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7">
        <f>IFERROR(__xludf.DUMMYFUNCTION("""COMPUTED_VALUE"""),45931.0)</f>
        <v>45931</v>
      </c>
      <c r="B816" s="1" t="str">
        <f>IFERROR(__xludf.DUMMYFUNCTION("""COMPUTED_VALUE"""),"-")</f>
        <v>-</v>
      </c>
      <c r="C816" s="1" t="str">
        <f>IFERROR(__xludf.DUMMYFUNCTION("""COMPUTED_VALUE"""),"Drogaria Araujo")</f>
        <v>Drogaria Araujo</v>
      </c>
      <c r="D816" s="2">
        <f>IFERROR(__xludf.DUMMYFUNCTION("""COMPUTED_VALUE"""),11.59)</f>
        <v>11.59</v>
      </c>
      <c r="E816" s="1" t="str">
        <f>IFERROR(__xludf.DUMMYFUNCTION("""COMPUTED_VALUE"""),"-")</f>
        <v>-</v>
      </c>
      <c r="F816" s="1" t="str">
        <f>IFERROR(__xludf.DUMMYFUNCTION("""COMPUTED_VALUE"""),"Drogaria Araujo")</f>
        <v>Drogaria Araujo</v>
      </c>
      <c r="G816" s="1" t="str">
        <f>IFERROR(__xludf.DUMMYFUNCTION("""COMPUTED_VALUE"""),"Farmácia")</f>
        <v>Farmácia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7">
        <f>IFERROR(__xludf.DUMMYFUNCTION("""COMPUTED_VALUE"""),45931.0)</f>
        <v>45931</v>
      </c>
      <c r="B817" s="1" t="str">
        <f>IFERROR(__xludf.DUMMYFUNCTION("""COMPUTED_VALUE"""),"-")</f>
        <v>-</v>
      </c>
      <c r="C817" s="1" t="str">
        <f>IFERROR(__xludf.DUMMYFUNCTION("""COMPUTED_VALUE"""),"Casar Pre Sente")</f>
        <v>Casar Pre Sente</v>
      </c>
      <c r="D817" s="2">
        <f>IFERROR(__xludf.DUMMYFUNCTION("""COMPUTED_VALUE"""),139.42)</f>
        <v>139.42</v>
      </c>
      <c r="E817" s="1" t="str">
        <f>IFERROR(__xludf.DUMMYFUNCTION("""COMPUTED_VALUE"""),"-")</f>
        <v>-</v>
      </c>
      <c r="F817" s="1" t="str">
        <f>IFERROR(__xludf.DUMMYFUNCTION("""COMPUTED_VALUE"""),"Casar Pre Sente")</f>
        <v>Casar Pre Sente</v>
      </c>
      <c r="G817" s="1" t="str">
        <f>IFERROR(__xludf.DUMMYFUNCTION("""COMPUTED_VALUE"""),"-")</f>
        <v>-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7">
        <f>IFERROR(__xludf.DUMMYFUNCTION("""COMPUTED_VALUE"""),45931.0)</f>
        <v>45931</v>
      </c>
      <c r="B818" s="1" t="str">
        <f>IFERROR(__xludf.DUMMYFUNCTION("""COMPUTED_VALUE"""),"-")</f>
        <v>-</v>
      </c>
      <c r="C818" s="1" t="str">
        <f>IFERROR(__xludf.DUMMYFUNCTION("""COMPUTED_VALUE"""),"Mercado Livre")</f>
        <v>Mercado Livre</v>
      </c>
      <c r="D818" s="2">
        <f>IFERROR(__xludf.DUMMYFUNCTION("""COMPUTED_VALUE"""),29.92)</f>
        <v>29.92</v>
      </c>
      <c r="E818" s="1" t="str">
        <f>IFERROR(__xludf.DUMMYFUNCTION("""COMPUTED_VALUE"""),"-")</f>
        <v>-</v>
      </c>
      <c r="F818" s="1" t="str">
        <f>IFERROR(__xludf.DUMMYFUNCTION("""COMPUTED_VALUE"""),"Mercado Livre")</f>
        <v>Mercado Livre</v>
      </c>
      <c r="G818" s="1" t="str">
        <f>IFERROR(__xludf.DUMMYFUNCTION("""COMPUTED_VALUE"""),"Compras")</f>
        <v>Compras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7">
        <f>IFERROR(__xludf.DUMMYFUNCTION("""COMPUTED_VALUE"""),45931.0)</f>
        <v>45931</v>
      </c>
      <c r="B819" s="1" t="str">
        <f>IFERROR(__xludf.DUMMYFUNCTION("""COMPUTED_VALUE"""),"-")</f>
        <v>-</v>
      </c>
      <c r="C819" s="1" t="str">
        <f>IFERROR(__xludf.DUMMYFUNCTION("""COMPUTED_VALUE"""),"Golden Pet")</f>
        <v>Golden Pet</v>
      </c>
      <c r="D819" s="2">
        <f>IFERROR(__xludf.DUMMYFUNCTION("""COMPUTED_VALUE"""),240.0)</f>
        <v>240</v>
      </c>
      <c r="E819" s="1" t="str">
        <f>IFERROR(__xludf.DUMMYFUNCTION("""COMPUTED_VALUE"""),"-")</f>
        <v>-</v>
      </c>
      <c r="F819" s="1" t="str">
        <f>IFERROR(__xludf.DUMMYFUNCTION("""COMPUTED_VALUE"""),"Golden Pet")</f>
        <v>Golden Pet</v>
      </c>
      <c r="G819" s="1" t="str">
        <f>IFERROR(__xludf.DUMMYFUNCTION("""COMPUTED_VALUE"""),"Hulk")</f>
        <v>Hulk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7">
        <f>IFERROR(__xludf.DUMMYFUNCTION("""COMPUTED_VALUE"""),45931.0)</f>
        <v>45931</v>
      </c>
      <c r="B820" s="1" t="str">
        <f>IFERROR(__xludf.DUMMYFUNCTION("""COMPUTED_VALUE"""),"-")</f>
        <v>-</v>
      </c>
      <c r="C820" s="1" t="str">
        <f>IFERROR(__xludf.DUMMYFUNCTION("""COMPUTED_VALUE"""),"Rodrigo De Souza")</f>
        <v>Rodrigo De Souza</v>
      </c>
      <c r="D820" s="2">
        <f>IFERROR(__xludf.DUMMYFUNCTION("""COMPUTED_VALUE"""),75.0)</f>
        <v>75</v>
      </c>
      <c r="E820" s="1" t="str">
        <f>IFERROR(__xludf.DUMMYFUNCTION("""COMPUTED_VALUE"""),"-")</f>
        <v>-</v>
      </c>
      <c r="F820" s="1" t="str">
        <f>IFERROR(__xludf.DUMMYFUNCTION("""COMPUTED_VALUE"""),"Rodrigo De Souza")</f>
        <v>Rodrigo De Souza</v>
      </c>
      <c r="G820" s="1" t="str">
        <f>IFERROR(__xludf.DUMMYFUNCTION("""COMPUTED_VALUE"""),"-")</f>
        <v>-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7">
        <f>IFERROR(__xludf.DUMMYFUNCTION("""COMPUTED_VALUE"""),45931.0)</f>
        <v>45931</v>
      </c>
      <c r="B821" s="1" t="str">
        <f>IFERROR(__xludf.DUMMYFUNCTION("""COMPUTED_VALUE"""),"-")</f>
        <v>-</v>
      </c>
      <c r="C821" s="1" t="str">
        <f>IFERROR(__xludf.DUMMYFUNCTION("""COMPUTED_VALUE"""),"Panif Mendes Sion")</f>
        <v>Panif Mendes Sion</v>
      </c>
      <c r="D821" s="2">
        <f>IFERROR(__xludf.DUMMYFUNCTION("""COMPUTED_VALUE"""),2.96)</f>
        <v>2.96</v>
      </c>
      <c r="E821" s="1" t="str">
        <f>IFERROR(__xludf.DUMMYFUNCTION("""COMPUTED_VALUE"""),"-")</f>
        <v>-</v>
      </c>
      <c r="F821" s="1" t="str">
        <f>IFERROR(__xludf.DUMMYFUNCTION("""COMPUTED_VALUE"""),"Panif Mendes Sion")</f>
        <v>Panif Mendes Sion</v>
      </c>
      <c r="G821" s="1" t="str">
        <f>IFERROR(__xludf.DUMMYFUNCTION("""COMPUTED_VALUE"""),"Comida")</f>
        <v>Comida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7">
        <f>IFERROR(__xludf.DUMMYFUNCTION("""COMPUTED_VALUE"""),45931.0)</f>
        <v>45931</v>
      </c>
      <c r="B822" s="1" t="str">
        <f>IFERROR(__xludf.DUMMYFUNCTION("""COMPUTED_VALUE"""),"-")</f>
        <v>-</v>
      </c>
      <c r="C822" s="1" t="str">
        <f>IFERROR(__xludf.DUMMYFUNCTION("""COMPUTED_VALUE"""),"Amazonmktplc Boticário")</f>
        <v>Amazonmktplc Boticário</v>
      </c>
      <c r="D822" s="2">
        <f>IFERROR(__xludf.DUMMYFUNCTION("""COMPUTED_VALUE"""),79.11)</f>
        <v>79.11</v>
      </c>
      <c r="E822" s="1" t="str">
        <f>IFERROR(__xludf.DUMMYFUNCTION("""COMPUTED_VALUE"""),"-")</f>
        <v>-</v>
      </c>
      <c r="F822" s="1" t="str">
        <f>IFERROR(__xludf.DUMMYFUNCTION("""COMPUTED_VALUE"""),"Amazonmktplc")</f>
        <v>Amazonmktplc</v>
      </c>
      <c r="G822" s="1" t="str">
        <f>IFERROR(__xludf.DUMMYFUNCTION("""COMPUTED_VALUE"""),"Compras")</f>
        <v>Compras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7">
        <f>IFERROR(__xludf.DUMMYFUNCTION("""COMPUTED_VALUE"""),45931.0)</f>
        <v>45931</v>
      </c>
      <c r="B823" s="1" t="str">
        <f>IFERROR(__xludf.DUMMYFUNCTION("""COMPUTED_VALUE"""),"-")</f>
        <v>-</v>
      </c>
      <c r="C823" s="1" t="str">
        <f>IFERROR(__xludf.DUMMYFUNCTION("""COMPUTED_VALUE"""),"Ltm Veterinaria")</f>
        <v>Ltm Veterinaria</v>
      </c>
      <c r="D823" s="2">
        <f>IFERROR(__xludf.DUMMYFUNCTION("""COMPUTED_VALUE"""),60.0)</f>
        <v>60</v>
      </c>
      <c r="E823" s="1" t="str">
        <f>IFERROR(__xludf.DUMMYFUNCTION("""COMPUTED_VALUE"""),"-")</f>
        <v>-</v>
      </c>
      <c r="F823" s="1" t="str">
        <f>IFERROR(__xludf.DUMMYFUNCTION("""COMPUTED_VALUE"""),"Ltm Veterinaria")</f>
        <v>Ltm Veterinaria</v>
      </c>
      <c r="G823" s="1" t="str">
        <f>IFERROR(__xludf.DUMMYFUNCTION("""COMPUTED_VALUE"""),"-")</f>
        <v>-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7">
        <f>IFERROR(__xludf.DUMMYFUNCTION("""COMPUTED_VALUE"""),45931.0)</f>
        <v>45931</v>
      </c>
      <c r="B824" s="1" t="str">
        <f>IFERROR(__xludf.DUMMYFUNCTION("""COMPUTED_VALUE"""),"-")</f>
        <v>-</v>
      </c>
      <c r="C824" s="1" t="str">
        <f>IFERROR(__xludf.DUMMYFUNCTION("""COMPUTED_VALUE"""),"Filial 9 Savassi")</f>
        <v>Filial 9 Savassi</v>
      </c>
      <c r="D824" s="2">
        <f>IFERROR(__xludf.DUMMYFUNCTION("""COMPUTED_VALUE"""),39.5)</f>
        <v>39.5</v>
      </c>
      <c r="E824" s="1" t="str">
        <f>IFERROR(__xludf.DUMMYFUNCTION("""COMPUTED_VALUE"""),"-")</f>
        <v>-</v>
      </c>
      <c r="F824" s="1" t="str">
        <f>IFERROR(__xludf.DUMMYFUNCTION("""COMPUTED_VALUE"""),"Filial 9 Savassi")</f>
        <v>Filial 9 Savassi</v>
      </c>
      <c r="G824" s="1" t="str">
        <f>IFERROR(__xludf.DUMMYFUNCTION("""COMPUTED_VALUE"""),"-")</f>
        <v>-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7">
        <f>IFERROR(__xludf.DUMMYFUNCTION("""COMPUTED_VALUE"""),45931.0)</f>
        <v>45931</v>
      </c>
      <c r="B825" s="1" t="str">
        <f>IFERROR(__xludf.DUMMYFUNCTION("""COMPUTED_VALUE"""),"-")</f>
        <v>-</v>
      </c>
      <c r="C825" s="1" t="str">
        <f>IFERROR(__xludf.DUMMYFUNCTION("""COMPUTED_VALUE"""),"Supermercado &amp; Padaria")</f>
        <v>Supermercado &amp; Padaria</v>
      </c>
      <c r="D825" s="2">
        <f>IFERROR(__xludf.DUMMYFUNCTION("""COMPUTED_VALUE"""),148.86)</f>
        <v>148.86</v>
      </c>
      <c r="E825" s="1" t="str">
        <f>IFERROR(__xludf.DUMMYFUNCTION("""COMPUTED_VALUE"""),"-")</f>
        <v>-</v>
      </c>
      <c r="F825" s="1" t="str">
        <f>IFERROR(__xludf.DUMMYFUNCTION("""COMPUTED_VALUE"""),"Supermercado &amp; Padaria")</f>
        <v>Supermercado &amp; Padaria</v>
      </c>
      <c r="G825" s="1" t="str">
        <f>IFERROR(__xludf.DUMMYFUNCTION("""COMPUTED_VALUE"""),"Comida")</f>
        <v>Comida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7">
        <f>IFERROR(__xludf.DUMMYFUNCTION("""COMPUTED_VALUE"""),45931.0)</f>
        <v>45931</v>
      </c>
      <c r="B826" s="1" t="str">
        <f>IFERROR(__xludf.DUMMYFUNCTION("""COMPUTED_VALUE"""),"-")</f>
        <v>-</v>
      </c>
      <c r="C826" s="1" t="str">
        <f>IFERROR(__xludf.DUMMYFUNCTION("""COMPUTED_VALUE"""),"Drogaria Araujo")</f>
        <v>Drogaria Araujo</v>
      </c>
      <c r="D826" s="2">
        <f>IFERROR(__xludf.DUMMYFUNCTION("""COMPUTED_VALUE"""),37.98)</f>
        <v>37.98</v>
      </c>
      <c r="E826" s="1" t="str">
        <f>IFERROR(__xludf.DUMMYFUNCTION("""COMPUTED_VALUE"""),"-")</f>
        <v>-</v>
      </c>
      <c r="F826" s="1" t="str">
        <f>IFERROR(__xludf.DUMMYFUNCTION("""COMPUTED_VALUE"""),"Drogaria Araujo")</f>
        <v>Drogaria Araujo</v>
      </c>
      <c r="G826" s="1" t="str">
        <f>IFERROR(__xludf.DUMMYFUNCTION("""COMPUTED_VALUE"""),"Farmácia")</f>
        <v>Farmácia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7">
        <f>IFERROR(__xludf.DUMMYFUNCTION("""COMPUTED_VALUE"""),45931.0)</f>
        <v>45931</v>
      </c>
      <c r="B827" s="1" t="str">
        <f>IFERROR(__xludf.DUMMYFUNCTION("""COMPUTED_VALUE"""),"-")</f>
        <v>-</v>
      </c>
      <c r="C827" s="1" t="str">
        <f>IFERROR(__xludf.DUMMYFUNCTION("""COMPUTED_VALUE"""),"Amazonmktplc Alopetpet")</f>
        <v>Amazonmktplc Alopetpet</v>
      </c>
      <c r="D827" s="2">
        <f>IFERROR(__xludf.DUMMYFUNCTION("""COMPUTED_VALUE"""),142.7)</f>
        <v>142.7</v>
      </c>
      <c r="E827" s="1" t="str">
        <f>IFERROR(__xludf.DUMMYFUNCTION("""COMPUTED_VALUE"""),"-")</f>
        <v>-</v>
      </c>
      <c r="F827" s="1" t="str">
        <f>IFERROR(__xludf.DUMMYFUNCTION("""COMPUTED_VALUE"""),"Amazonmktplc")</f>
        <v>Amazonmktplc</v>
      </c>
      <c r="G827" s="1" t="str">
        <f>IFERROR(__xludf.DUMMYFUNCTION("""COMPUTED_VALUE"""),"Compras")</f>
        <v>Compras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7">
        <f>IFERROR(__xludf.DUMMYFUNCTION("""COMPUTED_VALUE"""),45931.0)</f>
        <v>45931</v>
      </c>
      <c r="B828" s="1" t="str">
        <f>IFERROR(__xludf.DUMMYFUNCTION("""COMPUTED_VALUE"""),"-")</f>
        <v>-</v>
      </c>
      <c r="C828" s="1" t="str">
        <f>IFERROR(__xludf.DUMMYFUNCTION("""COMPUTED_VALUE"""),"Amazon Digital Br")</f>
        <v>Amazon Digital Br</v>
      </c>
      <c r="D828" s="2">
        <f>IFERROR(__xludf.DUMMYFUNCTION("""COMPUTED_VALUE"""),19.9)</f>
        <v>19.9</v>
      </c>
      <c r="E828" s="1" t="str">
        <f>IFERROR(__xludf.DUMMYFUNCTION("""COMPUTED_VALUE"""),"-")</f>
        <v>-</v>
      </c>
      <c r="F828" s="1" t="str">
        <f>IFERROR(__xludf.DUMMYFUNCTION("""COMPUTED_VALUE"""),"Amazon Digital Br")</f>
        <v>Amazon Digital Br</v>
      </c>
      <c r="G828" s="1" t="str">
        <f>IFERROR(__xludf.DUMMYFUNCTION("""COMPUTED_VALUE"""),"Compras")</f>
        <v>Compras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7">
        <f>IFERROR(__xludf.DUMMYFUNCTION("""COMPUTED_VALUE"""),45931.0)</f>
        <v>45931</v>
      </c>
      <c r="B829" s="1" t="str">
        <f>IFERROR(__xludf.DUMMYFUNCTION("""COMPUTED_VALUE"""),"-")</f>
        <v>-</v>
      </c>
      <c r="C829" s="1" t="str">
        <f>IFERROR(__xludf.DUMMYFUNCTION("""COMPUTED_VALUE"""),"Panif Mendes Sion")</f>
        <v>Panif Mendes Sion</v>
      </c>
      <c r="D829" s="2">
        <f>IFERROR(__xludf.DUMMYFUNCTION("""COMPUTED_VALUE"""),4.0)</f>
        <v>4</v>
      </c>
      <c r="E829" s="1" t="str">
        <f>IFERROR(__xludf.DUMMYFUNCTION("""COMPUTED_VALUE"""),"-")</f>
        <v>-</v>
      </c>
      <c r="F829" s="1" t="str">
        <f>IFERROR(__xludf.DUMMYFUNCTION("""COMPUTED_VALUE"""),"Panif Mendes Sion")</f>
        <v>Panif Mendes Sion</v>
      </c>
      <c r="G829" s="1" t="str">
        <f>IFERROR(__xludf.DUMMYFUNCTION("""COMPUTED_VALUE"""),"Comida")</f>
        <v>Comida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7">
        <f>IFERROR(__xludf.DUMMYFUNCTION("""COMPUTED_VALUE"""),45931.0)</f>
        <v>45931</v>
      </c>
      <c r="B830" s="1" t="str">
        <f>IFERROR(__xludf.DUMMYFUNCTION("""COMPUTED_VALUE"""),"-")</f>
        <v>-</v>
      </c>
      <c r="C830" s="1" t="str">
        <f>IFERROR(__xludf.DUMMYFUNCTION("""COMPUTED_VALUE"""),"Constance")</f>
        <v>Constance</v>
      </c>
      <c r="D830" s="2">
        <f>IFERROR(__xludf.DUMMYFUNCTION("""COMPUTED_VALUE"""),209.99)</f>
        <v>209.99</v>
      </c>
      <c r="E830" s="1" t="str">
        <f>IFERROR(__xludf.DUMMYFUNCTION("""COMPUTED_VALUE"""),"-")</f>
        <v>-</v>
      </c>
      <c r="F830" s="1" t="str">
        <f>IFERROR(__xludf.DUMMYFUNCTION("""COMPUTED_VALUE"""),"Constance")</f>
        <v>Constance</v>
      </c>
      <c r="G830" s="1" t="str">
        <f>IFERROR(__xludf.DUMMYFUNCTION("""COMPUTED_VALUE"""),"Compras")</f>
        <v>Compras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7">
        <f>IFERROR(__xludf.DUMMYFUNCTION("""COMPUTED_VALUE"""),45931.0)</f>
        <v>45931</v>
      </c>
      <c r="B831" s="1" t="str">
        <f>IFERROR(__xludf.DUMMYFUNCTION("""COMPUTED_VALUE"""),"-")</f>
        <v>-</v>
      </c>
      <c r="C831" s="1" t="str">
        <f>IFERROR(__xludf.DUMMYFUNCTION("""COMPUTED_VALUE"""),"Concessionaria Da Rodo")</f>
        <v>Concessionaria Da Rodo</v>
      </c>
      <c r="D831" s="2">
        <f>IFERROR(__xludf.DUMMYFUNCTION("""COMPUTED_VALUE"""),15.5)</f>
        <v>15.5</v>
      </c>
      <c r="E831" s="1" t="str">
        <f>IFERROR(__xludf.DUMMYFUNCTION("""COMPUTED_VALUE"""),"-")</f>
        <v>-</v>
      </c>
      <c r="F831" s="1" t="str">
        <f>IFERROR(__xludf.DUMMYFUNCTION("""COMPUTED_VALUE"""),"Concessionaria Da Rodo")</f>
        <v>Concessionaria Da Rodo</v>
      </c>
      <c r="G831" s="1" t="str">
        <f>IFERROR(__xludf.DUMMYFUNCTION("""COMPUTED_VALUE"""),"Compras")</f>
        <v>Compras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7">
        <f>IFERROR(__xludf.DUMMYFUNCTION("""COMPUTED_VALUE"""),45931.0)</f>
        <v>45931</v>
      </c>
      <c r="B832" s="1" t="str">
        <f>IFERROR(__xludf.DUMMYFUNCTION("""COMPUTED_VALUE"""),"-")</f>
        <v>-</v>
      </c>
      <c r="C832" s="1" t="str">
        <f>IFERROR(__xludf.DUMMYFUNCTION("""COMPUTED_VALUE"""),"Gabriel Rocha Ribe")</f>
        <v>Gabriel Rocha Ribe</v>
      </c>
      <c r="D832" s="2">
        <f>IFERROR(__xludf.DUMMYFUNCTION("""COMPUTED_VALUE"""),32.44)</f>
        <v>32.44</v>
      </c>
      <c r="E832" s="1" t="str">
        <f>IFERROR(__xludf.DUMMYFUNCTION("""COMPUTED_VALUE"""),"-")</f>
        <v>-</v>
      </c>
      <c r="F832" s="1" t="str">
        <f>IFERROR(__xludf.DUMMYFUNCTION("""COMPUTED_VALUE"""),"Gabriel Rocha Ribe")</f>
        <v>Gabriel Rocha Ribe</v>
      </c>
      <c r="G832" s="1" t="str">
        <f>IFERROR(__xludf.DUMMYFUNCTION("""COMPUTED_VALUE"""),"-")</f>
        <v>-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7">
        <f>IFERROR(__xludf.DUMMYFUNCTION("""COMPUTED_VALUE"""),45931.0)</f>
        <v>45931</v>
      </c>
      <c r="B833" s="1" t="str">
        <f>IFERROR(__xludf.DUMMYFUNCTION("""COMPUTED_VALUE"""),"-")</f>
        <v>-</v>
      </c>
      <c r="C833" s="1" t="str">
        <f>IFERROR(__xludf.DUMMYFUNCTION("""COMPUTED_VALUE"""),"Ze Pamonha")</f>
        <v>Ze Pamonha</v>
      </c>
      <c r="D833" s="2">
        <f>IFERROR(__xludf.DUMMYFUNCTION("""COMPUTED_VALUE"""),26.5)</f>
        <v>26.5</v>
      </c>
      <c r="E833" s="1" t="str">
        <f>IFERROR(__xludf.DUMMYFUNCTION("""COMPUTED_VALUE"""),"-")</f>
        <v>-</v>
      </c>
      <c r="F833" s="1" t="str">
        <f>IFERROR(__xludf.DUMMYFUNCTION("""COMPUTED_VALUE"""),"Ze Pamonha")</f>
        <v>Ze Pamonha</v>
      </c>
      <c r="G833" s="1" t="str">
        <f>IFERROR(__xludf.DUMMYFUNCTION("""COMPUTED_VALUE"""),"-")</f>
        <v>-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7">
        <f>IFERROR(__xludf.DUMMYFUNCTION("""COMPUTED_VALUE"""),45931.0)</f>
        <v>45931</v>
      </c>
      <c r="B834" s="1" t="str">
        <f>IFERROR(__xludf.DUMMYFUNCTION("""COMPUTED_VALUE"""),"-")</f>
        <v>-</v>
      </c>
      <c r="C834" s="1" t="str">
        <f>IFERROR(__xludf.DUMMYFUNCTION("""COMPUTED_VALUE"""),"Concessionaria Da Rodo")</f>
        <v>Concessionaria Da Rodo</v>
      </c>
      <c r="D834" s="2">
        <f>IFERROR(__xludf.DUMMYFUNCTION("""COMPUTED_VALUE"""),15.5)</f>
        <v>15.5</v>
      </c>
      <c r="E834" s="1" t="str">
        <f>IFERROR(__xludf.DUMMYFUNCTION("""COMPUTED_VALUE"""),"-")</f>
        <v>-</v>
      </c>
      <c r="F834" s="1" t="str">
        <f>IFERROR(__xludf.DUMMYFUNCTION("""COMPUTED_VALUE"""),"Concessionaria Da Rodo")</f>
        <v>Concessionaria Da Rodo</v>
      </c>
      <c r="G834" s="1" t="str">
        <f>IFERROR(__xludf.DUMMYFUNCTION("""COMPUTED_VALUE"""),"Compras")</f>
        <v>Compras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7">
        <f>IFERROR(__xludf.DUMMYFUNCTION("""COMPUTED_VALUE"""),45931.0)</f>
        <v>45931</v>
      </c>
      <c r="B835" s="1" t="str">
        <f>IFERROR(__xludf.DUMMYFUNCTION("""COMPUTED_VALUE"""),"-")</f>
        <v>-</v>
      </c>
      <c r="C835" s="1" t="str">
        <f>IFERROR(__xludf.DUMMYFUNCTION("""COMPUTED_VALUE"""),"Drogaria Araujo")</f>
        <v>Drogaria Araujo</v>
      </c>
      <c r="D835" s="2">
        <f>IFERROR(__xludf.DUMMYFUNCTION("""COMPUTED_VALUE"""),15.0)</f>
        <v>15</v>
      </c>
      <c r="E835" s="1" t="str">
        <f>IFERROR(__xludf.DUMMYFUNCTION("""COMPUTED_VALUE"""),"-")</f>
        <v>-</v>
      </c>
      <c r="F835" s="1" t="str">
        <f>IFERROR(__xludf.DUMMYFUNCTION("""COMPUTED_VALUE"""),"Drogaria Araujo")</f>
        <v>Drogaria Araujo</v>
      </c>
      <c r="G835" s="1" t="str">
        <f>IFERROR(__xludf.DUMMYFUNCTION("""COMPUTED_VALUE"""),"Farmácia")</f>
        <v>Farmácia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7">
        <f>IFERROR(__xludf.DUMMYFUNCTION("""COMPUTED_VALUE"""),45931.0)</f>
        <v>45931</v>
      </c>
      <c r="B836" s="1" t="str">
        <f>IFERROR(__xludf.DUMMYFUNCTION("""COMPUTED_VALUE"""),"-")</f>
        <v>-</v>
      </c>
      <c r="C836" s="1" t="str">
        <f>IFERROR(__xludf.DUMMYFUNCTION("""COMPUTED_VALUE"""),"Uber")</f>
        <v>Uber</v>
      </c>
      <c r="D836" s="2">
        <f>IFERROR(__xludf.DUMMYFUNCTION("""COMPUTED_VALUE"""),8.94)</f>
        <v>8.94</v>
      </c>
      <c r="E836" s="1" t="str">
        <f>IFERROR(__xludf.DUMMYFUNCTION("""COMPUTED_VALUE"""),"-")</f>
        <v>-</v>
      </c>
      <c r="F836" s="1" t="str">
        <f>IFERROR(__xludf.DUMMYFUNCTION("""COMPUTED_VALUE"""),"Uber")</f>
        <v>Uber</v>
      </c>
      <c r="G836" s="1" t="str">
        <f>IFERROR(__xludf.DUMMYFUNCTION("""COMPUTED_VALUE"""),"Uber/99")</f>
        <v>Uber/99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7">
        <f>IFERROR(__xludf.DUMMYFUNCTION("""COMPUTED_VALUE"""),45931.0)</f>
        <v>45931</v>
      </c>
      <c r="B837" s="1" t="str">
        <f>IFERROR(__xludf.DUMMYFUNCTION("""COMPUTED_VALUE"""),"-")</f>
        <v>-</v>
      </c>
      <c r="C837" s="1">
        <f>IFERROR(__xludf.DUMMYFUNCTION("""COMPUTED_VALUE"""),99.0)</f>
        <v>99</v>
      </c>
      <c r="D837" s="2">
        <f>IFERROR(__xludf.DUMMYFUNCTION("""COMPUTED_VALUE"""),10.87)</f>
        <v>10.87</v>
      </c>
      <c r="E837" s="1" t="str">
        <f>IFERROR(__xludf.DUMMYFUNCTION("""COMPUTED_VALUE"""),"-")</f>
        <v>-</v>
      </c>
      <c r="F837" s="1" t="str">
        <f>IFERROR(__xludf.DUMMYFUNCTION("""COMPUTED_VALUE"""),"99")</f>
        <v>99</v>
      </c>
      <c r="G837" s="1" t="str">
        <f>IFERROR(__xludf.DUMMYFUNCTION("""COMPUTED_VALUE"""),"Uber/99")</f>
        <v>Uber/99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7">
        <f>IFERROR(__xludf.DUMMYFUNCTION("""COMPUTED_VALUE"""),45931.0)</f>
        <v>45931</v>
      </c>
      <c r="B838" s="1" t="str">
        <f>IFERROR(__xludf.DUMMYFUNCTION("""COMPUTED_VALUE"""),"-")</f>
        <v>-</v>
      </c>
      <c r="C838" s="1" t="str">
        <f>IFERROR(__xludf.DUMMYFUNCTION("""COMPUTED_VALUE"""),"Amazon")</f>
        <v>Amazon</v>
      </c>
      <c r="D838" s="2">
        <f>IFERROR(__xludf.DUMMYFUNCTION("""COMPUTED_VALUE"""),7.49)</f>
        <v>7.49</v>
      </c>
      <c r="E838" s="1" t="str">
        <f>IFERROR(__xludf.DUMMYFUNCTION("""COMPUTED_VALUE"""),"-")</f>
        <v>-</v>
      </c>
      <c r="F838" s="1" t="str">
        <f>IFERROR(__xludf.DUMMYFUNCTION("""COMPUTED_VALUE"""),"Amazon")</f>
        <v>Amazon</v>
      </c>
      <c r="G838" s="1" t="str">
        <f>IFERROR(__xludf.DUMMYFUNCTION("""COMPUTED_VALUE"""),"Compras")</f>
        <v>Compras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7">
        <f>IFERROR(__xludf.DUMMYFUNCTION("""COMPUTED_VALUE"""),45931.0)</f>
        <v>45931</v>
      </c>
      <c r="B839" s="1" t="str">
        <f>IFERROR(__xludf.DUMMYFUNCTION("""COMPUTED_VALUE"""),"-")</f>
        <v>-</v>
      </c>
      <c r="C839" s="1" t="str">
        <f>IFERROR(__xludf.DUMMYFUNCTION("""COMPUTED_VALUE"""),"Amazon")</f>
        <v>Amazon</v>
      </c>
      <c r="D839" s="2">
        <f>IFERROR(__xludf.DUMMYFUNCTION("""COMPUTED_VALUE"""),9.0)</f>
        <v>9</v>
      </c>
      <c r="E839" s="1" t="str">
        <f>IFERROR(__xludf.DUMMYFUNCTION("""COMPUTED_VALUE"""),"-")</f>
        <v>-</v>
      </c>
      <c r="F839" s="1" t="str">
        <f>IFERROR(__xludf.DUMMYFUNCTION("""COMPUTED_VALUE"""),"Amazon")</f>
        <v>Amazon</v>
      </c>
      <c r="G839" s="1" t="str">
        <f>IFERROR(__xludf.DUMMYFUNCTION("""COMPUTED_VALUE"""),"Compras")</f>
        <v>Compras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7">
        <f>IFERROR(__xludf.DUMMYFUNCTION("""COMPUTED_VALUE"""),45931.0)</f>
        <v>45931</v>
      </c>
      <c r="B840" s="1" t="str">
        <f>IFERROR(__xludf.DUMMYFUNCTION("""COMPUTED_VALUE"""),"-")</f>
        <v>-</v>
      </c>
      <c r="C840" s="1">
        <f>IFERROR(__xludf.DUMMYFUNCTION("""COMPUTED_VALUE"""),99.0)</f>
        <v>99</v>
      </c>
      <c r="D840" s="2">
        <f>IFERROR(__xludf.DUMMYFUNCTION("""COMPUTED_VALUE"""),14.49)</f>
        <v>14.49</v>
      </c>
      <c r="E840" s="1" t="str">
        <f>IFERROR(__xludf.DUMMYFUNCTION("""COMPUTED_VALUE"""),"-")</f>
        <v>-</v>
      </c>
      <c r="F840" s="1" t="str">
        <f>IFERROR(__xludf.DUMMYFUNCTION("""COMPUTED_VALUE"""),"99")</f>
        <v>99</v>
      </c>
      <c r="G840" s="1" t="str">
        <f>IFERROR(__xludf.DUMMYFUNCTION("""COMPUTED_VALUE"""),"Uber/99")</f>
        <v>Uber/99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7">
        <f>IFERROR(__xludf.DUMMYFUNCTION("""COMPUTED_VALUE"""),45931.0)</f>
        <v>45931</v>
      </c>
      <c r="B841" s="1" t="str">
        <f>IFERROR(__xludf.DUMMYFUNCTION("""COMPUTED_VALUE"""),"-")</f>
        <v>-</v>
      </c>
      <c r="C841" s="1" t="str">
        <f>IFERROR(__xludf.DUMMYFUNCTION("""COMPUTED_VALUE"""),"Megapark")</f>
        <v>Megapark</v>
      </c>
      <c r="D841" s="2">
        <f>IFERROR(__xludf.DUMMYFUNCTION("""COMPUTED_VALUE"""),24.0)</f>
        <v>24</v>
      </c>
      <c r="E841" s="1" t="str">
        <f>IFERROR(__xludf.DUMMYFUNCTION("""COMPUTED_VALUE"""),"-")</f>
        <v>-</v>
      </c>
      <c r="F841" s="1" t="str">
        <f>IFERROR(__xludf.DUMMYFUNCTION("""COMPUTED_VALUE"""),"Megapark")</f>
        <v>Megapark</v>
      </c>
      <c r="G841" s="1" t="str">
        <f>IFERROR(__xludf.DUMMYFUNCTION("""COMPUTED_VALUE"""),"-")</f>
        <v>-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7">
        <f>IFERROR(__xludf.DUMMYFUNCTION("""COMPUTED_VALUE"""),45962.0)</f>
        <v>45962</v>
      </c>
      <c r="B842" s="1" t="str">
        <f>IFERROR(__xludf.DUMMYFUNCTION("""COMPUTED_VALUE"""),"-")</f>
        <v>-</v>
      </c>
      <c r="C842" s="1" t="str">
        <f>IFERROR(__xludf.DUMMYFUNCTION("""COMPUTED_VALUE"""),"Cancelamento - Amazonmktplc Alltrendl")</f>
        <v>Cancelamento - Amazonmktplc Alltrendl</v>
      </c>
      <c r="D842" s="2">
        <f>IFERROR(__xludf.DUMMYFUNCTION("""COMPUTED_VALUE"""),-11.9)</f>
        <v>-11.9</v>
      </c>
      <c r="E842" s="1" t="str">
        <f>IFERROR(__xludf.DUMMYFUNCTION("""COMPUTED_VALUE"""),"-")</f>
        <v>-</v>
      </c>
      <c r="F842" s="1" t="str">
        <f>IFERROR(__xludf.DUMMYFUNCTION("""COMPUTED_VALUE"""),"Amazonmktplc")</f>
        <v>Amazonmktplc</v>
      </c>
      <c r="G842" s="1" t="str">
        <f>IFERROR(__xludf.DUMMYFUNCTION("""COMPUTED_VALUE"""),"Compras")</f>
        <v>Compras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7">
        <f>IFERROR(__xludf.DUMMYFUNCTION("""COMPUTED_VALUE"""),45962.0)</f>
        <v>45962</v>
      </c>
      <c r="B843" s="1" t="str">
        <f>IFERROR(__xludf.DUMMYFUNCTION("""COMPUTED_VALUE"""),"-")</f>
        <v>-</v>
      </c>
      <c r="C843" s="1" t="str">
        <f>IFERROR(__xludf.DUMMYFUNCTION("""COMPUTED_VALUE"""),"Desconto Na Parcela 5 De 5 Trackfield")</f>
        <v>Desconto Na Parcela 5 De 5 Trackfield</v>
      </c>
      <c r="D843" s="2">
        <f>IFERROR(__xludf.DUMMYFUNCTION("""COMPUTED_VALUE"""),-1.98)</f>
        <v>-1.98</v>
      </c>
      <c r="E843" s="1" t="str">
        <f>IFERROR(__xludf.DUMMYFUNCTION("""COMPUTED_VALUE"""),"-")</f>
        <v>-</v>
      </c>
      <c r="F843" s="1" t="str">
        <f>IFERROR(__xludf.DUMMYFUNCTION("""COMPUTED_VALUE"""),"Desconto Na Parcela 5 De 5 Trackfield")</f>
        <v>Desconto Na Parcela 5 De 5 Trackfield</v>
      </c>
      <c r="G843" s="1" t="str">
        <f>IFERROR(__xludf.DUMMYFUNCTION("""COMPUTED_VALUE"""),"-")</f>
        <v>-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7">
        <f>IFERROR(__xludf.DUMMYFUNCTION("""COMPUTED_VALUE"""),45962.0)</f>
        <v>45962</v>
      </c>
      <c r="B844" s="1" t="str">
        <f>IFERROR(__xludf.DUMMYFUNCTION("""COMPUTED_VALUE"""),"-")</f>
        <v>-</v>
      </c>
      <c r="C844" s="1" t="str">
        <f>IFERROR(__xludf.DUMMYFUNCTION("""COMPUTED_VALUE"""),"Desconto Na Parcela 10 De 10 Crstina Marcia")</f>
        <v>Desconto Na Parcela 10 De 10 Crstina Marcia</v>
      </c>
      <c r="D844" s="2">
        <f>IFERROR(__xludf.DUMMYFUNCTION("""COMPUTED_VALUE"""),-12.65)</f>
        <v>-12.65</v>
      </c>
      <c r="E844" s="1" t="str">
        <f>IFERROR(__xludf.DUMMYFUNCTION("""COMPUTED_VALUE"""),"-")</f>
        <v>-</v>
      </c>
      <c r="F844" s="1" t="str">
        <f>IFERROR(__xludf.DUMMYFUNCTION("""COMPUTED_VALUE"""),"Desconto Na Parcela 10 De 10 Crstina Marcia")</f>
        <v>Desconto Na Parcela 10 De 10 Crstina Marcia</v>
      </c>
      <c r="G844" s="1" t="str">
        <f>IFERROR(__xludf.DUMMYFUNCTION("""COMPUTED_VALUE"""),"-")</f>
        <v>-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7">
        <f>IFERROR(__xludf.DUMMYFUNCTION("""COMPUTED_VALUE"""),45962.0)</f>
        <v>45962</v>
      </c>
      <c r="B845" s="1" t="str">
        <f>IFERROR(__xludf.DUMMYFUNCTION("""COMPUTED_VALUE"""),"-")</f>
        <v>-</v>
      </c>
      <c r="C845" s="1" t="str">
        <f>IFERROR(__xludf.DUMMYFUNCTION("""COMPUTED_VALUE"""),"Desconto Na Parcela 10 De 10 Casas Bahia")</f>
        <v>Desconto Na Parcela 10 De 10 Casas Bahia</v>
      </c>
      <c r="D845" s="2">
        <f>IFERROR(__xludf.DUMMYFUNCTION("""COMPUTED_VALUE"""),-4.02)</f>
        <v>-4.02</v>
      </c>
      <c r="E845" s="1" t="str">
        <f>IFERROR(__xludf.DUMMYFUNCTION("""COMPUTED_VALUE"""),"-")</f>
        <v>-</v>
      </c>
      <c r="F845" s="1" t="str">
        <f>IFERROR(__xludf.DUMMYFUNCTION("""COMPUTED_VALUE"""),"Desconto Na Parcela 10 De 10 Casas Bahia")</f>
        <v>Desconto Na Parcela 10 De 10 Casas Bahia</v>
      </c>
      <c r="G845" s="1" t="str">
        <f>IFERROR(__xludf.DUMMYFUNCTION("""COMPUTED_VALUE"""),"-")</f>
        <v>-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7">
        <f>IFERROR(__xludf.DUMMYFUNCTION("""COMPUTED_VALUE"""),45962.0)</f>
        <v>45962</v>
      </c>
      <c r="B846" s="1" t="str">
        <f>IFERROR(__xludf.DUMMYFUNCTION("""COMPUTED_VALUE"""),"-")</f>
        <v>-</v>
      </c>
      <c r="C846" s="1" t="str">
        <f>IFERROR(__xludf.DUMMYFUNCTION("""COMPUTED_VALUE"""),"Desconto Na Parcela 9 De 10 Casas Bahia")</f>
        <v>Desconto Na Parcela 9 De 10 Casas Bahia</v>
      </c>
      <c r="D846" s="2">
        <f>IFERROR(__xludf.DUMMYFUNCTION("""COMPUTED_VALUE"""),-2.67)</f>
        <v>-2.67</v>
      </c>
      <c r="E846" s="1" t="str">
        <f>IFERROR(__xludf.DUMMYFUNCTION("""COMPUTED_VALUE"""),"-")</f>
        <v>-</v>
      </c>
      <c r="F846" s="1" t="str">
        <f>IFERROR(__xludf.DUMMYFUNCTION("""COMPUTED_VALUE"""),"Desconto Na Parcela 9 De 10 Casas Bahia")</f>
        <v>Desconto Na Parcela 9 De 10 Casas Bahia</v>
      </c>
      <c r="G846" s="1" t="str">
        <f>IFERROR(__xludf.DUMMYFUNCTION("""COMPUTED_VALUE"""),"-")</f>
        <v>-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7">
        <f>IFERROR(__xludf.DUMMYFUNCTION("""COMPUTED_VALUE"""),45962.0)</f>
        <v>45962</v>
      </c>
      <c r="B847" s="1" t="str">
        <f>IFERROR(__xludf.DUMMYFUNCTION("""COMPUTED_VALUE"""),"-")</f>
        <v>-</v>
      </c>
      <c r="C847" s="1" t="str">
        <f>IFERROR(__xludf.DUMMYFUNCTION("""COMPUTED_VALUE"""),"Desconto Na Parcela 9 De 10 Crstina Marcia")</f>
        <v>Desconto Na Parcela 9 De 10 Crstina Marcia</v>
      </c>
      <c r="D847" s="2">
        <f>IFERROR(__xludf.DUMMYFUNCTION("""COMPUTED_VALUE"""),-10.07)</f>
        <v>-10.07</v>
      </c>
      <c r="E847" s="1" t="str">
        <f>IFERROR(__xludf.DUMMYFUNCTION("""COMPUTED_VALUE"""),"-")</f>
        <v>-</v>
      </c>
      <c r="F847" s="1" t="str">
        <f>IFERROR(__xludf.DUMMYFUNCTION("""COMPUTED_VALUE"""),"Desconto Na Parcela 9 De 10 Crstina Marcia")</f>
        <v>Desconto Na Parcela 9 De 10 Crstina Marcia</v>
      </c>
      <c r="G847" s="1" t="str">
        <f>IFERROR(__xludf.DUMMYFUNCTION("""COMPUTED_VALUE"""),"-")</f>
        <v>-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7">
        <f>IFERROR(__xludf.DUMMYFUNCTION("""COMPUTED_VALUE"""),45962.0)</f>
        <v>45962</v>
      </c>
      <c r="B848" s="1" t="str">
        <f>IFERROR(__xludf.DUMMYFUNCTION("""COMPUTED_VALUE"""),"-")</f>
        <v>-</v>
      </c>
      <c r="C848" s="1" t="str">
        <f>IFERROR(__xludf.DUMMYFUNCTION("""COMPUTED_VALUE"""),"Desconto Na Parcela 4 De 5 Trackfield")</f>
        <v>Desconto Na Parcela 4 De 5 Trackfield</v>
      </c>
      <c r="D848" s="2">
        <f>IFERROR(__xludf.DUMMYFUNCTION("""COMPUTED_VALUE"""),-0.97)</f>
        <v>-0.97</v>
      </c>
      <c r="E848" s="1" t="str">
        <f>IFERROR(__xludf.DUMMYFUNCTION("""COMPUTED_VALUE"""),"-")</f>
        <v>-</v>
      </c>
      <c r="F848" s="1" t="str">
        <f>IFERROR(__xludf.DUMMYFUNCTION("""COMPUTED_VALUE"""),"Desconto Na Parcela 4 De 5 Trackfield")</f>
        <v>Desconto Na Parcela 4 De 5 Trackfield</v>
      </c>
      <c r="G848" s="1" t="str">
        <f>IFERROR(__xludf.DUMMYFUNCTION("""COMPUTED_VALUE"""),"-")</f>
        <v>-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7">
        <f>IFERROR(__xludf.DUMMYFUNCTION("""COMPUTED_VALUE"""),45962.0)</f>
        <v>45962</v>
      </c>
      <c r="B849" s="1" t="str">
        <f>IFERROR(__xludf.DUMMYFUNCTION("""COMPUTED_VALUE"""),"-")</f>
        <v>-</v>
      </c>
      <c r="C849" s="1" t="str">
        <f>IFERROR(__xludf.DUMMYFUNCTION("""COMPUTED_VALUE"""),"Desconto Na Parcela 8 De 10 Crstina Marcia")</f>
        <v>Desconto Na Parcela 8 De 10 Crstina Marcia</v>
      </c>
      <c r="D849" s="2">
        <f>IFERROR(__xludf.DUMMYFUNCTION("""COMPUTED_VALUE"""),-7.74)</f>
        <v>-7.74</v>
      </c>
      <c r="E849" s="1" t="str">
        <f>IFERROR(__xludf.DUMMYFUNCTION("""COMPUTED_VALUE"""),"-")</f>
        <v>-</v>
      </c>
      <c r="F849" s="1" t="str">
        <f>IFERROR(__xludf.DUMMYFUNCTION("""COMPUTED_VALUE"""),"Desconto Na Parcela 8 De 10 Crstina Marcia")</f>
        <v>Desconto Na Parcela 8 De 10 Crstina Marcia</v>
      </c>
      <c r="G849" s="1" t="str">
        <f>IFERROR(__xludf.DUMMYFUNCTION("""COMPUTED_VALUE"""),"-")</f>
        <v>-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7">
        <f>IFERROR(__xludf.DUMMYFUNCTION("""COMPUTED_VALUE"""),45962.0)</f>
        <v>45962</v>
      </c>
      <c r="B850" s="1" t="str">
        <f>IFERROR(__xludf.DUMMYFUNCTION("""COMPUTED_VALUE"""),"-")</f>
        <v>-</v>
      </c>
      <c r="C850" s="1" t="str">
        <f>IFERROR(__xludf.DUMMYFUNCTION("""COMPUTED_VALUE"""),"Desconto Na Parcela 8 De 10 Casas Bahia")</f>
        <v>Desconto Na Parcela 8 De 10 Casas Bahia</v>
      </c>
      <c r="D850" s="2">
        <f>IFERROR(__xludf.DUMMYFUNCTION("""COMPUTED_VALUE"""),-1.31)</f>
        <v>-1.31</v>
      </c>
      <c r="E850" s="1" t="str">
        <f>IFERROR(__xludf.DUMMYFUNCTION("""COMPUTED_VALUE"""),"-")</f>
        <v>-</v>
      </c>
      <c r="F850" s="1" t="str">
        <f>IFERROR(__xludf.DUMMYFUNCTION("""COMPUTED_VALUE"""),"Desconto Na Parcela 8 De 10 Casas Bahia")</f>
        <v>Desconto Na Parcela 8 De 10 Casas Bahia</v>
      </c>
      <c r="G850" s="1" t="str">
        <f>IFERROR(__xludf.DUMMYFUNCTION("""COMPUTED_VALUE"""),"-")</f>
        <v>-</v>
      </c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7">
        <f>IFERROR(__xludf.DUMMYFUNCTION("""COMPUTED_VALUE"""),45962.0)</f>
        <v>45962</v>
      </c>
      <c r="B851" s="1" t="str">
        <f>IFERROR(__xludf.DUMMYFUNCTION("""COMPUTED_VALUE"""),"-")</f>
        <v>-</v>
      </c>
      <c r="C851" s="1" t="str">
        <f>IFERROR(__xludf.DUMMYFUNCTION("""COMPUTED_VALUE"""),"Desconto Na Parcela 7 De 10 Crstina Marcia")</f>
        <v>Desconto Na Parcela 7 De 10 Crstina Marcia</v>
      </c>
      <c r="D851" s="2">
        <f>IFERROR(__xludf.DUMMYFUNCTION("""COMPUTED_VALUE"""),-5.14)</f>
        <v>-5.14</v>
      </c>
      <c r="E851" s="1" t="str">
        <f>IFERROR(__xludf.DUMMYFUNCTION("""COMPUTED_VALUE"""),"-")</f>
        <v>-</v>
      </c>
      <c r="F851" s="1" t="str">
        <f>IFERROR(__xludf.DUMMYFUNCTION("""COMPUTED_VALUE"""),"Desconto Na Parcela 7 De 10 Crstina Marcia")</f>
        <v>Desconto Na Parcela 7 De 10 Crstina Marcia</v>
      </c>
      <c r="G851" s="1" t="str">
        <f>IFERROR(__xludf.DUMMYFUNCTION("""COMPUTED_VALUE"""),"-")</f>
        <v>-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7">
        <f>IFERROR(__xludf.DUMMYFUNCTION("""COMPUTED_VALUE"""),45962.0)</f>
        <v>45962</v>
      </c>
      <c r="B852" s="1" t="str">
        <f>IFERROR(__xludf.DUMMYFUNCTION("""COMPUTED_VALUE"""),"-")</f>
        <v>-</v>
      </c>
      <c r="C852" s="1" t="str">
        <f>IFERROR(__xludf.DUMMYFUNCTION("""COMPUTED_VALUE"""),"Desconto Na Parcela 6 De 10 Crstina Marcia")</f>
        <v>Desconto Na Parcela 6 De 10 Crstina Marcia</v>
      </c>
      <c r="D852" s="2">
        <f>IFERROR(__xludf.DUMMYFUNCTION("""COMPUTED_VALUE"""),-2.53)</f>
        <v>-2.53</v>
      </c>
      <c r="E852" s="1" t="str">
        <f>IFERROR(__xludf.DUMMYFUNCTION("""COMPUTED_VALUE"""),"-")</f>
        <v>-</v>
      </c>
      <c r="F852" s="1" t="str">
        <f>IFERROR(__xludf.DUMMYFUNCTION("""COMPUTED_VALUE"""),"Desconto Na Parcela 6 De 10 Crstina Marcia")</f>
        <v>Desconto Na Parcela 6 De 10 Crstina Marcia</v>
      </c>
      <c r="G852" s="1" t="str">
        <f>IFERROR(__xludf.DUMMYFUNCTION("""COMPUTED_VALUE"""),"-")</f>
        <v>-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7">
        <f>IFERROR(__xludf.DUMMYFUNCTION("""COMPUTED_VALUE"""),45962.0)</f>
        <v>45962</v>
      </c>
      <c r="B853" s="1" t="str">
        <f>IFERROR(__xludf.DUMMYFUNCTION("""COMPUTED_VALUE"""),"-")</f>
        <v>-</v>
      </c>
      <c r="C853" s="1" t="str">
        <f>IFERROR(__xludf.DUMMYFUNCTION("""COMPUTED_VALUE"""),"Desconto Na Parcela 6 De 6 Imunizar")</f>
        <v>Desconto Na Parcela 6 De 6 Imunizar</v>
      </c>
      <c r="D853" s="2">
        <f>IFERROR(__xludf.DUMMYFUNCTION("""COMPUTED_VALUE"""),-15.0)</f>
        <v>-15</v>
      </c>
      <c r="E853" s="1" t="str">
        <f>IFERROR(__xludf.DUMMYFUNCTION("""COMPUTED_VALUE"""),"-")</f>
        <v>-</v>
      </c>
      <c r="F853" s="1" t="str">
        <f>IFERROR(__xludf.DUMMYFUNCTION("""COMPUTED_VALUE"""),"Desconto Na Parcela 6 De 6 Imunizar")</f>
        <v>Desconto Na Parcela 6 De 6 Imunizar</v>
      </c>
      <c r="G853" s="1" t="str">
        <f>IFERROR(__xludf.DUMMYFUNCTION("""COMPUTED_VALUE"""),"-")</f>
        <v>-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7">
        <f>IFERROR(__xludf.DUMMYFUNCTION("""COMPUTED_VALUE"""),45962.0)</f>
        <v>45962</v>
      </c>
      <c r="B854" s="1" t="str">
        <f>IFERROR(__xludf.DUMMYFUNCTION("""COMPUTED_VALUE"""),"-")</f>
        <v>-</v>
      </c>
      <c r="C854" s="1" t="str">
        <f>IFERROR(__xludf.DUMMYFUNCTION("""COMPUTED_VALUE"""),"Desconto Na Parcela 12 De 12 Mercadolaserxinforma")</f>
        <v>Desconto Na Parcela 12 De 12 Mercadolaserxinforma</v>
      </c>
      <c r="D854" s="2">
        <f>IFERROR(__xludf.DUMMYFUNCTION("""COMPUTED_VALUE"""),-2.77)</f>
        <v>-2.77</v>
      </c>
      <c r="E854" s="1" t="str">
        <f>IFERROR(__xludf.DUMMYFUNCTION("""COMPUTED_VALUE"""),"-")</f>
        <v>-</v>
      </c>
      <c r="F854" s="1" t="str">
        <f>IFERROR(__xludf.DUMMYFUNCTION("""COMPUTED_VALUE"""),"Desconto Na Parcela 12 De 12 Mercadolaserxinforma")</f>
        <v>Desconto Na Parcela 12 De 12 Mercadolaserxinforma</v>
      </c>
      <c r="G854" s="1" t="str">
        <f>IFERROR(__xludf.DUMMYFUNCTION("""COMPUTED_VALUE"""),"-")</f>
        <v>-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7">
        <f>IFERROR(__xludf.DUMMYFUNCTION("""COMPUTED_VALUE"""),45962.0)</f>
        <v>45962</v>
      </c>
      <c r="B855" s="1" t="str">
        <f>IFERROR(__xludf.DUMMYFUNCTION("""COMPUTED_VALUE"""),"-")</f>
        <v>-</v>
      </c>
      <c r="C855" s="1" t="str">
        <f>IFERROR(__xludf.DUMMYFUNCTION("""COMPUTED_VALUE"""),"Desconto Na Parcela 11 De 12 Mercadolaserxinforma")</f>
        <v>Desconto Na Parcela 11 De 12 Mercadolaserxinforma</v>
      </c>
      <c r="D855" s="2">
        <f>IFERROR(__xludf.DUMMYFUNCTION("""COMPUTED_VALUE"""),-2.5)</f>
        <v>-2.5</v>
      </c>
      <c r="E855" s="1" t="str">
        <f>IFERROR(__xludf.DUMMYFUNCTION("""COMPUTED_VALUE"""),"-")</f>
        <v>-</v>
      </c>
      <c r="F855" s="1" t="str">
        <f>IFERROR(__xludf.DUMMYFUNCTION("""COMPUTED_VALUE"""),"Desconto Na Parcela 11 De 12 Mercadolaserxinforma")</f>
        <v>Desconto Na Parcela 11 De 12 Mercadolaserxinforma</v>
      </c>
      <c r="G855" s="1" t="str">
        <f>IFERROR(__xludf.DUMMYFUNCTION("""COMPUTED_VALUE"""),"-")</f>
        <v>-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7">
        <f>IFERROR(__xludf.DUMMYFUNCTION("""COMPUTED_VALUE"""),45962.0)</f>
        <v>45962</v>
      </c>
      <c r="B856" s="1" t="str">
        <f>IFERROR(__xludf.DUMMYFUNCTION("""COMPUTED_VALUE"""),"-")</f>
        <v>-</v>
      </c>
      <c r="C856" s="1" t="str">
        <f>IFERROR(__xludf.DUMMYFUNCTION("""COMPUTED_VALUE"""),"Desconto Na Parcela 5 De 6 Imunizar")</f>
        <v>Desconto Na Parcela 5 De 6 Imunizar</v>
      </c>
      <c r="D856" s="2">
        <f>IFERROR(__xludf.DUMMYFUNCTION("""COMPUTED_VALUE"""),-9.97)</f>
        <v>-9.97</v>
      </c>
      <c r="E856" s="1" t="str">
        <f>IFERROR(__xludf.DUMMYFUNCTION("""COMPUTED_VALUE"""),"-")</f>
        <v>-</v>
      </c>
      <c r="F856" s="1" t="str">
        <f>IFERROR(__xludf.DUMMYFUNCTION("""COMPUTED_VALUE"""),"Desconto Na Parcela 5 De 6 Imunizar")</f>
        <v>Desconto Na Parcela 5 De 6 Imunizar</v>
      </c>
      <c r="G856" s="1" t="str">
        <f>IFERROR(__xludf.DUMMYFUNCTION("""COMPUTED_VALUE"""),"-")</f>
        <v>-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7">
        <f>IFERROR(__xludf.DUMMYFUNCTION("""COMPUTED_VALUE"""),45962.0)</f>
        <v>45962</v>
      </c>
      <c r="B857" s="1" t="str">
        <f>IFERROR(__xludf.DUMMYFUNCTION("""COMPUTED_VALUE"""),"-")</f>
        <v>-</v>
      </c>
      <c r="C857" s="1" t="str">
        <f>IFERROR(__xludf.DUMMYFUNCTION("""COMPUTED_VALUE"""),"Desconto Na Parcela 10 De 12 Mercadolaserxinforma")</f>
        <v>Desconto Na Parcela 10 De 12 Mercadolaserxinforma</v>
      </c>
      <c r="D857" s="2">
        <f>IFERROR(__xludf.DUMMYFUNCTION("""COMPUTED_VALUE"""),-2.22)</f>
        <v>-2.22</v>
      </c>
      <c r="E857" s="1" t="str">
        <f>IFERROR(__xludf.DUMMYFUNCTION("""COMPUTED_VALUE"""),"-")</f>
        <v>-</v>
      </c>
      <c r="F857" s="1" t="str">
        <f>IFERROR(__xludf.DUMMYFUNCTION("""COMPUTED_VALUE"""),"Desconto Na Parcela 10 De 12 Mercadolaserxinforma")</f>
        <v>Desconto Na Parcela 10 De 12 Mercadolaserxinforma</v>
      </c>
      <c r="G857" s="1" t="str">
        <f>IFERROR(__xludf.DUMMYFUNCTION("""COMPUTED_VALUE"""),"-")</f>
        <v>-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7">
        <f>IFERROR(__xludf.DUMMYFUNCTION("""COMPUTED_VALUE"""),45962.0)</f>
        <v>45962</v>
      </c>
      <c r="B858" s="1" t="str">
        <f>IFERROR(__xludf.DUMMYFUNCTION("""COMPUTED_VALUE"""),"-")</f>
        <v>-</v>
      </c>
      <c r="C858" s="1" t="str">
        <f>IFERROR(__xludf.DUMMYFUNCTION("""COMPUTED_VALUE"""),"Desconto Na Parcela 4 De 6 Imunizar")</f>
        <v>Desconto Na Parcela 4 De 6 Imunizar</v>
      </c>
      <c r="D858" s="2">
        <f>IFERROR(__xludf.DUMMYFUNCTION("""COMPUTED_VALUE"""),-4.91)</f>
        <v>-4.91</v>
      </c>
      <c r="E858" s="1" t="str">
        <f>IFERROR(__xludf.DUMMYFUNCTION("""COMPUTED_VALUE"""),"-")</f>
        <v>-</v>
      </c>
      <c r="F858" s="1" t="str">
        <f>IFERROR(__xludf.DUMMYFUNCTION("""COMPUTED_VALUE"""),"Desconto Na Parcela 4 De 6 Imunizar")</f>
        <v>Desconto Na Parcela 4 De 6 Imunizar</v>
      </c>
      <c r="G858" s="1" t="str">
        <f>IFERROR(__xludf.DUMMYFUNCTION("""COMPUTED_VALUE"""),"-")</f>
        <v>-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7">
        <f>IFERROR(__xludf.DUMMYFUNCTION("""COMPUTED_VALUE"""),45962.0)</f>
        <v>45962</v>
      </c>
      <c r="B859" s="1" t="str">
        <f>IFERROR(__xludf.DUMMYFUNCTION("""COMPUTED_VALUE"""),"-")</f>
        <v>-</v>
      </c>
      <c r="C859" s="1" t="str">
        <f>IFERROR(__xludf.DUMMYFUNCTION("""COMPUTED_VALUE"""),"Desconto Na Parcela 9 De 12 Mercadolaserxinforma")</f>
        <v>Desconto Na Parcela 9 De 12 Mercadolaserxinforma</v>
      </c>
      <c r="D859" s="2">
        <f>IFERROR(__xludf.DUMMYFUNCTION("""COMPUTED_VALUE"""),-1.94)</f>
        <v>-1.94</v>
      </c>
      <c r="E859" s="1" t="str">
        <f>IFERROR(__xludf.DUMMYFUNCTION("""COMPUTED_VALUE"""),"-")</f>
        <v>-</v>
      </c>
      <c r="F859" s="1" t="str">
        <f>IFERROR(__xludf.DUMMYFUNCTION("""COMPUTED_VALUE"""),"Desconto Na Parcela 9 De 12 Mercadolaserxinforma")</f>
        <v>Desconto Na Parcela 9 De 12 Mercadolaserxinforma</v>
      </c>
      <c r="G859" s="1" t="str">
        <f>IFERROR(__xludf.DUMMYFUNCTION("""COMPUTED_VALUE"""),"-")</f>
        <v>-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7">
        <f>IFERROR(__xludf.DUMMYFUNCTION("""COMPUTED_VALUE"""),45962.0)</f>
        <v>45962</v>
      </c>
      <c r="B860" s="1" t="str">
        <f>IFERROR(__xludf.DUMMYFUNCTION("""COMPUTED_VALUE"""),"-")</f>
        <v>-</v>
      </c>
      <c r="C860" s="1" t="str">
        <f>IFERROR(__xludf.DUMMYFUNCTION("""COMPUTED_VALUE"""),"Desconto Na Parcela 7 De 12 Mercadolaserxinforma")</f>
        <v>Desconto Na Parcela 7 De 12 Mercadolaserxinforma</v>
      </c>
      <c r="D860" s="2">
        <f>IFERROR(__xludf.DUMMYFUNCTION("""COMPUTED_VALUE"""),-1.39)</f>
        <v>-1.39</v>
      </c>
      <c r="E860" s="1" t="str">
        <f>IFERROR(__xludf.DUMMYFUNCTION("""COMPUTED_VALUE"""),"-")</f>
        <v>-</v>
      </c>
      <c r="F860" s="1" t="str">
        <f>IFERROR(__xludf.DUMMYFUNCTION("""COMPUTED_VALUE"""),"Desconto Na Parcela 7 De 12 Mercadolaserxinforma")</f>
        <v>Desconto Na Parcela 7 De 12 Mercadolaserxinforma</v>
      </c>
      <c r="G860" s="1" t="str">
        <f>IFERROR(__xludf.DUMMYFUNCTION("""COMPUTED_VALUE"""),"-")</f>
        <v>-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7">
        <f>IFERROR(__xludf.DUMMYFUNCTION("""COMPUTED_VALUE"""),45962.0)</f>
        <v>45962</v>
      </c>
      <c r="B861" s="1" t="str">
        <f>IFERROR(__xludf.DUMMYFUNCTION("""COMPUTED_VALUE"""),"-")</f>
        <v>-</v>
      </c>
      <c r="C861" s="1" t="str">
        <f>IFERROR(__xludf.DUMMYFUNCTION("""COMPUTED_VALUE"""),"Desconto Na Parcela 8 De 12 Mercadolaserxinforma")</f>
        <v>Desconto Na Parcela 8 De 12 Mercadolaserxinforma</v>
      </c>
      <c r="D861" s="2">
        <f>IFERROR(__xludf.DUMMYFUNCTION("""COMPUTED_VALUE"""),-1.66)</f>
        <v>-1.66</v>
      </c>
      <c r="E861" s="1" t="str">
        <f>IFERROR(__xludf.DUMMYFUNCTION("""COMPUTED_VALUE"""),"-")</f>
        <v>-</v>
      </c>
      <c r="F861" s="1" t="str">
        <f>IFERROR(__xludf.DUMMYFUNCTION("""COMPUTED_VALUE"""),"Desconto Na Parcela 8 De 12 Mercadolaserxinforma")</f>
        <v>Desconto Na Parcela 8 De 12 Mercadolaserxinforma</v>
      </c>
      <c r="G861" s="1" t="str">
        <f>IFERROR(__xludf.DUMMYFUNCTION("""COMPUTED_VALUE"""),"-")</f>
        <v>-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7">
        <f>IFERROR(__xludf.DUMMYFUNCTION("""COMPUTED_VALUE"""),45962.0)</f>
        <v>45962</v>
      </c>
      <c r="B862" s="1" t="str">
        <f>IFERROR(__xludf.DUMMYFUNCTION("""COMPUTED_VALUE"""),"-")</f>
        <v>-</v>
      </c>
      <c r="C862" s="1" t="str">
        <f>IFERROR(__xludf.DUMMYFUNCTION("""COMPUTED_VALUE"""),"Desconto Na Parcela 6 De 12 Mercadolaserxinforma")</f>
        <v>Desconto Na Parcela 6 De 12 Mercadolaserxinforma</v>
      </c>
      <c r="D862" s="2">
        <f>IFERROR(__xludf.DUMMYFUNCTION("""COMPUTED_VALUE"""),-1.11)</f>
        <v>-1.11</v>
      </c>
      <c r="E862" s="1" t="str">
        <f>IFERROR(__xludf.DUMMYFUNCTION("""COMPUTED_VALUE"""),"-")</f>
        <v>-</v>
      </c>
      <c r="F862" s="1" t="str">
        <f>IFERROR(__xludf.DUMMYFUNCTION("""COMPUTED_VALUE"""),"Desconto Na Parcela 6 De 12 Mercadolaserxinforma")</f>
        <v>Desconto Na Parcela 6 De 12 Mercadolaserxinforma</v>
      </c>
      <c r="G862" s="1" t="str">
        <f>IFERROR(__xludf.DUMMYFUNCTION("""COMPUTED_VALUE"""),"-")</f>
        <v>-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7">
        <f>IFERROR(__xludf.DUMMYFUNCTION("""COMPUTED_VALUE"""),45962.0)</f>
        <v>45962</v>
      </c>
      <c r="B863" s="1" t="str">
        <f>IFERROR(__xludf.DUMMYFUNCTION("""COMPUTED_VALUE"""),"-")</f>
        <v>-</v>
      </c>
      <c r="C863" s="1" t="str">
        <f>IFERROR(__xludf.DUMMYFUNCTION("""COMPUTED_VALUE"""),"Desconto Na Parcela 5 De 12 Mercadolaserxinforma")</f>
        <v>Desconto Na Parcela 5 De 12 Mercadolaserxinforma</v>
      </c>
      <c r="D863" s="2">
        <f>IFERROR(__xludf.DUMMYFUNCTION("""COMPUTED_VALUE"""),-0.85)</f>
        <v>-0.85</v>
      </c>
      <c r="E863" s="1" t="str">
        <f>IFERROR(__xludf.DUMMYFUNCTION("""COMPUTED_VALUE"""),"-")</f>
        <v>-</v>
      </c>
      <c r="F863" s="1" t="str">
        <f>IFERROR(__xludf.DUMMYFUNCTION("""COMPUTED_VALUE"""),"Desconto Na Parcela 5 De 12 Mercadolaserxinforma")</f>
        <v>Desconto Na Parcela 5 De 12 Mercadolaserxinforma</v>
      </c>
      <c r="G863" s="1" t="str">
        <f>IFERROR(__xludf.DUMMYFUNCTION("""COMPUTED_VALUE"""),"-")</f>
        <v>-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7">
        <f>IFERROR(__xludf.DUMMYFUNCTION("""COMPUTED_VALUE"""),45962.0)</f>
        <v>45962</v>
      </c>
      <c r="B864" s="1" t="str">
        <f>IFERROR(__xludf.DUMMYFUNCTION("""COMPUTED_VALUE"""),"-")</f>
        <v>-</v>
      </c>
      <c r="C864" s="1" t="str">
        <f>IFERROR(__xludf.DUMMYFUNCTION("""COMPUTED_VALUE"""),"Desconto Na Parcela 3 De 12 Mercadolaserxinforma")</f>
        <v>Desconto Na Parcela 3 De 12 Mercadolaserxinforma</v>
      </c>
      <c r="D864" s="2">
        <f>IFERROR(__xludf.DUMMYFUNCTION("""COMPUTED_VALUE"""),-0.28)</f>
        <v>-0.28</v>
      </c>
      <c r="E864" s="1" t="str">
        <f>IFERROR(__xludf.DUMMYFUNCTION("""COMPUTED_VALUE"""),"-")</f>
        <v>-</v>
      </c>
      <c r="F864" s="1" t="str">
        <f>IFERROR(__xludf.DUMMYFUNCTION("""COMPUTED_VALUE"""),"Desconto Na Parcela 3 De 12 Mercadolaserxinforma")</f>
        <v>Desconto Na Parcela 3 De 12 Mercadolaserxinforma</v>
      </c>
      <c r="G864" s="1" t="str">
        <f>IFERROR(__xludf.DUMMYFUNCTION("""COMPUTED_VALUE"""),"-")</f>
        <v>-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7">
        <f>IFERROR(__xludf.DUMMYFUNCTION("""COMPUTED_VALUE"""),45962.0)</f>
        <v>45962</v>
      </c>
      <c r="B865" s="1" t="str">
        <f>IFERROR(__xludf.DUMMYFUNCTION("""COMPUTED_VALUE"""),"-")</f>
        <v>-</v>
      </c>
      <c r="C865" s="1" t="str">
        <f>IFERROR(__xludf.DUMMYFUNCTION("""COMPUTED_VALUE"""),"Desconto Na Parcela 4 De 12 Mercadolaserxinforma")</f>
        <v>Desconto Na Parcela 4 De 12 Mercadolaserxinforma</v>
      </c>
      <c r="D865" s="2">
        <f>IFERROR(__xludf.DUMMYFUNCTION("""COMPUTED_VALUE"""),-0.56)</f>
        <v>-0.56</v>
      </c>
      <c r="E865" s="1" t="str">
        <f>IFERROR(__xludf.DUMMYFUNCTION("""COMPUTED_VALUE"""),"-")</f>
        <v>-</v>
      </c>
      <c r="F865" s="1" t="str">
        <f>IFERROR(__xludf.DUMMYFUNCTION("""COMPUTED_VALUE"""),"Desconto Na Parcela 4 De 12 Mercadolaserxinforma")</f>
        <v>Desconto Na Parcela 4 De 12 Mercadolaserxinforma</v>
      </c>
      <c r="G865" s="1" t="str">
        <f>IFERROR(__xludf.DUMMYFUNCTION("""COMPUTED_VALUE"""),"-")</f>
        <v>-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7">
        <f>IFERROR(__xludf.DUMMYFUNCTION("""COMPUTED_VALUE"""),45962.0)</f>
        <v>45962</v>
      </c>
      <c r="B866" s="1" t="str">
        <f>IFERROR(__xludf.DUMMYFUNCTION("""COMPUTED_VALUE"""),"-")</f>
        <v>-</v>
      </c>
      <c r="C866" s="1" t="str">
        <f>IFERROR(__xludf.DUMMYFUNCTION("""COMPUTED_VALUE"""),"Desconto Na Parcela 5 De 5 Roma J Automoveis E Se")</f>
        <v>Desconto Na Parcela 5 De 5 Roma J Automoveis E Se</v>
      </c>
      <c r="D866" s="2">
        <f>IFERROR(__xludf.DUMMYFUNCTION("""COMPUTED_VALUE"""),-5.5)</f>
        <v>-5.5</v>
      </c>
      <c r="E866" s="1" t="str">
        <f>IFERROR(__xludf.DUMMYFUNCTION("""COMPUTED_VALUE"""),"-")</f>
        <v>-</v>
      </c>
      <c r="F866" s="1" t="str">
        <f>IFERROR(__xludf.DUMMYFUNCTION("""COMPUTED_VALUE"""),"Desconto Na Parcela 5 De 5 Roma J Automoveis E Se")</f>
        <v>Desconto Na Parcela 5 De 5 Roma J Automoveis E Se</v>
      </c>
      <c r="G866" s="1" t="str">
        <f>IFERROR(__xludf.DUMMYFUNCTION("""COMPUTED_VALUE"""),"-")</f>
        <v>-</v>
      </c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7">
        <f>IFERROR(__xludf.DUMMYFUNCTION("""COMPUTED_VALUE"""),45962.0)</f>
        <v>45962</v>
      </c>
      <c r="B867" s="1" t="str">
        <f>IFERROR(__xludf.DUMMYFUNCTION("""COMPUTED_VALUE"""),"-")</f>
        <v>-</v>
      </c>
      <c r="C867" s="1" t="str">
        <f>IFERROR(__xludf.DUMMYFUNCTION("""COMPUTED_VALUE"""),"Desconto Na Parcela 4 De 5 Roma J Automoveis E Se")</f>
        <v>Desconto Na Parcela 4 De 5 Roma J Automoveis E Se</v>
      </c>
      <c r="D867" s="2">
        <f>IFERROR(__xludf.DUMMYFUNCTION("""COMPUTED_VALUE"""),-4.23)</f>
        <v>-4.23</v>
      </c>
      <c r="E867" s="1" t="str">
        <f>IFERROR(__xludf.DUMMYFUNCTION("""COMPUTED_VALUE"""),"-")</f>
        <v>-</v>
      </c>
      <c r="F867" s="1" t="str">
        <f>IFERROR(__xludf.DUMMYFUNCTION("""COMPUTED_VALUE"""),"Desconto Na Parcela 4 De 5 Roma J Automoveis E Se")</f>
        <v>Desconto Na Parcela 4 De 5 Roma J Automoveis E Se</v>
      </c>
      <c r="G867" s="1" t="str">
        <f>IFERROR(__xludf.DUMMYFUNCTION("""COMPUTED_VALUE"""),"-")</f>
        <v>-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7">
        <f>IFERROR(__xludf.DUMMYFUNCTION("""COMPUTED_VALUE"""),45962.0)</f>
        <v>45962</v>
      </c>
      <c r="B868" s="1" t="str">
        <f>IFERROR(__xludf.DUMMYFUNCTION("""COMPUTED_VALUE"""),"-")</f>
        <v>-</v>
      </c>
      <c r="C868" s="1" t="str">
        <f>IFERROR(__xludf.DUMMYFUNCTION("""COMPUTED_VALUE"""),"Desconto Na Parcela 3 De 5 Roma J Automoveis E Se")</f>
        <v>Desconto Na Parcela 3 De 5 Roma J Automoveis E Se</v>
      </c>
      <c r="D868" s="2">
        <f>IFERROR(__xludf.DUMMYFUNCTION("""COMPUTED_VALUE"""),-2.81)</f>
        <v>-2.81</v>
      </c>
      <c r="E868" s="1" t="str">
        <f>IFERROR(__xludf.DUMMYFUNCTION("""COMPUTED_VALUE"""),"-")</f>
        <v>-</v>
      </c>
      <c r="F868" s="1" t="str">
        <f>IFERROR(__xludf.DUMMYFUNCTION("""COMPUTED_VALUE"""),"Desconto Na Parcela 3 De 5 Roma J Automoveis E Se")</f>
        <v>Desconto Na Parcela 3 De 5 Roma J Automoveis E Se</v>
      </c>
      <c r="G868" s="1" t="str">
        <f>IFERROR(__xludf.DUMMYFUNCTION("""COMPUTED_VALUE"""),"-")</f>
        <v>-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7">
        <f>IFERROR(__xludf.DUMMYFUNCTION("""COMPUTED_VALUE"""),45962.0)</f>
        <v>45962</v>
      </c>
      <c r="B869" s="1" t="str">
        <f>IFERROR(__xludf.DUMMYFUNCTION("""COMPUTED_VALUE"""),"-")</f>
        <v>-</v>
      </c>
      <c r="C869" s="1" t="str">
        <f>IFERROR(__xludf.DUMMYFUNCTION("""COMPUTED_VALUE"""),"Desconto Na Parcela 2 De 5 Roma J Automoveis E Se")</f>
        <v>Desconto Na Parcela 2 De 5 Roma J Automoveis E Se</v>
      </c>
      <c r="D869" s="2">
        <f>IFERROR(__xludf.DUMMYFUNCTION("""COMPUTED_VALUE"""),-1.38)</f>
        <v>-1.38</v>
      </c>
      <c r="E869" s="1" t="str">
        <f>IFERROR(__xludf.DUMMYFUNCTION("""COMPUTED_VALUE"""),"-")</f>
        <v>-</v>
      </c>
      <c r="F869" s="1" t="str">
        <f>IFERROR(__xludf.DUMMYFUNCTION("""COMPUTED_VALUE"""),"Desconto Na Parcela 2 De 5 Roma J Automoveis E Se")</f>
        <v>Desconto Na Parcela 2 De 5 Roma J Automoveis E Se</v>
      </c>
      <c r="G869" s="1" t="str">
        <f>IFERROR(__xludf.DUMMYFUNCTION("""COMPUTED_VALUE"""),"-")</f>
        <v>-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7">
        <f>IFERROR(__xludf.DUMMYFUNCTION("""COMPUTED_VALUE"""),45962.0)</f>
        <v>45962</v>
      </c>
      <c r="B870" s="1" t="str">
        <f>IFERROR(__xludf.DUMMYFUNCTION("""COMPUTED_VALUE"""),"-")</f>
        <v>-</v>
      </c>
      <c r="C870" s="1" t="str">
        <f>IFERROR(__xludf.DUMMYFUNCTION("""COMPUTED_VALUE"""),"Desconto Na Parcela 5 De 5 Farmácias Pa 324")</f>
        <v>Desconto Na Parcela 5 De 5 Farmácias Pa 324</v>
      </c>
      <c r="D870" s="2">
        <f>IFERROR(__xludf.DUMMYFUNCTION("""COMPUTED_VALUE"""),-0.66)</f>
        <v>-0.66</v>
      </c>
      <c r="E870" s="1" t="str">
        <f>IFERROR(__xludf.DUMMYFUNCTION("""COMPUTED_VALUE"""),"-")</f>
        <v>-</v>
      </c>
      <c r="F870" s="1" t="str">
        <f>IFERROR(__xludf.DUMMYFUNCTION("""COMPUTED_VALUE"""),"Desconto Na Parcela 5 De 5 Farmácias Pa 324")</f>
        <v>Desconto Na Parcela 5 De 5 Farmácias Pa 324</v>
      </c>
      <c r="G870" s="1" t="str">
        <f>IFERROR(__xludf.DUMMYFUNCTION("""COMPUTED_VALUE"""),"-")</f>
        <v>-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7">
        <f>IFERROR(__xludf.DUMMYFUNCTION("""COMPUTED_VALUE"""),45962.0)</f>
        <v>45962</v>
      </c>
      <c r="B871" s="1" t="str">
        <f>IFERROR(__xludf.DUMMYFUNCTION("""COMPUTED_VALUE"""),"-")</f>
        <v>-</v>
      </c>
      <c r="C871" s="1" t="str">
        <f>IFERROR(__xludf.DUMMYFUNCTION("""COMPUTED_VALUE"""),"Desconto Na Parcela 3 De 3 Pet Loveorder 1090868")</f>
        <v>Desconto Na Parcela 3 De 3 Pet Loveorder 1090868</v>
      </c>
      <c r="D871" s="2">
        <f>IFERROR(__xludf.DUMMYFUNCTION("""COMPUTED_VALUE"""),-0.67)</f>
        <v>-0.67</v>
      </c>
      <c r="E871" s="1" t="str">
        <f>IFERROR(__xludf.DUMMYFUNCTION("""COMPUTED_VALUE"""),"-")</f>
        <v>-</v>
      </c>
      <c r="F871" s="1" t="str">
        <f>IFERROR(__xludf.DUMMYFUNCTION("""COMPUTED_VALUE"""),"Desconto Na Parcela 3 De 3 Pet Loveorder 1090868")</f>
        <v>Desconto Na Parcela 3 De 3 Pet Loveorder 1090868</v>
      </c>
      <c r="G871" s="1" t="str">
        <f>IFERROR(__xludf.DUMMYFUNCTION("""COMPUTED_VALUE"""),"-")</f>
        <v>-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7">
        <f>IFERROR(__xludf.DUMMYFUNCTION("""COMPUTED_VALUE"""),45962.0)</f>
        <v>45962</v>
      </c>
      <c r="B872" s="1" t="str">
        <f>IFERROR(__xludf.DUMMYFUNCTION("""COMPUTED_VALUE"""),"-")</f>
        <v>-</v>
      </c>
      <c r="C872" s="1" t="str">
        <f>IFERROR(__xludf.DUMMYFUNCTION("""COMPUTED_VALUE"""),"Desconto Na Parcela 4 De 5 Farmácias Pa 324")</f>
        <v>Desconto Na Parcela 4 De 5 Farmácias Pa 324</v>
      </c>
      <c r="D872" s="2">
        <f>IFERROR(__xludf.DUMMYFUNCTION("""COMPUTED_VALUE"""),-0.51)</f>
        <v>-0.51</v>
      </c>
      <c r="E872" s="1" t="str">
        <f>IFERROR(__xludf.DUMMYFUNCTION("""COMPUTED_VALUE"""),"-")</f>
        <v>-</v>
      </c>
      <c r="F872" s="1" t="str">
        <f>IFERROR(__xludf.DUMMYFUNCTION("""COMPUTED_VALUE"""),"Desconto Na Parcela 4 De 5 Farmácias Pa 324")</f>
        <v>Desconto Na Parcela 4 De 5 Farmácias Pa 324</v>
      </c>
      <c r="G872" s="1" t="str">
        <f>IFERROR(__xludf.DUMMYFUNCTION("""COMPUTED_VALUE"""),"-")</f>
        <v>-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7">
        <f>IFERROR(__xludf.DUMMYFUNCTION("""COMPUTED_VALUE"""),45962.0)</f>
        <v>45962</v>
      </c>
      <c r="B873" s="1" t="str">
        <f>IFERROR(__xludf.DUMMYFUNCTION("""COMPUTED_VALUE"""),"-")</f>
        <v>-</v>
      </c>
      <c r="C873" s="1" t="str">
        <f>IFERROR(__xludf.DUMMYFUNCTION("""COMPUTED_VALUE"""),"Desconto Na Parcela 2 De 3 Pet Loveorder 1090868")</f>
        <v>Desconto Na Parcela 2 De 3 Pet Loveorder 1090868</v>
      </c>
      <c r="D873" s="2">
        <f>IFERROR(__xludf.DUMMYFUNCTION("""COMPUTED_VALUE"""),-0.33)</f>
        <v>-0.33</v>
      </c>
      <c r="E873" s="1" t="str">
        <f>IFERROR(__xludf.DUMMYFUNCTION("""COMPUTED_VALUE"""),"-")</f>
        <v>-</v>
      </c>
      <c r="F873" s="1" t="str">
        <f>IFERROR(__xludf.DUMMYFUNCTION("""COMPUTED_VALUE"""),"Desconto Na Parcela 2 De 3 Pet Loveorder 1090868")</f>
        <v>Desconto Na Parcela 2 De 3 Pet Loveorder 1090868</v>
      </c>
      <c r="G873" s="1" t="str">
        <f>IFERROR(__xludf.DUMMYFUNCTION("""COMPUTED_VALUE"""),"-")</f>
        <v>-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7">
        <f>IFERROR(__xludf.DUMMYFUNCTION("""COMPUTED_VALUE"""),45962.0)</f>
        <v>45962</v>
      </c>
      <c r="B874" s="1" t="str">
        <f>IFERROR(__xludf.DUMMYFUNCTION("""COMPUTED_VALUE"""),"-")</f>
        <v>-</v>
      </c>
      <c r="C874" s="1" t="str">
        <f>IFERROR(__xludf.DUMMYFUNCTION("""COMPUTED_VALUE"""),"Desconto Na Parcela 3 De 5 Farmácias Pa 324")</f>
        <v>Desconto Na Parcela 3 De 5 Farmácias Pa 324</v>
      </c>
      <c r="D874" s="2">
        <f>IFERROR(__xludf.DUMMYFUNCTION("""COMPUTED_VALUE"""),-0.34)</f>
        <v>-0.34</v>
      </c>
      <c r="E874" s="1" t="str">
        <f>IFERROR(__xludf.DUMMYFUNCTION("""COMPUTED_VALUE"""),"-")</f>
        <v>-</v>
      </c>
      <c r="F874" s="1" t="str">
        <f>IFERROR(__xludf.DUMMYFUNCTION("""COMPUTED_VALUE"""),"Desconto Na Parcela 3 De 5 Farmácias Pa 324")</f>
        <v>Desconto Na Parcela 3 De 5 Farmácias Pa 324</v>
      </c>
      <c r="G874" s="1" t="str">
        <f>IFERROR(__xludf.DUMMYFUNCTION("""COMPUTED_VALUE"""),"-")</f>
        <v>-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7">
        <f>IFERROR(__xludf.DUMMYFUNCTION("""COMPUTED_VALUE"""),45962.0)</f>
        <v>45962</v>
      </c>
      <c r="B875" s="1" t="str">
        <f>IFERROR(__xludf.DUMMYFUNCTION("""COMPUTED_VALUE"""),"-")</f>
        <v>-</v>
      </c>
      <c r="C875" s="1" t="str">
        <f>IFERROR(__xludf.DUMMYFUNCTION("""COMPUTED_VALUE"""),"Desconto Na Parcela 2 De 5 Farmácias Pa 324")</f>
        <v>Desconto Na Parcela 2 De 5 Farmácias Pa 324</v>
      </c>
      <c r="D875" s="2">
        <f>IFERROR(__xludf.DUMMYFUNCTION("""COMPUTED_VALUE"""),-0.17)</f>
        <v>-0.17</v>
      </c>
      <c r="E875" s="1" t="str">
        <f>IFERROR(__xludf.DUMMYFUNCTION("""COMPUTED_VALUE"""),"-")</f>
        <v>-</v>
      </c>
      <c r="F875" s="1" t="str">
        <f>IFERROR(__xludf.DUMMYFUNCTION("""COMPUTED_VALUE"""),"Desconto Na Parcela 2 De 5 Farmácias Pa 324")</f>
        <v>Desconto Na Parcela 2 De 5 Farmácias Pa 324</v>
      </c>
      <c r="G875" s="1" t="str">
        <f>IFERROR(__xludf.DUMMYFUNCTION("""COMPUTED_VALUE"""),"-")</f>
        <v>-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7">
        <f>IFERROR(__xludf.DUMMYFUNCTION("""COMPUTED_VALUE"""),45962.0)</f>
        <v>45962</v>
      </c>
      <c r="B876" s="1" t="str">
        <f>IFERROR(__xludf.DUMMYFUNCTION("""COMPUTED_VALUE"""),"-")</f>
        <v>-</v>
      </c>
      <c r="C876" s="1" t="str">
        <f>IFERROR(__xludf.DUMMYFUNCTION("""COMPUTED_VALUE"""),"Desconto Na Parcela 2 De 2 Farmácia Indiana")</f>
        <v>Desconto Na Parcela 2 De 2 Farmácia Indiana</v>
      </c>
      <c r="D876" s="2">
        <f>IFERROR(__xludf.DUMMYFUNCTION("""COMPUTED_VALUE"""),-0.16)</f>
        <v>-0.16</v>
      </c>
      <c r="E876" s="1" t="str">
        <f>IFERROR(__xludf.DUMMYFUNCTION("""COMPUTED_VALUE"""),"-")</f>
        <v>-</v>
      </c>
      <c r="F876" s="1" t="str">
        <f>IFERROR(__xludf.DUMMYFUNCTION("""COMPUTED_VALUE"""),"Desconto Na Parcela 2 De 2 Farmácia Indiana")</f>
        <v>Desconto Na Parcela 2 De 2 Farmácia Indiana</v>
      </c>
      <c r="G876" s="1" t="str">
        <f>IFERROR(__xludf.DUMMYFUNCTION("""COMPUTED_VALUE"""),"-")</f>
        <v>-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7">
        <f>IFERROR(__xludf.DUMMYFUNCTION("""COMPUTED_VALUE"""),45962.0)</f>
        <v>45962</v>
      </c>
      <c r="B877" s="1" t="str">
        <f>IFERROR(__xludf.DUMMYFUNCTION("""COMPUTED_VALUE"""),"-")</f>
        <v>-</v>
      </c>
      <c r="C877" s="1" t="str">
        <f>IFERROR(__xludf.DUMMYFUNCTION("""COMPUTED_VALUE"""),"Benefício do cartão BTG Pactual")</f>
        <v>Benefício do cartão BTG Pactual</v>
      </c>
      <c r="D877" s="2">
        <f>IFERROR(__xludf.DUMMYFUNCTION("""COMPUTED_VALUE"""),-549.33)</f>
        <v>-549.33</v>
      </c>
      <c r="E877" s="1" t="str">
        <f>IFERROR(__xludf.DUMMYFUNCTION("""COMPUTED_VALUE"""),"-")</f>
        <v>-</v>
      </c>
      <c r="F877" s="1" t="str">
        <f>IFERROR(__xludf.DUMMYFUNCTION("""COMPUTED_VALUE"""),"Benefício do cartão BTG Pactual")</f>
        <v>Benefício do cartão BTG Pactual</v>
      </c>
      <c r="G877" s="1" t="str">
        <f>IFERROR(__xludf.DUMMYFUNCTION("""COMPUTED_VALUE"""),"-")</f>
        <v>-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7">
        <f>IFERROR(__xludf.DUMMYFUNCTION("""COMPUTED_VALUE"""),45962.0)</f>
        <v>45962</v>
      </c>
      <c r="B878" s="1" t="str">
        <f>IFERROR(__xludf.DUMMYFUNCTION("""COMPUTED_VALUE"""),"-")</f>
        <v>-</v>
      </c>
      <c r="C878" s="1" t="str">
        <f>IFERROR(__xludf.DUMMYFUNCTION("""COMPUTED_VALUE"""),"Desconto Na Parcela 2 De 2 Estoque")</f>
        <v>Desconto Na Parcela 2 De 2 Estoque</v>
      </c>
      <c r="D878" s="2">
        <f>IFERROR(__xludf.DUMMYFUNCTION("""COMPUTED_VALUE"""),-0.49)</f>
        <v>-0.49</v>
      </c>
      <c r="E878" s="1" t="str">
        <f>IFERROR(__xludf.DUMMYFUNCTION("""COMPUTED_VALUE"""),"-")</f>
        <v>-</v>
      </c>
      <c r="F878" s="1" t="str">
        <f>IFERROR(__xludf.DUMMYFUNCTION("""COMPUTED_VALUE"""),"Desconto Na Parcela 2 De 2 Estoque")</f>
        <v>Desconto Na Parcela 2 De 2 Estoque</v>
      </c>
      <c r="G878" s="1" t="str">
        <f>IFERROR(__xludf.DUMMYFUNCTION("""COMPUTED_VALUE"""),"-")</f>
        <v>-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7">
        <f>IFERROR(__xludf.DUMMYFUNCTION("""COMPUTED_VALUE"""),45962.0)</f>
        <v>45962</v>
      </c>
      <c r="B879" s="1" t="str">
        <f>IFERROR(__xludf.DUMMYFUNCTION("""COMPUTED_VALUE"""),"-")</f>
        <v>-</v>
      </c>
      <c r="C879" s="1" t="str">
        <f>IFERROR(__xludf.DUMMYFUNCTION("""COMPUTED_VALUE"""),"Desconto Na Parcela 4 De 4 Surfco")</f>
        <v>Desconto Na Parcela 4 De 4 Surfco</v>
      </c>
      <c r="D879" s="2">
        <f>IFERROR(__xludf.DUMMYFUNCTION("""COMPUTED_VALUE"""),-0.56)</f>
        <v>-0.56</v>
      </c>
      <c r="E879" s="1" t="str">
        <f>IFERROR(__xludf.DUMMYFUNCTION("""COMPUTED_VALUE"""),"-")</f>
        <v>-</v>
      </c>
      <c r="F879" s="1" t="str">
        <f>IFERROR(__xludf.DUMMYFUNCTION("""COMPUTED_VALUE"""),"Desconto Na Parcela 4 De 4 Surfco")</f>
        <v>Desconto Na Parcela 4 De 4 Surfco</v>
      </c>
      <c r="G879" s="1" t="str">
        <f>IFERROR(__xludf.DUMMYFUNCTION("""COMPUTED_VALUE"""),"-")</f>
        <v>-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7">
        <f>IFERROR(__xludf.DUMMYFUNCTION("""COMPUTED_VALUE"""),45962.0)</f>
        <v>45962</v>
      </c>
      <c r="B880" s="1" t="str">
        <f>IFERROR(__xludf.DUMMYFUNCTION("""COMPUTED_VALUE"""),"-")</f>
        <v>-</v>
      </c>
      <c r="C880" s="1" t="str">
        <f>IFERROR(__xludf.DUMMYFUNCTION("""COMPUTED_VALUE"""),"Desconto Na Parcela 3 De 4 Surfco")</f>
        <v>Desconto Na Parcela 3 De 4 Surfco</v>
      </c>
      <c r="D880" s="2">
        <f>IFERROR(__xludf.DUMMYFUNCTION("""COMPUTED_VALUE"""),-0.37)</f>
        <v>-0.37</v>
      </c>
      <c r="E880" s="1" t="str">
        <f>IFERROR(__xludf.DUMMYFUNCTION("""COMPUTED_VALUE"""),"-")</f>
        <v>-</v>
      </c>
      <c r="F880" s="1" t="str">
        <f>IFERROR(__xludf.DUMMYFUNCTION("""COMPUTED_VALUE"""),"Desconto Na Parcela 3 De 4 Surfco")</f>
        <v>Desconto Na Parcela 3 De 4 Surfco</v>
      </c>
      <c r="G880" s="1" t="str">
        <f>IFERROR(__xludf.DUMMYFUNCTION("""COMPUTED_VALUE"""),"-")</f>
        <v>-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7">
        <f>IFERROR(__xludf.DUMMYFUNCTION("""COMPUTED_VALUE"""),45962.0)</f>
        <v>45962</v>
      </c>
      <c r="B881" s="1" t="str">
        <f>IFERROR(__xludf.DUMMYFUNCTION("""COMPUTED_VALUE"""),"-")</f>
        <v>-</v>
      </c>
      <c r="C881" s="1" t="str">
        <f>IFERROR(__xludf.DUMMYFUNCTION("""COMPUTED_VALUE"""),"Desconto Na Parcela 2 De 4 Surfco")</f>
        <v>Desconto Na Parcela 2 De 4 Surfco</v>
      </c>
      <c r="D881" s="2">
        <f>IFERROR(__xludf.DUMMYFUNCTION("""COMPUTED_VALUE"""),-0.18)</f>
        <v>-0.18</v>
      </c>
      <c r="E881" s="1" t="str">
        <f>IFERROR(__xludf.DUMMYFUNCTION("""COMPUTED_VALUE"""),"-")</f>
        <v>-</v>
      </c>
      <c r="F881" s="1" t="str">
        <f>IFERROR(__xludf.DUMMYFUNCTION("""COMPUTED_VALUE"""),"Desconto Na Parcela 2 De 4 Surfco")</f>
        <v>Desconto Na Parcela 2 De 4 Surfco</v>
      </c>
      <c r="G881" s="1" t="str">
        <f>IFERROR(__xludf.DUMMYFUNCTION("""COMPUTED_VALUE"""),"-")</f>
        <v>-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7">
        <f>IFERROR(__xludf.DUMMYFUNCTION("""COMPUTED_VALUE"""),45962.0)</f>
        <v>45962</v>
      </c>
      <c r="B882" s="1" t="str">
        <f>IFERROR(__xludf.DUMMYFUNCTION("""COMPUTED_VALUE"""),"-")</f>
        <v>-</v>
      </c>
      <c r="C882" s="1" t="str">
        <f>IFERROR(__xludf.DUMMYFUNCTION("""COMPUTED_VALUE"""),"Casas Bahia (10/10)")</f>
        <v>Casas Bahia (10/10)</v>
      </c>
      <c r="D882" s="2">
        <f>IFERROR(__xludf.DUMMYFUNCTION("""COMPUTED_VALUE"""),361.46)</f>
        <v>361.46</v>
      </c>
      <c r="E882" s="1" t="str">
        <f>IFERROR(__xludf.DUMMYFUNCTION("""COMPUTED_VALUE"""),"-")</f>
        <v>-</v>
      </c>
      <c r="F882" s="1" t="str">
        <f>IFERROR(__xludf.DUMMYFUNCTION("""COMPUTED_VALUE"""),"Casas Bahia")</f>
        <v>Casas Bahia</v>
      </c>
      <c r="G882" s="1" t="str">
        <f>IFERROR(__xludf.DUMMYFUNCTION("""COMPUTED_VALUE"""),"Compras")</f>
        <v>Compras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7">
        <f>IFERROR(__xludf.DUMMYFUNCTION("""COMPUTED_VALUE"""),45962.0)</f>
        <v>45962</v>
      </c>
      <c r="B883" s="1" t="str">
        <f>IFERROR(__xludf.DUMMYFUNCTION("""COMPUTED_VALUE"""),"-")</f>
        <v>-</v>
      </c>
      <c r="C883" s="1" t="str">
        <f>IFERROR(__xludf.DUMMYFUNCTION("""COMPUTED_VALUE"""),"Casas Bahia (9/10)")</f>
        <v>Casas Bahia (9/10)</v>
      </c>
      <c r="D883" s="2">
        <f>IFERROR(__xludf.DUMMYFUNCTION("""COMPUTED_VALUE"""),361.46)</f>
        <v>361.46</v>
      </c>
      <c r="E883" s="1" t="str">
        <f>IFERROR(__xludf.DUMMYFUNCTION("""COMPUTED_VALUE"""),"-")</f>
        <v>-</v>
      </c>
      <c r="F883" s="1" t="str">
        <f>IFERROR(__xludf.DUMMYFUNCTION("""COMPUTED_VALUE"""),"Casas Bahia")</f>
        <v>Casas Bahia</v>
      </c>
      <c r="G883" s="1" t="str">
        <f>IFERROR(__xludf.DUMMYFUNCTION("""COMPUTED_VALUE"""),"Compras")</f>
        <v>Compras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7">
        <f>IFERROR(__xludf.DUMMYFUNCTION("""COMPUTED_VALUE"""),45962.0)</f>
        <v>45962</v>
      </c>
      <c r="B884" s="1" t="str">
        <f>IFERROR(__xludf.DUMMYFUNCTION("""COMPUTED_VALUE"""),"-")</f>
        <v>-</v>
      </c>
      <c r="C884" s="1" t="str">
        <f>IFERROR(__xludf.DUMMYFUNCTION("""COMPUTED_VALUE"""),"Casas Bahia (8/10)")</f>
        <v>Casas Bahia (8/10)</v>
      </c>
      <c r="D884" s="2">
        <f>IFERROR(__xludf.DUMMYFUNCTION("""COMPUTED_VALUE"""),361.46)</f>
        <v>361.46</v>
      </c>
      <c r="E884" s="1" t="str">
        <f>IFERROR(__xludf.DUMMYFUNCTION("""COMPUTED_VALUE"""),"-")</f>
        <v>-</v>
      </c>
      <c r="F884" s="1" t="str">
        <f>IFERROR(__xludf.DUMMYFUNCTION("""COMPUTED_VALUE"""),"Casas Bahia")</f>
        <v>Casas Bahia</v>
      </c>
      <c r="G884" s="1" t="str">
        <f>IFERROR(__xludf.DUMMYFUNCTION("""COMPUTED_VALUE"""),"Compras")</f>
        <v>Compras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7">
        <f>IFERROR(__xludf.DUMMYFUNCTION("""COMPUTED_VALUE"""),45962.0)</f>
        <v>45962</v>
      </c>
      <c r="B885" s="1" t="str">
        <f>IFERROR(__xludf.DUMMYFUNCTION("""COMPUTED_VALUE"""),"-")</f>
        <v>-</v>
      </c>
      <c r="C885" s="1" t="str">
        <f>IFERROR(__xludf.DUMMYFUNCTION("""COMPUTED_VALUE"""),"Casas Bahia (7/10)")</f>
        <v>Casas Bahia (7/10)</v>
      </c>
      <c r="D885" s="2">
        <f>IFERROR(__xludf.DUMMYFUNCTION("""COMPUTED_VALUE"""),361.46)</f>
        <v>361.46</v>
      </c>
      <c r="E885" s="1" t="str">
        <f>IFERROR(__xludf.DUMMYFUNCTION("""COMPUTED_VALUE"""),"-")</f>
        <v>-</v>
      </c>
      <c r="F885" s="1" t="str">
        <f>IFERROR(__xludf.DUMMYFUNCTION("""COMPUTED_VALUE"""),"Casas Bahia")</f>
        <v>Casas Bahia</v>
      </c>
      <c r="G885" s="1" t="str">
        <f>IFERROR(__xludf.DUMMYFUNCTION("""COMPUTED_VALUE"""),"Compras")</f>
        <v>Compras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7">
        <f>IFERROR(__xludf.DUMMYFUNCTION("""COMPUTED_VALUE"""),45962.0)</f>
        <v>45962</v>
      </c>
      <c r="B886" s="1" t="str">
        <f>IFERROR(__xludf.DUMMYFUNCTION("""COMPUTED_VALUE"""),"-")</f>
        <v>-</v>
      </c>
      <c r="C886" s="1" t="str">
        <f>IFERROR(__xludf.DUMMYFUNCTION("""COMPUTED_VALUE"""),"Crstina Marcia (10/10)")</f>
        <v>Crstina Marcia (10/10)</v>
      </c>
      <c r="D886" s="2">
        <f>IFERROR(__xludf.DUMMYFUNCTION("""COMPUTED_VALUE"""),696.0)</f>
        <v>696</v>
      </c>
      <c r="E886" s="1" t="str">
        <f>IFERROR(__xludf.DUMMYFUNCTION("""COMPUTED_VALUE"""),"-")</f>
        <v>-</v>
      </c>
      <c r="F886" s="1" t="str">
        <f>IFERROR(__xludf.DUMMYFUNCTION("""COMPUTED_VALUE"""),"Crstina Marcia")</f>
        <v>Crstina Marcia</v>
      </c>
      <c r="G886" s="1" t="str">
        <f>IFERROR(__xludf.DUMMYFUNCTION("""COMPUTED_VALUE"""),"-")</f>
        <v>-</v>
      </c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7">
        <f>IFERROR(__xludf.DUMMYFUNCTION("""COMPUTED_VALUE"""),45962.0)</f>
        <v>45962</v>
      </c>
      <c r="B887" s="1" t="str">
        <f>IFERROR(__xludf.DUMMYFUNCTION("""COMPUTED_VALUE"""),"-")</f>
        <v>-</v>
      </c>
      <c r="C887" s="1" t="str">
        <f>IFERROR(__xludf.DUMMYFUNCTION("""COMPUTED_VALUE"""),"Crstina Marcia (9/10)")</f>
        <v>Crstina Marcia (9/10)</v>
      </c>
      <c r="D887" s="2">
        <f>IFERROR(__xludf.DUMMYFUNCTION("""COMPUTED_VALUE"""),696.0)</f>
        <v>696</v>
      </c>
      <c r="E887" s="1" t="str">
        <f>IFERROR(__xludf.DUMMYFUNCTION("""COMPUTED_VALUE"""),"-")</f>
        <v>-</v>
      </c>
      <c r="F887" s="1" t="str">
        <f>IFERROR(__xludf.DUMMYFUNCTION("""COMPUTED_VALUE"""),"Crstina Marcia")</f>
        <v>Crstina Marcia</v>
      </c>
      <c r="G887" s="1" t="str">
        <f>IFERROR(__xludf.DUMMYFUNCTION("""COMPUTED_VALUE"""),"-")</f>
        <v>-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7">
        <f>IFERROR(__xludf.DUMMYFUNCTION("""COMPUTED_VALUE"""),45962.0)</f>
        <v>45962</v>
      </c>
      <c r="B888" s="1" t="str">
        <f>IFERROR(__xludf.DUMMYFUNCTION("""COMPUTED_VALUE"""),"-")</f>
        <v>-</v>
      </c>
      <c r="C888" s="1" t="str">
        <f>IFERROR(__xludf.DUMMYFUNCTION("""COMPUTED_VALUE"""),"Crstina Marcia (8/10)")</f>
        <v>Crstina Marcia (8/10)</v>
      </c>
      <c r="D888" s="2">
        <f>IFERROR(__xludf.DUMMYFUNCTION("""COMPUTED_VALUE"""),696.0)</f>
        <v>696</v>
      </c>
      <c r="E888" s="1" t="str">
        <f>IFERROR(__xludf.DUMMYFUNCTION("""COMPUTED_VALUE"""),"-")</f>
        <v>-</v>
      </c>
      <c r="F888" s="1" t="str">
        <f>IFERROR(__xludf.DUMMYFUNCTION("""COMPUTED_VALUE"""),"Crstina Marcia")</f>
        <v>Crstina Marcia</v>
      </c>
      <c r="G888" s="1" t="str">
        <f>IFERROR(__xludf.DUMMYFUNCTION("""COMPUTED_VALUE"""),"-")</f>
        <v>-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7">
        <f>IFERROR(__xludf.DUMMYFUNCTION("""COMPUTED_VALUE"""),45962.0)</f>
        <v>45962</v>
      </c>
      <c r="B889" s="1" t="str">
        <f>IFERROR(__xludf.DUMMYFUNCTION("""COMPUTED_VALUE"""),"-")</f>
        <v>-</v>
      </c>
      <c r="C889" s="1" t="str">
        <f>IFERROR(__xludf.DUMMYFUNCTION("""COMPUTED_VALUE"""),"Crstina Marcia (7/10)")</f>
        <v>Crstina Marcia (7/10)</v>
      </c>
      <c r="D889" s="2">
        <f>IFERROR(__xludf.DUMMYFUNCTION("""COMPUTED_VALUE"""),696.0)</f>
        <v>696</v>
      </c>
      <c r="E889" s="1" t="str">
        <f>IFERROR(__xludf.DUMMYFUNCTION("""COMPUTED_VALUE"""),"-")</f>
        <v>-</v>
      </c>
      <c r="F889" s="1" t="str">
        <f>IFERROR(__xludf.DUMMYFUNCTION("""COMPUTED_VALUE"""),"Crstina Marcia")</f>
        <v>Crstina Marcia</v>
      </c>
      <c r="G889" s="1" t="str">
        <f>IFERROR(__xludf.DUMMYFUNCTION("""COMPUTED_VALUE"""),"-")</f>
        <v>-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7">
        <f>IFERROR(__xludf.DUMMYFUNCTION("""COMPUTED_VALUE"""),45962.0)</f>
        <v>45962</v>
      </c>
      <c r="B890" s="1" t="str">
        <f>IFERROR(__xludf.DUMMYFUNCTION("""COMPUTED_VALUE"""),"-")</f>
        <v>-</v>
      </c>
      <c r="C890" s="1" t="str">
        <f>IFERROR(__xludf.DUMMYFUNCTION("""COMPUTED_VALUE"""),"Crstina Marcia (6/10)")</f>
        <v>Crstina Marcia (6/10)</v>
      </c>
      <c r="D890" s="2">
        <f>IFERROR(__xludf.DUMMYFUNCTION("""COMPUTED_VALUE"""),696.0)</f>
        <v>696</v>
      </c>
      <c r="E890" s="1" t="str">
        <f>IFERROR(__xludf.DUMMYFUNCTION("""COMPUTED_VALUE"""),"-")</f>
        <v>-</v>
      </c>
      <c r="F890" s="1" t="str">
        <f>IFERROR(__xludf.DUMMYFUNCTION("""COMPUTED_VALUE"""),"Crstina Marcia")</f>
        <v>Crstina Marcia</v>
      </c>
      <c r="G890" s="1" t="str">
        <f>IFERROR(__xludf.DUMMYFUNCTION("""COMPUTED_VALUE"""),"-")</f>
        <v>-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7">
        <f>IFERROR(__xludf.DUMMYFUNCTION("""COMPUTED_VALUE"""),45962.0)</f>
        <v>45962</v>
      </c>
      <c r="B891" s="1" t="str">
        <f>IFERROR(__xludf.DUMMYFUNCTION("""COMPUTED_VALUE"""),"-")</f>
        <v>-</v>
      </c>
      <c r="C891" s="1" t="str">
        <f>IFERROR(__xludf.DUMMYFUNCTION("""COMPUTED_VALUE"""),"Crstina Marcia (5/10)")</f>
        <v>Crstina Marcia (5/10)</v>
      </c>
      <c r="D891" s="2">
        <f>IFERROR(__xludf.DUMMYFUNCTION("""COMPUTED_VALUE"""),696.0)</f>
        <v>696</v>
      </c>
      <c r="E891" s="1" t="str">
        <f>IFERROR(__xludf.DUMMYFUNCTION("""COMPUTED_VALUE"""),"-")</f>
        <v>-</v>
      </c>
      <c r="F891" s="1" t="str">
        <f>IFERROR(__xludf.DUMMYFUNCTION("""COMPUTED_VALUE"""),"Crstina Marcia")</f>
        <v>Crstina Marcia</v>
      </c>
      <c r="G891" s="1" t="str">
        <f>IFERROR(__xludf.DUMMYFUNCTION("""COMPUTED_VALUE"""),"-")</f>
        <v>-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7">
        <f>IFERROR(__xludf.DUMMYFUNCTION("""COMPUTED_VALUE"""),45962.0)</f>
        <v>45962</v>
      </c>
      <c r="B892" s="1" t="str">
        <f>IFERROR(__xludf.DUMMYFUNCTION("""COMPUTED_VALUE"""),"-")</f>
        <v>-</v>
      </c>
      <c r="C892" s="1" t="str">
        <f>IFERROR(__xludf.DUMMYFUNCTION("""COMPUTED_VALUE"""),"Track&amp;field (5/5)")</f>
        <v>Track&amp;field (5/5)</v>
      </c>
      <c r="D892" s="2">
        <f>IFERROR(__xludf.DUMMYFUNCTION("""COMPUTED_VALUE"""),267.78)</f>
        <v>267.78</v>
      </c>
      <c r="E892" s="1" t="str">
        <f>IFERROR(__xludf.DUMMYFUNCTION("""COMPUTED_VALUE"""),"-")</f>
        <v>-</v>
      </c>
      <c r="F892" s="1" t="str">
        <f>IFERROR(__xludf.DUMMYFUNCTION("""COMPUTED_VALUE"""),"Track&amp;field")</f>
        <v>Track&amp;field</v>
      </c>
      <c r="G892" s="1" t="str">
        <f>IFERROR(__xludf.DUMMYFUNCTION("""COMPUTED_VALUE"""),"Compras")</f>
        <v>Compras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7">
        <f>IFERROR(__xludf.DUMMYFUNCTION("""COMPUTED_VALUE"""),45962.0)</f>
        <v>45962</v>
      </c>
      <c r="B893" s="1" t="str">
        <f>IFERROR(__xludf.DUMMYFUNCTION("""COMPUTED_VALUE"""),"-")</f>
        <v>-</v>
      </c>
      <c r="C893" s="1" t="str">
        <f>IFERROR(__xludf.DUMMYFUNCTION("""COMPUTED_VALUE"""),"Track&amp;field (4/5)")</f>
        <v>Track&amp;field (4/5)</v>
      </c>
      <c r="D893" s="2">
        <f>IFERROR(__xludf.DUMMYFUNCTION("""COMPUTED_VALUE"""),267.78)</f>
        <v>267.78</v>
      </c>
      <c r="E893" s="1" t="str">
        <f>IFERROR(__xludf.DUMMYFUNCTION("""COMPUTED_VALUE"""),"-")</f>
        <v>-</v>
      </c>
      <c r="F893" s="1" t="str">
        <f>IFERROR(__xludf.DUMMYFUNCTION("""COMPUTED_VALUE"""),"Track&amp;field")</f>
        <v>Track&amp;field</v>
      </c>
      <c r="G893" s="1" t="str">
        <f>IFERROR(__xludf.DUMMYFUNCTION("""COMPUTED_VALUE"""),"Compras")</f>
        <v>Compras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7">
        <f>IFERROR(__xludf.DUMMYFUNCTION("""COMPUTED_VALUE"""),45962.0)</f>
        <v>45962</v>
      </c>
      <c r="B894" s="1" t="str">
        <f>IFERROR(__xludf.DUMMYFUNCTION("""COMPUTED_VALUE"""),"-")</f>
        <v>-</v>
      </c>
      <c r="C894" s="1" t="str">
        <f>IFERROR(__xludf.DUMMYFUNCTION("""COMPUTED_VALUE"""),"Track&amp;field (3/5)")</f>
        <v>Track&amp;field (3/5)</v>
      </c>
      <c r="D894" s="2">
        <f>IFERROR(__xludf.DUMMYFUNCTION("""COMPUTED_VALUE"""),267.78)</f>
        <v>267.78</v>
      </c>
      <c r="E894" s="1" t="str">
        <f>IFERROR(__xludf.DUMMYFUNCTION("""COMPUTED_VALUE"""),"-")</f>
        <v>-</v>
      </c>
      <c r="F894" s="1" t="str">
        <f>IFERROR(__xludf.DUMMYFUNCTION("""COMPUTED_VALUE"""),"Track&amp;field")</f>
        <v>Track&amp;field</v>
      </c>
      <c r="G894" s="1" t="str">
        <f>IFERROR(__xludf.DUMMYFUNCTION("""COMPUTED_VALUE"""),"Compras")</f>
        <v>Compras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7">
        <f>IFERROR(__xludf.DUMMYFUNCTION("""COMPUTED_VALUE"""),45962.0)</f>
        <v>45962</v>
      </c>
      <c r="B895" s="1" t="str">
        <f>IFERROR(__xludf.DUMMYFUNCTION("""COMPUTED_VALUE"""),"-")</f>
        <v>-</v>
      </c>
      <c r="C895" s="1" t="str">
        <f>IFERROR(__xludf.DUMMYFUNCTION("""COMPUTED_VALUE"""),"Imunizar (6/6)")</f>
        <v>Imunizar (6/6)</v>
      </c>
      <c r="D895" s="2">
        <f>IFERROR(__xludf.DUMMYFUNCTION("""COMPUTED_VALUE"""),1350.0)</f>
        <v>1350</v>
      </c>
      <c r="E895" s="1" t="str">
        <f>IFERROR(__xludf.DUMMYFUNCTION("""COMPUTED_VALUE"""),"-")</f>
        <v>-</v>
      </c>
      <c r="F895" s="1" t="str">
        <f>IFERROR(__xludf.DUMMYFUNCTION("""COMPUTED_VALUE"""),"Imunizar")</f>
        <v>Imunizar</v>
      </c>
      <c r="G895" s="1" t="str">
        <f>IFERROR(__xludf.DUMMYFUNCTION("""COMPUTED_VALUE"""),"Bianca")</f>
        <v>Bianca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7">
        <f>IFERROR(__xludf.DUMMYFUNCTION("""COMPUTED_VALUE"""),45962.0)</f>
        <v>45962</v>
      </c>
      <c r="B896" s="1" t="str">
        <f>IFERROR(__xludf.DUMMYFUNCTION("""COMPUTED_VALUE"""),"-")</f>
        <v>-</v>
      </c>
      <c r="C896" s="1" t="str">
        <f>IFERROR(__xludf.DUMMYFUNCTION("""COMPUTED_VALUE"""),"Imunizar (5/6)")</f>
        <v>Imunizar (5/6)</v>
      </c>
      <c r="D896" s="2">
        <f>IFERROR(__xludf.DUMMYFUNCTION("""COMPUTED_VALUE"""),1350.0)</f>
        <v>1350</v>
      </c>
      <c r="E896" s="1" t="str">
        <f>IFERROR(__xludf.DUMMYFUNCTION("""COMPUTED_VALUE"""),"-")</f>
        <v>-</v>
      </c>
      <c r="F896" s="1" t="str">
        <f>IFERROR(__xludf.DUMMYFUNCTION("""COMPUTED_VALUE"""),"Imunizar")</f>
        <v>Imunizar</v>
      </c>
      <c r="G896" s="1" t="str">
        <f>IFERROR(__xludf.DUMMYFUNCTION("""COMPUTED_VALUE"""),"Bianca")</f>
        <v>Bianca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7">
        <f>IFERROR(__xludf.DUMMYFUNCTION("""COMPUTED_VALUE"""),45962.0)</f>
        <v>45962</v>
      </c>
      <c r="B897" s="1" t="str">
        <f>IFERROR(__xludf.DUMMYFUNCTION("""COMPUTED_VALUE"""),"-")</f>
        <v>-</v>
      </c>
      <c r="C897" s="1" t="str">
        <f>IFERROR(__xludf.DUMMYFUNCTION("""COMPUTED_VALUE"""),"Imunizar (4/6)")</f>
        <v>Imunizar (4/6)</v>
      </c>
      <c r="D897" s="2">
        <f>IFERROR(__xludf.DUMMYFUNCTION("""COMPUTED_VALUE"""),1350.0)</f>
        <v>1350</v>
      </c>
      <c r="E897" s="1" t="str">
        <f>IFERROR(__xludf.DUMMYFUNCTION("""COMPUTED_VALUE"""),"-")</f>
        <v>-</v>
      </c>
      <c r="F897" s="1" t="str">
        <f>IFERROR(__xludf.DUMMYFUNCTION("""COMPUTED_VALUE"""),"Imunizar")</f>
        <v>Imunizar</v>
      </c>
      <c r="G897" s="1" t="str">
        <f>IFERROR(__xludf.DUMMYFUNCTION("""COMPUTED_VALUE"""),"Bianca")</f>
        <v>Bianca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7">
        <f>IFERROR(__xludf.DUMMYFUNCTION("""COMPUTED_VALUE"""),45962.0)</f>
        <v>45962</v>
      </c>
      <c r="B898" s="1" t="str">
        <f>IFERROR(__xludf.DUMMYFUNCTION("""COMPUTED_VALUE"""),"-")</f>
        <v>-</v>
      </c>
      <c r="C898" s="1" t="str">
        <f>IFERROR(__xludf.DUMMYFUNCTION("""COMPUTED_VALUE"""),"Imunizar (3/6)")</f>
        <v>Imunizar (3/6)</v>
      </c>
      <c r="D898" s="2">
        <f>IFERROR(__xludf.DUMMYFUNCTION("""COMPUTED_VALUE"""),1350.0)</f>
        <v>1350</v>
      </c>
      <c r="E898" s="1" t="str">
        <f>IFERROR(__xludf.DUMMYFUNCTION("""COMPUTED_VALUE"""),"-")</f>
        <v>-</v>
      </c>
      <c r="F898" s="1" t="str">
        <f>IFERROR(__xludf.DUMMYFUNCTION("""COMPUTED_VALUE"""),"Imunizar")</f>
        <v>Imunizar</v>
      </c>
      <c r="G898" s="1" t="str">
        <f>IFERROR(__xludf.DUMMYFUNCTION("""COMPUTED_VALUE"""),"Bianca")</f>
        <v>Bianca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7">
        <f>IFERROR(__xludf.DUMMYFUNCTION("""COMPUTED_VALUE"""),45962.0)</f>
        <v>45962</v>
      </c>
      <c r="B899" s="1" t="str">
        <f>IFERROR(__xludf.DUMMYFUNCTION("""COMPUTED_VALUE"""),"-")</f>
        <v>-</v>
      </c>
      <c r="C899" s="1" t="str">
        <f>IFERROR(__xludf.DUMMYFUNCTION("""COMPUTED_VALUE"""),"Laserxinforma (12/12)")</f>
        <v>Laserxinforma (12/12)</v>
      </c>
      <c r="D899" s="2">
        <f>IFERROR(__xludf.DUMMYFUNCTION("""COMPUTED_VALUE"""),76.5)</f>
        <v>76.5</v>
      </c>
      <c r="E899" s="1" t="str">
        <f>IFERROR(__xludf.DUMMYFUNCTION("""COMPUTED_VALUE"""),"-")</f>
        <v>-</v>
      </c>
      <c r="F899" s="1" t="str">
        <f>IFERROR(__xludf.DUMMYFUNCTION("""COMPUTED_VALUE"""),"Laserxinforma")</f>
        <v>Laserxinforma</v>
      </c>
      <c r="G899" s="1" t="str">
        <f>IFERROR(__xludf.DUMMYFUNCTION("""COMPUTED_VALUE"""),"-")</f>
        <v>-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7">
        <f>IFERROR(__xludf.DUMMYFUNCTION("""COMPUTED_VALUE"""),45962.0)</f>
        <v>45962</v>
      </c>
      <c r="B900" s="1" t="str">
        <f>IFERROR(__xludf.DUMMYFUNCTION("""COMPUTED_VALUE"""),"-")</f>
        <v>-</v>
      </c>
      <c r="C900" s="1" t="str">
        <f>IFERROR(__xludf.DUMMYFUNCTION("""COMPUTED_VALUE"""),"Laserxinforma (11/12)")</f>
        <v>Laserxinforma (11/12)</v>
      </c>
      <c r="D900" s="2">
        <f>IFERROR(__xludf.DUMMYFUNCTION("""COMPUTED_VALUE"""),76.5)</f>
        <v>76.5</v>
      </c>
      <c r="E900" s="1" t="str">
        <f>IFERROR(__xludf.DUMMYFUNCTION("""COMPUTED_VALUE"""),"-")</f>
        <v>-</v>
      </c>
      <c r="F900" s="1" t="str">
        <f>IFERROR(__xludf.DUMMYFUNCTION("""COMPUTED_VALUE"""),"Laserxinforma")</f>
        <v>Laserxinforma</v>
      </c>
      <c r="G900" s="1" t="str">
        <f>IFERROR(__xludf.DUMMYFUNCTION("""COMPUTED_VALUE"""),"-")</f>
        <v>-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7">
        <f>IFERROR(__xludf.DUMMYFUNCTION("""COMPUTED_VALUE"""),45962.0)</f>
        <v>45962</v>
      </c>
      <c r="B901" s="1" t="str">
        <f>IFERROR(__xludf.DUMMYFUNCTION("""COMPUTED_VALUE"""),"-")</f>
        <v>-</v>
      </c>
      <c r="C901" s="1" t="str">
        <f>IFERROR(__xludf.DUMMYFUNCTION("""COMPUTED_VALUE"""),"Laserxinforma (10/12)")</f>
        <v>Laserxinforma (10/12)</v>
      </c>
      <c r="D901" s="2">
        <f>IFERROR(__xludf.DUMMYFUNCTION("""COMPUTED_VALUE"""),76.5)</f>
        <v>76.5</v>
      </c>
      <c r="E901" s="1" t="str">
        <f>IFERROR(__xludf.DUMMYFUNCTION("""COMPUTED_VALUE"""),"-")</f>
        <v>-</v>
      </c>
      <c r="F901" s="1" t="str">
        <f>IFERROR(__xludf.DUMMYFUNCTION("""COMPUTED_VALUE"""),"Laserxinforma")</f>
        <v>Laserxinforma</v>
      </c>
      <c r="G901" s="1" t="str">
        <f>IFERROR(__xludf.DUMMYFUNCTION("""COMPUTED_VALUE"""),"-")</f>
        <v>-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7">
        <f>IFERROR(__xludf.DUMMYFUNCTION("""COMPUTED_VALUE"""),45962.0)</f>
        <v>45962</v>
      </c>
      <c r="B902" s="1" t="str">
        <f>IFERROR(__xludf.DUMMYFUNCTION("""COMPUTED_VALUE"""),"-")</f>
        <v>-</v>
      </c>
      <c r="C902" s="1" t="str">
        <f>IFERROR(__xludf.DUMMYFUNCTION("""COMPUTED_VALUE"""),"Laserxinforma (9/12)")</f>
        <v>Laserxinforma (9/12)</v>
      </c>
      <c r="D902" s="2">
        <f>IFERROR(__xludf.DUMMYFUNCTION("""COMPUTED_VALUE"""),76.5)</f>
        <v>76.5</v>
      </c>
      <c r="E902" s="1" t="str">
        <f>IFERROR(__xludf.DUMMYFUNCTION("""COMPUTED_VALUE"""),"-")</f>
        <v>-</v>
      </c>
      <c r="F902" s="1" t="str">
        <f>IFERROR(__xludf.DUMMYFUNCTION("""COMPUTED_VALUE"""),"Laserxinforma")</f>
        <v>Laserxinforma</v>
      </c>
      <c r="G902" s="1" t="str">
        <f>IFERROR(__xludf.DUMMYFUNCTION("""COMPUTED_VALUE"""),"-")</f>
        <v>-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7">
        <f>IFERROR(__xludf.DUMMYFUNCTION("""COMPUTED_VALUE"""),45962.0)</f>
        <v>45962</v>
      </c>
      <c r="B903" s="1" t="str">
        <f>IFERROR(__xludf.DUMMYFUNCTION("""COMPUTED_VALUE"""),"-")</f>
        <v>-</v>
      </c>
      <c r="C903" s="1" t="str">
        <f>IFERROR(__xludf.DUMMYFUNCTION("""COMPUTED_VALUE"""),"Laserxinforma (8/12)")</f>
        <v>Laserxinforma (8/12)</v>
      </c>
      <c r="D903" s="2">
        <f>IFERROR(__xludf.DUMMYFUNCTION("""COMPUTED_VALUE"""),76.5)</f>
        <v>76.5</v>
      </c>
      <c r="E903" s="1" t="str">
        <f>IFERROR(__xludf.DUMMYFUNCTION("""COMPUTED_VALUE"""),"-")</f>
        <v>-</v>
      </c>
      <c r="F903" s="1" t="str">
        <f>IFERROR(__xludf.DUMMYFUNCTION("""COMPUTED_VALUE"""),"Laserxinforma")</f>
        <v>Laserxinforma</v>
      </c>
      <c r="G903" s="1" t="str">
        <f>IFERROR(__xludf.DUMMYFUNCTION("""COMPUTED_VALUE"""),"-")</f>
        <v>-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7">
        <f>IFERROR(__xludf.DUMMYFUNCTION("""COMPUTED_VALUE"""),45962.0)</f>
        <v>45962</v>
      </c>
      <c r="B904" s="1" t="str">
        <f>IFERROR(__xludf.DUMMYFUNCTION("""COMPUTED_VALUE"""),"-")</f>
        <v>-</v>
      </c>
      <c r="C904" s="1" t="str">
        <f>IFERROR(__xludf.DUMMYFUNCTION("""COMPUTED_VALUE"""),"Laserxinforma (7/12)")</f>
        <v>Laserxinforma (7/12)</v>
      </c>
      <c r="D904" s="2">
        <f>IFERROR(__xludf.DUMMYFUNCTION("""COMPUTED_VALUE"""),76.5)</f>
        <v>76.5</v>
      </c>
      <c r="E904" s="1" t="str">
        <f>IFERROR(__xludf.DUMMYFUNCTION("""COMPUTED_VALUE"""),"-")</f>
        <v>-</v>
      </c>
      <c r="F904" s="1" t="str">
        <f>IFERROR(__xludf.DUMMYFUNCTION("""COMPUTED_VALUE"""),"Laserxinforma")</f>
        <v>Laserxinforma</v>
      </c>
      <c r="G904" s="1" t="str">
        <f>IFERROR(__xludf.DUMMYFUNCTION("""COMPUTED_VALUE"""),"-")</f>
        <v>-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7">
        <f>IFERROR(__xludf.DUMMYFUNCTION("""COMPUTED_VALUE"""),45962.0)</f>
        <v>45962</v>
      </c>
      <c r="B905" s="1" t="str">
        <f>IFERROR(__xludf.DUMMYFUNCTION("""COMPUTED_VALUE"""),"-")</f>
        <v>-</v>
      </c>
      <c r="C905" s="1" t="str">
        <f>IFERROR(__xludf.DUMMYFUNCTION("""COMPUTED_VALUE"""),"Laserxinforma (6/12)")</f>
        <v>Laserxinforma (6/12)</v>
      </c>
      <c r="D905" s="2">
        <f>IFERROR(__xludf.DUMMYFUNCTION("""COMPUTED_VALUE"""),76.5)</f>
        <v>76.5</v>
      </c>
      <c r="E905" s="1" t="str">
        <f>IFERROR(__xludf.DUMMYFUNCTION("""COMPUTED_VALUE"""),"-")</f>
        <v>-</v>
      </c>
      <c r="F905" s="1" t="str">
        <f>IFERROR(__xludf.DUMMYFUNCTION("""COMPUTED_VALUE"""),"Laserxinforma")</f>
        <v>Laserxinforma</v>
      </c>
      <c r="G905" s="1" t="str">
        <f>IFERROR(__xludf.DUMMYFUNCTION("""COMPUTED_VALUE"""),"-")</f>
        <v>-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7">
        <f>IFERROR(__xludf.DUMMYFUNCTION("""COMPUTED_VALUE"""),45962.0)</f>
        <v>45962</v>
      </c>
      <c r="B906" s="1" t="str">
        <f>IFERROR(__xludf.DUMMYFUNCTION("""COMPUTED_VALUE"""),"-")</f>
        <v>-</v>
      </c>
      <c r="C906" s="1" t="str">
        <f>IFERROR(__xludf.DUMMYFUNCTION("""COMPUTED_VALUE"""),"Laserxinforma (5/12)")</f>
        <v>Laserxinforma (5/12)</v>
      </c>
      <c r="D906" s="2">
        <f>IFERROR(__xludf.DUMMYFUNCTION("""COMPUTED_VALUE"""),76.5)</f>
        <v>76.5</v>
      </c>
      <c r="E906" s="1" t="str">
        <f>IFERROR(__xludf.DUMMYFUNCTION("""COMPUTED_VALUE"""),"-")</f>
        <v>-</v>
      </c>
      <c r="F906" s="1" t="str">
        <f>IFERROR(__xludf.DUMMYFUNCTION("""COMPUTED_VALUE"""),"Laserxinforma")</f>
        <v>Laserxinforma</v>
      </c>
      <c r="G906" s="1" t="str">
        <f>IFERROR(__xludf.DUMMYFUNCTION("""COMPUTED_VALUE"""),"-")</f>
        <v>-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7">
        <f>IFERROR(__xludf.DUMMYFUNCTION("""COMPUTED_VALUE"""),45962.0)</f>
        <v>45962</v>
      </c>
      <c r="B907" s="1" t="str">
        <f>IFERROR(__xludf.DUMMYFUNCTION("""COMPUTED_VALUE"""),"-")</f>
        <v>-</v>
      </c>
      <c r="C907" s="1" t="str">
        <f>IFERROR(__xludf.DUMMYFUNCTION("""COMPUTED_VALUE"""),"Laserxinforma (4/12)")</f>
        <v>Laserxinforma (4/12)</v>
      </c>
      <c r="D907" s="2">
        <f>IFERROR(__xludf.DUMMYFUNCTION("""COMPUTED_VALUE"""),76.5)</f>
        <v>76.5</v>
      </c>
      <c r="E907" s="1" t="str">
        <f>IFERROR(__xludf.DUMMYFUNCTION("""COMPUTED_VALUE"""),"-")</f>
        <v>-</v>
      </c>
      <c r="F907" s="1" t="str">
        <f>IFERROR(__xludf.DUMMYFUNCTION("""COMPUTED_VALUE"""),"Laserxinforma")</f>
        <v>Laserxinforma</v>
      </c>
      <c r="G907" s="1" t="str">
        <f>IFERROR(__xludf.DUMMYFUNCTION("""COMPUTED_VALUE"""),"-")</f>
        <v>-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7">
        <f>IFERROR(__xludf.DUMMYFUNCTION("""COMPUTED_VALUE"""),45962.0)</f>
        <v>45962</v>
      </c>
      <c r="B908" s="1" t="str">
        <f>IFERROR(__xludf.DUMMYFUNCTION("""COMPUTED_VALUE"""),"-")</f>
        <v>-</v>
      </c>
      <c r="C908" s="1" t="str">
        <f>IFERROR(__xludf.DUMMYFUNCTION("""COMPUTED_VALUE"""),"Laserxinforma (3/12)")</f>
        <v>Laserxinforma (3/12)</v>
      </c>
      <c r="D908" s="2">
        <f>IFERROR(__xludf.DUMMYFUNCTION("""COMPUTED_VALUE"""),76.5)</f>
        <v>76.5</v>
      </c>
      <c r="E908" s="1" t="str">
        <f>IFERROR(__xludf.DUMMYFUNCTION("""COMPUTED_VALUE"""),"-")</f>
        <v>-</v>
      </c>
      <c r="F908" s="1" t="str">
        <f>IFERROR(__xludf.DUMMYFUNCTION("""COMPUTED_VALUE"""),"Laserxinforma")</f>
        <v>Laserxinforma</v>
      </c>
      <c r="G908" s="1" t="str">
        <f>IFERROR(__xludf.DUMMYFUNCTION("""COMPUTED_VALUE"""),"-")</f>
        <v>-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7">
        <f>IFERROR(__xludf.DUMMYFUNCTION("""COMPUTED_VALUE"""),45962.0)</f>
        <v>45962</v>
      </c>
      <c r="B909" s="1" t="str">
        <f>IFERROR(__xludf.DUMMYFUNCTION("""COMPUTED_VALUE"""),"-")</f>
        <v>-</v>
      </c>
      <c r="C909" s="1" t="str">
        <f>IFERROR(__xludf.DUMMYFUNCTION("""COMPUTED_VALUE"""),"Laserxinforma (2/12)")</f>
        <v>Laserxinforma (2/12)</v>
      </c>
      <c r="D909" s="2">
        <f>IFERROR(__xludf.DUMMYFUNCTION("""COMPUTED_VALUE"""),76.5)</f>
        <v>76.5</v>
      </c>
      <c r="E909" s="1" t="str">
        <f>IFERROR(__xludf.DUMMYFUNCTION("""COMPUTED_VALUE"""),"-")</f>
        <v>-</v>
      </c>
      <c r="F909" s="1" t="str">
        <f>IFERROR(__xludf.DUMMYFUNCTION("""COMPUTED_VALUE"""),"Laserxinforma")</f>
        <v>Laserxinforma</v>
      </c>
      <c r="G909" s="1" t="str">
        <f>IFERROR(__xludf.DUMMYFUNCTION("""COMPUTED_VALUE"""),"-")</f>
        <v>-</v>
      </c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7">
        <f>IFERROR(__xludf.DUMMYFUNCTION("""COMPUTED_VALUE"""),45962.0)</f>
        <v>45962</v>
      </c>
      <c r="B910" s="1" t="str">
        <f>IFERROR(__xludf.DUMMYFUNCTION("""COMPUTED_VALUE"""),"-")</f>
        <v>-</v>
      </c>
      <c r="C910" s="1" t="str">
        <f>IFERROR(__xludf.DUMMYFUNCTION("""COMPUTED_VALUE"""),"Maria De Fatima Costa (2/2)")</f>
        <v>Maria De Fatima Costa (2/2)</v>
      </c>
      <c r="D910" s="2">
        <f>IFERROR(__xludf.DUMMYFUNCTION("""COMPUTED_VALUE"""),360.0)</f>
        <v>360</v>
      </c>
      <c r="E910" s="1" t="str">
        <f>IFERROR(__xludf.DUMMYFUNCTION("""COMPUTED_VALUE"""),"-")</f>
        <v>-</v>
      </c>
      <c r="F910" s="1" t="str">
        <f>IFERROR(__xludf.DUMMYFUNCTION("""COMPUTED_VALUE"""),"Maria De Fatima Costa")</f>
        <v>Maria De Fatima Costa</v>
      </c>
      <c r="G910" s="1" t="str">
        <f>IFERROR(__xludf.DUMMYFUNCTION("""COMPUTED_VALUE"""),"-")</f>
        <v>-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7">
        <f>IFERROR(__xludf.DUMMYFUNCTION("""COMPUTED_VALUE"""),45962.0)</f>
        <v>45962</v>
      </c>
      <c r="B911" s="1" t="str">
        <f>IFERROR(__xludf.DUMMYFUNCTION("""COMPUTED_VALUE"""),"-")</f>
        <v>-</v>
      </c>
      <c r="C911" s="1" t="str">
        <f>IFERROR(__xludf.DUMMYFUNCTION("""COMPUTED_VALUE"""),"Amazon")</f>
        <v>Amazon</v>
      </c>
      <c r="D911" s="2">
        <f>IFERROR(__xludf.DUMMYFUNCTION("""COMPUTED_VALUE"""),17.39)</f>
        <v>17.39</v>
      </c>
      <c r="E911" s="1" t="str">
        <f>IFERROR(__xludf.DUMMYFUNCTION("""COMPUTED_VALUE"""),"-")</f>
        <v>-</v>
      </c>
      <c r="F911" s="1" t="str">
        <f>IFERROR(__xludf.DUMMYFUNCTION("""COMPUTED_VALUE"""),"Amazon")</f>
        <v>Amazon</v>
      </c>
      <c r="G911" s="1" t="str">
        <f>IFERROR(__xludf.DUMMYFUNCTION("""COMPUTED_VALUE"""),"Compras")</f>
        <v>Compras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7">
        <f>IFERROR(__xludf.DUMMYFUNCTION("""COMPUTED_VALUE"""),45962.0)</f>
        <v>45962</v>
      </c>
      <c r="B912" s="1" t="str">
        <f>IFERROR(__xludf.DUMMYFUNCTION("""COMPUTED_VALUE"""),"-")</f>
        <v>-</v>
      </c>
      <c r="C912" s="1" t="str">
        <f>IFERROR(__xludf.DUMMYFUNCTION("""COMPUTED_VALUE"""),"Supermercado &amp; Padaria")</f>
        <v>Supermercado &amp; Padaria</v>
      </c>
      <c r="D912" s="2">
        <f>IFERROR(__xludf.DUMMYFUNCTION("""COMPUTED_VALUE"""),123.0)</f>
        <v>123</v>
      </c>
      <c r="E912" s="1" t="str">
        <f>IFERROR(__xludf.DUMMYFUNCTION("""COMPUTED_VALUE"""),"-")</f>
        <v>-</v>
      </c>
      <c r="F912" s="1" t="str">
        <f>IFERROR(__xludf.DUMMYFUNCTION("""COMPUTED_VALUE"""),"Supermercado &amp; Padaria")</f>
        <v>Supermercado &amp; Padaria</v>
      </c>
      <c r="G912" s="1" t="str">
        <f>IFERROR(__xludf.DUMMYFUNCTION("""COMPUTED_VALUE"""),"Comida")</f>
        <v>Comida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7">
        <f>IFERROR(__xludf.DUMMYFUNCTION("""COMPUTED_VALUE"""),45962.0)</f>
        <v>45962</v>
      </c>
      <c r="B913" s="1" t="str">
        <f>IFERROR(__xludf.DUMMYFUNCTION("""COMPUTED_VALUE"""),"-")</f>
        <v>-</v>
      </c>
      <c r="C913" s="1" t="str">
        <f>IFERROR(__xludf.DUMMYFUNCTION("""COMPUTED_VALUE"""),"Posto Campo Alegre")</f>
        <v>Posto Campo Alegre</v>
      </c>
      <c r="D913" s="2">
        <f>IFERROR(__xludf.DUMMYFUNCTION("""COMPUTED_VALUE"""),120.03)</f>
        <v>120.03</v>
      </c>
      <c r="E913" s="1" t="str">
        <f>IFERROR(__xludf.DUMMYFUNCTION("""COMPUTED_VALUE"""),"-")</f>
        <v>-</v>
      </c>
      <c r="F913" s="1" t="str">
        <f>IFERROR(__xludf.DUMMYFUNCTION("""COMPUTED_VALUE"""),"Posto Campo Alegre")</f>
        <v>Posto Campo Alegre</v>
      </c>
      <c r="G913" s="1" t="str">
        <f>IFERROR(__xludf.DUMMYFUNCTION("""COMPUTED_VALUE"""),"-")</f>
        <v>-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7">
        <f>IFERROR(__xludf.DUMMYFUNCTION("""COMPUTED_VALUE"""),45962.0)</f>
        <v>45962</v>
      </c>
      <c r="B914" s="1" t="str">
        <f>IFERROR(__xludf.DUMMYFUNCTION("""COMPUTED_VALUE"""),"-")</f>
        <v>-</v>
      </c>
      <c r="C914" s="1" t="str">
        <f>IFERROR(__xludf.DUMMYFUNCTION("""COMPUTED_VALUE"""),"My Pet")</f>
        <v>My Pet</v>
      </c>
      <c r="D914" s="2">
        <f>IFERROR(__xludf.DUMMYFUNCTION("""COMPUTED_VALUE"""),50.0)</f>
        <v>50</v>
      </c>
      <c r="E914" s="1" t="str">
        <f>IFERROR(__xludf.DUMMYFUNCTION("""COMPUTED_VALUE"""),"-")</f>
        <v>-</v>
      </c>
      <c r="F914" s="1" t="str">
        <f>IFERROR(__xludf.DUMMYFUNCTION("""COMPUTED_VALUE"""),"My Pet")</f>
        <v>My Pet</v>
      </c>
      <c r="G914" s="1" t="str">
        <f>IFERROR(__xludf.DUMMYFUNCTION("""COMPUTED_VALUE"""),"-")</f>
        <v>-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7">
        <f>IFERROR(__xludf.DUMMYFUNCTION("""COMPUTED_VALUE"""),45962.0)</f>
        <v>45962</v>
      </c>
      <c r="B915" s="1" t="str">
        <f>IFERROR(__xludf.DUMMYFUNCTION("""COMPUTED_VALUE"""),"-")</f>
        <v>-</v>
      </c>
      <c r="C915" s="1" t="str">
        <f>IFERROR(__xludf.DUMMYFUNCTION("""COMPUTED_VALUE"""),"Amazon")</f>
        <v>Amazon</v>
      </c>
      <c r="D915" s="2">
        <f>IFERROR(__xludf.DUMMYFUNCTION("""COMPUTED_VALUE"""),15.87)</f>
        <v>15.87</v>
      </c>
      <c r="E915" s="1" t="str">
        <f>IFERROR(__xludf.DUMMYFUNCTION("""COMPUTED_VALUE"""),"-")</f>
        <v>-</v>
      </c>
      <c r="F915" s="1" t="str">
        <f>IFERROR(__xludf.DUMMYFUNCTION("""COMPUTED_VALUE"""),"Amazon")</f>
        <v>Amazon</v>
      </c>
      <c r="G915" s="1" t="str">
        <f>IFERROR(__xludf.DUMMYFUNCTION("""COMPUTED_VALUE"""),"Compras")</f>
        <v>Compras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7">
        <f>IFERROR(__xludf.DUMMYFUNCTION("""COMPUTED_VALUE"""),45962.0)</f>
        <v>45962</v>
      </c>
      <c r="B916" s="1" t="str">
        <f>IFERROR(__xludf.DUMMYFUNCTION("""COMPUTED_VALUE"""),"-")</f>
        <v>-</v>
      </c>
      <c r="C916" s="1" t="str">
        <f>IFERROR(__xludf.DUMMYFUNCTION("""COMPUTED_VALUE"""),"Gran Burguer")</f>
        <v>Gran Burguer</v>
      </c>
      <c r="D916" s="2">
        <f>IFERROR(__xludf.DUMMYFUNCTION("""COMPUTED_VALUE"""),55.12)</f>
        <v>55.12</v>
      </c>
      <c r="E916" s="1" t="str">
        <f>IFERROR(__xludf.DUMMYFUNCTION("""COMPUTED_VALUE"""),"-")</f>
        <v>-</v>
      </c>
      <c r="F916" s="1" t="str">
        <f>IFERROR(__xludf.DUMMYFUNCTION("""COMPUTED_VALUE"""),"Gran Burguer")</f>
        <v>Gran Burguer</v>
      </c>
      <c r="G916" s="1" t="str">
        <f>IFERROR(__xludf.DUMMYFUNCTION("""COMPUTED_VALUE"""),"-")</f>
        <v>-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7">
        <f>IFERROR(__xludf.DUMMYFUNCTION("""COMPUTED_VALUE"""),45962.0)</f>
        <v>45962</v>
      </c>
      <c r="B917" s="1" t="str">
        <f>IFERROR(__xludf.DUMMYFUNCTION("""COMPUTED_VALUE"""),"-")</f>
        <v>-</v>
      </c>
      <c r="C917" s="1" t="str">
        <f>IFERROR(__xludf.DUMMYFUNCTION("""COMPUTED_VALUE"""),"Gran Burguer")</f>
        <v>Gran Burguer</v>
      </c>
      <c r="D917" s="2">
        <f>IFERROR(__xludf.DUMMYFUNCTION("""COMPUTED_VALUE"""),3.9)</f>
        <v>3.9</v>
      </c>
      <c r="E917" s="1" t="str">
        <f>IFERROR(__xludf.DUMMYFUNCTION("""COMPUTED_VALUE"""),"-")</f>
        <v>-</v>
      </c>
      <c r="F917" s="1" t="str">
        <f>IFERROR(__xludf.DUMMYFUNCTION("""COMPUTED_VALUE"""),"Gran Burguer")</f>
        <v>Gran Burguer</v>
      </c>
      <c r="G917" s="1" t="str">
        <f>IFERROR(__xludf.DUMMYFUNCTION("""COMPUTED_VALUE"""),"-")</f>
        <v>-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7">
        <f>IFERROR(__xludf.DUMMYFUNCTION("""COMPUTED_VALUE"""),45962.0)</f>
        <v>45962</v>
      </c>
      <c r="B918" s="1" t="str">
        <f>IFERROR(__xludf.DUMMYFUNCTION("""COMPUTED_VALUE"""),"-")</f>
        <v>-</v>
      </c>
      <c r="C918" s="1" t="str">
        <f>IFERROR(__xludf.DUMMYFUNCTION("""COMPUTED_VALUE"""),"Auto Posto Maquine")</f>
        <v>Auto Posto Maquine</v>
      </c>
      <c r="D918" s="2">
        <f>IFERROR(__xludf.DUMMYFUNCTION("""COMPUTED_VALUE"""),173.02)</f>
        <v>173.02</v>
      </c>
      <c r="E918" s="1" t="str">
        <f>IFERROR(__xludf.DUMMYFUNCTION("""COMPUTED_VALUE"""),"-")</f>
        <v>-</v>
      </c>
      <c r="F918" s="1" t="str">
        <f>IFERROR(__xludf.DUMMYFUNCTION("""COMPUTED_VALUE"""),"Auto Posto Maquine")</f>
        <v>Auto Posto Maquine</v>
      </c>
      <c r="G918" s="1" t="str">
        <f>IFERROR(__xludf.DUMMYFUNCTION("""COMPUTED_VALUE"""),"Carro")</f>
        <v>Carro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7">
        <f>IFERROR(__xludf.DUMMYFUNCTION("""COMPUTED_VALUE"""),45962.0)</f>
        <v>45962</v>
      </c>
      <c r="B919" s="1" t="str">
        <f>IFERROR(__xludf.DUMMYFUNCTION("""COMPUTED_VALUE"""),"-")</f>
        <v>-</v>
      </c>
      <c r="C919" s="1" t="str">
        <f>IFERROR(__xludf.DUMMYFUNCTION("""COMPUTED_VALUE"""),"Shopee")</f>
        <v>Shopee</v>
      </c>
      <c r="D919" s="2">
        <f>IFERROR(__xludf.DUMMYFUNCTION("""COMPUTED_VALUE"""),48.56)</f>
        <v>48.56</v>
      </c>
      <c r="E919" s="1" t="str">
        <f>IFERROR(__xludf.DUMMYFUNCTION("""COMPUTED_VALUE"""),"-")</f>
        <v>-</v>
      </c>
      <c r="F919" s="1" t="str">
        <f>IFERROR(__xludf.DUMMYFUNCTION("""COMPUTED_VALUE"""),"Shopee")</f>
        <v>Shopee</v>
      </c>
      <c r="G919" s="1" t="str">
        <f>IFERROR(__xludf.DUMMYFUNCTION("""COMPUTED_VALUE"""),"Compras")</f>
        <v>Compras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7">
        <f>IFERROR(__xludf.DUMMYFUNCTION("""COMPUTED_VALUE"""),45962.0)</f>
        <v>45962</v>
      </c>
      <c r="B920" s="1" t="str">
        <f>IFERROR(__xludf.DUMMYFUNCTION("""COMPUTED_VALUE"""),"-")</f>
        <v>-</v>
      </c>
      <c r="C920" s="1" t="str">
        <f>IFERROR(__xludf.DUMMYFUNCTION("""COMPUTED_VALUE"""),"Amazon Digital Br")</f>
        <v>Amazon Digital Br</v>
      </c>
      <c r="D920" s="2">
        <f>IFERROR(__xludf.DUMMYFUNCTION("""COMPUTED_VALUE"""),13.96)</f>
        <v>13.96</v>
      </c>
      <c r="E920" s="1" t="str">
        <f>IFERROR(__xludf.DUMMYFUNCTION("""COMPUTED_VALUE"""),"-")</f>
        <v>-</v>
      </c>
      <c r="F920" s="1" t="str">
        <f>IFERROR(__xludf.DUMMYFUNCTION("""COMPUTED_VALUE"""),"Amazon Digital Br")</f>
        <v>Amazon Digital Br</v>
      </c>
      <c r="G920" s="1" t="str">
        <f>IFERROR(__xludf.DUMMYFUNCTION("""COMPUTED_VALUE"""),"Compras")</f>
        <v>Compras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7">
        <f>IFERROR(__xludf.DUMMYFUNCTION("""COMPUTED_VALUE"""),45962.0)</f>
        <v>45962</v>
      </c>
      <c r="B921" s="1" t="str">
        <f>IFERROR(__xludf.DUMMYFUNCTION("""COMPUTED_VALUE"""),"-")</f>
        <v>-</v>
      </c>
      <c r="C921" s="1" t="str">
        <f>IFERROR(__xludf.DUMMYFUNCTION("""COMPUTED_VALUE"""),"Super Nosso")</f>
        <v>Super Nosso</v>
      </c>
      <c r="D921" s="2">
        <f>IFERROR(__xludf.DUMMYFUNCTION("""COMPUTED_VALUE"""),14.99)</f>
        <v>14.99</v>
      </c>
      <c r="E921" s="1" t="str">
        <f>IFERROR(__xludf.DUMMYFUNCTION("""COMPUTED_VALUE"""),"-")</f>
        <v>-</v>
      </c>
      <c r="F921" s="1" t="str">
        <f>IFERROR(__xludf.DUMMYFUNCTION("""COMPUTED_VALUE"""),"Super Nosso")</f>
        <v>Super Nosso</v>
      </c>
      <c r="G921" s="1" t="str">
        <f>IFERROR(__xludf.DUMMYFUNCTION("""COMPUTED_VALUE"""),"Supermercado")</f>
        <v>Supermercado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7">
        <f>IFERROR(__xludf.DUMMYFUNCTION("""COMPUTED_VALUE"""),45962.0)</f>
        <v>45962</v>
      </c>
      <c r="B922" s="1" t="str">
        <f>IFERROR(__xludf.DUMMYFUNCTION("""COMPUTED_VALUE"""),"-")</f>
        <v>-</v>
      </c>
      <c r="C922" s="1" t="str">
        <f>IFERROR(__xludf.DUMMYFUNCTION("""COMPUTED_VALUE"""),"Mercado Livre")</f>
        <v>Mercado Livre</v>
      </c>
      <c r="D922" s="2">
        <f>IFERROR(__xludf.DUMMYFUNCTION("""COMPUTED_VALUE"""),65.47)</f>
        <v>65.47</v>
      </c>
      <c r="E922" s="1" t="str">
        <f>IFERROR(__xludf.DUMMYFUNCTION("""COMPUTED_VALUE"""),"-")</f>
        <v>-</v>
      </c>
      <c r="F922" s="1" t="str">
        <f>IFERROR(__xludf.DUMMYFUNCTION("""COMPUTED_VALUE"""),"Mercado Livre")</f>
        <v>Mercado Livre</v>
      </c>
      <c r="G922" s="1" t="str">
        <f>IFERROR(__xludf.DUMMYFUNCTION("""COMPUTED_VALUE"""),"Compras")</f>
        <v>Compras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7">
        <f>IFERROR(__xludf.DUMMYFUNCTION("""COMPUTED_VALUE"""),45962.0)</f>
        <v>45962</v>
      </c>
      <c r="B923" s="1" t="str">
        <f>IFERROR(__xludf.DUMMYFUNCTION("""COMPUTED_VALUE"""),"-")</f>
        <v>-</v>
      </c>
      <c r="C923" s="1" t="str">
        <f>IFERROR(__xludf.DUMMYFUNCTION("""COMPUTED_VALUE"""),"Drogaria Araujo")</f>
        <v>Drogaria Araujo</v>
      </c>
      <c r="D923" s="2">
        <f>IFERROR(__xludf.DUMMYFUNCTION("""COMPUTED_VALUE"""),120.19)</f>
        <v>120.19</v>
      </c>
      <c r="E923" s="1" t="str">
        <f>IFERROR(__xludf.DUMMYFUNCTION("""COMPUTED_VALUE"""),"-")</f>
        <v>-</v>
      </c>
      <c r="F923" s="1" t="str">
        <f>IFERROR(__xludf.DUMMYFUNCTION("""COMPUTED_VALUE"""),"Drogaria Araujo")</f>
        <v>Drogaria Araujo</v>
      </c>
      <c r="G923" s="1" t="str">
        <f>IFERROR(__xludf.DUMMYFUNCTION("""COMPUTED_VALUE"""),"Farmácia")</f>
        <v>Farmácia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7">
        <f>IFERROR(__xludf.DUMMYFUNCTION("""COMPUTED_VALUE"""),45962.0)</f>
        <v>45962</v>
      </c>
      <c r="B924" s="1" t="str">
        <f>IFERROR(__xludf.DUMMYFUNCTION("""COMPUTED_VALUE"""),"-")</f>
        <v>-</v>
      </c>
      <c r="C924" s="1">
        <f>IFERROR(__xludf.DUMMYFUNCTION("""COMPUTED_VALUE"""),99.0)</f>
        <v>99</v>
      </c>
      <c r="D924" s="2">
        <f>IFERROR(__xludf.DUMMYFUNCTION("""COMPUTED_VALUE"""),21.78)</f>
        <v>21.78</v>
      </c>
      <c r="E924" s="1" t="str">
        <f>IFERROR(__xludf.DUMMYFUNCTION("""COMPUTED_VALUE"""),"-")</f>
        <v>-</v>
      </c>
      <c r="F924" s="1" t="str">
        <f>IFERROR(__xludf.DUMMYFUNCTION("""COMPUTED_VALUE"""),"99")</f>
        <v>99</v>
      </c>
      <c r="G924" s="1" t="str">
        <f>IFERROR(__xludf.DUMMYFUNCTION("""COMPUTED_VALUE"""),"Uber/99")</f>
        <v>Uber/99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7">
        <f>IFERROR(__xludf.DUMMYFUNCTION("""COMPUTED_VALUE"""),45962.0)</f>
        <v>45962</v>
      </c>
      <c r="B925" s="1" t="str">
        <f>IFERROR(__xludf.DUMMYFUNCTION("""COMPUTED_VALUE"""),"-")</f>
        <v>-</v>
      </c>
      <c r="C925" s="1">
        <f>IFERROR(__xludf.DUMMYFUNCTION("""COMPUTED_VALUE"""),99.0)</f>
        <v>99</v>
      </c>
      <c r="D925" s="2">
        <f>IFERROR(__xludf.DUMMYFUNCTION("""COMPUTED_VALUE"""),9.3)</f>
        <v>9.3</v>
      </c>
      <c r="E925" s="1" t="str">
        <f>IFERROR(__xludf.DUMMYFUNCTION("""COMPUTED_VALUE"""),"-")</f>
        <v>-</v>
      </c>
      <c r="F925" s="1" t="str">
        <f>IFERROR(__xludf.DUMMYFUNCTION("""COMPUTED_VALUE"""),"99")</f>
        <v>99</v>
      </c>
      <c r="G925" s="1" t="str">
        <f>IFERROR(__xludf.DUMMYFUNCTION("""COMPUTED_VALUE"""),"Uber/99")</f>
        <v>Uber/99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7">
        <f>IFERROR(__xludf.DUMMYFUNCTION("""COMPUTED_VALUE"""),45962.0)</f>
        <v>45962</v>
      </c>
      <c r="B926" s="1" t="str">
        <f>IFERROR(__xludf.DUMMYFUNCTION("""COMPUTED_VALUE"""),"-")</f>
        <v>-</v>
      </c>
      <c r="C926" s="1" t="str">
        <f>IFERROR(__xludf.DUMMYFUNCTION("""COMPUTED_VALUE"""),"Drogaria Araujo")</f>
        <v>Drogaria Araujo</v>
      </c>
      <c r="D926" s="2">
        <f>IFERROR(__xludf.DUMMYFUNCTION("""COMPUTED_VALUE"""),25.99)</f>
        <v>25.99</v>
      </c>
      <c r="E926" s="1" t="str">
        <f>IFERROR(__xludf.DUMMYFUNCTION("""COMPUTED_VALUE"""),"-")</f>
        <v>-</v>
      </c>
      <c r="F926" s="1" t="str">
        <f>IFERROR(__xludf.DUMMYFUNCTION("""COMPUTED_VALUE"""),"Drogaria Araujo")</f>
        <v>Drogaria Araujo</v>
      </c>
      <c r="G926" s="1" t="str">
        <f>IFERROR(__xludf.DUMMYFUNCTION("""COMPUTED_VALUE"""),"Farmácia")</f>
        <v>Farmácia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7">
        <f>IFERROR(__xludf.DUMMYFUNCTION("""COMPUTED_VALUE"""),45962.0)</f>
        <v>45962</v>
      </c>
      <c r="B927" s="1" t="str">
        <f>IFERROR(__xludf.DUMMYFUNCTION("""COMPUTED_VALUE"""),"-")</f>
        <v>-</v>
      </c>
      <c r="C927" s="1" t="str">
        <f>IFERROR(__xludf.DUMMYFUNCTION("""COMPUTED_VALUE"""),"Amazon Digital Br")</f>
        <v>Amazon Digital Br</v>
      </c>
      <c r="D927" s="2">
        <f>IFERROR(__xludf.DUMMYFUNCTION("""COMPUTED_VALUE"""),18.43)</f>
        <v>18.43</v>
      </c>
      <c r="E927" s="1" t="str">
        <f>IFERROR(__xludf.DUMMYFUNCTION("""COMPUTED_VALUE"""),"-")</f>
        <v>-</v>
      </c>
      <c r="F927" s="1" t="str">
        <f>IFERROR(__xludf.DUMMYFUNCTION("""COMPUTED_VALUE"""),"Amazon Digital Br")</f>
        <v>Amazon Digital Br</v>
      </c>
      <c r="G927" s="1" t="str">
        <f>IFERROR(__xludf.DUMMYFUNCTION("""COMPUTED_VALUE"""),"Compras")</f>
        <v>Compras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7">
        <f>IFERROR(__xludf.DUMMYFUNCTION("""COMPUTED_VALUE"""),45962.0)</f>
        <v>45962</v>
      </c>
      <c r="B928" s="1" t="str">
        <f>IFERROR(__xludf.DUMMYFUNCTION("""COMPUTED_VALUE"""),"-")</f>
        <v>-</v>
      </c>
      <c r="C928" s="1" t="str">
        <f>IFERROR(__xludf.DUMMYFUNCTION("""COMPUTED_VALUE"""),"Amazon")</f>
        <v>Amazon</v>
      </c>
      <c r="D928" s="2">
        <f>IFERROR(__xludf.DUMMYFUNCTION("""COMPUTED_VALUE"""),34.95)</f>
        <v>34.95</v>
      </c>
      <c r="E928" s="1" t="str">
        <f>IFERROR(__xludf.DUMMYFUNCTION("""COMPUTED_VALUE"""),"-")</f>
        <v>-</v>
      </c>
      <c r="F928" s="1" t="str">
        <f>IFERROR(__xludf.DUMMYFUNCTION("""COMPUTED_VALUE"""),"Amazon")</f>
        <v>Amazon</v>
      </c>
      <c r="G928" s="1" t="str">
        <f>IFERROR(__xludf.DUMMYFUNCTION("""COMPUTED_VALUE"""),"Compras")</f>
        <v>Compras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7">
        <f>IFERROR(__xludf.DUMMYFUNCTION("""COMPUTED_VALUE"""),45962.0)</f>
        <v>45962</v>
      </c>
      <c r="B929" s="1" t="str">
        <f>IFERROR(__xludf.DUMMYFUNCTION("""COMPUTED_VALUE"""),"-")</f>
        <v>-</v>
      </c>
      <c r="C929" s="1" t="str">
        <f>IFERROR(__xludf.DUMMYFUNCTION("""COMPUTED_VALUE"""),"Drogaria Araujo")</f>
        <v>Drogaria Araujo</v>
      </c>
      <c r="D929" s="2">
        <f>IFERROR(__xludf.DUMMYFUNCTION("""COMPUTED_VALUE"""),8.49)</f>
        <v>8.49</v>
      </c>
      <c r="E929" s="1" t="str">
        <f>IFERROR(__xludf.DUMMYFUNCTION("""COMPUTED_VALUE"""),"-")</f>
        <v>-</v>
      </c>
      <c r="F929" s="1" t="str">
        <f>IFERROR(__xludf.DUMMYFUNCTION("""COMPUTED_VALUE"""),"Drogaria Araujo")</f>
        <v>Drogaria Araujo</v>
      </c>
      <c r="G929" s="1" t="str">
        <f>IFERROR(__xludf.DUMMYFUNCTION("""COMPUTED_VALUE"""),"Farmácia")</f>
        <v>Farmácia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7">
        <f>IFERROR(__xludf.DUMMYFUNCTION("""COMPUTED_VALUE"""),45962.0)</f>
        <v>45962</v>
      </c>
      <c r="B930" s="1" t="str">
        <f>IFERROR(__xludf.DUMMYFUNCTION("""COMPUTED_VALUE"""),"-")</f>
        <v>-</v>
      </c>
      <c r="C930" s="1" t="str">
        <f>IFERROR(__xludf.DUMMYFUNCTION("""COMPUTED_VALUE"""),"Roma J Automoveis E Se (5/5)")</f>
        <v>Roma J Automoveis E Se (5/5)</v>
      </c>
      <c r="D930" s="2">
        <f>IFERROR(__xludf.DUMMYFUNCTION("""COMPUTED_VALUE"""),380.37)</f>
        <v>380.37</v>
      </c>
      <c r="E930" s="1" t="str">
        <f>IFERROR(__xludf.DUMMYFUNCTION("""COMPUTED_VALUE"""),"-")</f>
        <v>-</v>
      </c>
      <c r="F930" s="1" t="str">
        <f>IFERROR(__xludf.DUMMYFUNCTION("""COMPUTED_VALUE"""),"Roma J Automoveis E Se")</f>
        <v>Roma J Automoveis E Se</v>
      </c>
      <c r="G930" s="1" t="str">
        <f>IFERROR(__xludf.DUMMYFUNCTION("""COMPUTED_VALUE"""),"-")</f>
        <v>-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7">
        <f>IFERROR(__xludf.DUMMYFUNCTION("""COMPUTED_VALUE"""),45962.0)</f>
        <v>45962</v>
      </c>
      <c r="B931" s="1" t="str">
        <f>IFERROR(__xludf.DUMMYFUNCTION("""COMPUTED_VALUE"""),"-")</f>
        <v>-</v>
      </c>
      <c r="C931" s="1" t="str">
        <f>IFERROR(__xludf.DUMMYFUNCTION("""COMPUTED_VALUE"""),"Roma J Automoveis E Se (4/5)")</f>
        <v>Roma J Automoveis E Se (4/5)</v>
      </c>
      <c r="D931" s="2">
        <f>IFERROR(__xludf.DUMMYFUNCTION("""COMPUTED_VALUE"""),380.37)</f>
        <v>380.37</v>
      </c>
      <c r="E931" s="1" t="str">
        <f>IFERROR(__xludf.DUMMYFUNCTION("""COMPUTED_VALUE"""),"-")</f>
        <v>-</v>
      </c>
      <c r="F931" s="1" t="str">
        <f>IFERROR(__xludf.DUMMYFUNCTION("""COMPUTED_VALUE"""),"Roma J Automoveis E Se")</f>
        <v>Roma J Automoveis E Se</v>
      </c>
      <c r="G931" s="1" t="str">
        <f>IFERROR(__xludf.DUMMYFUNCTION("""COMPUTED_VALUE"""),"-")</f>
        <v>-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7">
        <f>IFERROR(__xludf.DUMMYFUNCTION("""COMPUTED_VALUE"""),45962.0)</f>
        <v>45962</v>
      </c>
      <c r="B932" s="1" t="str">
        <f>IFERROR(__xludf.DUMMYFUNCTION("""COMPUTED_VALUE"""),"-")</f>
        <v>-</v>
      </c>
      <c r="C932" s="1" t="str">
        <f>IFERROR(__xludf.DUMMYFUNCTION("""COMPUTED_VALUE"""),"Roma J Automoveis E Se (3/5)")</f>
        <v>Roma J Automoveis E Se (3/5)</v>
      </c>
      <c r="D932" s="2">
        <f>IFERROR(__xludf.DUMMYFUNCTION("""COMPUTED_VALUE"""),380.37)</f>
        <v>380.37</v>
      </c>
      <c r="E932" s="1" t="str">
        <f>IFERROR(__xludf.DUMMYFUNCTION("""COMPUTED_VALUE"""),"-")</f>
        <v>-</v>
      </c>
      <c r="F932" s="1" t="str">
        <f>IFERROR(__xludf.DUMMYFUNCTION("""COMPUTED_VALUE"""),"Roma J Automoveis E Se")</f>
        <v>Roma J Automoveis E Se</v>
      </c>
      <c r="G932" s="1" t="str">
        <f>IFERROR(__xludf.DUMMYFUNCTION("""COMPUTED_VALUE"""),"-")</f>
        <v>-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7">
        <f>IFERROR(__xludf.DUMMYFUNCTION("""COMPUTED_VALUE"""),45962.0)</f>
        <v>45962</v>
      </c>
      <c r="B933" s="1" t="str">
        <f>IFERROR(__xludf.DUMMYFUNCTION("""COMPUTED_VALUE"""),"-")</f>
        <v>-</v>
      </c>
      <c r="C933" s="1" t="str">
        <f>IFERROR(__xludf.DUMMYFUNCTION("""COMPUTED_VALUE"""),"Roma J Automoveis E Se (2/5)")</f>
        <v>Roma J Automoveis E Se (2/5)</v>
      </c>
      <c r="D933" s="2">
        <f>IFERROR(__xludf.DUMMYFUNCTION("""COMPUTED_VALUE"""),380.37)</f>
        <v>380.37</v>
      </c>
      <c r="E933" s="1" t="str">
        <f>IFERROR(__xludf.DUMMYFUNCTION("""COMPUTED_VALUE"""),"-")</f>
        <v>-</v>
      </c>
      <c r="F933" s="1" t="str">
        <f>IFERROR(__xludf.DUMMYFUNCTION("""COMPUTED_VALUE"""),"Roma J Automoveis E Se")</f>
        <v>Roma J Automoveis E Se</v>
      </c>
      <c r="G933" s="1" t="str">
        <f>IFERROR(__xludf.DUMMYFUNCTION("""COMPUTED_VALUE"""),"-")</f>
        <v>-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7">
        <f>IFERROR(__xludf.DUMMYFUNCTION("""COMPUTED_VALUE"""),45962.0)</f>
        <v>45962</v>
      </c>
      <c r="B934" s="1" t="str">
        <f>IFERROR(__xludf.DUMMYFUNCTION("""COMPUTED_VALUE"""),"-")</f>
        <v>-</v>
      </c>
      <c r="C934" s="1" t="str">
        <f>IFERROR(__xludf.DUMMYFUNCTION("""COMPUTED_VALUE"""),"Roma J Automoveis E Se (1/5)")</f>
        <v>Roma J Automoveis E Se (1/5)</v>
      </c>
      <c r="D934" s="2">
        <f>IFERROR(__xludf.DUMMYFUNCTION("""COMPUTED_VALUE"""),380.39)</f>
        <v>380.39</v>
      </c>
      <c r="E934" s="1" t="str">
        <f>IFERROR(__xludf.DUMMYFUNCTION("""COMPUTED_VALUE"""),"-")</f>
        <v>-</v>
      </c>
      <c r="F934" s="1" t="str">
        <f>IFERROR(__xludf.DUMMYFUNCTION("""COMPUTED_VALUE"""),"Roma J Automoveis E Se")</f>
        <v>Roma J Automoveis E Se</v>
      </c>
      <c r="G934" s="1" t="str">
        <f>IFERROR(__xludf.DUMMYFUNCTION("""COMPUTED_VALUE"""),"-")</f>
        <v>-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7">
        <f>IFERROR(__xludf.DUMMYFUNCTION("""COMPUTED_VALUE"""),45962.0)</f>
        <v>45962</v>
      </c>
      <c r="B935" s="1" t="str">
        <f>IFERROR(__xludf.DUMMYFUNCTION("""COMPUTED_VALUE"""),"-")</f>
        <v>-</v>
      </c>
      <c r="C935" s="1" t="str">
        <f>IFERROR(__xludf.DUMMYFUNCTION("""COMPUTED_VALUE"""),"Drogaria Pacheco")</f>
        <v>Drogaria Pacheco</v>
      </c>
      <c r="D935" s="2">
        <f>IFERROR(__xludf.DUMMYFUNCTION("""COMPUTED_VALUE"""),3.73)</f>
        <v>3.73</v>
      </c>
      <c r="E935" s="1" t="str">
        <f>IFERROR(__xludf.DUMMYFUNCTION("""COMPUTED_VALUE"""),"-")</f>
        <v>-</v>
      </c>
      <c r="F935" s="1" t="str">
        <f>IFERROR(__xludf.DUMMYFUNCTION("""COMPUTED_VALUE"""),"Drogaria Pacheco")</f>
        <v>Drogaria Pacheco</v>
      </c>
      <c r="G935" s="1" t="str">
        <f>IFERROR(__xludf.DUMMYFUNCTION("""COMPUTED_VALUE"""),"Farmácia")</f>
        <v>Farmácia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7">
        <f>IFERROR(__xludf.DUMMYFUNCTION("""COMPUTED_VALUE"""),45962.0)</f>
        <v>45962</v>
      </c>
      <c r="B936" s="1" t="str">
        <f>IFERROR(__xludf.DUMMYFUNCTION("""COMPUTED_VALUE"""),"-")</f>
        <v>-</v>
      </c>
      <c r="C936" s="1" t="str">
        <f>IFERROR(__xludf.DUMMYFUNCTION("""COMPUTED_VALUE"""),"Amazonmktplc Alltrendl")</f>
        <v>Amazonmktplc Alltrendl</v>
      </c>
      <c r="D936" s="2">
        <f>IFERROR(__xludf.DUMMYFUNCTION("""COMPUTED_VALUE"""),11.9)</f>
        <v>11.9</v>
      </c>
      <c r="E936" s="1" t="str">
        <f>IFERROR(__xludf.DUMMYFUNCTION("""COMPUTED_VALUE"""),"-")</f>
        <v>-</v>
      </c>
      <c r="F936" s="1" t="str">
        <f>IFERROR(__xludf.DUMMYFUNCTION("""COMPUTED_VALUE"""),"Amazonmktplc")</f>
        <v>Amazonmktplc</v>
      </c>
      <c r="G936" s="1" t="str">
        <f>IFERROR(__xludf.DUMMYFUNCTION("""COMPUTED_VALUE"""),"Compras")</f>
        <v>Compras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7">
        <f>IFERROR(__xludf.DUMMYFUNCTION("""COMPUTED_VALUE"""),45962.0)</f>
        <v>45962</v>
      </c>
      <c r="B937" s="1" t="str">
        <f>IFERROR(__xludf.DUMMYFUNCTION("""COMPUTED_VALUE"""),"-")</f>
        <v>-</v>
      </c>
      <c r="C937" s="1" t="str">
        <f>IFERROR(__xludf.DUMMYFUNCTION("""COMPUTED_VALUE"""),"Spotify")</f>
        <v>Spotify</v>
      </c>
      <c r="D937" s="2">
        <f>IFERROR(__xludf.DUMMYFUNCTION("""COMPUTED_VALUE"""),40.9)</f>
        <v>40.9</v>
      </c>
      <c r="E937" s="1" t="str">
        <f>IFERROR(__xludf.DUMMYFUNCTION("""COMPUTED_VALUE"""),"-")</f>
        <v>-</v>
      </c>
      <c r="F937" s="1" t="str">
        <f>IFERROR(__xludf.DUMMYFUNCTION("""COMPUTED_VALUE"""),"Spotify")</f>
        <v>Spotify</v>
      </c>
      <c r="G937" s="1" t="str">
        <f>IFERROR(__xludf.DUMMYFUNCTION("""COMPUTED_VALUE"""),"Assinatura")</f>
        <v>Assinatura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7">
        <f>IFERROR(__xludf.DUMMYFUNCTION("""COMPUTED_VALUE"""),45962.0)</f>
        <v>45962</v>
      </c>
      <c r="B938" s="1" t="str">
        <f>IFERROR(__xludf.DUMMYFUNCTION("""COMPUTED_VALUE"""),"-")</f>
        <v>-</v>
      </c>
      <c r="C938" s="1" t="str">
        <f>IFERROR(__xludf.DUMMYFUNCTION("""COMPUTED_VALUE"""),"Amazon")</f>
        <v>Amazon</v>
      </c>
      <c r="D938" s="2">
        <f>IFERROR(__xludf.DUMMYFUNCTION("""COMPUTED_VALUE"""),302.1)</f>
        <v>302.1</v>
      </c>
      <c r="E938" s="1" t="str">
        <f>IFERROR(__xludf.DUMMYFUNCTION("""COMPUTED_VALUE"""),"-")</f>
        <v>-</v>
      </c>
      <c r="F938" s="1" t="str">
        <f>IFERROR(__xludf.DUMMYFUNCTION("""COMPUTED_VALUE"""),"Amazon")</f>
        <v>Amazon</v>
      </c>
      <c r="G938" s="1" t="str">
        <f>IFERROR(__xludf.DUMMYFUNCTION("""COMPUTED_VALUE"""),"Compras")</f>
        <v>Compras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7">
        <f>IFERROR(__xludf.DUMMYFUNCTION("""COMPUTED_VALUE"""),45962.0)</f>
        <v>45962</v>
      </c>
      <c r="B939" s="1" t="str">
        <f>IFERROR(__xludf.DUMMYFUNCTION("""COMPUTED_VALUE"""),"-")</f>
        <v>-</v>
      </c>
      <c r="C939" s="1" t="str">
        <f>IFERROR(__xludf.DUMMYFUNCTION("""COMPUTED_VALUE"""),"Amazon")</f>
        <v>Amazon</v>
      </c>
      <c r="D939" s="2">
        <f>IFERROR(__xludf.DUMMYFUNCTION("""COMPUTED_VALUE"""),41.08)</f>
        <v>41.08</v>
      </c>
      <c r="E939" s="1" t="str">
        <f>IFERROR(__xludf.DUMMYFUNCTION("""COMPUTED_VALUE"""),"-")</f>
        <v>-</v>
      </c>
      <c r="F939" s="1" t="str">
        <f>IFERROR(__xludf.DUMMYFUNCTION("""COMPUTED_VALUE"""),"Amazon")</f>
        <v>Amazon</v>
      </c>
      <c r="G939" s="1" t="str">
        <f>IFERROR(__xludf.DUMMYFUNCTION("""COMPUTED_VALUE"""),"Compras")</f>
        <v>Compras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7">
        <f>IFERROR(__xludf.DUMMYFUNCTION("""COMPUTED_VALUE"""),45962.0)</f>
        <v>45962</v>
      </c>
      <c r="B940" s="1" t="str">
        <f>IFERROR(__xludf.DUMMYFUNCTION("""COMPUTED_VALUE"""),"-")</f>
        <v>-</v>
      </c>
      <c r="C940" s="1" t="str">
        <f>IFERROR(__xludf.DUMMYFUNCTION("""COMPUTED_VALUE"""),"Casa De Casa De Carne")</f>
        <v>Casa De Casa De Carne</v>
      </c>
      <c r="D940" s="2">
        <f>IFERROR(__xludf.DUMMYFUNCTION("""COMPUTED_VALUE"""),471.62)</f>
        <v>471.62</v>
      </c>
      <c r="E940" s="1" t="str">
        <f>IFERROR(__xludf.DUMMYFUNCTION("""COMPUTED_VALUE"""),"-")</f>
        <v>-</v>
      </c>
      <c r="F940" s="1" t="str">
        <f>IFERROR(__xludf.DUMMYFUNCTION("""COMPUTED_VALUE"""),"Casa De Casa De Carne")</f>
        <v>Casa De Casa De Carne</v>
      </c>
      <c r="G940" s="1" t="str">
        <f>IFERROR(__xludf.DUMMYFUNCTION("""COMPUTED_VALUE"""),"Comida")</f>
        <v>Comida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7">
        <f>IFERROR(__xludf.DUMMYFUNCTION("""COMPUTED_VALUE"""),45962.0)</f>
        <v>45962</v>
      </c>
      <c r="B941" s="1" t="str">
        <f>IFERROR(__xludf.DUMMYFUNCTION("""COMPUTED_VALUE"""),"-")</f>
        <v>-</v>
      </c>
      <c r="C941" s="1" t="str">
        <f>IFERROR(__xludf.DUMMYFUNCTION("""COMPUTED_VALUE"""),"Rizzo Horizonte")</f>
        <v>Rizzo Horizonte</v>
      </c>
      <c r="D941" s="2">
        <f>IFERROR(__xludf.DUMMYFUNCTION("""COMPUTED_VALUE"""),27.6)</f>
        <v>27.6</v>
      </c>
      <c r="E941" s="1" t="str">
        <f>IFERROR(__xludf.DUMMYFUNCTION("""COMPUTED_VALUE"""),"-")</f>
        <v>-</v>
      </c>
      <c r="F941" s="1" t="str">
        <f>IFERROR(__xludf.DUMMYFUNCTION("""COMPUTED_VALUE"""),"Rizzo Horizonte")</f>
        <v>Rizzo Horizonte</v>
      </c>
      <c r="G941" s="1" t="str">
        <f>IFERROR(__xludf.DUMMYFUNCTION("""COMPUTED_VALUE"""),"-")</f>
        <v>-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7">
        <f>IFERROR(__xludf.DUMMYFUNCTION("""COMPUTED_VALUE"""),45962.0)</f>
        <v>45962</v>
      </c>
      <c r="B942" s="1" t="str">
        <f>IFERROR(__xludf.DUMMYFUNCTION("""COMPUTED_VALUE"""),"-")</f>
        <v>-</v>
      </c>
      <c r="C942" s="1" t="str">
        <f>IFERROR(__xludf.DUMMYFUNCTION("""COMPUTED_VALUE"""),"Supermercado &amp; Padaria")</f>
        <v>Supermercado &amp; Padaria</v>
      </c>
      <c r="D942" s="2">
        <f>IFERROR(__xludf.DUMMYFUNCTION("""COMPUTED_VALUE"""),266.1)</f>
        <v>266.1</v>
      </c>
      <c r="E942" s="1" t="str">
        <f>IFERROR(__xludf.DUMMYFUNCTION("""COMPUTED_VALUE"""),"-")</f>
        <v>-</v>
      </c>
      <c r="F942" s="1" t="str">
        <f>IFERROR(__xludf.DUMMYFUNCTION("""COMPUTED_VALUE"""),"Supermercado &amp; Padaria")</f>
        <v>Supermercado &amp; Padaria</v>
      </c>
      <c r="G942" s="1" t="str">
        <f>IFERROR(__xludf.DUMMYFUNCTION("""COMPUTED_VALUE"""),"Comida")</f>
        <v>Comida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7">
        <f>IFERROR(__xludf.DUMMYFUNCTION("""COMPUTED_VALUE"""),45962.0)</f>
        <v>45962</v>
      </c>
      <c r="B943" s="1" t="str">
        <f>IFERROR(__xludf.DUMMYFUNCTION("""COMPUTED_VALUE"""),"-")</f>
        <v>-</v>
      </c>
      <c r="C943" s="1" t="str">
        <f>IFERROR(__xludf.DUMMYFUNCTION("""COMPUTED_VALUE"""),"Supermercado &amp; Padaria")</f>
        <v>Supermercado &amp; Padaria</v>
      </c>
      <c r="D943" s="2">
        <f>IFERROR(__xludf.DUMMYFUNCTION("""COMPUTED_VALUE"""),45.98)</f>
        <v>45.98</v>
      </c>
      <c r="E943" s="1" t="str">
        <f>IFERROR(__xludf.DUMMYFUNCTION("""COMPUTED_VALUE"""),"-")</f>
        <v>-</v>
      </c>
      <c r="F943" s="1" t="str">
        <f>IFERROR(__xludf.DUMMYFUNCTION("""COMPUTED_VALUE"""),"Supermercado &amp; Padaria")</f>
        <v>Supermercado &amp; Padaria</v>
      </c>
      <c r="G943" s="1" t="str">
        <f>IFERROR(__xludf.DUMMYFUNCTION("""COMPUTED_VALUE"""),"Comida")</f>
        <v>Comida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7">
        <f>IFERROR(__xludf.DUMMYFUNCTION("""COMPUTED_VALUE"""),45962.0)</f>
        <v>45962</v>
      </c>
      <c r="B944" s="1" t="str">
        <f>IFERROR(__xludf.DUMMYFUNCTION("""COMPUTED_VALUE"""),"-")</f>
        <v>-</v>
      </c>
      <c r="C944" s="1" t="str">
        <f>IFERROR(__xludf.DUMMYFUNCTION("""COMPUTED_VALUE"""),"Choky Confeitaria")</f>
        <v>Choky Confeitaria</v>
      </c>
      <c r="D944" s="2">
        <f>IFERROR(__xludf.DUMMYFUNCTION("""COMPUTED_VALUE"""),80.0)</f>
        <v>80</v>
      </c>
      <c r="E944" s="1" t="str">
        <f>IFERROR(__xludf.DUMMYFUNCTION("""COMPUTED_VALUE"""),"-")</f>
        <v>-</v>
      </c>
      <c r="F944" s="1" t="str">
        <f>IFERROR(__xludf.DUMMYFUNCTION("""COMPUTED_VALUE"""),"Choky Confeitaria")</f>
        <v>Choky Confeitaria</v>
      </c>
      <c r="G944" s="1" t="str">
        <f>IFERROR(__xludf.DUMMYFUNCTION("""COMPUTED_VALUE"""),"-")</f>
        <v>-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7">
        <f>IFERROR(__xludf.DUMMYFUNCTION("""COMPUTED_VALUE"""),45962.0)</f>
        <v>45962</v>
      </c>
      <c r="B945" s="1" t="str">
        <f>IFERROR(__xludf.DUMMYFUNCTION("""COMPUTED_VALUE"""),"-")</f>
        <v>-</v>
      </c>
      <c r="C945" s="1" t="str">
        <f>IFERROR(__xludf.DUMMYFUNCTION("""COMPUTED_VALUE"""),"Empório Frutaria Bh")</f>
        <v>Empório Frutaria Bh</v>
      </c>
      <c r="D945" s="2">
        <f>IFERROR(__xludf.DUMMYFUNCTION("""COMPUTED_VALUE"""),88.14)</f>
        <v>88.14</v>
      </c>
      <c r="E945" s="1" t="str">
        <f>IFERROR(__xludf.DUMMYFUNCTION("""COMPUTED_VALUE"""),"-")</f>
        <v>-</v>
      </c>
      <c r="F945" s="1" t="str">
        <f>IFERROR(__xludf.DUMMYFUNCTION("""COMPUTED_VALUE"""),"Empório Frutaria Bh")</f>
        <v>Empório Frutaria Bh</v>
      </c>
      <c r="G945" s="1" t="str">
        <f>IFERROR(__xludf.DUMMYFUNCTION("""COMPUTED_VALUE"""),"-")</f>
        <v>-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7">
        <f>IFERROR(__xludf.DUMMYFUNCTION("""COMPUTED_VALUE"""),45962.0)</f>
        <v>45962</v>
      </c>
      <c r="B946" s="1" t="str">
        <f>IFERROR(__xludf.DUMMYFUNCTION("""COMPUTED_VALUE"""),"-")</f>
        <v>-</v>
      </c>
      <c r="C946" s="1" t="str">
        <f>IFERROR(__xludf.DUMMYFUNCTION("""COMPUTED_VALUE"""),"Drogaria Ara Araujo")</f>
        <v>Drogaria Ara Araujo</v>
      </c>
      <c r="D946" s="2">
        <f>IFERROR(__xludf.DUMMYFUNCTION("""COMPUTED_VALUE"""),263.99)</f>
        <v>263.99</v>
      </c>
      <c r="E946" s="1" t="str">
        <f>IFERROR(__xludf.DUMMYFUNCTION("""COMPUTED_VALUE"""),"-")</f>
        <v>-</v>
      </c>
      <c r="F946" s="1" t="str">
        <f>IFERROR(__xludf.DUMMYFUNCTION("""COMPUTED_VALUE"""),"Drogaria Ara Araujo")</f>
        <v>Drogaria Ara Araujo</v>
      </c>
      <c r="G946" s="1" t="str">
        <f>IFERROR(__xludf.DUMMYFUNCTION("""COMPUTED_VALUE"""),"Farmácia")</f>
        <v>Farmácia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7">
        <f>IFERROR(__xludf.DUMMYFUNCTION("""COMPUTED_VALUE"""),45962.0)</f>
        <v>45962</v>
      </c>
      <c r="B947" s="1" t="str">
        <f>IFERROR(__xludf.DUMMYFUNCTION("""COMPUTED_VALUE"""),"-")</f>
        <v>-</v>
      </c>
      <c r="C947" s="1" t="str">
        <f>IFERROR(__xludf.DUMMYFUNCTION("""COMPUTED_VALUE"""),"Amazon")</f>
        <v>Amazon</v>
      </c>
      <c r="D947" s="2">
        <f>IFERROR(__xludf.DUMMYFUNCTION("""COMPUTED_VALUE"""),49.52)</f>
        <v>49.52</v>
      </c>
      <c r="E947" s="1" t="str">
        <f>IFERROR(__xludf.DUMMYFUNCTION("""COMPUTED_VALUE"""),"-")</f>
        <v>-</v>
      </c>
      <c r="F947" s="1" t="str">
        <f>IFERROR(__xludf.DUMMYFUNCTION("""COMPUTED_VALUE"""),"Amazon")</f>
        <v>Amazon</v>
      </c>
      <c r="G947" s="1" t="str">
        <f>IFERROR(__xludf.DUMMYFUNCTION("""COMPUTED_VALUE"""),"Compras")</f>
        <v>Compras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7">
        <f>IFERROR(__xludf.DUMMYFUNCTION("""COMPUTED_VALUE"""),45962.0)</f>
        <v>45962</v>
      </c>
      <c r="B948" s="1" t="str">
        <f>IFERROR(__xludf.DUMMYFUNCTION("""COMPUTED_VALUE"""),"-")</f>
        <v>-</v>
      </c>
      <c r="C948" s="1" t="str">
        <f>IFERROR(__xludf.DUMMYFUNCTION("""COMPUTED_VALUE"""),"Drogaria Ara Araujo")</f>
        <v>Drogaria Ara Araujo</v>
      </c>
      <c r="D948" s="2">
        <f>IFERROR(__xludf.DUMMYFUNCTION("""COMPUTED_VALUE"""),15.89)</f>
        <v>15.89</v>
      </c>
      <c r="E948" s="1" t="str">
        <f>IFERROR(__xludf.DUMMYFUNCTION("""COMPUTED_VALUE"""),"-")</f>
        <v>-</v>
      </c>
      <c r="F948" s="1" t="str">
        <f>IFERROR(__xludf.DUMMYFUNCTION("""COMPUTED_VALUE"""),"Drogaria Ara Araujo")</f>
        <v>Drogaria Ara Araujo</v>
      </c>
      <c r="G948" s="1" t="str">
        <f>IFERROR(__xludf.DUMMYFUNCTION("""COMPUTED_VALUE"""),"Farmácia")</f>
        <v>Farmácia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7">
        <f>IFERROR(__xludf.DUMMYFUNCTION("""COMPUTED_VALUE"""),45962.0)</f>
        <v>45962</v>
      </c>
      <c r="B949" s="1" t="str">
        <f>IFERROR(__xludf.DUMMYFUNCTION("""COMPUTED_VALUE"""),"-")</f>
        <v>-</v>
      </c>
      <c r="C949" s="1" t="str">
        <f>IFERROR(__xludf.DUMMYFUNCTION("""COMPUTED_VALUE"""),"Super Nosso")</f>
        <v>Super Nosso</v>
      </c>
      <c r="D949" s="2">
        <f>IFERROR(__xludf.DUMMYFUNCTION("""COMPUTED_VALUE"""),212.98)</f>
        <v>212.98</v>
      </c>
      <c r="E949" s="1" t="str">
        <f>IFERROR(__xludf.DUMMYFUNCTION("""COMPUTED_VALUE"""),"-")</f>
        <v>-</v>
      </c>
      <c r="F949" s="1" t="str">
        <f>IFERROR(__xludf.DUMMYFUNCTION("""COMPUTED_VALUE"""),"Super Nosso")</f>
        <v>Super Nosso</v>
      </c>
      <c r="G949" s="1" t="str">
        <f>IFERROR(__xludf.DUMMYFUNCTION("""COMPUTED_VALUE"""),"Supermercado")</f>
        <v>Supermercado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7">
        <f>IFERROR(__xludf.DUMMYFUNCTION("""COMPUTED_VALUE"""),45962.0)</f>
        <v>45962</v>
      </c>
      <c r="B950" s="1" t="str">
        <f>IFERROR(__xludf.DUMMYFUNCTION("""COMPUTED_VALUE"""),"-")</f>
        <v>-</v>
      </c>
      <c r="C950" s="1" t="str">
        <f>IFERROR(__xludf.DUMMYFUNCTION("""COMPUTED_VALUE"""),"Panif Mendes Sion")</f>
        <v>Panif Mendes Sion</v>
      </c>
      <c r="D950" s="2">
        <f>IFERROR(__xludf.DUMMYFUNCTION("""COMPUTED_VALUE"""),3.39)</f>
        <v>3.39</v>
      </c>
      <c r="E950" s="1" t="str">
        <f>IFERROR(__xludf.DUMMYFUNCTION("""COMPUTED_VALUE"""),"-")</f>
        <v>-</v>
      </c>
      <c r="F950" s="1" t="str">
        <f>IFERROR(__xludf.DUMMYFUNCTION("""COMPUTED_VALUE"""),"Panif Mendes Sion")</f>
        <v>Panif Mendes Sion</v>
      </c>
      <c r="G950" s="1" t="str">
        <f>IFERROR(__xludf.DUMMYFUNCTION("""COMPUTED_VALUE"""),"Comida")</f>
        <v>Comida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7">
        <f>IFERROR(__xludf.DUMMYFUNCTION("""COMPUTED_VALUE"""),45962.0)</f>
        <v>45962</v>
      </c>
      <c r="B951" s="1" t="str">
        <f>IFERROR(__xludf.DUMMYFUNCTION("""COMPUTED_VALUE"""),"-")</f>
        <v>-</v>
      </c>
      <c r="C951" s="1" t="str">
        <f>IFERROR(__xludf.DUMMYFUNCTION("""COMPUTED_VALUE"""),"Youtube")</f>
        <v>Youtube</v>
      </c>
      <c r="D951" s="2">
        <f>IFERROR(__xludf.DUMMYFUNCTION("""COMPUTED_VALUE"""),19.99)</f>
        <v>19.99</v>
      </c>
      <c r="E951" s="1" t="str">
        <f>IFERROR(__xludf.DUMMYFUNCTION("""COMPUTED_VALUE"""),"-")</f>
        <v>-</v>
      </c>
      <c r="F951" s="1" t="str">
        <f>IFERROR(__xludf.DUMMYFUNCTION("""COMPUTED_VALUE"""),"Youtube")</f>
        <v>Youtube</v>
      </c>
      <c r="G951" s="1" t="str">
        <f>IFERROR(__xludf.DUMMYFUNCTION("""COMPUTED_VALUE"""),"Assinatura")</f>
        <v>Assinatura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7">
        <f>IFERROR(__xludf.DUMMYFUNCTION("""COMPUTED_VALUE"""),45962.0)</f>
        <v>45962</v>
      </c>
      <c r="B952" s="1" t="str">
        <f>IFERROR(__xludf.DUMMYFUNCTION("""COMPUTED_VALUE"""),"-")</f>
        <v>-</v>
      </c>
      <c r="C952" s="1" t="str">
        <f>IFERROR(__xludf.DUMMYFUNCTION("""COMPUTED_VALUE"""),"Drogaria Araujo")</f>
        <v>Drogaria Araujo</v>
      </c>
      <c r="D952" s="2">
        <f>IFERROR(__xludf.DUMMYFUNCTION("""COMPUTED_VALUE"""),12.89)</f>
        <v>12.89</v>
      </c>
      <c r="E952" s="1" t="str">
        <f>IFERROR(__xludf.DUMMYFUNCTION("""COMPUTED_VALUE"""),"-")</f>
        <v>-</v>
      </c>
      <c r="F952" s="1" t="str">
        <f>IFERROR(__xludf.DUMMYFUNCTION("""COMPUTED_VALUE"""),"Drogaria Araujo")</f>
        <v>Drogaria Araujo</v>
      </c>
      <c r="G952" s="1" t="str">
        <f>IFERROR(__xludf.DUMMYFUNCTION("""COMPUTED_VALUE"""),"Farmácia")</f>
        <v>Farmácia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7">
        <f>IFERROR(__xludf.DUMMYFUNCTION("""COMPUTED_VALUE"""),45962.0)</f>
        <v>45962</v>
      </c>
      <c r="B953" s="1" t="str">
        <f>IFERROR(__xludf.DUMMYFUNCTION("""COMPUTED_VALUE"""),"-")</f>
        <v>-</v>
      </c>
      <c r="C953" s="1" t="str">
        <f>IFERROR(__xludf.DUMMYFUNCTION("""COMPUTED_VALUE"""),"Amazonmktplc Jafribeir")</f>
        <v>Amazonmktplc Jafribeir</v>
      </c>
      <c r="D953" s="2">
        <f>IFERROR(__xludf.DUMMYFUNCTION("""COMPUTED_VALUE"""),11.99)</f>
        <v>11.99</v>
      </c>
      <c r="E953" s="1" t="str">
        <f>IFERROR(__xludf.DUMMYFUNCTION("""COMPUTED_VALUE"""),"-")</f>
        <v>-</v>
      </c>
      <c r="F953" s="1" t="str">
        <f>IFERROR(__xludf.DUMMYFUNCTION("""COMPUTED_VALUE"""),"Amazonmktplc")</f>
        <v>Amazonmktplc</v>
      </c>
      <c r="G953" s="1" t="str">
        <f>IFERROR(__xludf.DUMMYFUNCTION("""COMPUTED_VALUE"""),"Compras")</f>
        <v>Compras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7">
        <f>IFERROR(__xludf.DUMMYFUNCTION("""COMPUTED_VALUE"""),45962.0)</f>
        <v>45962</v>
      </c>
      <c r="B954" s="1" t="str">
        <f>IFERROR(__xludf.DUMMYFUNCTION("""COMPUTED_VALUE"""),"-")</f>
        <v>-</v>
      </c>
      <c r="C954" s="1" t="str">
        <f>IFERROR(__xludf.DUMMYFUNCTION("""COMPUTED_VALUE"""),"Shopee")</f>
        <v>Shopee</v>
      </c>
      <c r="D954" s="2">
        <f>IFERROR(__xludf.DUMMYFUNCTION("""COMPUTED_VALUE"""),19.5)</f>
        <v>19.5</v>
      </c>
      <c r="E954" s="1" t="str">
        <f>IFERROR(__xludf.DUMMYFUNCTION("""COMPUTED_VALUE"""),"-")</f>
        <v>-</v>
      </c>
      <c r="F954" s="1" t="str">
        <f>IFERROR(__xludf.DUMMYFUNCTION("""COMPUTED_VALUE"""),"Shopee")</f>
        <v>Shopee</v>
      </c>
      <c r="G954" s="1" t="str">
        <f>IFERROR(__xludf.DUMMYFUNCTION("""COMPUTED_VALUE"""),"Compras")</f>
        <v>Compras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7">
        <f>IFERROR(__xludf.DUMMYFUNCTION("""COMPUTED_VALUE"""),45962.0)</f>
        <v>45962</v>
      </c>
      <c r="B955" s="1" t="str">
        <f>IFERROR(__xludf.DUMMYFUNCTION("""COMPUTED_VALUE"""),"-")</f>
        <v>-</v>
      </c>
      <c r="C955" s="1" t="str">
        <f>IFERROR(__xludf.DUMMYFUNCTION("""COMPUTED_VALUE"""),"Drogaria Araujo")</f>
        <v>Drogaria Araujo</v>
      </c>
      <c r="D955" s="2">
        <f>IFERROR(__xludf.DUMMYFUNCTION("""COMPUTED_VALUE"""),7.0)</f>
        <v>7</v>
      </c>
      <c r="E955" s="1" t="str">
        <f>IFERROR(__xludf.DUMMYFUNCTION("""COMPUTED_VALUE"""),"-")</f>
        <v>-</v>
      </c>
      <c r="F955" s="1" t="str">
        <f>IFERROR(__xludf.DUMMYFUNCTION("""COMPUTED_VALUE"""),"Drogaria Araujo")</f>
        <v>Drogaria Araujo</v>
      </c>
      <c r="G955" s="1" t="str">
        <f>IFERROR(__xludf.DUMMYFUNCTION("""COMPUTED_VALUE"""),"Farmácia")</f>
        <v>Farmácia</v>
      </c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7">
        <f>IFERROR(__xludf.DUMMYFUNCTION("""COMPUTED_VALUE"""),45962.0)</f>
        <v>45962</v>
      </c>
      <c r="B956" s="1" t="str">
        <f>IFERROR(__xludf.DUMMYFUNCTION("""COMPUTED_VALUE"""),"-")</f>
        <v>-</v>
      </c>
      <c r="C956" s="1" t="str">
        <f>IFERROR(__xludf.DUMMYFUNCTION("""COMPUTED_VALUE"""),"Amazon")</f>
        <v>Amazon</v>
      </c>
      <c r="D956" s="2">
        <f>IFERROR(__xludf.DUMMYFUNCTION("""COMPUTED_VALUE"""),20.9)</f>
        <v>20.9</v>
      </c>
      <c r="E956" s="1" t="str">
        <f>IFERROR(__xludf.DUMMYFUNCTION("""COMPUTED_VALUE"""),"-")</f>
        <v>-</v>
      </c>
      <c r="F956" s="1" t="str">
        <f>IFERROR(__xludf.DUMMYFUNCTION("""COMPUTED_VALUE"""),"Amazon")</f>
        <v>Amazon</v>
      </c>
      <c r="G956" s="1" t="str">
        <f>IFERROR(__xludf.DUMMYFUNCTION("""COMPUTED_VALUE"""),"Compras")</f>
        <v>Compras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7">
        <f>IFERROR(__xludf.DUMMYFUNCTION("""COMPUTED_VALUE"""),45962.0)</f>
        <v>45962</v>
      </c>
      <c r="B957" s="1" t="str">
        <f>IFERROR(__xludf.DUMMYFUNCTION("""COMPUTED_VALUE"""),"-")</f>
        <v>-</v>
      </c>
      <c r="C957" s="1" t="str">
        <f>IFERROR(__xludf.DUMMYFUNCTION("""COMPUTED_VALUE"""),"Melimais")</f>
        <v>Melimais</v>
      </c>
      <c r="D957" s="2">
        <f>IFERROR(__xludf.DUMMYFUNCTION("""COMPUTED_VALUE"""),24.9)</f>
        <v>24.9</v>
      </c>
      <c r="E957" s="1" t="str">
        <f>IFERROR(__xludf.DUMMYFUNCTION("""COMPUTED_VALUE"""),"-")</f>
        <v>-</v>
      </c>
      <c r="F957" s="1" t="str">
        <f>IFERROR(__xludf.DUMMYFUNCTION("""COMPUTED_VALUE"""),"Melimais")</f>
        <v>Melimais</v>
      </c>
      <c r="G957" s="1" t="str">
        <f>IFERROR(__xludf.DUMMYFUNCTION("""COMPUTED_VALUE"""),"-")</f>
        <v>-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7">
        <f>IFERROR(__xludf.DUMMYFUNCTION("""COMPUTED_VALUE"""),45962.0)</f>
        <v>45962</v>
      </c>
      <c r="B958" s="1" t="str">
        <f>IFERROR(__xludf.DUMMYFUNCTION("""COMPUTED_VALUE"""),"-")</f>
        <v>-</v>
      </c>
      <c r="C958" s="1" t="str">
        <f>IFERROR(__xludf.DUMMYFUNCTION("""COMPUTED_VALUE"""),"Amazonmktplc Gffcompan")</f>
        <v>Amazonmktplc Gffcompan</v>
      </c>
      <c r="D958" s="2">
        <f>IFERROR(__xludf.DUMMYFUNCTION("""COMPUTED_VALUE"""),29.9)</f>
        <v>29.9</v>
      </c>
      <c r="E958" s="1" t="str">
        <f>IFERROR(__xludf.DUMMYFUNCTION("""COMPUTED_VALUE"""),"-")</f>
        <v>-</v>
      </c>
      <c r="F958" s="1" t="str">
        <f>IFERROR(__xludf.DUMMYFUNCTION("""COMPUTED_VALUE"""),"Amazonmktplc")</f>
        <v>Amazonmktplc</v>
      </c>
      <c r="G958" s="1" t="str">
        <f>IFERROR(__xludf.DUMMYFUNCTION("""COMPUTED_VALUE"""),"Compras")</f>
        <v>Compras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7">
        <f>IFERROR(__xludf.DUMMYFUNCTION("""COMPUTED_VALUE"""),45962.0)</f>
        <v>45962</v>
      </c>
      <c r="B959" s="1" t="str">
        <f>IFERROR(__xludf.DUMMYFUNCTION("""COMPUTED_VALUE"""),"-")</f>
        <v>-</v>
      </c>
      <c r="C959" s="1" t="str">
        <f>IFERROR(__xludf.DUMMYFUNCTION("""COMPUTED_VALUE"""),"A A Serviços E Comerci")</f>
        <v>A A Serviços E Comerci</v>
      </c>
      <c r="D959" s="2">
        <f>IFERROR(__xludf.DUMMYFUNCTION("""COMPUTED_VALUE"""),37.0)</f>
        <v>37</v>
      </c>
      <c r="E959" s="1" t="str">
        <f>IFERROR(__xludf.DUMMYFUNCTION("""COMPUTED_VALUE"""),"-")</f>
        <v>-</v>
      </c>
      <c r="F959" s="1" t="str">
        <f>IFERROR(__xludf.DUMMYFUNCTION("""COMPUTED_VALUE"""),"A A Serviços E Comerci")</f>
        <v>A A Serviços E Comerci</v>
      </c>
      <c r="G959" s="1" t="str">
        <f>IFERROR(__xludf.DUMMYFUNCTION("""COMPUTED_VALUE"""),"-")</f>
        <v>-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7">
        <f>IFERROR(__xludf.DUMMYFUNCTION("""COMPUTED_VALUE"""),45962.0)</f>
        <v>45962</v>
      </c>
      <c r="B960" s="1" t="str">
        <f>IFERROR(__xludf.DUMMYFUNCTION("""COMPUTED_VALUE"""),"-")</f>
        <v>-</v>
      </c>
      <c r="C960" s="1" t="str">
        <f>IFERROR(__xludf.DUMMYFUNCTION("""COMPUTED_VALUE"""),"Amazon")</f>
        <v>Amazon</v>
      </c>
      <c r="D960" s="2">
        <f>IFERROR(__xludf.DUMMYFUNCTION("""COMPUTED_VALUE"""),59.33)</f>
        <v>59.33</v>
      </c>
      <c r="E960" s="1" t="str">
        <f>IFERROR(__xludf.DUMMYFUNCTION("""COMPUTED_VALUE"""),"-")</f>
        <v>-</v>
      </c>
      <c r="F960" s="1" t="str">
        <f>IFERROR(__xludf.DUMMYFUNCTION("""COMPUTED_VALUE"""),"Amazon")</f>
        <v>Amazon</v>
      </c>
      <c r="G960" s="1" t="str">
        <f>IFERROR(__xludf.DUMMYFUNCTION("""COMPUTED_VALUE"""),"Compras")</f>
        <v>Compras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7">
        <f>IFERROR(__xludf.DUMMYFUNCTION("""COMPUTED_VALUE"""),45962.0)</f>
        <v>45962</v>
      </c>
      <c r="B961" s="1" t="str">
        <f>IFERROR(__xludf.DUMMYFUNCTION("""COMPUTED_VALUE"""),"-")</f>
        <v>-</v>
      </c>
      <c r="C961" s="1" t="str">
        <f>IFERROR(__xludf.DUMMYFUNCTION("""COMPUTED_VALUE"""),"Mercado Livre")</f>
        <v>Mercado Livre</v>
      </c>
      <c r="D961" s="2">
        <f>IFERROR(__xludf.DUMMYFUNCTION("""COMPUTED_VALUE"""),20.18)</f>
        <v>20.18</v>
      </c>
      <c r="E961" s="1" t="str">
        <f>IFERROR(__xludf.DUMMYFUNCTION("""COMPUTED_VALUE"""),"-")</f>
        <v>-</v>
      </c>
      <c r="F961" s="1" t="str">
        <f>IFERROR(__xludf.DUMMYFUNCTION("""COMPUTED_VALUE"""),"Mercado Livre")</f>
        <v>Mercado Livre</v>
      </c>
      <c r="G961" s="1" t="str">
        <f>IFERROR(__xludf.DUMMYFUNCTION("""COMPUTED_VALUE"""),"Compras")</f>
        <v>Compras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7">
        <f>IFERROR(__xludf.DUMMYFUNCTION("""COMPUTED_VALUE"""),45962.0)</f>
        <v>45962</v>
      </c>
      <c r="B962" s="1" t="str">
        <f>IFERROR(__xludf.DUMMYFUNCTION("""COMPUTED_VALUE"""),"-")</f>
        <v>-</v>
      </c>
      <c r="C962" s="1" t="str">
        <f>IFERROR(__xludf.DUMMYFUNCTION("""COMPUTED_VALUE"""),"My Hair Escovaria Band")</f>
        <v>My Hair Escovaria Band</v>
      </c>
      <c r="D962" s="2">
        <f>IFERROR(__xludf.DUMMYFUNCTION("""COMPUTED_VALUE"""),73.0)</f>
        <v>73</v>
      </c>
      <c r="E962" s="1" t="str">
        <f>IFERROR(__xludf.DUMMYFUNCTION("""COMPUTED_VALUE"""),"-")</f>
        <v>-</v>
      </c>
      <c r="F962" s="1" t="str">
        <f>IFERROR(__xludf.DUMMYFUNCTION("""COMPUTED_VALUE"""),"My Hair Escovaria Band")</f>
        <v>My Hair Escovaria Band</v>
      </c>
      <c r="G962" s="1" t="str">
        <f>IFERROR(__xludf.DUMMYFUNCTION("""COMPUTED_VALUE"""),"-")</f>
        <v>-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7">
        <f>IFERROR(__xludf.DUMMYFUNCTION("""COMPUTED_VALUE"""),45962.0)</f>
        <v>45962</v>
      </c>
      <c r="B963" s="1" t="str">
        <f>IFERROR(__xludf.DUMMYFUNCTION("""COMPUTED_VALUE"""),"-")</f>
        <v>-</v>
      </c>
      <c r="C963" s="1" t="str">
        <f>IFERROR(__xludf.DUMMYFUNCTION("""COMPUTED_VALUE"""),"Amazon")</f>
        <v>Amazon</v>
      </c>
      <c r="D963" s="2">
        <f>IFERROR(__xludf.DUMMYFUNCTION("""COMPUTED_VALUE"""),39.9)</f>
        <v>39.9</v>
      </c>
      <c r="E963" s="1" t="str">
        <f>IFERROR(__xludf.DUMMYFUNCTION("""COMPUTED_VALUE"""),"-")</f>
        <v>-</v>
      </c>
      <c r="F963" s="1" t="str">
        <f>IFERROR(__xludf.DUMMYFUNCTION("""COMPUTED_VALUE"""),"Amazon")</f>
        <v>Amazon</v>
      </c>
      <c r="G963" s="1" t="str">
        <f>IFERROR(__xludf.DUMMYFUNCTION("""COMPUTED_VALUE"""),"Compras")</f>
        <v>Compras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7">
        <f>IFERROR(__xludf.DUMMYFUNCTION("""COMPUTED_VALUE"""),45962.0)</f>
        <v>45962</v>
      </c>
      <c r="B964" s="1" t="str">
        <f>IFERROR(__xludf.DUMMYFUNCTION("""COMPUTED_VALUE"""),"-")</f>
        <v>-</v>
      </c>
      <c r="C964" s="1" t="str">
        <f>IFERROR(__xludf.DUMMYFUNCTION("""COMPUTED_VALUE"""),"Posto Serena Canada")</f>
        <v>Posto Serena Canada</v>
      </c>
      <c r="D964" s="2">
        <f>IFERROR(__xludf.DUMMYFUNCTION("""COMPUTED_VALUE"""),158.02)</f>
        <v>158.02</v>
      </c>
      <c r="E964" s="1" t="str">
        <f>IFERROR(__xludf.DUMMYFUNCTION("""COMPUTED_VALUE"""),"-")</f>
        <v>-</v>
      </c>
      <c r="F964" s="1" t="str">
        <f>IFERROR(__xludf.DUMMYFUNCTION("""COMPUTED_VALUE"""),"Posto Serena Canada")</f>
        <v>Posto Serena Canada</v>
      </c>
      <c r="G964" s="1" t="str">
        <f>IFERROR(__xludf.DUMMYFUNCTION("""COMPUTED_VALUE"""),"-")</f>
        <v>-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7">
        <f>IFERROR(__xludf.DUMMYFUNCTION("""COMPUTED_VALUE"""),45962.0)</f>
        <v>45962</v>
      </c>
      <c r="B965" s="1" t="str">
        <f>IFERROR(__xludf.DUMMYFUNCTION("""COMPUTED_VALUE"""),"-")</f>
        <v>-</v>
      </c>
      <c r="C965" s="1" t="str">
        <f>IFERROR(__xludf.DUMMYFUNCTION("""COMPUTED_VALUE"""),"Oakberry")</f>
        <v>Oakberry</v>
      </c>
      <c r="D965" s="2">
        <f>IFERROR(__xludf.DUMMYFUNCTION("""COMPUTED_VALUE"""),67.98)</f>
        <v>67.98</v>
      </c>
      <c r="E965" s="1" t="str">
        <f>IFERROR(__xludf.DUMMYFUNCTION("""COMPUTED_VALUE"""),"-")</f>
        <v>-</v>
      </c>
      <c r="F965" s="1" t="str">
        <f>IFERROR(__xludf.DUMMYFUNCTION("""COMPUTED_VALUE"""),"Oakberry")</f>
        <v>Oakberry</v>
      </c>
      <c r="G965" s="1" t="str">
        <f>IFERROR(__xludf.DUMMYFUNCTION("""COMPUTED_VALUE"""),"-")</f>
        <v>-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7">
        <f>IFERROR(__xludf.DUMMYFUNCTION("""COMPUTED_VALUE"""),45962.0)</f>
        <v>45962</v>
      </c>
      <c r="B966" s="1" t="str">
        <f>IFERROR(__xludf.DUMMYFUNCTION("""COMPUTED_VALUE"""),"-")</f>
        <v>-</v>
      </c>
      <c r="C966" s="1" t="str">
        <f>IFERROR(__xludf.DUMMYFUNCTION("""COMPUTED_VALUE"""),"Farmácia Indiana (2/2)")</f>
        <v>Farmácia Indiana (2/2)</v>
      </c>
      <c r="D966" s="2">
        <f>IFERROR(__xludf.DUMMYFUNCTION("""COMPUTED_VALUE"""),43.11)</f>
        <v>43.11</v>
      </c>
      <c r="E966" s="1" t="str">
        <f>IFERROR(__xludf.DUMMYFUNCTION("""COMPUTED_VALUE"""),"-")</f>
        <v>-</v>
      </c>
      <c r="F966" s="1" t="str">
        <f>IFERROR(__xludf.DUMMYFUNCTION("""COMPUTED_VALUE"""),"Farmácia Indiana")</f>
        <v>Farmácia Indiana</v>
      </c>
      <c r="G966" s="1" t="str">
        <f>IFERROR(__xludf.DUMMYFUNCTION("""COMPUTED_VALUE"""),"-")</f>
        <v>-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7">
        <f>IFERROR(__xludf.DUMMYFUNCTION("""COMPUTED_VALUE"""),45962.0)</f>
        <v>45962</v>
      </c>
      <c r="B967" s="1" t="str">
        <f>IFERROR(__xludf.DUMMYFUNCTION("""COMPUTED_VALUE"""),"-")</f>
        <v>-</v>
      </c>
      <c r="C967" s="1" t="str">
        <f>IFERROR(__xludf.DUMMYFUNCTION("""COMPUTED_VALUE"""),"Farmácia Indiana (1/2)")</f>
        <v>Farmácia Indiana (1/2)</v>
      </c>
      <c r="D967" s="2">
        <f>IFERROR(__xludf.DUMMYFUNCTION("""COMPUTED_VALUE"""),43.12)</f>
        <v>43.12</v>
      </c>
      <c r="E967" s="1" t="str">
        <f>IFERROR(__xludf.DUMMYFUNCTION("""COMPUTED_VALUE"""),"-")</f>
        <v>-</v>
      </c>
      <c r="F967" s="1" t="str">
        <f>IFERROR(__xludf.DUMMYFUNCTION("""COMPUTED_VALUE"""),"Farmácia Indiana")</f>
        <v>Farmácia Indiana</v>
      </c>
      <c r="G967" s="1" t="str">
        <f>IFERROR(__xludf.DUMMYFUNCTION("""COMPUTED_VALUE"""),"-")</f>
        <v>-</v>
      </c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7">
        <f>IFERROR(__xludf.DUMMYFUNCTION("""COMPUTED_VALUE"""),45962.0)</f>
        <v>45962</v>
      </c>
      <c r="B968" s="1" t="str">
        <f>IFERROR(__xludf.DUMMYFUNCTION("""COMPUTED_VALUE"""),"-")</f>
        <v>-</v>
      </c>
      <c r="C968" s="1" t="str">
        <f>IFERROR(__xludf.DUMMYFUNCTION("""COMPUTED_VALUE"""),"Shopee")</f>
        <v>Shopee</v>
      </c>
      <c r="D968" s="2">
        <f>IFERROR(__xludf.DUMMYFUNCTION("""COMPUTED_VALUE"""),43.5)</f>
        <v>43.5</v>
      </c>
      <c r="E968" s="1" t="str">
        <f>IFERROR(__xludf.DUMMYFUNCTION("""COMPUTED_VALUE"""),"-")</f>
        <v>-</v>
      </c>
      <c r="F968" s="1" t="str">
        <f>IFERROR(__xludf.DUMMYFUNCTION("""COMPUTED_VALUE"""),"Shopee")</f>
        <v>Shopee</v>
      </c>
      <c r="G968" s="1" t="str">
        <f>IFERROR(__xludf.DUMMYFUNCTION("""COMPUTED_VALUE"""),"Compras")</f>
        <v>Compras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7">
        <f>IFERROR(__xludf.DUMMYFUNCTION("""COMPUTED_VALUE"""),45962.0)</f>
        <v>45962</v>
      </c>
      <c r="B969" s="1" t="str">
        <f>IFERROR(__xludf.DUMMYFUNCTION("""COMPUTED_VALUE"""),"-")</f>
        <v>-</v>
      </c>
      <c r="C969" s="1" t="str">
        <f>IFERROR(__xludf.DUMMYFUNCTION("""COMPUTED_VALUE"""),"Panif Mendes Sion")</f>
        <v>Panif Mendes Sion</v>
      </c>
      <c r="D969" s="2">
        <f>IFERROR(__xludf.DUMMYFUNCTION("""COMPUTED_VALUE"""),2.85)</f>
        <v>2.85</v>
      </c>
      <c r="E969" s="1" t="str">
        <f>IFERROR(__xludf.DUMMYFUNCTION("""COMPUTED_VALUE"""),"-")</f>
        <v>-</v>
      </c>
      <c r="F969" s="1" t="str">
        <f>IFERROR(__xludf.DUMMYFUNCTION("""COMPUTED_VALUE"""),"Panif Mendes Sion")</f>
        <v>Panif Mendes Sion</v>
      </c>
      <c r="G969" s="1" t="str">
        <f>IFERROR(__xludf.DUMMYFUNCTION("""COMPUTED_VALUE"""),"Comida")</f>
        <v>Comida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7">
        <f>IFERROR(__xludf.DUMMYFUNCTION("""COMPUTED_VALUE"""),45962.0)</f>
        <v>45962</v>
      </c>
      <c r="B970" s="1" t="str">
        <f>IFERROR(__xludf.DUMMYFUNCTION("""COMPUTED_VALUE"""),"-")</f>
        <v>-</v>
      </c>
      <c r="C970" s="1" t="str">
        <f>IFERROR(__xludf.DUMMYFUNCTION("""COMPUTED_VALUE"""),"Dma Distribuidora Sa")</f>
        <v>Dma Distribuidora Sa</v>
      </c>
      <c r="D970" s="2">
        <f>IFERROR(__xludf.DUMMYFUNCTION("""COMPUTED_VALUE"""),24.78)</f>
        <v>24.78</v>
      </c>
      <c r="E970" s="1" t="str">
        <f>IFERROR(__xludf.DUMMYFUNCTION("""COMPUTED_VALUE"""),"-")</f>
        <v>-</v>
      </c>
      <c r="F970" s="1" t="str">
        <f>IFERROR(__xludf.DUMMYFUNCTION("""COMPUTED_VALUE"""),"Dma Distribuidora Sa")</f>
        <v>Dma Distribuidora Sa</v>
      </c>
      <c r="G970" s="1" t="str">
        <f>IFERROR(__xludf.DUMMYFUNCTION("""COMPUTED_VALUE"""),"Supermercado")</f>
        <v>Supermercado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7">
        <f>IFERROR(__xludf.DUMMYFUNCTION("""COMPUTED_VALUE"""),45962.0)</f>
        <v>45962</v>
      </c>
      <c r="B971" s="1" t="str">
        <f>IFERROR(__xludf.DUMMYFUNCTION("""COMPUTED_VALUE"""),"-")</f>
        <v>-</v>
      </c>
      <c r="C971" s="1" t="str">
        <f>IFERROR(__xludf.DUMMYFUNCTION("""COMPUTED_VALUE"""),"Drogaria Ara Araujo")</f>
        <v>Drogaria Ara Araujo</v>
      </c>
      <c r="D971" s="2">
        <f>IFERROR(__xludf.DUMMYFUNCTION("""COMPUTED_VALUE"""),18.99)</f>
        <v>18.99</v>
      </c>
      <c r="E971" s="1" t="str">
        <f>IFERROR(__xludf.DUMMYFUNCTION("""COMPUTED_VALUE"""),"-")</f>
        <v>-</v>
      </c>
      <c r="F971" s="1" t="str">
        <f>IFERROR(__xludf.DUMMYFUNCTION("""COMPUTED_VALUE"""),"Drogaria Ara Araujo")</f>
        <v>Drogaria Ara Araujo</v>
      </c>
      <c r="G971" s="1" t="str">
        <f>IFERROR(__xludf.DUMMYFUNCTION("""COMPUTED_VALUE"""),"Farmácia")</f>
        <v>Farmácia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7">
        <f>IFERROR(__xludf.DUMMYFUNCTION("""COMPUTED_VALUE"""),45962.0)</f>
        <v>45962</v>
      </c>
      <c r="B972" s="1" t="str">
        <f>IFERROR(__xludf.DUMMYFUNCTION("""COMPUTED_VALUE"""),"-")</f>
        <v>-</v>
      </c>
      <c r="C972" s="1" t="str">
        <f>IFERROR(__xludf.DUMMYFUNCTION("""COMPUTED_VALUE"""),"Amazon Digital Br")</f>
        <v>Amazon Digital Br</v>
      </c>
      <c r="D972" s="2">
        <f>IFERROR(__xludf.DUMMYFUNCTION("""COMPUTED_VALUE"""),34.9)</f>
        <v>34.9</v>
      </c>
      <c r="E972" s="1" t="str">
        <f>IFERROR(__xludf.DUMMYFUNCTION("""COMPUTED_VALUE"""),"-")</f>
        <v>-</v>
      </c>
      <c r="F972" s="1" t="str">
        <f>IFERROR(__xludf.DUMMYFUNCTION("""COMPUTED_VALUE"""),"Amazon Digital Br")</f>
        <v>Amazon Digital Br</v>
      </c>
      <c r="G972" s="1" t="str">
        <f>IFERROR(__xludf.DUMMYFUNCTION("""COMPUTED_VALUE"""),"Compras")</f>
        <v>Compras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7">
        <f>IFERROR(__xludf.DUMMYFUNCTION("""COMPUTED_VALUE"""),45962.0)</f>
        <v>45962</v>
      </c>
      <c r="B973" s="1" t="str">
        <f>IFERROR(__xludf.DUMMYFUNCTION("""COMPUTED_VALUE"""),"-")</f>
        <v>-</v>
      </c>
      <c r="C973" s="1" t="str">
        <f>IFERROR(__xludf.DUMMYFUNCTION("""COMPUTED_VALUE"""),"Amazon")</f>
        <v>Amazon</v>
      </c>
      <c r="D973" s="2">
        <f>IFERROR(__xludf.DUMMYFUNCTION("""COMPUTED_VALUE"""),49.77)</f>
        <v>49.77</v>
      </c>
      <c r="E973" s="1" t="str">
        <f>IFERROR(__xludf.DUMMYFUNCTION("""COMPUTED_VALUE"""),"-")</f>
        <v>-</v>
      </c>
      <c r="F973" s="1" t="str">
        <f>IFERROR(__xludf.DUMMYFUNCTION("""COMPUTED_VALUE"""),"Amazon")</f>
        <v>Amazon</v>
      </c>
      <c r="G973" s="1" t="str">
        <f>IFERROR(__xludf.DUMMYFUNCTION("""COMPUTED_VALUE"""),"Compras")</f>
        <v>Compras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7">
        <f>IFERROR(__xludf.DUMMYFUNCTION("""COMPUTED_VALUE"""),45962.0)</f>
        <v>45962</v>
      </c>
      <c r="B974" s="1" t="str">
        <f>IFERROR(__xludf.DUMMYFUNCTION("""COMPUTED_VALUE"""),"-")</f>
        <v>-</v>
      </c>
      <c r="C974" s="1" t="str">
        <f>IFERROR(__xludf.DUMMYFUNCTION("""COMPUTED_VALUE"""),"Super Nosso")</f>
        <v>Super Nosso</v>
      </c>
      <c r="D974" s="2">
        <f>IFERROR(__xludf.DUMMYFUNCTION("""COMPUTED_VALUE"""),157.61)</f>
        <v>157.61</v>
      </c>
      <c r="E974" s="1" t="str">
        <f>IFERROR(__xludf.DUMMYFUNCTION("""COMPUTED_VALUE"""),"-")</f>
        <v>-</v>
      </c>
      <c r="F974" s="1" t="str">
        <f>IFERROR(__xludf.DUMMYFUNCTION("""COMPUTED_VALUE"""),"Super Nosso")</f>
        <v>Super Nosso</v>
      </c>
      <c r="G974" s="1" t="str">
        <f>IFERROR(__xludf.DUMMYFUNCTION("""COMPUTED_VALUE"""),"Supermercado")</f>
        <v>Supermercado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7">
        <f>IFERROR(__xludf.DUMMYFUNCTION("""COMPUTED_VALUE"""),45962.0)</f>
        <v>45962</v>
      </c>
      <c r="B975" s="1" t="str">
        <f>IFERROR(__xludf.DUMMYFUNCTION("""COMPUTED_VALUE"""),"-")</f>
        <v>-</v>
      </c>
      <c r="C975" s="1" t="str">
        <f>IFERROR(__xludf.DUMMYFUNCTION("""COMPUTED_VALUE"""),"Petz")</f>
        <v>Petz</v>
      </c>
      <c r="D975" s="2">
        <f>IFERROR(__xludf.DUMMYFUNCTION("""COMPUTED_VALUE"""),27.98)</f>
        <v>27.98</v>
      </c>
      <c r="E975" s="1" t="str">
        <f>IFERROR(__xludf.DUMMYFUNCTION("""COMPUTED_VALUE"""),"-")</f>
        <v>-</v>
      </c>
      <c r="F975" s="1" t="str">
        <f>IFERROR(__xludf.DUMMYFUNCTION("""COMPUTED_VALUE"""),"Petz")</f>
        <v>Petz</v>
      </c>
      <c r="G975" s="1" t="str">
        <f>IFERROR(__xludf.DUMMYFUNCTION("""COMPUTED_VALUE"""),"-")</f>
        <v>-</v>
      </c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7">
        <f>IFERROR(__xludf.DUMMYFUNCTION("""COMPUTED_VALUE"""),45962.0)</f>
        <v>45962</v>
      </c>
      <c r="B976" s="1" t="str">
        <f>IFERROR(__xludf.DUMMYFUNCTION("""COMPUTED_VALUE"""),"-")</f>
        <v>-</v>
      </c>
      <c r="C976" s="1" t="str">
        <f>IFERROR(__xludf.DUMMYFUNCTION("""COMPUTED_VALUE"""),"Uber")</f>
        <v>Uber</v>
      </c>
      <c r="D976" s="2">
        <f>IFERROR(__xludf.DUMMYFUNCTION("""COMPUTED_VALUE"""),10.73)</f>
        <v>10.73</v>
      </c>
      <c r="E976" s="1" t="str">
        <f>IFERROR(__xludf.DUMMYFUNCTION("""COMPUTED_VALUE"""),"-")</f>
        <v>-</v>
      </c>
      <c r="F976" s="1" t="str">
        <f>IFERROR(__xludf.DUMMYFUNCTION("""COMPUTED_VALUE"""),"Uber")</f>
        <v>Uber</v>
      </c>
      <c r="G976" s="1" t="str">
        <f>IFERROR(__xludf.DUMMYFUNCTION("""COMPUTED_VALUE"""),"Uber/99")</f>
        <v>Uber/99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7">
        <f>IFERROR(__xludf.DUMMYFUNCTION("""COMPUTED_VALUE"""),45962.0)</f>
        <v>45962</v>
      </c>
      <c r="B977" s="1" t="str">
        <f>IFERROR(__xludf.DUMMYFUNCTION("""COMPUTED_VALUE"""),"-")</f>
        <v>-</v>
      </c>
      <c r="C977" s="1" t="str">
        <f>IFERROR(__xludf.DUMMYFUNCTION("""COMPUTED_VALUE"""),"Drogaria Araujo")</f>
        <v>Drogaria Araujo</v>
      </c>
      <c r="D977" s="2">
        <f>IFERROR(__xludf.DUMMYFUNCTION("""COMPUTED_VALUE"""),4.98)</f>
        <v>4.98</v>
      </c>
      <c r="E977" s="1" t="str">
        <f>IFERROR(__xludf.DUMMYFUNCTION("""COMPUTED_VALUE"""),"-")</f>
        <v>-</v>
      </c>
      <c r="F977" s="1" t="str">
        <f>IFERROR(__xludf.DUMMYFUNCTION("""COMPUTED_VALUE"""),"Drogaria Araujo")</f>
        <v>Drogaria Araujo</v>
      </c>
      <c r="G977" s="1" t="str">
        <f>IFERROR(__xludf.DUMMYFUNCTION("""COMPUTED_VALUE"""),"Farmácia")</f>
        <v>Farmácia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7">
        <f>IFERROR(__xludf.DUMMYFUNCTION("""COMPUTED_VALUE"""),45962.0)</f>
        <v>45962</v>
      </c>
      <c r="B978" s="1" t="str">
        <f>IFERROR(__xludf.DUMMYFUNCTION("""COMPUTED_VALUE"""),"-")</f>
        <v>-</v>
      </c>
      <c r="C978" s="1" t="str">
        <f>IFERROR(__xludf.DUMMYFUNCTION("""COMPUTED_VALUE"""),"Panif Mendes Sion")</f>
        <v>Panif Mendes Sion</v>
      </c>
      <c r="D978" s="2">
        <f>IFERROR(__xludf.DUMMYFUNCTION("""COMPUTED_VALUE"""),4.41)</f>
        <v>4.41</v>
      </c>
      <c r="E978" s="1" t="str">
        <f>IFERROR(__xludf.DUMMYFUNCTION("""COMPUTED_VALUE"""),"-")</f>
        <v>-</v>
      </c>
      <c r="F978" s="1" t="str">
        <f>IFERROR(__xludf.DUMMYFUNCTION("""COMPUTED_VALUE"""),"Panif Mendes Sion")</f>
        <v>Panif Mendes Sion</v>
      </c>
      <c r="G978" s="1" t="str">
        <f>IFERROR(__xludf.DUMMYFUNCTION("""COMPUTED_VALUE"""),"Comida")</f>
        <v>Comida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7">
        <f>IFERROR(__xludf.DUMMYFUNCTION("""COMPUTED_VALUE"""),45962.0)</f>
        <v>45962</v>
      </c>
      <c r="B979" s="1" t="str">
        <f>IFERROR(__xludf.DUMMYFUNCTION("""COMPUTED_VALUE"""),"-")</f>
        <v>-</v>
      </c>
      <c r="C979" s="1" t="str">
        <f>IFERROR(__xludf.DUMMYFUNCTION("""COMPUTED_VALUE"""),"Uber")</f>
        <v>Uber</v>
      </c>
      <c r="D979" s="2">
        <f>IFERROR(__xludf.DUMMYFUNCTION("""COMPUTED_VALUE"""),13.98)</f>
        <v>13.98</v>
      </c>
      <c r="E979" s="1" t="str">
        <f>IFERROR(__xludf.DUMMYFUNCTION("""COMPUTED_VALUE"""),"-")</f>
        <v>-</v>
      </c>
      <c r="F979" s="1" t="str">
        <f>IFERROR(__xludf.DUMMYFUNCTION("""COMPUTED_VALUE"""),"Uber")</f>
        <v>Uber</v>
      </c>
      <c r="G979" s="1" t="str">
        <f>IFERROR(__xludf.DUMMYFUNCTION("""COMPUTED_VALUE"""),"Uber/99")</f>
        <v>Uber/99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7">
        <f>IFERROR(__xludf.DUMMYFUNCTION("""COMPUTED_VALUE"""),45962.0)</f>
        <v>45962</v>
      </c>
      <c r="B980" s="1" t="str">
        <f>IFERROR(__xludf.DUMMYFUNCTION("""COMPUTED_VALUE"""),"-")</f>
        <v>-</v>
      </c>
      <c r="C980" s="1" t="str">
        <f>IFERROR(__xludf.DUMMYFUNCTION("""COMPUTED_VALUE"""),"Super Nosso")</f>
        <v>Super Nosso</v>
      </c>
      <c r="D980" s="2">
        <f>IFERROR(__xludf.DUMMYFUNCTION("""COMPUTED_VALUE"""),8.85)</f>
        <v>8.85</v>
      </c>
      <c r="E980" s="1" t="str">
        <f>IFERROR(__xludf.DUMMYFUNCTION("""COMPUTED_VALUE"""),"-")</f>
        <v>-</v>
      </c>
      <c r="F980" s="1" t="str">
        <f>IFERROR(__xludf.DUMMYFUNCTION("""COMPUTED_VALUE"""),"Super Nosso")</f>
        <v>Super Nosso</v>
      </c>
      <c r="G980" s="1" t="str">
        <f>IFERROR(__xludf.DUMMYFUNCTION("""COMPUTED_VALUE"""),"Supermercado")</f>
        <v>Supermercado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7">
        <f>IFERROR(__xludf.DUMMYFUNCTION("""COMPUTED_VALUE"""),45962.0)</f>
        <v>45962</v>
      </c>
      <c r="B981" s="1" t="str">
        <f>IFERROR(__xludf.DUMMYFUNCTION("""COMPUTED_VALUE"""),"-")</f>
        <v>-</v>
      </c>
      <c r="C981" s="1" t="str">
        <f>IFERROR(__xludf.DUMMYFUNCTION("""COMPUTED_VALUE"""),"Uber")</f>
        <v>Uber</v>
      </c>
      <c r="D981" s="2">
        <f>IFERROR(__xludf.DUMMYFUNCTION("""COMPUTED_VALUE"""),14.91)</f>
        <v>14.91</v>
      </c>
      <c r="E981" s="1" t="str">
        <f>IFERROR(__xludf.DUMMYFUNCTION("""COMPUTED_VALUE"""),"-")</f>
        <v>-</v>
      </c>
      <c r="F981" s="1" t="str">
        <f>IFERROR(__xludf.DUMMYFUNCTION("""COMPUTED_VALUE"""),"Uber")</f>
        <v>Uber</v>
      </c>
      <c r="G981" s="1" t="str">
        <f>IFERROR(__xludf.DUMMYFUNCTION("""COMPUTED_VALUE"""),"Uber/99")</f>
        <v>Uber/99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7">
        <f>IFERROR(__xludf.DUMMYFUNCTION("""COMPUTED_VALUE"""),45962.0)</f>
        <v>45962</v>
      </c>
      <c r="B982" s="1" t="str">
        <f>IFERROR(__xludf.DUMMYFUNCTION("""COMPUTED_VALUE"""),"-")</f>
        <v>-</v>
      </c>
      <c r="C982" s="1" t="str">
        <f>IFERROR(__xludf.DUMMYFUNCTION("""COMPUTED_VALUE"""),"Amazon")</f>
        <v>Amazon</v>
      </c>
      <c r="D982" s="2">
        <f>IFERROR(__xludf.DUMMYFUNCTION("""COMPUTED_VALUE"""),58.9)</f>
        <v>58.9</v>
      </c>
      <c r="E982" s="1" t="str">
        <f>IFERROR(__xludf.DUMMYFUNCTION("""COMPUTED_VALUE"""),"-")</f>
        <v>-</v>
      </c>
      <c r="F982" s="1" t="str">
        <f>IFERROR(__xludf.DUMMYFUNCTION("""COMPUTED_VALUE"""),"Amazon")</f>
        <v>Amazon</v>
      </c>
      <c r="G982" s="1" t="str">
        <f>IFERROR(__xludf.DUMMYFUNCTION("""COMPUTED_VALUE"""),"Compras")</f>
        <v>Compras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7">
        <f>IFERROR(__xludf.DUMMYFUNCTION("""COMPUTED_VALUE"""),45962.0)</f>
        <v>45962</v>
      </c>
      <c r="B983" s="1" t="str">
        <f>IFERROR(__xludf.DUMMYFUNCTION("""COMPUTED_VALUE"""),"-")</f>
        <v>-</v>
      </c>
      <c r="C983" s="1" t="str">
        <f>IFERROR(__xludf.DUMMYFUNCTION("""COMPUTED_VALUE"""),"Drogaria Araujo")</f>
        <v>Drogaria Araujo</v>
      </c>
      <c r="D983" s="2">
        <f>IFERROR(__xludf.DUMMYFUNCTION("""COMPUTED_VALUE"""),8.98)</f>
        <v>8.98</v>
      </c>
      <c r="E983" s="1" t="str">
        <f>IFERROR(__xludf.DUMMYFUNCTION("""COMPUTED_VALUE"""),"-")</f>
        <v>-</v>
      </c>
      <c r="F983" s="1" t="str">
        <f>IFERROR(__xludf.DUMMYFUNCTION("""COMPUTED_VALUE"""),"Drogaria Araujo")</f>
        <v>Drogaria Araujo</v>
      </c>
      <c r="G983" s="1" t="str">
        <f>IFERROR(__xludf.DUMMYFUNCTION("""COMPUTED_VALUE"""),"Farmácia")</f>
        <v>Farmácia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7">
        <f>IFERROR(__xludf.DUMMYFUNCTION("""COMPUTED_VALUE"""),45962.0)</f>
        <v>45962</v>
      </c>
      <c r="B984" s="1" t="str">
        <f>IFERROR(__xludf.DUMMYFUNCTION("""COMPUTED_VALUE"""),"-")</f>
        <v>-</v>
      </c>
      <c r="C984" s="1" t="str">
        <f>IFERROR(__xludf.DUMMYFUNCTION("""COMPUTED_VALUE"""),"Supermercado &amp; Padaria")</f>
        <v>Supermercado &amp; Padaria</v>
      </c>
      <c r="D984" s="2">
        <f>IFERROR(__xludf.DUMMYFUNCTION("""COMPUTED_VALUE"""),74.92)</f>
        <v>74.92</v>
      </c>
      <c r="E984" s="1" t="str">
        <f>IFERROR(__xludf.DUMMYFUNCTION("""COMPUTED_VALUE"""),"-")</f>
        <v>-</v>
      </c>
      <c r="F984" s="1" t="str">
        <f>IFERROR(__xludf.DUMMYFUNCTION("""COMPUTED_VALUE"""),"Supermercado &amp; Padaria")</f>
        <v>Supermercado &amp; Padaria</v>
      </c>
      <c r="G984" s="1" t="str">
        <f>IFERROR(__xludf.DUMMYFUNCTION("""COMPUTED_VALUE"""),"Comida")</f>
        <v>Comida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7">
        <f>IFERROR(__xludf.DUMMYFUNCTION("""COMPUTED_VALUE"""),45962.0)</f>
        <v>45962</v>
      </c>
      <c r="B985" s="1" t="str">
        <f>IFERROR(__xludf.DUMMYFUNCTION("""COMPUTED_VALUE"""),"-")</f>
        <v>-</v>
      </c>
      <c r="C985" s="1" t="str">
        <f>IFERROR(__xludf.DUMMYFUNCTION("""COMPUTED_VALUE"""),"Amazon")</f>
        <v>Amazon</v>
      </c>
      <c r="D985" s="2">
        <f>IFERROR(__xludf.DUMMYFUNCTION("""COMPUTED_VALUE"""),31.78)</f>
        <v>31.78</v>
      </c>
      <c r="E985" s="1" t="str">
        <f>IFERROR(__xludf.DUMMYFUNCTION("""COMPUTED_VALUE"""),"-")</f>
        <v>-</v>
      </c>
      <c r="F985" s="1" t="str">
        <f>IFERROR(__xludf.DUMMYFUNCTION("""COMPUTED_VALUE"""),"Amazon")</f>
        <v>Amazon</v>
      </c>
      <c r="G985" s="1" t="str">
        <f>IFERROR(__xludf.DUMMYFUNCTION("""COMPUTED_VALUE"""),"Compras")</f>
        <v>Compras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7">
        <f>IFERROR(__xludf.DUMMYFUNCTION("""COMPUTED_VALUE"""),45962.0)</f>
        <v>45962</v>
      </c>
      <c r="B986" s="1" t="str">
        <f>IFERROR(__xludf.DUMMYFUNCTION("""COMPUTED_VALUE"""),"-")</f>
        <v>-</v>
      </c>
      <c r="C986" s="1" t="str">
        <f>IFERROR(__xludf.DUMMYFUNCTION("""COMPUTED_VALUE"""),"Petlove (3/3)")</f>
        <v>Petlove (3/3)</v>
      </c>
      <c r="D986" s="2">
        <f>IFERROR(__xludf.DUMMYFUNCTION("""COMPUTED_VALUE"""),90.12)</f>
        <v>90.12</v>
      </c>
      <c r="E986" s="1" t="str">
        <f>IFERROR(__xludf.DUMMYFUNCTION("""COMPUTED_VALUE"""),"-")</f>
        <v>-</v>
      </c>
      <c r="F986" s="1" t="str">
        <f>IFERROR(__xludf.DUMMYFUNCTION("""COMPUTED_VALUE"""),"Petlove")</f>
        <v>Petlove</v>
      </c>
      <c r="G986" s="1" t="str">
        <f>IFERROR(__xludf.DUMMYFUNCTION("""COMPUTED_VALUE"""),"Hulk")</f>
        <v>Hulk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7">
        <f>IFERROR(__xludf.DUMMYFUNCTION("""COMPUTED_VALUE"""),45962.0)</f>
        <v>45962</v>
      </c>
      <c r="B987" s="1" t="str">
        <f>IFERROR(__xludf.DUMMYFUNCTION("""COMPUTED_VALUE"""),"-")</f>
        <v>-</v>
      </c>
      <c r="C987" s="1" t="str">
        <f>IFERROR(__xludf.DUMMYFUNCTION("""COMPUTED_VALUE"""),"Petlove (2/3)")</f>
        <v>Petlove (2/3)</v>
      </c>
      <c r="D987" s="2">
        <f>IFERROR(__xludf.DUMMYFUNCTION("""COMPUTED_VALUE"""),90.12)</f>
        <v>90.12</v>
      </c>
      <c r="E987" s="1" t="str">
        <f>IFERROR(__xludf.DUMMYFUNCTION("""COMPUTED_VALUE"""),"-")</f>
        <v>-</v>
      </c>
      <c r="F987" s="1" t="str">
        <f>IFERROR(__xludf.DUMMYFUNCTION("""COMPUTED_VALUE"""),"Petlove")</f>
        <v>Petlove</v>
      </c>
      <c r="G987" s="1" t="str">
        <f>IFERROR(__xludf.DUMMYFUNCTION("""COMPUTED_VALUE"""),"Hulk")</f>
        <v>Hulk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7">
        <f>IFERROR(__xludf.DUMMYFUNCTION("""COMPUTED_VALUE"""),45962.0)</f>
        <v>45962</v>
      </c>
      <c r="B988" s="1" t="str">
        <f>IFERROR(__xludf.DUMMYFUNCTION("""COMPUTED_VALUE"""),"-")</f>
        <v>-</v>
      </c>
      <c r="C988" s="1" t="str">
        <f>IFERROR(__xludf.DUMMYFUNCTION("""COMPUTED_VALUE"""),"Petlove (1/3)")</f>
        <v>Petlove (1/3)</v>
      </c>
      <c r="D988" s="2">
        <f>IFERROR(__xludf.DUMMYFUNCTION("""COMPUTED_VALUE"""),90.13)</f>
        <v>90.13</v>
      </c>
      <c r="E988" s="1" t="str">
        <f>IFERROR(__xludf.DUMMYFUNCTION("""COMPUTED_VALUE"""),"-")</f>
        <v>-</v>
      </c>
      <c r="F988" s="1" t="str">
        <f>IFERROR(__xludf.DUMMYFUNCTION("""COMPUTED_VALUE"""),"Petlove")</f>
        <v>Petlove</v>
      </c>
      <c r="G988" s="1" t="str">
        <f>IFERROR(__xludf.DUMMYFUNCTION("""COMPUTED_VALUE"""),"Hulk")</f>
        <v>Hulk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7">
        <f>IFERROR(__xludf.DUMMYFUNCTION("""COMPUTED_VALUE"""),45962.0)</f>
        <v>45962</v>
      </c>
      <c r="B989" s="1" t="str">
        <f>IFERROR(__xludf.DUMMYFUNCTION("""COMPUTED_VALUE"""),"-")</f>
        <v>-</v>
      </c>
      <c r="C989" s="1" t="str">
        <f>IFERROR(__xludf.DUMMYFUNCTION("""COMPUTED_VALUE"""),"Uber")</f>
        <v>Uber</v>
      </c>
      <c r="D989" s="2">
        <f>IFERROR(__xludf.DUMMYFUNCTION("""COMPUTED_VALUE"""),12.99)</f>
        <v>12.99</v>
      </c>
      <c r="E989" s="1" t="str">
        <f>IFERROR(__xludf.DUMMYFUNCTION("""COMPUTED_VALUE"""),"-")</f>
        <v>-</v>
      </c>
      <c r="F989" s="1" t="str">
        <f>IFERROR(__xludf.DUMMYFUNCTION("""COMPUTED_VALUE"""),"Uber")</f>
        <v>Uber</v>
      </c>
      <c r="G989" s="1" t="str">
        <f>IFERROR(__xludf.DUMMYFUNCTION("""COMPUTED_VALUE"""),"Uber/99")</f>
        <v>Uber/99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7">
        <f>IFERROR(__xludf.DUMMYFUNCTION("""COMPUTED_VALUE"""),45962.0)</f>
        <v>45962</v>
      </c>
      <c r="B990" s="1" t="str">
        <f>IFERROR(__xludf.DUMMYFUNCTION("""COMPUTED_VALUE"""),"-")</f>
        <v>-</v>
      </c>
      <c r="C990" s="1" t="str">
        <f>IFERROR(__xludf.DUMMYFUNCTION("""COMPUTED_VALUE"""),"Farmácias Pa 324 (5/5)")</f>
        <v>Farmácias Pa 324 (5/5)</v>
      </c>
      <c r="D990" s="2">
        <f>IFERROR(__xludf.DUMMYFUNCTION("""COMPUTED_VALUE"""),45.8)</f>
        <v>45.8</v>
      </c>
      <c r="E990" s="1" t="str">
        <f>IFERROR(__xludf.DUMMYFUNCTION("""COMPUTED_VALUE"""),"-")</f>
        <v>-</v>
      </c>
      <c r="F990" s="1" t="str">
        <f>IFERROR(__xludf.DUMMYFUNCTION("""COMPUTED_VALUE"""),"Farmácias Pa 324")</f>
        <v>Farmácias Pa 324</v>
      </c>
      <c r="G990" s="1" t="str">
        <f>IFERROR(__xludf.DUMMYFUNCTION("""COMPUTED_VALUE"""),"Compras")</f>
        <v>Compras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7">
        <f>IFERROR(__xludf.DUMMYFUNCTION("""COMPUTED_VALUE"""),45962.0)</f>
        <v>45962</v>
      </c>
      <c r="B991" s="1" t="str">
        <f>IFERROR(__xludf.DUMMYFUNCTION("""COMPUTED_VALUE"""),"-")</f>
        <v>-</v>
      </c>
      <c r="C991" s="1" t="str">
        <f>IFERROR(__xludf.DUMMYFUNCTION("""COMPUTED_VALUE"""),"Farmácias Pa 324 (4/5)")</f>
        <v>Farmácias Pa 324 (4/5)</v>
      </c>
      <c r="D991" s="2">
        <f>IFERROR(__xludf.DUMMYFUNCTION("""COMPUTED_VALUE"""),45.8)</f>
        <v>45.8</v>
      </c>
      <c r="E991" s="1" t="str">
        <f>IFERROR(__xludf.DUMMYFUNCTION("""COMPUTED_VALUE"""),"-")</f>
        <v>-</v>
      </c>
      <c r="F991" s="1" t="str">
        <f>IFERROR(__xludf.DUMMYFUNCTION("""COMPUTED_VALUE"""),"Farmácias Pa 324")</f>
        <v>Farmácias Pa 324</v>
      </c>
      <c r="G991" s="1" t="str">
        <f>IFERROR(__xludf.DUMMYFUNCTION("""COMPUTED_VALUE"""),"Compras")</f>
        <v>Compras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7">
        <f>IFERROR(__xludf.DUMMYFUNCTION("""COMPUTED_VALUE"""),45962.0)</f>
        <v>45962</v>
      </c>
      <c r="B992" s="1" t="str">
        <f>IFERROR(__xludf.DUMMYFUNCTION("""COMPUTED_VALUE"""),"-")</f>
        <v>-</v>
      </c>
      <c r="C992" s="1" t="str">
        <f>IFERROR(__xludf.DUMMYFUNCTION("""COMPUTED_VALUE"""),"Farmácias Pa 324 (3/5)")</f>
        <v>Farmácias Pa 324 (3/5)</v>
      </c>
      <c r="D992" s="2">
        <f>IFERROR(__xludf.DUMMYFUNCTION("""COMPUTED_VALUE"""),45.8)</f>
        <v>45.8</v>
      </c>
      <c r="E992" s="1" t="str">
        <f>IFERROR(__xludf.DUMMYFUNCTION("""COMPUTED_VALUE"""),"-")</f>
        <v>-</v>
      </c>
      <c r="F992" s="1" t="str">
        <f>IFERROR(__xludf.DUMMYFUNCTION("""COMPUTED_VALUE"""),"Farmácias Pa 324")</f>
        <v>Farmácias Pa 324</v>
      </c>
      <c r="G992" s="1" t="str">
        <f>IFERROR(__xludf.DUMMYFUNCTION("""COMPUTED_VALUE"""),"Compras")</f>
        <v>Compras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7">
        <f>IFERROR(__xludf.DUMMYFUNCTION("""COMPUTED_VALUE"""),45962.0)</f>
        <v>45962</v>
      </c>
      <c r="B993" s="1" t="str">
        <f>IFERROR(__xludf.DUMMYFUNCTION("""COMPUTED_VALUE"""),"-")</f>
        <v>-</v>
      </c>
      <c r="C993" s="1" t="str">
        <f>IFERROR(__xludf.DUMMYFUNCTION("""COMPUTED_VALUE"""),"Farmácias Pa 324 (2/5)")</f>
        <v>Farmácias Pa 324 (2/5)</v>
      </c>
      <c r="D993" s="2">
        <f>IFERROR(__xludf.DUMMYFUNCTION("""COMPUTED_VALUE"""),45.8)</f>
        <v>45.8</v>
      </c>
      <c r="E993" s="1" t="str">
        <f>IFERROR(__xludf.DUMMYFUNCTION("""COMPUTED_VALUE"""),"-")</f>
        <v>-</v>
      </c>
      <c r="F993" s="1" t="str">
        <f>IFERROR(__xludf.DUMMYFUNCTION("""COMPUTED_VALUE"""),"Farmácias Pa 324")</f>
        <v>Farmácias Pa 324</v>
      </c>
      <c r="G993" s="1" t="str">
        <f>IFERROR(__xludf.DUMMYFUNCTION("""COMPUTED_VALUE"""),"Compras")</f>
        <v>Compras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7">
        <f>IFERROR(__xludf.DUMMYFUNCTION("""COMPUTED_VALUE"""),45962.0)</f>
        <v>45962</v>
      </c>
      <c r="B994" s="1" t="str">
        <f>IFERROR(__xludf.DUMMYFUNCTION("""COMPUTED_VALUE"""),"-")</f>
        <v>-</v>
      </c>
      <c r="C994" s="1" t="str">
        <f>IFERROR(__xludf.DUMMYFUNCTION("""COMPUTED_VALUE"""),"Farmácias Pa 324 (1/5)")</f>
        <v>Farmácias Pa 324 (1/5)</v>
      </c>
      <c r="D994" s="2">
        <f>IFERROR(__xludf.DUMMYFUNCTION("""COMPUTED_VALUE"""),45.8)</f>
        <v>45.8</v>
      </c>
      <c r="E994" s="1" t="str">
        <f>IFERROR(__xludf.DUMMYFUNCTION("""COMPUTED_VALUE"""),"-")</f>
        <v>-</v>
      </c>
      <c r="F994" s="1" t="str">
        <f>IFERROR(__xludf.DUMMYFUNCTION("""COMPUTED_VALUE"""),"Farmácias Pa 324")</f>
        <v>Farmácias Pa 324</v>
      </c>
      <c r="G994" s="1" t="str">
        <f>IFERROR(__xludf.DUMMYFUNCTION("""COMPUTED_VALUE"""),"Compras")</f>
        <v>Compras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7">
        <f>IFERROR(__xludf.DUMMYFUNCTION("""COMPUTED_VALUE"""),45962.0)</f>
        <v>45962</v>
      </c>
      <c r="B995" s="1" t="str">
        <f>IFERROR(__xludf.DUMMYFUNCTION("""COMPUTED_VALUE"""),"-")</f>
        <v>-</v>
      </c>
      <c r="C995" s="1" t="str">
        <f>IFERROR(__xludf.DUMMYFUNCTION("""COMPUTED_VALUE"""),"Uber")</f>
        <v>Uber</v>
      </c>
      <c r="D995" s="2">
        <f>IFERROR(__xludf.DUMMYFUNCTION("""COMPUTED_VALUE"""),15.94)</f>
        <v>15.94</v>
      </c>
      <c r="E995" s="1" t="str">
        <f>IFERROR(__xludf.DUMMYFUNCTION("""COMPUTED_VALUE"""),"-")</f>
        <v>-</v>
      </c>
      <c r="F995" s="1" t="str">
        <f>IFERROR(__xludf.DUMMYFUNCTION("""COMPUTED_VALUE"""),"Uber")</f>
        <v>Uber</v>
      </c>
      <c r="G995" s="1" t="str">
        <f>IFERROR(__xludf.DUMMYFUNCTION("""COMPUTED_VALUE"""),"Uber/99")</f>
        <v>Uber/99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7">
        <f>IFERROR(__xludf.DUMMYFUNCTION("""COMPUTED_VALUE"""),45962.0)</f>
        <v>45962</v>
      </c>
      <c r="B996" s="1" t="str">
        <f>IFERROR(__xludf.DUMMYFUNCTION("""COMPUTED_VALUE"""),"-")</f>
        <v>-</v>
      </c>
      <c r="C996" s="1">
        <f>IFERROR(__xludf.DUMMYFUNCTION("""COMPUTED_VALUE"""),99.0)</f>
        <v>99</v>
      </c>
      <c r="D996" s="2">
        <f>IFERROR(__xludf.DUMMYFUNCTION("""COMPUTED_VALUE"""),9.18)</f>
        <v>9.18</v>
      </c>
      <c r="E996" s="1" t="str">
        <f>IFERROR(__xludf.DUMMYFUNCTION("""COMPUTED_VALUE"""),"-")</f>
        <v>-</v>
      </c>
      <c r="F996" s="1" t="str">
        <f>IFERROR(__xludf.DUMMYFUNCTION("""COMPUTED_VALUE"""),"99")</f>
        <v>99</v>
      </c>
      <c r="G996" s="1" t="str">
        <f>IFERROR(__xludf.DUMMYFUNCTION("""COMPUTED_VALUE"""),"Uber/99")</f>
        <v>Uber/99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7">
        <f>IFERROR(__xludf.DUMMYFUNCTION("""COMPUTED_VALUE"""),45962.0)</f>
        <v>45962</v>
      </c>
      <c r="B997" s="1" t="str">
        <f>IFERROR(__xludf.DUMMYFUNCTION("""COMPUTED_VALUE"""),"-")</f>
        <v>-</v>
      </c>
      <c r="C997" s="1" t="str">
        <f>IFERROR(__xludf.DUMMYFUNCTION("""COMPUTED_VALUE"""),"Gelateria Mfps Mg2")</f>
        <v>Gelateria Mfps Mg2</v>
      </c>
      <c r="D997" s="2">
        <f>IFERROR(__xludf.DUMMYFUNCTION("""COMPUTED_VALUE"""),20.5)</f>
        <v>20.5</v>
      </c>
      <c r="E997" s="1" t="str">
        <f>IFERROR(__xludf.DUMMYFUNCTION("""COMPUTED_VALUE"""),"-")</f>
        <v>-</v>
      </c>
      <c r="F997" s="1" t="str">
        <f>IFERROR(__xludf.DUMMYFUNCTION("""COMPUTED_VALUE"""),"Gelateria Mfps Mg2")</f>
        <v>Gelateria Mfps Mg2</v>
      </c>
      <c r="G997" s="1" t="str">
        <f>IFERROR(__xludf.DUMMYFUNCTION("""COMPUTED_VALUE"""),"-")</f>
        <v>-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7">
        <f>IFERROR(__xludf.DUMMYFUNCTION("""COMPUTED_VALUE"""),45962.0)</f>
        <v>45962</v>
      </c>
      <c r="B998" s="1" t="str">
        <f>IFERROR(__xludf.DUMMYFUNCTION("""COMPUTED_VALUE"""),"-")</f>
        <v>-</v>
      </c>
      <c r="C998" s="1">
        <f>IFERROR(__xludf.DUMMYFUNCTION("""COMPUTED_VALUE"""),99.0)</f>
        <v>99</v>
      </c>
      <c r="D998" s="2">
        <f>IFERROR(__xludf.DUMMYFUNCTION("""COMPUTED_VALUE"""),11.5)</f>
        <v>11.5</v>
      </c>
      <c r="E998" s="1" t="str">
        <f>IFERROR(__xludf.DUMMYFUNCTION("""COMPUTED_VALUE"""),"-")</f>
        <v>-</v>
      </c>
      <c r="F998" s="1" t="str">
        <f>IFERROR(__xludf.DUMMYFUNCTION("""COMPUTED_VALUE"""),"99")</f>
        <v>99</v>
      </c>
      <c r="G998" s="1" t="str">
        <f>IFERROR(__xludf.DUMMYFUNCTION("""COMPUTED_VALUE"""),"Uber/99")</f>
        <v>Uber/99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7">
        <f>IFERROR(__xludf.DUMMYFUNCTION("""COMPUTED_VALUE"""),45962.0)</f>
        <v>45962</v>
      </c>
      <c r="B999" s="1" t="str">
        <f>IFERROR(__xludf.DUMMYFUNCTION("""COMPUTED_VALUE"""),"-")</f>
        <v>-</v>
      </c>
      <c r="C999" s="1" t="str">
        <f>IFERROR(__xludf.DUMMYFUNCTION("""COMPUTED_VALUE"""),"Thais Ruas De Araujo")</f>
        <v>Thais Ruas De Araujo</v>
      </c>
      <c r="D999" s="2">
        <f>IFERROR(__xludf.DUMMYFUNCTION("""COMPUTED_VALUE"""),83.0)</f>
        <v>83</v>
      </c>
      <c r="E999" s="1" t="str">
        <f>IFERROR(__xludf.DUMMYFUNCTION("""COMPUTED_VALUE"""),"-")</f>
        <v>-</v>
      </c>
      <c r="F999" s="1" t="str">
        <f>IFERROR(__xludf.DUMMYFUNCTION("""COMPUTED_VALUE"""),"Thais Ruas De Araujo")</f>
        <v>Thais Ruas De Araujo</v>
      </c>
      <c r="G999" s="1" t="str">
        <f>IFERROR(__xludf.DUMMYFUNCTION("""COMPUTED_VALUE"""),"-")</f>
        <v>-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7">
        <f>IFERROR(__xludf.DUMMYFUNCTION("""COMPUTED_VALUE"""),45962.0)</f>
        <v>45962</v>
      </c>
      <c r="B1000" s="1" t="str">
        <f>IFERROR(__xludf.DUMMYFUNCTION("""COMPUTED_VALUE"""),"-")</f>
        <v>-</v>
      </c>
      <c r="C1000" s="1" t="str">
        <f>IFERROR(__xludf.DUMMYFUNCTION("""COMPUTED_VALUE"""),"Supermercado &amp; Padaria")</f>
        <v>Supermercado &amp; Padaria</v>
      </c>
      <c r="D1000" s="2">
        <f>IFERROR(__xludf.DUMMYFUNCTION("""COMPUTED_VALUE"""),114.31)</f>
        <v>114.31</v>
      </c>
      <c r="E1000" s="1" t="str">
        <f>IFERROR(__xludf.DUMMYFUNCTION("""COMPUTED_VALUE"""),"-")</f>
        <v>-</v>
      </c>
      <c r="F1000" s="1" t="str">
        <f>IFERROR(__xludf.DUMMYFUNCTION("""COMPUTED_VALUE"""),"Supermercado &amp; Padaria")</f>
        <v>Supermercado &amp; Padaria</v>
      </c>
      <c r="G1000" s="1" t="str">
        <f>IFERROR(__xludf.DUMMYFUNCTION("""COMPUTED_VALUE"""),"Comida")</f>
        <v>Comida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7">
        <f>IFERROR(__xludf.DUMMYFUNCTION("""COMPUTED_VALUE"""),45962.0)</f>
        <v>45962</v>
      </c>
      <c r="B1001" s="1" t="str">
        <f>IFERROR(__xludf.DUMMYFUNCTION("""COMPUTED_VALUE"""),"-")</f>
        <v>-</v>
      </c>
      <c r="C1001" s="1">
        <f>IFERROR(__xludf.DUMMYFUNCTION("""COMPUTED_VALUE"""),99.0)</f>
        <v>99</v>
      </c>
      <c r="D1001" s="2">
        <f>IFERROR(__xludf.DUMMYFUNCTION("""COMPUTED_VALUE"""),14.4)</f>
        <v>14.4</v>
      </c>
      <c r="E1001" s="1" t="str">
        <f>IFERROR(__xludf.DUMMYFUNCTION("""COMPUTED_VALUE"""),"-")</f>
        <v>-</v>
      </c>
      <c r="F1001" s="1" t="str">
        <f>IFERROR(__xludf.DUMMYFUNCTION("""COMPUTED_VALUE"""),"99")</f>
        <v>99</v>
      </c>
      <c r="G1001" s="1" t="str">
        <f>IFERROR(__xludf.DUMMYFUNCTION("""COMPUTED_VALUE"""),"Uber/99")</f>
        <v>Uber/99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7">
        <f>IFERROR(__xludf.DUMMYFUNCTION("""COMPUTED_VALUE"""),45962.0)</f>
        <v>45962</v>
      </c>
      <c r="B1002" s="1" t="str">
        <f>IFERROR(__xludf.DUMMYFUNCTION("""COMPUTED_VALUE"""),"-")</f>
        <v>-</v>
      </c>
      <c r="C1002" s="1" t="str">
        <f>IFERROR(__xludf.DUMMYFUNCTION("""COMPUTED_VALUE"""),"Watts Bh")</f>
        <v>Watts Bh</v>
      </c>
      <c r="D1002" s="2">
        <f>IFERROR(__xludf.DUMMYFUNCTION("""COMPUTED_VALUE"""),649.9)</f>
        <v>649.9</v>
      </c>
      <c r="E1002" s="1" t="str">
        <f>IFERROR(__xludf.DUMMYFUNCTION("""COMPUTED_VALUE"""),"-")</f>
        <v>-</v>
      </c>
      <c r="F1002" s="1" t="str">
        <f>IFERROR(__xludf.DUMMYFUNCTION("""COMPUTED_VALUE"""),"Watts Bh")</f>
        <v>Watts Bh</v>
      </c>
      <c r="G1002" s="1" t="str">
        <f>IFERROR(__xludf.DUMMYFUNCTION("""COMPUTED_VALUE"""),"-")</f>
        <v>-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7">
        <f>IFERROR(__xludf.DUMMYFUNCTION("""COMPUTED_VALUE"""),45962.0)</f>
        <v>45962</v>
      </c>
      <c r="B1003" s="1" t="str">
        <f>IFERROR(__xludf.DUMMYFUNCTION("""COMPUTED_VALUE"""),"-")</f>
        <v>-</v>
      </c>
      <c r="C1003" s="1" t="str">
        <f>IFERROR(__xludf.DUMMYFUNCTION("""COMPUTED_VALUE"""),"Posto E Restaurante Ma")</f>
        <v>Posto E Restaurante Ma</v>
      </c>
      <c r="D1003" s="2">
        <f>IFERROR(__xludf.DUMMYFUNCTION("""COMPUTED_VALUE"""),13.5)</f>
        <v>13.5</v>
      </c>
      <c r="E1003" s="1" t="str">
        <f>IFERROR(__xludf.DUMMYFUNCTION("""COMPUTED_VALUE"""),"-")</f>
        <v>-</v>
      </c>
      <c r="F1003" s="1" t="str">
        <f>IFERROR(__xludf.DUMMYFUNCTION("""COMPUTED_VALUE"""),"Posto E Restaurante Ma")</f>
        <v>Posto E Restaurante Ma</v>
      </c>
      <c r="G1003" s="1" t="str">
        <f>IFERROR(__xludf.DUMMYFUNCTION("""COMPUTED_VALUE"""),"-")</f>
        <v>-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7">
        <f>IFERROR(__xludf.DUMMYFUNCTION("""COMPUTED_VALUE"""),45962.0)</f>
        <v>45962</v>
      </c>
      <c r="B1004" s="1" t="str">
        <f>IFERROR(__xludf.DUMMYFUNCTION("""COMPUTED_VALUE"""),"-")</f>
        <v>-</v>
      </c>
      <c r="C1004" s="1" t="str">
        <f>IFERROR(__xludf.DUMMYFUNCTION("""COMPUTED_VALUE"""),"Auto Posto Rdg")</f>
        <v>Auto Posto Rdg</v>
      </c>
      <c r="D1004" s="2">
        <f>IFERROR(__xludf.DUMMYFUNCTION("""COMPUTED_VALUE"""),74.58)</f>
        <v>74.58</v>
      </c>
      <c r="E1004" s="1" t="str">
        <f>IFERROR(__xludf.DUMMYFUNCTION("""COMPUTED_VALUE"""),"-")</f>
        <v>-</v>
      </c>
      <c r="F1004" s="1" t="str">
        <f>IFERROR(__xludf.DUMMYFUNCTION("""COMPUTED_VALUE"""),"Auto Posto Rdg")</f>
        <v>Auto Posto Rdg</v>
      </c>
      <c r="G1004" s="1" t="str">
        <f>IFERROR(__xludf.DUMMYFUNCTION("""COMPUTED_VALUE"""),"-")</f>
        <v>-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7">
        <f>IFERROR(__xludf.DUMMYFUNCTION("""COMPUTED_VALUE"""),45962.0)</f>
        <v>45962</v>
      </c>
      <c r="B1005" s="1" t="str">
        <f>IFERROR(__xludf.DUMMYFUNCTION("""COMPUTED_VALUE"""),"-")</f>
        <v>-</v>
      </c>
      <c r="C1005" s="1" t="str">
        <f>IFERROR(__xludf.DUMMYFUNCTION("""COMPUTED_VALUE"""),"Sushi Gourmet")</f>
        <v>Sushi Gourmet</v>
      </c>
      <c r="D1005" s="2">
        <f>IFERROR(__xludf.DUMMYFUNCTION("""COMPUTED_VALUE"""),48.28)</f>
        <v>48.28</v>
      </c>
      <c r="E1005" s="1" t="str">
        <f>IFERROR(__xludf.DUMMYFUNCTION("""COMPUTED_VALUE"""),"-")</f>
        <v>-</v>
      </c>
      <c r="F1005" s="1" t="str">
        <f>IFERROR(__xludf.DUMMYFUNCTION("""COMPUTED_VALUE"""),"Sushi Gourmet")</f>
        <v>Sushi Gourmet</v>
      </c>
      <c r="G1005" s="1" t="str">
        <f>IFERROR(__xludf.DUMMYFUNCTION("""COMPUTED_VALUE"""),"-")</f>
        <v>-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7">
        <f>IFERROR(__xludf.DUMMYFUNCTION("""COMPUTED_VALUE"""),45962.0)</f>
        <v>45962</v>
      </c>
      <c r="B1006" s="1" t="str">
        <f>IFERROR(__xludf.DUMMYFUNCTION("""COMPUTED_VALUE"""),"-")</f>
        <v>-</v>
      </c>
      <c r="C1006" s="1" t="str">
        <f>IFERROR(__xludf.DUMMYFUNCTION("""COMPUTED_VALUE"""),"Chaplin Restaurante")</f>
        <v>Chaplin Restaurante</v>
      </c>
      <c r="D1006" s="2">
        <f>IFERROR(__xludf.DUMMYFUNCTION("""COMPUTED_VALUE"""),30.46)</f>
        <v>30.46</v>
      </c>
      <c r="E1006" s="1" t="str">
        <f>IFERROR(__xludf.DUMMYFUNCTION("""COMPUTED_VALUE"""),"-")</f>
        <v>-</v>
      </c>
      <c r="F1006" s="1" t="str">
        <f>IFERROR(__xludf.DUMMYFUNCTION("""COMPUTED_VALUE"""),"Chaplin Restaurante")</f>
        <v>Chaplin Restaurante</v>
      </c>
      <c r="G1006" s="1" t="str">
        <f>IFERROR(__xludf.DUMMYFUNCTION("""COMPUTED_VALUE"""),"-")</f>
        <v>-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7">
        <f>IFERROR(__xludf.DUMMYFUNCTION("""COMPUTED_VALUE"""),45962.0)</f>
        <v>45962</v>
      </c>
      <c r="B1007" s="1" t="str">
        <f>IFERROR(__xludf.DUMMYFUNCTION("""COMPUTED_VALUE"""),"-")</f>
        <v>-</v>
      </c>
      <c r="C1007" s="1" t="str">
        <f>IFERROR(__xludf.DUMMYFUNCTION("""COMPUTED_VALUE"""),"Costa Atacadão")</f>
        <v>Costa Atacadão</v>
      </c>
      <c r="D1007" s="2">
        <f>IFERROR(__xludf.DUMMYFUNCTION("""COMPUTED_VALUE"""),55.66)</f>
        <v>55.66</v>
      </c>
      <c r="E1007" s="1" t="str">
        <f>IFERROR(__xludf.DUMMYFUNCTION("""COMPUTED_VALUE"""),"-")</f>
        <v>-</v>
      </c>
      <c r="F1007" s="1" t="str">
        <f>IFERROR(__xludf.DUMMYFUNCTION("""COMPUTED_VALUE"""),"Costa Atacadão")</f>
        <v>Costa Atacadão</v>
      </c>
      <c r="G1007" s="1" t="str">
        <f>IFERROR(__xludf.DUMMYFUNCTION("""COMPUTED_VALUE"""),"-")</f>
        <v>-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7">
        <f>IFERROR(__xludf.DUMMYFUNCTION("""COMPUTED_VALUE"""),45962.0)</f>
        <v>45962</v>
      </c>
      <c r="B1008" s="1" t="str">
        <f>IFERROR(__xludf.DUMMYFUNCTION("""COMPUTED_VALUE"""),"-")</f>
        <v>-</v>
      </c>
      <c r="C1008" s="1" t="str">
        <f>IFERROR(__xludf.DUMMYFUNCTION("""COMPUTED_VALUE"""),"O Rei Do Pao")</f>
        <v>O Rei Do Pao</v>
      </c>
      <c r="D1008" s="2">
        <f>IFERROR(__xludf.DUMMYFUNCTION("""COMPUTED_VALUE"""),16.6)</f>
        <v>16.6</v>
      </c>
      <c r="E1008" s="1" t="str">
        <f>IFERROR(__xludf.DUMMYFUNCTION("""COMPUTED_VALUE"""),"-")</f>
        <v>-</v>
      </c>
      <c r="F1008" s="1" t="str">
        <f>IFERROR(__xludf.DUMMYFUNCTION("""COMPUTED_VALUE"""),"O Rei Do Pao")</f>
        <v>O Rei Do Pao</v>
      </c>
      <c r="G1008" s="1" t="str">
        <f>IFERROR(__xludf.DUMMYFUNCTION("""COMPUTED_VALUE"""),"-")</f>
        <v>-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7">
        <f>IFERROR(__xludf.DUMMYFUNCTION("""COMPUTED_VALUE"""),45962.0)</f>
        <v>45962</v>
      </c>
      <c r="B1009" s="1" t="str">
        <f>IFERROR(__xludf.DUMMYFUNCTION("""COMPUTED_VALUE"""),"-")</f>
        <v>-</v>
      </c>
      <c r="C1009" s="1" t="str">
        <f>IFERROR(__xludf.DUMMYFUNCTION("""COMPUTED_VALUE"""),"Auto Posto Chaves Ltd")</f>
        <v>Auto Posto Chaves Ltd</v>
      </c>
      <c r="D1009" s="2">
        <f>IFERROR(__xludf.DUMMYFUNCTION("""COMPUTED_VALUE"""),201.65)</f>
        <v>201.65</v>
      </c>
      <c r="E1009" s="1" t="str">
        <f>IFERROR(__xludf.DUMMYFUNCTION("""COMPUTED_VALUE"""),"-")</f>
        <v>-</v>
      </c>
      <c r="F1009" s="1" t="str">
        <f>IFERROR(__xludf.DUMMYFUNCTION("""COMPUTED_VALUE"""),"Auto Posto Chaves Ltd")</f>
        <v>Auto Posto Chaves Ltd</v>
      </c>
      <c r="G1009" s="1" t="str">
        <f>IFERROR(__xludf.DUMMYFUNCTION("""COMPUTED_VALUE"""),"-")</f>
        <v>-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7">
        <f>IFERROR(__xludf.DUMMYFUNCTION("""COMPUTED_VALUE"""),45962.0)</f>
        <v>45962</v>
      </c>
      <c r="B1010" s="1" t="str">
        <f>IFERROR(__xludf.DUMMYFUNCTION("""COMPUTED_VALUE"""),"-")</f>
        <v>-</v>
      </c>
      <c r="C1010" s="1" t="str">
        <f>IFERROR(__xludf.DUMMYFUNCTION("""COMPUTED_VALUE"""),"Tip Top")</f>
        <v>Tip Top</v>
      </c>
      <c r="D1010" s="2">
        <f>IFERROR(__xludf.DUMMYFUNCTION("""COMPUTED_VALUE"""),39.9)</f>
        <v>39.9</v>
      </c>
      <c r="E1010" s="1" t="str">
        <f>IFERROR(__xludf.DUMMYFUNCTION("""COMPUTED_VALUE"""),"-")</f>
        <v>-</v>
      </c>
      <c r="F1010" s="1" t="str">
        <f>IFERROR(__xludf.DUMMYFUNCTION("""COMPUTED_VALUE"""),"Tip Top")</f>
        <v>Tip Top</v>
      </c>
      <c r="G1010" s="1" t="str">
        <f>IFERROR(__xludf.DUMMYFUNCTION("""COMPUTED_VALUE"""),"-")</f>
        <v>-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7">
        <f>IFERROR(__xludf.DUMMYFUNCTION("""COMPUTED_VALUE"""),45962.0)</f>
        <v>45962</v>
      </c>
      <c r="B1011" s="1" t="str">
        <f>IFERROR(__xludf.DUMMYFUNCTION("""COMPUTED_VALUE"""),"-")</f>
        <v>-</v>
      </c>
      <c r="C1011" s="1" t="str">
        <f>IFERROR(__xludf.DUMMYFUNCTION("""COMPUTED_VALUE"""),"Shoulder (1/5)")</f>
        <v>Shoulder (1/5)</v>
      </c>
      <c r="D1011" s="2">
        <f>IFERROR(__xludf.DUMMYFUNCTION("""COMPUTED_VALUE"""),197.23)</f>
        <v>197.23</v>
      </c>
      <c r="E1011" s="1" t="str">
        <f>IFERROR(__xludf.DUMMYFUNCTION("""COMPUTED_VALUE"""),"-")</f>
        <v>-</v>
      </c>
      <c r="F1011" s="1" t="str">
        <f>IFERROR(__xludf.DUMMYFUNCTION("""COMPUTED_VALUE"""),"Shoulder")</f>
        <v>Shoulder</v>
      </c>
      <c r="G1011" s="1" t="str">
        <f>IFERROR(__xludf.DUMMYFUNCTION("""COMPUTED_VALUE"""),"Compras")</f>
        <v>Compras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7">
        <f>IFERROR(__xludf.DUMMYFUNCTION("""COMPUTED_VALUE"""),45962.0)</f>
        <v>45962</v>
      </c>
      <c r="B1012" s="1" t="str">
        <f>IFERROR(__xludf.DUMMYFUNCTION("""COMPUTED_VALUE"""),"-")</f>
        <v>-</v>
      </c>
      <c r="C1012" s="1" t="str">
        <f>IFERROR(__xludf.DUMMYFUNCTION("""COMPUTED_VALUE"""),"Estoque (2/2)")</f>
        <v>Estoque (2/2)</v>
      </c>
      <c r="D1012" s="2">
        <f>IFERROR(__xludf.DUMMYFUNCTION("""COMPUTED_VALUE"""),134.4)</f>
        <v>134.4</v>
      </c>
      <c r="E1012" s="1" t="str">
        <f>IFERROR(__xludf.DUMMYFUNCTION("""COMPUTED_VALUE"""),"-")</f>
        <v>-</v>
      </c>
      <c r="F1012" s="1" t="str">
        <f>IFERROR(__xludf.DUMMYFUNCTION("""COMPUTED_VALUE"""),"Estoque")</f>
        <v>Estoque</v>
      </c>
      <c r="G1012" s="1" t="str">
        <f>IFERROR(__xludf.DUMMYFUNCTION("""COMPUTED_VALUE"""),"Compras")</f>
        <v>Compras</v>
      </c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7">
        <f>IFERROR(__xludf.DUMMYFUNCTION("""COMPUTED_VALUE"""),45962.0)</f>
        <v>45962</v>
      </c>
      <c r="B1013" s="1" t="str">
        <f>IFERROR(__xludf.DUMMYFUNCTION("""COMPUTED_VALUE"""),"-")</f>
        <v>-</v>
      </c>
      <c r="C1013" s="1" t="str">
        <f>IFERROR(__xludf.DUMMYFUNCTION("""COMPUTED_VALUE"""),"Estoque (1/2)")</f>
        <v>Estoque (1/2)</v>
      </c>
      <c r="D1013" s="2">
        <f>IFERROR(__xludf.DUMMYFUNCTION("""COMPUTED_VALUE"""),134.4)</f>
        <v>134.4</v>
      </c>
      <c r="E1013" s="1" t="str">
        <f>IFERROR(__xludf.DUMMYFUNCTION("""COMPUTED_VALUE"""),"-")</f>
        <v>-</v>
      </c>
      <c r="F1013" s="1" t="str">
        <f>IFERROR(__xludf.DUMMYFUNCTION("""COMPUTED_VALUE"""),"Estoque")</f>
        <v>Estoque</v>
      </c>
      <c r="G1013" s="1" t="str">
        <f>IFERROR(__xludf.DUMMYFUNCTION("""COMPUTED_VALUE"""),"Compras")</f>
        <v>Compras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7">
        <f>IFERROR(__xludf.DUMMYFUNCTION("""COMPUTED_VALUE"""),45962.0)</f>
        <v>45962</v>
      </c>
      <c r="B1014" s="1" t="str">
        <f>IFERROR(__xludf.DUMMYFUNCTION("""COMPUTED_VALUE"""),"-")</f>
        <v>-</v>
      </c>
      <c r="C1014" s="1" t="str">
        <f>IFERROR(__xludf.DUMMYFUNCTION("""COMPUTED_VALUE"""),"Surfco (4/4)")</f>
        <v>Surfco (4/4)</v>
      </c>
      <c r="D1014" s="2">
        <f>IFERROR(__xludf.DUMMYFUNCTION("""COMPUTED_VALUE"""),49.97)</f>
        <v>49.97</v>
      </c>
      <c r="E1014" s="1" t="str">
        <f>IFERROR(__xludf.DUMMYFUNCTION("""COMPUTED_VALUE"""),"-")</f>
        <v>-</v>
      </c>
      <c r="F1014" s="1" t="str">
        <f>IFERROR(__xludf.DUMMYFUNCTION("""COMPUTED_VALUE"""),"Surfco")</f>
        <v>Surfco</v>
      </c>
      <c r="G1014" s="1" t="str">
        <f>IFERROR(__xludf.DUMMYFUNCTION("""COMPUTED_VALUE"""),"Compras")</f>
        <v>Compras</v>
      </c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7">
        <f>IFERROR(__xludf.DUMMYFUNCTION("""COMPUTED_VALUE"""),45962.0)</f>
        <v>45962</v>
      </c>
      <c r="B1015" s="1" t="str">
        <f>IFERROR(__xludf.DUMMYFUNCTION("""COMPUTED_VALUE"""),"-")</f>
        <v>-</v>
      </c>
      <c r="C1015" s="1" t="str">
        <f>IFERROR(__xludf.DUMMYFUNCTION("""COMPUTED_VALUE"""),"Surfco (3/4)")</f>
        <v>Surfco (3/4)</v>
      </c>
      <c r="D1015" s="2">
        <f>IFERROR(__xludf.DUMMYFUNCTION("""COMPUTED_VALUE"""),49.97)</f>
        <v>49.97</v>
      </c>
      <c r="E1015" s="1" t="str">
        <f>IFERROR(__xludf.DUMMYFUNCTION("""COMPUTED_VALUE"""),"-")</f>
        <v>-</v>
      </c>
      <c r="F1015" s="1" t="str">
        <f>IFERROR(__xludf.DUMMYFUNCTION("""COMPUTED_VALUE"""),"Surfco")</f>
        <v>Surfco</v>
      </c>
      <c r="G1015" s="1" t="str">
        <f>IFERROR(__xludf.DUMMYFUNCTION("""COMPUTED_VALUE"""),"Compras")</f>
        <v>Compras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7">
        <f>IFERROR(__xludf.DUMMYFUNCTION("""COMPUTED_VALUE"""),45962.0)</f>
        <v>45962</v>
      </c>
      <c r="B1016" s="1" t="str">
        <f>IFERROR(__xludf.DUMMYFUNCTION("""COMPUTED_VALUE"""),"-")</f>
        <v>-</v>
      </c>
      <c r="C1016" s="1" t="str">
        <f>IFERROR(__xludf.DUMMYFUNCTION("""COMPUTED_VALUE"""),"Surfco (2/4)")</f>
        <v>Surfco (2/4)</v>
      </c>
      <c r="D1016" s="2">
        <f>IFERROR(__xludf.DUMMYFUNCTION("""COMPUTED_VALUE"""),49.97)</f>
        <v>49.97</v>
      </c>
      <c r="E1016" s="1" t="str">
        <f>IFERROR(__xludf.DUMMYFUNCTION("""COMPUTED_VALUE"""),"-")</f>
        <v>-</v>
      </c>
      <c r="F1016" s="1" t="str">
        <f>IFERROR(__xludf.DUMMYFUNCTION("""COMPUTED_VALUE"""),"Surfco")</f>
        <v>Surfco</v>
      </c>
      <c r="G1016" s="1" t="str">
        <f>IFERROR(__xludf.DUMMYFUNCTION("""COMPUTED_VALUE"""),"Compras")</f>
        <v>Compras</v>
      </c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7">
        <f>IFERROR(__xludf.DUMMYFUNCTION("""COMPUTED_VALUE"""),45962.0)</f>
        <v>45962</v>
      </c>
      <c r="B1017" s="1" t="str">
        <f>IFERROR(__xludf.DUMMYFUNCTION("""COMPUTED_VALUE"""),"-")</f>
        <v>-</v>
      </c>
      <c r="C1017" s="1" t="str">
        <f>IFERROR(__xludf.DUMMYFUNCTION("""COMPUTED_VALUE"""),"Surfco (1/4)")</f>
        <v>Surfco (1/4)</v>
      </c>
      <c r="D1017" s="2">
        <f>IFERROR(__xludf.DUMMYFUNCTION("""COMPUTED_VALUE"""),49.99)</f>
        <v>49.99</v>
      </c>
      <c r="E1017" s="1" t="str">
        <f>IFERROR(__xludf.DUMMYFUNCTION("""COMPUTED_VALUE"""),"-")</f>
        <v>-</v>
      </c>
      <c r="F1017" s="1" t="str">
        <f>IFERROR(__xludf.DUMMYFUNCTION("""COMPUTED_VALUE"""),"Surfco")</f>
        <v>Surfco</v>
      </c>
      <c r="G1017" s="1" t="str">
        <f>IFERROR(__xludf.DUMMYFUNCTION("""COMPUTED_VALUE"""),"Compras")</f>
        <v>Compras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7">
        <f>IFERROR(__xludf.DUMMYFUNCTION("""COMPUTED_VALUE"""),45962.0)</f>
        <v>45962</v>
      </c>
      <c r="B1018" s="1" t="str">
        <f>IFERROR(__xludf.DUMMYFUNCTION("""COMPUTED_VALUE"""),"-")</f>
        <v>-</v>
      </c>
      <c r="C1018" s="1" t="str">
        <f>IFERROR(__xludf.DUMMYFUNCTION("""COMPUTED_VALUE"""),"Grupo Qmais Bsb")</f>
        <v>Grupo Qmais Bsb</v>
      </c>
      <c r="D1018" s="2">
        <f>IFERROR(__xludf.DUMMYFUNCTION("""COMPUTED_VALUE"""),99.98)</f>
        <v>99.98</v>
      </c>
      <c r="E1018" s="1" t="str">
        <f>IFERROR(__xludf.DUMMYFUNCTION("""COMPUTED_VALUE"""),"-")</f>
        <v>-</v>
      </c>
      <c r="F1018" s="1" t="str">
        <f>IFERROR(__xludf.DUMMYFUNCTION("""COMPUTED_VALUE"""),"Grupo Qmais Bsb")</f>
        <v>Grupo Qmais Bsb</v>
      </c>
      <c r="G1018" s="1" t="str">
        <f>IFERROR(__xludf.DUMMYFUNCTION("""COMPUTED_VALUE"""),"-")</f>
        <v>-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7">
        <f>IFERROR(__xludf.DUMMYFUNCTION("""COMPUTED_VALUE"""),45962.0)</f>
        <v>45962</v>
      </c>
      <c r="B1019" s="1" t="str">
        <f>IFERROR(__xludf.DUMMYFUNCTION("""COMPUTED_VALUE"""),"-")</f>
        <v>-</v>
      </c>
      <c r="C1019" s="1" t="str">
        <f>IFERROR(__xludf.DUMMYFUNCTION("""COMPUTED_VALUE"""),"Malharia Cristina Alex")</f>
        <v>Malharia Cristina Alex</v>
      </c>
      <c r="D1019" s="2">
        <f>IFERROR(__xludf.DUMMYFUNCTION("""COMPUTED_VALUE"""),134.9)</f>
        <v>134.9</v>
      </c>
      <c r="E1019" s="1" t="str">
        <f>IFERROR(__xludf.DUMMYFUNCTION("""COMPUTED_VALUE"""),"-")</f>
        <v>-</v>
      </c>
      <c r="F1019" s="1" t="str">
        <f>IFERROR(__xludf.DUMMYFUNCTION("""COMPUTED_VALUE"""),"Malharia Cristina Alex")</f>
        <v>Malharia Cristina Alex</v>
      </c>
      <c r="G1019" s="1" t="str">
        <f>IFERROR(__xludf.DUMMYFUNCTION("""COMPUTED_VALUE"""),"-")</f>
        <v>-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7">
        <f>IFERROR(__xludf.DUMMYFUNCTION("""COMPUTED_VALUE"""),45962.0)</f>
        <v>45962</v>
      </c>
      <c r="B1020" s="1" t="str">
        <f>IFERROR(__xludf.DUMMYFUNCTION("""COMPUTED_VALUE"""),"-")</f>
        <v>-</v>
      </c>
      <c r="C1020" s="1" t="str">
        <f>IFERROR(__xludf.DUMMYFUNCTION("""COMPUTED_VALUE"""),"Sorveteria Aguas Clara")</f>
        <v>Sorveteria Aguas Clara</v>
      </c>
      <c r="D1020" s="2">
        <f>IFERROR(__xludf.DUMMYFUNCTION("""COMPUTED_VALUE"""),59.41)</f>
        <v>59.41</v>
      </c>
      <c r="E1020" s="1" t="str">
        <f>IFERROR(__xludf.DUMMYFUNCTION("""COMPUTED_VALUE"""),"-")</f>
        <v>-</v>
      </c>
      <c r="F1020" s="1" t="str">
        <f>IFERROR(__xludf.DUMMYFUNCTION("""COMPUTED_VALUE"""),"Sorveteria Aguas Clara")</f>
        <v>Sorveteria Aguas Clara</v>
      </c>
      <c r="G1020" s="1" t="str">
        <f>IFERROR(__xludf.DUMMYFUNCTION("""COMPUTED_VALUE"""),"-")</f>
        <v>-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7">
        <f>IFERROR(__xludf.DUMMYFUNCTION("""COMPUTED_VALUE"""),45962.0)</f>
        <v>45962</v>
      </c>
      <c r="B1021" s="1" t="str">
        <f>IFERROR(__xludf.DUMMYFUNCTION("""COMPUTED_VALUE"""),"-")</f>
        <v>-</v>
      </c>
      <c r="C1021" s="1" t="str">
        <f>IFERROR(__xludf.DUMMYFUNCTION("""COMPUTED_VALUE"""),"Unisant")</f>
        <v>Unisant</v>
      </c>
      <c r="D1021" s="2">
        <f>IFERROR(__xludf.DUMMYFUNCTION("""COMPUTED_VALUE"""),225.52)</f>
        <v>225.52</v>
      </c>
      <c r="E1021" s="1" t="str">
        <f>IFERROR(__xludf.DUMMYFUNCTION("""COMPUTED_VALUE"""),"-")</f>
        <v>-</v>
      </c>
      <c r="F1021" s="1" t="str">
        <f>IFERROR(__xludf.DUMMYFUNCTION("""COMPUTED_VALUE"""),"Unisant")</f>
        <v>Unisant</v>
      </c>
      <c r="G1021" s="1" t="str">
        <f>IFERROR(__xludf.DUMMYFUNCTION("""COMPUTED_VALUE"""),"-")</f>
        <v>-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7">
        <f>IFERROR(__xludf.DUMMYFUNCTION("""COMPUTED_VALUE"""),45962.0)</f>
        <v>45962</v>
      </c>
      <c r="B1022" s="1" t="str">
        <f>IFERROR(__xludf.DUMMYFUNCTION("""COMPUTED_VALUE"""),"-")</f>
        <v>-</v>
      </c>
      <c r="C1022" s="1" t="str">
        <f>IFERROR(__xludf.DUMMYFUNCTION("""COMPUTED_VALUE"""),"Amazonmktplc Raquelmor")</f>
        <v>Amazonmktplc Raquelmor</v>
      </c>
      <c r="D1022" s="2">
        <f>IFERROR(__xludf.DUMMYFUNCTION("""COMPUTED_VALUE"""),61.0)</f>
        <v>61</v>
      </c>
      <c r="E1022" s="1" t="str">
        <f>IFERROR(__xludf.DUMMYFUNCTION("""COMPUTED_VALUE"""),"-")</f>
        <v>-</v>
      </c>
      <c r="F1022" s="1" t="str">
        <f>IFERROR(__xludf.DUMMYFUNCTION("""COMPUTED_VALUE"""),"Amazonmktplc")</f>
        <v>Amazonmktplc</v>
      </c>
      <c r="G1022" s="1" t="str">
        <f>IFERROR(__xludf.DUMMYFUNCTION("""COMPUTED_VALUE"""),"Compras")</f>
        <v>Compras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7">
        <f>IFERROR(__xludf.DUMMYFUNCTION("""COMPUTED_VALUE"""),45962.0)</f>
        <v>45962</v>
      </c>
      <c r="B1023" s="1" t="str">
        <f>IFERROR(__xludf.DUMMYFUNCTION("""COMPUTED_VALUE"""),"-")</f>
        <v>-</v>
      </c>
      <c r="C1023" s="1" t="str">
        <f>IFERROR(__xludf.DUMMYFUNCTION("""COMPUTED_VALUE"""),"Comper")</f>
        <v>Comper</v>
      </c>
      <c r="D1023" s="2">
        <f>IFERROR(__xludf.DUMMYFUNCTION("""COMPUTED_VALUE"""),1.59)</f>
        <v>1.59</v>
      </c>
      <c r="E1023" s="1" t="str">
        <f>IFERROR(__xludf.DUMMYFUNCTION("""COMPUTED_VALUE"""),"-")</f>
        <v>-</v>
      </c>
      <c r="F1023" s="1" t="str">
        <f>IFERROR(__xludf.DUMMYFUNCTION("""COMPUTED_VALUE"""),"Comper")</f>
        <v>Comper</v>
      </c>
      <c r="G1023" s="1" t="str">
        <f>IFERROR(__xludf.DUMMYFUNCTION("""COMPUTED_VALUE"""),"-")</f>
        <v>-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7">
        <f>IFERROR(__xludf.DUMMYFUNCTION("""COMPUTED_VALUE"""),45962.0)</f>
        <v>45962</v>
      </c>
      <c r="B1024" s="1" t="str">
        <f>IFERROR(__xludf.DUMMYFUNCTION("""COMPUTED_VALUE"""),"-")</f>
        <v>-</v>
      </c>
      <c r="C1024" s="1" t="str">
        <f>IFERROR(__xludf.DUMMYFUNCTION("""COMPUTED_VALUE"""),"Amazon Digital Br")</f>
        <v>Amazon Digital Br</v>
      </c>
      <c r="D1024" s="2">
        <f>IFERROR(__xludf.DUMMYFUNCTION("""COMPUTED_VALUE"""),15.7)</f>
        <v>15.7</v>
      </c>
      <c r="E1024" s="1" t="str">
        <f>IFERROR(__xludf.DUMMYFUNCTION("""COMPUTED_VALUE"""),"-")</f>
        <v>-</v>
      </c>
      <c r="F1024" s="1" t="str">
        <f>IFERROR(__xludf.DUMMYFUNCTION("""COMPUTED_VALUE"""),"Amazon Digital Br")</f>
        <v>Amazon Digital Br</v>
      </c>
      <c r="G1024" s="1" t="str">
        <f>IFERROR(__xludf.DUMMYFUNCTION("""COMPUTED_VALUE"""),"Compras")</f>
        <v>Compras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7">
        <f>IFERROR(__xludf.DUMMYFUNCTION("""COMPUTED_VALUE"""),45962.0)</f>
        <v>45962</v>
      </c>
      <c r="B1025" s="1" t="str">
        <f>IFERROR(__xludf.DUMMYFUNCTION("""COMPUTED_VALUE"""),"-")</f>
        <v>-</v>
      </c>
      <c r="C1025" s="1" t="str">
        <f>IFERROR(__xludf.DUMMYFUNCTION("""COMPUTED_VALUE"""),"Balaio Caipira")</f>
        <v>Balaio Caipira</v>
      </c>
      <c r="D1025" s="2">
        <f>IFERROR(__xludf.DUMMYFUNCTION("""COMPUTED_VALUE"""),26.0)</f>
        <v>26</v>
      </c>
      <c r="E1025" s="1" t="str">
        <f>IFERROR(__xludf.DUMMYFUNCTION("""COMPUTED_VALUE"""),"-")</f>
        <v>-</v>
      </c>
      <c r="F1025" s="1" t="str">
        <f>IFERROR(__xludf.DUMMYFUNCTION("""COMPUTED_VALUE"""),"Balaio Caipira")</f>
        <v>Balaio Caipira</v>
      </c>
      <c r="G1025" s="1" t="str">
        <f>IFERROR(__xludf.DUMMYFUNCTION("""COMPUTED_VALUE"""),"-")</f>
        <v>-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7">
        <f>IFERROR(__xludf.DUMMYFUNCTION("""COMPUTED_VALUE"""),45962.0)</f>
        <v>45962</v>
      </c>
      <c r="B1026" s="1" t="str">
        <f>IFERROR(__xludf.DUMMYFUNCTION("""COMPUTED_VALUE"""),"-")</f>
        <v>-</v>
      </c>
      <c r="C1026" s="1" t="str">
        <f>IFERROR(__xludf.DUMMYFUNCTION("""COMPUTED_VALUE"""),"Biscoitos Mineiros")</f>
        <v>Biscoitos Mineiros</v>
      </c>
      <c r="D1026" s="2">
        <f>IFERROR(__xludf.DUMMYFUNCTION("""COMPUTED_VALUE"""),36.64)</f>
        <v>36.64</v>
      </c>
      <c r="E1026" s="1" t="str">
        <f>IFERROR(__xludf.DUMMYFUNCTION("""COMPUTED_VALUE"""),"-")</f>
        <v>-</v>
      </c>
      <c r="F1026" s="1" t="str">
        <f>IFERROR(__xludf.DUMMYFUNCTION("""COMPUTED_VALUE"""),"Biscoitos Mineiros")</f>
        <v>Biscoitos Mineiros</v>
      </c>
      <c r="G1026" s="1" t="str">
        <f>IFERROR(__xludf.DUMMYFUNCTION("""COMPUTED_VALUE"""),"-")</f>
        <v>-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7">
        <f>IFERROR(__xludf.DUMMYFUNCTION("""COMPUTED_VALUE"""),45962.0)</f>
        <v>45962</v>
      </c>
      <c r="B1027" s="1" t="str">
        <f>IFERROR(__xludf.DUMMYFUNCTION("""COMPUTED_VALUE"""),"-")</f>
        <v>-</v>
      </c>
      <c r="C1027" s="1" t="str">
        <f>IFERROR(__xludf.DUMMYFUNCTION("""COMPUTED_VALUE"""),"Zig Vamo Beach Club")</f>
        <v>Zig Vamo Beach Club</v>
      </c>
      <c r="D1027" s="2">
        <f>IFERROR(__xludf.DUMMYFUNCTION("""COMPUTED_VALUE"""),13.0)</f>
        <v>13</v>
      </c>
      <c r="E1027" s="1" t="str">
        <f>IFERROR(__xludf.DUMMYFUNCTION("""COMPUTED_VALUE"""),"-")</f>
        <v>-</v>
      </c>
      <c r="F1027" s="1" t="str">
        <f>IFERROR(__xludf.DUMMYFUNCTION("""COMPUTED_VALUE"""),"Zig Vamo Beach Club")</f>
        <v>Zig Vamo Beach Club</v>
      </c>
      <c r="G1027" s="1" t="str">
        <f>IFERROR(__xludf.DUMMYFUNCTION("""COMPUTED_VALUE"""),"-")</f>
        <v>-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7">
        <f>IFERROR(__xludf.DUMMYFUNCTION("""COMPUTED_VALUE"""),45962.0)</f>
        <v>45962</v>
      </c>
      <c r="B1028" s="1" t="str">
        <f>IFERROR(__xludf.DUMMYFUNCTION("""COMPUTED_VALUE"""),"-")</f>
        <v>-</v>
      </c>
      <c r="C1028" s="1" t="str">
        <f>IFERROR(__xludf.DUMMYFUNCTION("""COMPUTED_VALUE"""),"Esmalteria Camaleoa")</f>
        <v>Esmalteria Camaleoa</v>
      </c>
      <c r="D1028" s="2">
        <f>IFERROR(__xludf.DUMMYFUNCTION("""COMPUTED_VALUE"""),60.0)</f>
        <v>60</v>
      </c>
      <c r="E1028" s="1" t="str">
        <f>IFERROR(__xludf.DUMMYFUNCTION("""COMPUTED_VALUE"""),"-")</f>
        <v>-</v>
      </c>
      <c r="F1028" s="1" t="str">
        <f>IFERROR(__xludf.DUMMYFUNCTION("""COMPUTED_VALUE"""),"Esmalteria Camaleoa")</f>
        <v>Esmalteria Camaleoa</v>
      </c>
      <c r="G1028" s="1" t="str">
        <f>IFERROR(__xludf.DUMMYFUNCTION("""COMPUTED_VALUE"""),"-")</f>
        <v>-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7">
        <f>IFERROR(__xludf.DUMMYFUNCTION("""COMPUTED_VALUE"""),45962.0)</f>
        <v>45962</v>
      </c>
      <c r="B1029" s="1" t="str">
        <f>IFERROR(__xludf.DUMMYFUNCTION("""COMPUTED_VALUE"""),"-")</f>
        <v>-</v>
      </c>
      <c r="C1029" s="1" t="str">
        <f>IFERROR(__xludf.DUMMYFUNCTION("""COMPUTED_VALUE"""),"Weryc Andre Luiz")</f>
        <v>Weryc Andre Luiz</v>
      </c>
      <c r="D1029" s="2">
        <f>IFERROR(__xludf.DUMMYFUNCTION("""COMPUTED_VALUE"""),29.0)</f>
        <v>29</v>
      </c>
      <c r="E1029" s="1" t="str">
        <f>IFERROR(__xludf.DUMMYFUNCTION("""COMPUTED_VALUE"""),"-")</f>
        <v>-</v>
      </c>
      <c r="F1029" s="1" t="str">
        <f>IFERROR(__xludf.DUMMYFUNCTION("""COMPUTED_VALUE"""),"Weryc Andre Luiz")</f>
        <v>Weryc Andre Luiz</v>
      </c>
      <c r="G1029" s="1" t="str">
        <f>IFERROR(__xludf.DUMMYFUNCTION("""COMPUTED_VALUE"""),"-")</f>
        <v>-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7">
        <f>IFERROR(__xludf.DUMMYFUNCTION("""COMPUTED_VALUE"""),45962.0)</f>
        <v>45962</v>
      </c>
      <c r="B1030" s="1" t="str">
        <f>IFERROR(__xludf.DUMMYFUNCTION("""COMPUTED_VALUE"""),"-")</f>
        <v>-</v>
      </c>
      <c r="C1030" s="1" t="str">
        <f>IFERROR(__xludf.DUMMYFUNCTION("""COMPUTED_VALUE"""),"Sams Aguas Claras 4953")</f>
        <v>Sams Aguas Claras 4953</v>
      </c>
      <c r="D1030" s="2">
        <f>IFERROR(__xludf.DUMMYFUNCTION("""COMPUTED_VALUE"""),154.13)</f>
        <v>154.13</v>
      </c>
      <c r="E1030" s="1" t="str">
        <f>IFERROR(__xludf.DUMMYFUNCTION("""COMPUTED_VALUE"""),"-")</f>
        <v>-</v>
      </c>
      <c r="F1030" s="1" t="str">
        <f>IFERROR(__xludf.DUMMYFUNCTION("""COMPUTED_VALUE"""),"Sams Aguas Claras 4953")</f>
        <v>Sams Aguas Claras 4953</v>
      </c>
      <c r="G1030" s="1" t="str">
        <f>IFERROR(__xludf.DUMMYFUNCTION("""COMPUTED_VALUE"""),"-")</f>
        <v>-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7">
        <f>IFERROR(__xludf.DUMMYFUNCTION("""COMPUTED_VALUE"""),45962.0)</f>
        <v>45962</v>
      </c>
      <c r="B1031" s="1" t="str">
        <f>IFERROR(__xludf.DUMMYFUNCTION("""COMPUTED_VALUE"""),"-")</f>
        <v>-</v>
      </c>
      <c r="C1031" s="1" t="str">
        <f>IFERROR(__xludf.DUMMYFUNCTION("""COMPUTED_VALUE"""),"Ciatoy Brinquedos (1/5)")</f>
        <v>Ciatoy Brinquedos (1/5)</v>
      </c>
      <c r="D1031" s="2">
        <f>IFERROR(__xludf.DUMMYFUNCTION("""COMPUTED_VALUE"""),55.8)</f>
        <v>55.8</v>
      </c>
      <c r="E1031" s="1" t="str">
        <f>IFERROR(__xludf.DUMMYFUNCTION("""COMPUTED_VALUE"""),"-")</f>
        <v>-</v>
      </c>
      <c r="F1031" s="1" t="str">
        <f>IFERROR(__xludf.DUMMYFUNCTION("""COMPUTED_VALUE"""),"Ciatoy Brinquedos")</f>
        <v>Ciatoy Brinquedos</v>
      </c>
      <c r="G1031" s="1" t="str">
        <f>IFERROR(__xludf.DUMMYFUNCTION("""COMPUTED_VALUE"""),"Compras")</f>
        <v>Compras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7">
        <f>IFERROR(__xludf.DUMMYFUNCTION("""COMPUTED_VALUE"""),45962.0)</f>
        <v>45962</v>
      </c>
      <c r="B1032" s="1" t="str">
        <f>IFERROR(__xludf.DUMMYFUNCTION("""COMPUTED_VALUE"""),"-")</f>
        <v>-</v>
      </c>
      <c r="C1032" s="1" t="str">
        <f>IFERROR(__xludf.DUMMYFUNCTION("""COMPUTED_VALUE"""),"Nau Terraco")</f>
        <v>Nau Terraco</v>
      </c>
      <c r="D1032" s="2">
        <f>IFERROR(__xludf.DUMMYFUNCTION("""COMPUTED_VALUE"""),335.9)</f>
        <v>335.9</v>
      </c>
      <c r="E1032" s="1" t="str">
        <f>IFERROR(__xludf.DUMMYFUNCTION("""COMPUTED_VALUE"""),"-")</f>
        <v>-</v>
      </c>
      <c r="F1032" s="1" t="str">
        <f>IFERROR(__xludf.DUMMYFUNCTION("""COMPUTED_VALUE"""),"Nau Terraco")</f>
        <v>Nau Terraco</v>
      </c>
      <c r="G1032" s="1" t="str">
        <f>IFERROR(__xludf.DUMMYFUNCTION("""COMPUTED_VALUE"""),"-")</f>
        <v>-</v>
      </c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7">
        <f>IFERROR(__xludf.DUMMYFUNCTION("""COMPUTED_VALUE"""),45962.0)</f>
        <v>45962</v>
      </c>
      <c r="B1033" s="1" t="str">
        <f>IFERROR(__xludf.DUMMYFUNCTION("""COMPUTED_VALUE"""),"-")</f>
        <v>-</v>
      </c>
      <c r="C1033" s="1" t="str">
        <f>IFERROR(__xludf.DUMMYFUNCTION("""COMPUTED_VALUE"""),"Daiso")</f>
        <v>Daiso</v>
      </c>
      <c r="D1033" s="2">
        <f>IFERROR(__xludf.DUMMYFUNCTION("""COMPUTED_VALUE"""),40.98)</f>
        <v>40.98</v>
      </c>
      <c r="E1033" s="1" t="str">
        <f>IFERROR(__xludf.DUMMYFUNCTION("""COMPUTED_VALUE"""),"-")</f>
        <v>-</v>
      </c>
      <c r="F1033" s="1" t="str">
        <f>IFERROR(__xludf.DUMMYFUNCTION("""COMPUTED_VALUE"""),"Daiso")</f>
        <v>Daiso</v>
      </c>
      <c r="G1033" s="1" t="str">
        <f>IFERROR(__xludf.DUMMYFUNCTION("""COMPUTED_VALUE"""),"-")</f>
        <v>-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7">
        <f>IFERROR(__xludf.DUMMYFUNCTION("""COMPUTED_VALUE"""),45962.0)</f>
        <v>45962</v>
      </c>
      <c r="B1034" s="1" t="str">
        <f>IFERROR(__xludf.DUMMYFUNCTION("""COMPUTED_VALUE"""),"-")</f>
        <v>-</v>
      </c>
      <c r="C1034" s="1" t="str">
        <f>IFERROR(__xludf.DUMMYFUNCTION("""COMPUTED_VALUE"""),"Drogasil")</f>
        <v>Drogasil</v>
      </c>
      <c r="D1034" s="2">
        <f>IFERROR(__xludf.DUMMYFUNCTION("""COMPUTED_VALUE"""),7.98)</f>
        <v>7.98</v>
      </c>
      <c r="E1034" s="1" t="str">
        <f>IFERROR(__xludf.DUMMYFUNCTION("""COMPUTED_VALUE"""),"-")</f>
        <v>-</v>
      </c>
      <c r="F1034" s="1" t="str">
        <f>IFERROR(__xludf.DUMMYFUNCTION("""COMPUTED_VALUE"""),"Drogasil")</f>
        <v>Drogasil</v>
      </c>
      <c r="G1034" s="1" t="str">
        <f>IFERROR(__xludf.DUMMYFUNCTION("""COMPUTED_VALUE"""),"-")</f>
        <v>-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7">
        <f>IFERROR(__xludf.DUMMYFUNCTION("""COMPUTED_VALUE"""),45962.0)</f>
        <v>45962</v>
      </c>
      <c r="B1035" s="1" t="str">
        <f>IFERROR(__xludf.DUMMYFUNCTION("""COMPUTED_VALUE"""),"-")</f>
        <v>-</v>
      </c>
      <c r="C1035" s="1" t="str">
        <f>IFERROR(__xludf.DUMMYFUNCTION("""COMPUTED_VALUE"""),"O Rei Do Pao")</f>
        <v>O Rei Do Pao</v>
      </c>
      <c r="D1035" s="2">
        <f>IFERROR(__xludf.DUMMYFUNCTION("""COMPUTED_VALUE"""),23.7)</f>
        <v>23.7</v>
      </c>
      <c r="E1035" s="1" t="str">
        <f>IFERROR(__xludf.DUMMYFUNCTION("""COMPUTED_VALUE"""),"-")</f>
        <v>-</v>
      </c>
      <c r="F1035" s="1" t="str">
        <f>IFERROR(__xludf.DUMMYFUNCTION("""COMPUTED_VALUE"""),"O Rei Do Pao")</f>
        <v>O Rei Do Pao</v>
      </c>
      <c r="G1035" s="1" t="str">
        <f>IFERROR(__xludf.DUMMYFUNCTION("""COMPUTED_VALUE"""),"-")</f>
        <v>-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7">
        <f>IFERROR(__xludf.DUMMYFUNCTION("""COMPUTED_VALUE"""),45962.0)</f>
        <v>45962</v>
      </c>
      <c r="B1036" s="1" t="str">
        <f>IFERROR(__xludf.DUMMYFUNCTION("""COMPUTED_VALUE"""),"-")</f>
        <v>-</v>
      </c>
      <c r="C1036" s="1" t="str">
        <f>IFERROR(__xludf.DUMMYFUNCTION("""COMPUTED_VALUE"""),"Bonnapan")</f>
        <v>Bonnapan</v>
      </c>
      <c r="D1036" s="2">
        <f>IFERROR(__xludf.DUMMYFUNCTION("""COMPUTED_VALUE"""),27.48)</f>
        <v>27.48</v>
      </c>
      <c r="E1036" s="1" t="str">
        <f>IFERROR(__xludf.DUMMYFUNCTION("""COMPUTED_VALUE"""),"-")</f>
        <v>-</v>
      </c>
      <c r="F1036" s="1" t="str">
        <f>IFERROR(__xludf.DUMMYFUNCTION("""COMPUTED_VALUE"""),"Bonnapan")</f>
        <v>Bonnapan</v>
      </c>
      <c r="G1036" s="1" t="str">
        <f>IFERROR(__xludf.DUMMYFUNCTION("""COMPUTED_VALUE"""),"-")</f>
        <v>-</v>
      </c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7">
        <f>IFERROR(__xludf.DUMMYFUNCTION("""COMPUTED_VALUE"""),45962.0)</f>
        <v>45962</v>
      </c>
      <c r="B1037" s="1" t="str">
        <f>IFERROR(__xludf.DUMMYFUNCTION("""COMPUTED_VALUE"""),"-")</f>
        <v>-</v>
      </c>
      <c r="C1037" s="1" t="str">
        <f>IFERROR(__xludf.DUMMYFUNCTION("""COMPUTED_VALUE"""),"Cinco Estrelas")</f>
        <v>Cinco Estrelas</v>
      </c>
      <c r="D1037" s="2">
        <f>IFERROR(__xludf.DUMMYFUNCTION("""COMPUTED_VALUE"""),16.55)</f>
        <v>16.55</v>
      </c>
      <c r="E1037" s="1" t="str">
        <f>IFERROR(__xludf.DUMMYFUNCTION("""COMPUTED_VALUE"""),"-")</f>
        <v>-</v>
      </c>
      <c r="F1037" s="1" t="str">
        <f>IFERROR(__xludf.DUMMYFUNCTION("""COMPUTED_VALUE"""),"Cinco Estrelas")</f>
        <v>Cinco Estrelas</v>
      </c>
      <c r="G1037" s="1" t="str">
        <f>IFERROR(__xludf.DUMMYFUNCTION("""COMPUTED_VALUE"""),"-")</f>
        <v>-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7">
        <f>IFERROR(__xludf.DUMMYFUNCTION("""COMPUTED_VALUE"""),45962.0)</f>
        <v>45962</v>
      </c>
      <c r="B1038" s="1" t="str">
        <f>IFERROR(__xludf.DUMMYFUNCTION("""COMPUTED_VALUE"""),"-")</f>
        <v>-</v>
      </c>
      <c r="C1038" s="1" t="str">
        <f>IFERROR(__xludf.DUMMYFUNCTION("""COMPUTED_VALUE"""),"Sos Casa")</f>
        <v>Sos Casa</v>
      </c>
      <c r="D1038" s="2">
        <f>IFERROR(__xludf.DUMMYFUNCTION("""COMPUTED_VALUE"""),19.9)</f>
        <v>19.9</v>
      </c>
      <c r="E1038" s="1" t="str">
        <f>IFERROR(__xludf.DUMMYFUNCTION("""COMPUTED_VALUE"""),"-")</f>
        <v>-</v>
      </c>
      <c r="F1038" s="1" t="str">
        <f>IFERROR(__xludf.DUMMYFUNCTION("""COMPUTED_VALUE"""),"Sos Casa")</f>
        <v>Sos Casa</v>
      </c>
      <c r="G1038" s="1" t="str">
        <f>IFERROR(__xludf.DUMMYFUNCTION("""COMPUTED_VALUE"""),"-")</f>
        <v>-</v>
      </c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7">
        <f>IFERROR(__xludf.DUMMYFUNCTION("""COMPUTED_VALUE"""),45962.0)</f>
        <v>45962</v>
      </c>
      <c r="B1039" s="1" t="str">
        <f>IFERROR(__xludf.DUMMYFUNCTION("""COMPUTED_VALUE"""),"-")</f>
        <v>-</v>
      </c>
      <c r="C1039" s="1" t="str">
        <f>IFERROR(__xludf.DUMMYFUNCTION("""COMPUTED_VALUE"""),"O Rei Do Pao")</f>
        <v>O Rei Do Pao</v>
      </c>
      <c r="D1039" s="2">
        <f>IFERROR(__xludf.DUMMYFUNCTION("""COMPUTED_VALUE"""),9.5)</f>
        <v>9.5</v>
      </c>
      <c r="E1039" s="1" t="str">
        <f>IFERROR(__xludf.DUMMYFUNCTION("""COMPUTED_VALUE"""),"-")</f>
        <v>-</v>
      </c>
      <c r="F1039" s="1" t="str">
        <f>IFERROR(__xludf.DUMMYFUNCTION("""COMPUTED_VALUE"""),"O Rei Do Pao")</f>
        <v>O Rei Do Pao</v>
      </c>
      <c r="G1039" s="1" t="str">
        <f>IFERROR(__xludf.DUMMYFUNCTION("""COMPUTED_VALUE"""),"-")</f>
        <v>-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7">
        <f>IFERROR(__xludf.DUMMYFUNCTION("""COMPUTED_VALUE"""),45962.0)</f>
        <v>45962</v>
      </c>
      <c r="B1040" s="1" t="str">
        <f>IFERROR(__xludf.DUMMYFUNCTION("""COMPUTED_VALUE"""),"-")</f>
        <v>-</v>
      </c>
      <c r="C1040" s="1" t="str">
        <f>IFERROR(__xludf.DUMMYFUNCTION("""COMPUTED_VALUE"""),"Pé Na Areia Restaurant")</f>
        <v>Pé Na Areia Restaurant</v>
      </c>
      <c r="D1040" s="2">
        <f>IFERROR(__xludf.DUMMYFUNCTION("""COMPUTED_VALUE"""),24.0)</f>
        <v>24</v>
      </c>
      <c r="E1040" s="1" t="str">
        <f>IFERROR(__xludf.DUMMYFUNCTION("""COMPUTED_VALUE"""),"-")</f>
        <v>-</v>
      </c>
      <c r="F1040" s="1" t="str">
        <f>IFERROR(__xludf.DUMMYFUNCTION("""COMPUTED_VALUE"""),"Pé Na Areia Restaurant")</f>
        <v>Pé Na Areia Restaurant</v>
      </c>
      <c r="G1040" s="1" t="str">
        <f>IFERROR(__xludf.DUMMYFUNCTION("""COMPUTED_VALUE"""),"-")</f>
        <v>-</v>
      </c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7">
        <f>IFERROR(__xludf.DUMMYFUNCTION("""COMPUTED_VALUE"""),45962.0)</f>
        <v>45962</v>
      </c>
      <c r="B1041" s="1" t="str">
        <f>IFERROR(__xludf.DUMMYFUNCTION("""COMPUTED_VALUE"""),"-")</f>
        <v>-</v>
      </c>
      <c r="C1041" s="1" t="str">
        <f>IFERROR(__xludf.DUMMYFUNCTION("""COMPUTED_VALUE"""),"Felipeaerobar")</f>
        <v>Felipeaerobar</v>
      </c>
      <c r="D1041" s="2">
        <f>IFERROR(__xludf.DUMMYFUNCTION("""COMPUTED_VALUE"""),15.0)</f>
        <v>15</v>
      </c>
      <c r="E1041" s="1" t="str">
        <f>IFERROR(__xludf.DUMMYFUNCTION("""COMPUTED_VALUE"""),"-")</f>
        <v>-</v>
      </c>
      <c r="F1041" s="1" t="str">
        <f>IFERROR(__xludf.DUMMYFUNCTION("""COMPUTED_VALUE"""),"Felipeaerobar")</f>
        <v>Felipeaerobar</v>
      </c>
      <c r="G1041" s="1" t="str">
        <f>IFERROR(__xludf.DUMMYFUNCTION("""COMPUTED_VALUE"""),"-")</f>
        <v>-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7">
        <f>IFERROR(__xludf.DUMMYFUNCTION("""COMPUTED_VALUE"""),45962.0)</f>
        <v>45962</v>
      </c>
      <c r="B1042" s="1" t="str">
        <f>IFERROR(__xludf.DUMMYFUNCTION("""COMPUTED_VALUE"""),"-")</f>
        <v>-</v>
      </c>
      <c r="C1042" s="1" t="str">
        <f>IFERROR(__xludf.DUMMYFUNCTION("""COMPUTED_VALUE"""),"Pé Na Areia Restaurant")</f>
        <v>Pé Na Areia Restaurant</v>
      </c>
      <c r="D1042" s="2">
        <f>IFERROR(__xludf.DUMMYFUNCTION("""COMPUTED_VALUE"""),22.0)</f>
        <v>22</v>
      </c>
      <c r="E1042" s="1" t="str">
        <f>IFERROR(__xludf.DUMMYFUNCTION("""COMPUTED_VALUE"""),"-")</f>
        <v>-</v>
      </c>
      <c r="F1042" s="1" t="str">
        <f>IFERROR(__xludf.DUMMYFUNCTION("""COMPUTED_VALUE"""),"Pé Na Areia Restaurant")</f>
        <v>Pé Na Areia Restaurant</v>
      </c>
      <c r="G1042" s="1" t="str">
        <f>IFERROR(__xludf.DUMMYFUNCTION("""COMPUTED_VALUE"""),"-")</f>
        <v>-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7">
        <f>IFERROR(__xludf.DUMMYFUNCTION("""COMPUTED_VALUE"""),45962.0)</f>
        <v>45962</v>
      </c>
      <c r="B1043" s="1" t="str">
        <f>IFERROR(__xludf.DUMMYFUNCTION("""COMPUTED_VALUE"""),"-")</f>
        <v>-</v>
      </c>
      <c r="C1043" s="1" t="str">
        <f>IFERROR(__xludf.DUMMYFUNCTION("""COMPUTED_VALUE"""),"Pé Na Areia Restaurant")</f>
        <v>Pé Na Areia Restaurant</v>
      </c>
      <c r="D1043" s="2">
        <f>IFERROR(__xludf.DUMMYFUNCTION("""COMPUTED_VALUE"""),40.0)</f>
        <v>40</v>
      </c>
      <c r="E1043" s="1" t="str">
        <f>IFERROR(__xludf.DUMMYFUNCTION("""COMPUTED_VALUE"""),"-")</f>
        <v>-</v>
      </c>
      <c r="F1043" s="1" t="str">
        <f>IFERROR(__xludf.DUMMYFUNCTION("""COMPUTED_VALUE"""),"Pé Na Areia Restaurant")</f>
        <v>Pé Na Areia Restaurant</v>
      </c>
      <c r="G1043" s="1" t="str">
        <f>IFERROR(__xludf.DUMMYFUNCTION("""COMPUTED_VALUE"""),"-")</f>
        <v>-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7">
        <f>IFERROR(__xludf.DUMMYFUNCTION("""COMPUTED_VALUE"""),45992.0)</f>
        <v>45992</v>
      </c>
      <c r="B1044" s="1" t="str">
        <f>IFERROR(__xludf.DUMMYFUNCTION("""COMPUTED_VALUE"""),"Dezembro")</f>
        <v>Dezembro</v>
      </c>
      <c r="C1044" s="1" t="str">
        <f>IFERROR(__xludf.DUMMYFUNCTION("""COMPUTED_VALUE"""),"Cancelamento - Amazonmktplc Raquelmor")</f>
        <v>Cancelamento - Amazonmktplc Raquelmor</v>
      </c>
      <c r="D1044" s="2">
        <f>IFERROR(__xludf.DUMMYFUNCTION("""COMPUTED_VALUE"""),-61.0)</f>
        <v>-61</v>
      </c>
      <c r="E1044" s="1" t="str">
        <f>IFERROR(__xludf.DUMMYFUNCTION("""COMPUTED_VALUE"""),"-")</f>
        <v>-</v>
      </c>
      <c r="F1044" s="1" t="str">
        <f>IFERROR(__xludf.DUMMYFUNCTION("""COMPUTED_VALUE"""),"Amazonmktplc")</f>
        <v>Amazonmktplc</v>
      </c>
      <c r="G1044" s="1" t="str">
        <f>IFERROR(__xludf.DUMMYFUNCTION("""COMPUTED_VALUE"""),"Compras")</f>
        <v>Compras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7">
        <f>IFERROR(__xludf.DUMMYFUNCTION("""COMPUTED_VALUE"""),45992.0)</f>
        <v>45992</v>
      </c>
      <c r="B1045" s="1"/>
      <c r="C1045" s="1" t="str">
        <f>IFERROR(__xludf.DUMMYFUNCTION("""COMPUTED_VALUE"""),"Desconto Na Parcela 5 De 5 Ciatoy Brinquedos")</f>
        <v>Desconto Na Parcela 5 De 5 Ciatoy Brinquedos</v>
      </c>
      <c r="D1045" s="2">
        <f>IFERROR(__xludf.DUMMYFUNCTION("""COMPUTED_VALUE"""),-0.61)</f>
        <v>-0.61</v>
      </c>
      <c r="E1045" s="1" t="str">
        <f>IFERROR(__xludf.DUMMYFUNCTION("""COMPUTED_VALUE"""),"-")</f>
        <v>-</v>
      </c>
      <c r="F1045" s="1" t="str">
        <f>IFERROR(__xludf.DUMMYFUNCTION("""COMPUTED_VALUE"""),"Desconto Na Parcela 5 De 5 Ciatoy Brinquedos")</f>
        <v>Desconto Na Parcela 5 De 5 Ciatoy Brinquedos</v>
      </c>
      <c r="G1045" s="1" t="str">
        <f>IFERROR(__xludf.DUMMYFUNCTION("""COMPUTED_VALUE"""),"-")</f>
        <v>-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7">
        <f>IFERROR(__xludf.DUMMYFUNCTION("""COMPUTED_VALUE"""),45992.0)</f>
        <v>45992</v>
      </c>
      <c r="B1046" s="1"/>
      <c r="C1046" s="1" t="str">
        <f>IFERROR(__xludf.DUMMYFUNCTION("""COMPUTED_VALUE"""),"Desconto Na Parcela 5 De 5 Shoulder")</f>
        <v>Desconto Na Parcela 5 De 5 Shoulder</v>
      </c>
      <c r="D1046" s="2">
        <f>IFERROR(__xludf.DUMMYFUNCTION("""COMPUTED_VALUE"""),-2.14)</f>
        <v>-2.14</v>
      </c>
      <c r="E1046" s="1" t="str">
        <f>IFERROR(__xludf.DUMMYFUNCTION("""COMPUTED_VALUE"""),"-")</f>
        <v>-</v>
      </c>
      <c r="F1046" s="1" t="str">
        <f>IFERROR(__xludf.DUMMYFUNCTION("""COMPUTED_VALUE"""),"Desconto Na Parcela 5 De 5 Shoulder")</f>
        <v>Desconto Na Parcela 5 De 5 Shoulder</v>
      </c>
      <c r="G1046" s="1" t="str">
        <f>IFERROR(__xludf.DUMMYFUNCTION("""COMPUTED_VALUE"""),"-")</f>
        <v>-</v>
      </c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7">
        <f>IFERROR(__xludf.DUMMYFUNCTION("""COMPUTED_VALUE"""),45992.0)</f>
        <v>45992</v>
      </c>
      <c r="B1047" s="1"/>
      <c r="C1047" s="1" t="str">
        <f>IFERROR(__xludf.DUMMYFUNCTION("""COMPUTED_VALUE"""),"Desconto Na Parcela 4 De 5 Shoulder")</f>
        <v>Desconto Na Parcela 4 De 5 Shoulder</v>
      </c>
      <c r="D1047" s="2">
        <f>IFERROR(__xludf.DUMMYFUNCTION("""COMPUTED_VALUE"""),-1.48)</f>
        <v>-1.48</v>
      </c>
      <c r="E1047" s="1" t="str">
        <f>IFERROR(__xludf.DUMMYFUNCTION("""COMPUTED_VALUE"""),"-")</f>
        <v>-</v>
      </c>
      <c r="F1047" s="1" t="str">
        <f>IFERROR(__xludf.DUMMYFUNCTION("""COMPUTED_VALUE"""),"Desconto Na Parcela 4 De 5 Shoulder")</f>
        <v>Desconto Na Parcela 4 De 5 Shoulder</v>
      </c>
      <c r="G1047" s="1" t="str">
        <f>IFERROR(__xludf.DUMMYFUNCTION("""COMPUTED_VALUE"""),"-")</f>
        <v>-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7">
        <f>IFERROR(__xludf.DUMMYFUNCTION("""COMPUTED_VALUE"""),45992.0)</f>
        <v>45992</v>
      </c>
      <c r="B1048" s="1"/>
      <c r="C1048" s="1" t="str">
        <f>IFERROR(__xludf.DUMMYFUNCTION("""COMPUTED_VALUE"""),"Desconto Na Parcela 4 De 5 Ciatoy Brinquedos")</f>
        <v>Desconto Na Parcela 4 De 5 Ciatoy Brinquedos</v>
      </c>
      <c r="D1048" s="2">
        <f>IFERROR(__xludf.DUMMYFUNCTION("""COMPUTED_VALUE"""),-0.42)</f>
        <v>-0.42</v>
      </c>
      <c r="E1048" s="1" t="str">
        <f>IFERROR(__xludf.DUMMYFUNCTION("""COMPUTED_VALUE"""),"-")</f>
        <v>-</v>
      </c>
      <c r="F1048" s="1" t="str">
        <f>IFERROR(__xludf.DUMMYFUNCTION("""COMPUTED_VALUE"""),"Desconto Na Parcela 4 De 5 Ciatoy Brinquedos")</f>
        <v>Desconto Na Parcela 4 De 5 Ciatoy Brinquedos</v>
      </c>
      <c r="G1048" s="1" t="str">
        <f>IFERROR(__xludf.DUMMYFUNCTION("""COMPUTED_VALUE"""),"-")</f>
        <v>-</v>
      </c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7">
        <f>IFERROR(__xludf.DUMMYFUNCTION("""COMPUTED_VALUE"""),45992.0)</f>
        <v>45992</v>
      </c>
      <c r="B1049" s="1"/>
      <c r="C1049" s="1" t="str">
        <f>IFERROR(__xludf.DUMMYFUNCTION("""COMPUTED_VALUE"""),"Desconto Na Parcela 3 De 5 Ciatoy Brinquedos")</f>
        <v>Desconto Na Parcela 3 De 5 Ciatoy Brinquedos</v>
      </c>
      <c r="D1049" s="2">
        <f>IFERROR(__xludf.DUMMYFUNCTION("""COMPUTED_VALUE"""),-0.21)</f>
        <v>-0.21</v>
      </c>
      <c r="E1049" s="1" t="str">
        <f>IFERROR(__xludf.DUMMYFUNCTION("""COMPUTED_VALUE"""),"-")</f>
        <v>-</v>
      </c>
      <c r="F1049" s="1" t="str">
        <f>IFERROR(__xludf.DUMMYFUNCTION("""COMPUTED_VALUE"""),"Desconto Na Parcela 3 De 5 Ciatoy Brinquedos")</f>
        <v>Desconto Na Parcela 3 De 5 Ciatoy Brinquedos</v>
      </c>
      <c r="G1049" s="1" t="str">
        <f>IFERROR(__xludf.DUMMYFUNCTION("""COMPUTED_VALUE"""),"-")</f>
        <v>-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7">
        <f>IFERROR(__xludf.DUMMYFUNCTION("""COMPUTED_VALUE"""),45992.0)</f>
        <v>45992</v>
      </c>
      <c r="B1050" s="1"/>
      <c r="C1050" s="1" t="str">
        <f>IFERROR(__xludf.DUMMYFUNCTION("""COMPUTED_VALUE"""),"Desconto Na Parcela 3 De 5 Shoulder")</f>
        <v>Desconto Na Parcela 3 De 5 Shoulder</v>
      </c>
      <c r="D1050" s="2">
        <f>IFERROR(__xludf.DUMMYFUNCTION("""COMPUTED_VALUE"""),-0.74)</f>
        <v>-0.74</v>
      </c>
      <c r="E1050" s="1" t="str">
        <f>IFERROR(__xludf.DUMMYFUNCTION("""COMPUTED_VALUE"""),"-")</f>
        <v>-</v>
      </c>
      <c r="F1050" s="1" t="str">
        <f>IFERROR(__xludf.DUMMYFUNCTION("""COMPUTED_VALUE"""),"Desconto Na Parcela 3 De 5 Shoulder")</f>
        <v>Desconto Na Parcela 3 De 5 Shoulder</v>
      </c>
      <c r="G1050" s="1" t="str">
        <f>IFERROR(__xludf.DUMMYFUNCTION("""COMPUTED_VALUE"""),"-")</f>
        <v>-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7">
        <f>IFERROR(__xludf.DUMMYFUNCTION("""COMPUTED_VALUE"""),45992.0)</f>
        <v>45992</v>
      </c>
      <c r="B1051" s="1"/>
      <c r="C1051" s="1" t="str">
        <f>IFERROR(__xludf.DUMMYFUNCTION("""COMPUTED_VALUE"""),"Desconto Na Parcela 3 De 4 Cristiane Greice Costa")</f>
        <v>Desconto Na Parcela 3 De 4 Cristiane Greice Costa</v>
      </c>
      <c r="D1051" s="2">
        <f>IFERROR(__xludf.DUMMYFUNCTION("""COMPUTED_VALUE"""),-2.53)</f>
        <v>-2.53</v>
      </c>
      <c r="E1051" s="1" t="str">
        <f>IFERROR(__xludf.DUMMYFUNCTION("""COMPUTED_VALUE"""),"-")</f>
        <v>-</v>
      </c>
      <c r="F1051" s="1" t="str">
        <f>IFERROR(__xludf.DUMMYFUNCTION("""COMPUTED_VALUE"""),"Desconto Na Parcela 3 De 4 Cristiane Greice Costa")</f>
        <v>Desconto Na Parcela 3 De 4 Cristiane Greice Costa</v>
      </c>
      <c r="G1051" s="1" t="str">
        <f>IFERROR(__xludf.DUMMYFUNCTION("""COMPUTED_VALUE"""),"-")</f>
        <v>-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7">
        <f>IFERROR(__xludf.DUMMYFUNCTION("""COMPUTED_VALUE"""),45992.0)</f>
        <v>45992</v>
      </c>
      <c r="B1052" s="1"/>
      <c r="C1052" s="1" t="str">
        <f>IFERROR(__xludf.DUMMYFUNCTION("""COMPUTED_VALUE"""),"Desconto Na Parcela 4 De 4 Cristiane Greice Costa")</f>
        <v>Desconto Na Parcela 4 De 4 Cristiane Greice Costa</v>
      </c>
      <c r="D1052" s="2">
        <f>IFERROR(__xludf.DUMMYFUNCTION("""COMPUTED_VALUE"""),-3.67)</f>
        <v>-3.67</v>
      </c>
      <c r="E1052" s="1" t="str">
        <f>IFERROR(__xludf.DUMMYFUNCTION("""COMPUTED_VALUE"""),"-")</f>
        <v>-</v>
      </c>
      <c r="F1052" s="1" t="str">
        <f>IFERROR(__xludf.DUMMYFUNCTION("""COMPUTED_VALUE"""),"Desconto Na Parcela 4 De 4 Cristiane Greice Costa")</f>
        <v>Desconto Na Parcela 4 De 4 Cristiane Greice Costa</v>
      </c>
      <c r="G1052" s="1" t="str">
        <f>IFERROR(__xludf.DUMMYFUNCTION("""COMPUTED_VALUE"""),"-")</f>
        <v>-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7">
        <f>IFERROR(__xludf.DUMMYFUNCTION("""COMPUTED_VALUE"""),45992.0)</f>
        <v>45992</v>
      </c>
      <c r="B1053" s="1"/>
      <c r="C1053" s="1" t="str">
        <f>IFERROR(__xludf.DUMMYFUNCTION("""COMPUTED_VALUE"""),"Desconto Na Parcela 2 De 4 Cristiane Greice Costa")</f>
        <v>Desconto Na Parcela 2 De 4 Cristiane Greice Costa</v>
      </c>
      <c r="D1053" s="2">
        <f>IFERROR(__xludf.DUMMYFUNCTION("""COMPUTED_VALUE"""),-1.27)</f>
        <v>-1.27</v>
      </c>
      <c r="E1053" s="1" t="str">
        <f>IFERROR(__xludf.DUMMYFUNCTION("""COMPUTED_VALUE"""),"-")</f>
        <v>-</v>
      </c>
      <c r="F1053" s="1" t="str">
        <f>IFERROR(__xludf.DUMMYFUNCTION("""COMPUTED_VALUE"""),"Desconto Na Parcela 2 De 4 Cristiane Greice Costa")</f>
        <v>Desconto Na Parcela 2 De 4 Cristiane Greice Costa</v>
      </c>
      <c r="G1053" s="1" t="str">
        <f>IFERROR(__xludf.DUMMYFUNCTION("""COMPUTED_VALUE"""),"-")</f>
        <v>-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7">
        <f>IFERROR(__xludf.DUMMYFUNCTION("""COMPUTED_VALUE"""),45992.0)</f>
        <v>45992</v>
      </c>
      <c r="B1054" s="1"/>
      <c r="C1054" s="1" t="str">
        <f>IFERROR(__xludf.DUMMYFUNCTION("""COMPUTED_VALUE"""),"Desconto Na Parcela 2 De 2 Lupo")</f>
        <v>Desconto Na Parcela 2 De 2 Lupo</v>
      </c>
      <c r="D1054" s="2">
        <f>IFERROR(__xludf.DUMMYFUNCTION("""COMPUTED_VALUE"""),-0.21)</f>
        <v>-0.21</v>
      </c>
      <c r="E1054" s="1" t="str">
        <f>IFERROR(__xludf.DUMMYFUNCTION("""COMPUTED_VALUE"""),"-")</f>
        <v>-</v>
      </c>
      <c r="F1054" s="1" t="str">
        <f>IFERROR(__xludf.DUMMYFUNCTION("""COMPUTED_VALUE"""),"Desconto Na Parcela 2 De 2 Lupo")</f>
        <v>Desconto Na Parcela 2 De 2 Lupo</v>
      </c>
      <c r="G1054" s="1" t="str">
        <f>IFERROR(__xludf.DUMMYFUNCTION("""COMPUTED_VALUE"""),"-")</f>
        <v>-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7">
        <f>IFERROR(__xludf.DUMMYFUNCTION("""COMPUTED_VALUE"""),45992.0)</f>
        <v>45992</v>
      </c>
      <c r="B1055" s="1"/>
      <c r="C1055" s="1" t="str">
        <f>IFERROR(__xludf.DUMMYFUNCTION("""COMPUTED_VALUE"""),"Desconto Na Parcela 3 De 3 Dma Distribuidora Sa")</f>
        <v>Desconto Na Parcela 3 De 3 Dma Distribuidora Sa</v>
      </c>
      <c r="D1055" s="2">
        <f>IFERROR(__xludf.DUMMYFUNCTION("""COMPUTED_VALUE"""),-0.64)</f>
        <v>-0.64</v>
      </c>
      <c r="E1055" s="1" t="str">
        <f>IFERROR(__xludf.DUMMYFUNCTION("""COMPUTED_VALUE"""),"-")</f>
        <v>-</v>
      </c>
      <c r="F1055" s="1" t="str">
        <f>IFERROR(__xludf.DUMMYFUNCTION("""COMPUTED_VALUE"""),"Desconto Na Parcela 3 De 3 Dma Distribuidora Sa")</f>
        <v>Desconto Na Parcela 3 De 3 Dma Distribuidora Sa</v>
      </c>
      <c r="G1055" s="1" t="str">
        <f>IFERROR(__xludf.DUMMYFUNCTION("""COMPUTED_VALUE"""),"-")</f>
        <v>-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7">
        <f>IFERROR(__xludf.DUMMYFUNCTION("""COMPUTED_VALUE"""),45992.0)</f>
        <v>45992</v>
      </c>
      <c r="B1056" s="1"/>
      <c r="C1056" s="1" t="str">
        <f>IFERROR(__xludf.DUMMYFUNCTION("""COMPUTED_VALUE"""),"Desconto Na Parcela 2 De 3 Dma Distribuidora Sa")</f>
        <v>Desconto Na Parcela 2 De 3 Dma Distribuidora Sa</v>
      </c>
      <c r="D1056" s="2">
        <f>IFERROR(__xludf.DUMMYFUNCTION("""COMPUTED_VALUE"""),-0.32)</f>
        <v>-0.32</v>
      </c>
      <c r="E1056" s="1" t="str">
        <f>IFERROR(__xludf.DUMMYFUNCTION("""COMPUTED_VALUE"""),"-")</f>
        <v>-</v>
      </c>
      <c r="F1056" s="1" t="str">
        <f>IFERROR(__xludf.DUMMYFUNCTION("""COMPUTED_VALUE"""),"Desconto Na Parcela 2 De 3 Dma Distribuidora Sa")</f>
        <v>Desconto Na Parcela 2 De 3 Dma Distribuidora Sa</v>
      </c>
      <c r="G1056" s="1" t="str">
        <f>IFERROR(__xludf.DUMMYFUNCTION("""COMPUTED_VALUE"""),"-")</f>
        <v>-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7">
        <f>IFERROR(__xludf.DUMMYFUNCTION("""COMPUTED_VALUE"""),45992.0)</f>
        <v>45992</v>
      </c>
      <c r="B1057" s="1"/>
      <c r="C1057" s="1" t="str">
        <f>IFERROR(__xludf.DUMMYFUNCTION("""COMPUTED_VALUE"""),"Desconto Na Parcela 4 De 4 Drogaria Ara Araujo")</f>
        <v>Desconto Na Parcela 4 De 4 Drogaria Ara Araujo</v>
      </c>
      <c r="D1057" s="2">
        <f>IFERROR(__xludf.DUMMYFUNCTION("""COMPUTED_VALUE"""),-0.72)</f>
        <v>-0.72</v>
      </c>
      <c r="E1057" s="1" t="str">
        <f>IFERROR(__xludf.DUMMYFUNCTION("""COMPUTED_VALUE"""),"-")</f>
        <v>-</v>
      </c>
      <c r="F1057" s="1" t="str">
        <f>IFERROR(__xludf.DUMMYFUNCTION("""COMPUTED_VALUE"""),"Desconto Na Parcela 4 De 4 Drogaria Ara Araujo")</f>
        <v>Desconto Na Parcela 4 De 4 Drogaria Ara Araujo</v>
      </c>
      <c r="G1057" s="1" t="str">
        <f>IFERROR(__xludf.DUMMYFUNCTION("""COMPUTED_VALUE"""),"-")</f>
        <v>-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7">
        <f>IFERROR(__xludf.DUMMYFUNCTION("""COMPUTED_VALUE"""),45992.0)</f>
        <v>45992</v>
      </c>
      <c r="B1058" s="1"/>
      <c r="C1058" s="1" t="str">
        <f>IFERROR(__xludf.DUMMYFUNCTION("""COMPUTED_VALUE"""),"Desconto Na Parcela 3 De 4 Drogaria Ara Araujo")</f>
        <v>Desconto Na Parcela 3 De 4 Drogaria Ara Araujo</v>
      </c>
      <c r="D1058" s="2">
        <f>IFERROR(__xludf.DUMMYFUNCTION("""COMPUTED_VALUE"""),-0.5)</f>
        <v>-0.5</v>
      </c>
      <c r="E1058" s="1" t="str">
        <f>IFERROR(__xludf.DUMMYFUNCTION("""COMPUTED_VALUE"""),"-")</f>
        <v>-</v>
      </c>
      <c r="F1058" s="1" t="str">
        <f>IFERROR(__xludf.DUMMYFUNCTION("""COMPUTED_VALUE"""),"Desconto Na Parcela 3 De 4 Drogaria Ara Araujo")</f>
        <v>Desconto Na Parcela 3 De 4 Drogaria Ara Araujo</v>
      </c>
      <c r="G1058" s="1" t="str">
        <f>IFERROR(__xludf.DUMMYFUNCTION("""COMPUTED_VALUE"""),"-")</f>
        <v>-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7">
        <f>IFERROR(__xludf.DUMMYFUNCTION("""COMPUTED_VALUE"""),45992.0)</f>
        <v>45992</v>
      </c>
      <c r="B1059" s="1"/>
      <c r="C1059" s="1" t="str">
        <f>IFERROR(__xludf.DUMMYFUNCTION("""COMPUTED_VALUE"""),"Desconto Na Parcela 2 De 4 Drogaria Ara Araujo")</f>
        <v>Desconto Na Parcela 2 De 4 Drogaria Ara Araujo</v>
      </c>
      <c r="D1059" s="2">
        <f>IFERROR(__xludf.DUMMYFUNCTION("""COMPUTED_VALUE"""),-0.25)</f>
        <v>-0.25</v>
      </c>
      <c r="E1059" s="1" t="str">
        <f>IFERROR(__xludf.DUMMYFUNCTION("""COMPUTED_VALUE"""),"-")</f>
        <v>-</v>
      </c>
      <c r="F1059" s="1" t="str">
        <f>IFERROR(__xludf.DUMMYFUNCTION("""COMPUTED_VALUE"""),"Desconto Na Parcela 2 De 4 Drogaria Ara Araujo")</f>
        <v>Desconto Na Parcela 2 De 4 Drogaria Ara Araujo</v>
      </c>
      <c r="G1059" s="1" t="str">
        <f>IFERROR(__xludf.DUMMYFUNCTION("""COMPUTED_VALUE"""),"-")</f>
        <v>-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7">
        <f>IFERROR(__xludf.DUMMYFUNCTION("""COMPUTED_VALUE"""),45992.0)</f>
        <v>45992</v>
      </c>
      <c r="B1060" s="1"/>
      <c r="C1060" s="1" t="str">
        <f>IFERROR(__xludf.DUMMYFUNCTION("""COMPUTED_VALUE"""),"Desconto Na Parcela 3 De 3 Mercado Livre")</f>
        <v>Desconto Na Parcela 3 De 3 Mercado Livre</v>
      </c>
      <c r="D1060" s="2">
        <f>IFERROR(__xludf.DUMMYFUNCTION("""COMPUTED_VALUE"""),-0.54)</f>
        <v>-0.54</v>
      </c>
      <c r="E1060" s="1" t="str">
        <f>IFERROR(__xludf.DUMMYFUNCTION("""COMPUTED_VALUE"""),"-")</f>
        <v>-</v>
      </c>
      <c r="F1060" s="1" t="str">
        <f>IFERROR(__xludf.DUMMYFUNCTION("""COMPUTED_VALUE"""),"Desconto Na Parcela 3 De 3 Mercado Livre")</f>
        <v>Desconto Na Parcela 3 De 3 Mercado Livre</v>
      </c>
      <c r="G1060" s="1" t="str">
        <f>IFERROR(__xludf.DUMMYFUNCTION("""COMPUTED_VALUE"""),"-")</f>
        <v>-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7">
        <f>IFERROR(__xludf.DUMMYFUNCTION("""COMPUTED_VALUE"""),45992.0)</f>
        <v>45992</v>
      </c>
      <c r="B1061" s="1"/>
      <c r="C1061" s="1" t="str">
        <f>IFERROR(__xludf.DUMMYFUNCTION("""COMPUTED_VALUE"""),"Desconto Na Parcela 2 De 3 Mercado Livre")</f>
        <v>Desconto Na Parcela 2 De 3 Mercado Livre</v>
      </c>
      <c r="D1061" s="2">
        <f>IFERROR(__xludf.DUMMYFUNCTION("""COMPUTED_VALUE"""),-0.27)</f>
        <v>-0.27</v>
      </c>
      <c r="E1061" s="1" t="str">
        <f>IFERROR(__xludf.DUMMYFUNCTION("""COMPUTED_VALUE"""),"-")</f>
        <v>-</v>
      </c>
      <c r="F1061" s="1" t="str">
        <f>IFERROR(__xludf.DUMMYFUNCTION("""COMPUTED_VALUE"""),"Desconto Na Parcela 2 De 3 Mercado Livre")</f>
        <v>Desconto Na Parcela 2 De 3 Mercado Livre</v>
      </c>
      <c r="G1061" s="1" t="str">
        <f>IFERROR(__xludf.DUMMYFUNCTION("""COMPUTED_VALUE"""),"-")</f>
        <v>-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7">
        <f>IFERROR(__xludf.DUMMYFUNCTION("""COMPUTED_VALUE"""),45992.0)</f>
        <v>45992</v>
      </c>
      <c r="B1062" s="1"/>
      <c r="C1062" s="1" t="str">
        <f>IFERROR(__xludf.DUMMYFUNCTION("""COMPUTED_VALUE"""),"Desconto Na Parcela 3 De 3 Mercado Livre")</f>
        <v>Desconto Na Parcela 3 De 3 Mercado Livre</v>
      </c>
      <c r="D1062" s="2">
        <f>IFERROR(__xludf.DUMMYFUNCTION("""COMPUTED_VALUE"""),-0.37)</f>
        <v>-0.37</v>
      </c>
      <c r="E1062" s="1" t="str">
        <f>IFERROR(__xludf.DUMMYFUNCTION("""COMPUTED_VALUE"""),"-")</f>
        <v>-</v>
      </c>
      <c r="F1062" s="1" t="str">
        <f>IFERROR(__xludf.DUMMYFUNCTION("""COMPUTED_VALUE"""),"Desconto Na Parcela 3 De 3 Mercado Livre")</f>
        <v>Desconto Na Parcela 3 De 3 Mercado Livre</v>
      </c>
      <c r="G1062" s="1" t="str">
        <f>IFERROR(__xludf.DUMMYFUNCTION("""COMPUTED_VALUE"""),"-")</f>
        <v>-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7">
        <f>IFERROR(__xludf.DUMMYFUNCTION("""COMPUTED_VALUE"""),45992.0)</f>
        <v>45992</v>
      </c>
      <c r="B1063" s="1"/>
      <c r="C1063" s="1" t="str">
        <f>IFERROR(__xludf.DUMMYFUNCTION("""COMPUTED_VALUE"""),"Desconto Na Parcela 2 De 3 Mercado Livre")</f>
        <v>Desconto Na Parcela 2 De 3 Mercado Livre</v>
      </c>
      <c r="D1063" s="2">
        <f>IFERROR(__xludf.DUMMYFUNCTION("""COMPUTED_VALUE"""),-0.19)</f>
        <v>-0.19</v>
      </c>
      <c r="E1063" s="1" t="str">
        <f>IFERROR(__xludf.DUMMYFUNCTION("""COMPUTED_VALUE"""),"-")</f>
        <v>-</v>
      </c>
      <c r="F1063" s="1" t="str">
        <f>IFERROR(__xludf.DUMMYFUNCTION("""COMPUTED_VALUE"""),"Desconto Na Parcela 2 De 3 Mercado Livre")</f>
        <v>Desconto Na Parcela 2 De 3 Mercado Livre</v>
      </c>
      <c r="G1063" s="1" t="str">
        <f>IFERROR(__xludf.DUMMYFUNCTION("""COMPUTED_VALUE"""),"-")</f>
        <v>-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7">
        <f>IFERROR(__xludf.DUMMYFUNCTION("""COMPUTED_VALUE"""),45992.0)</f>
        <v>45992</v>
      </c>
      <c r="B1064" s="1"/>
      <c r="C1064" s="1" t="str">
        <f>IFERROR(__xludf.DUMMYFUNCTION("""COMPUTED_VALUE"""),"Shoulder (5/5)")</f>
        <v>Shoulder (5/5)</v>
      </c>
      <c r="D1064" s="2">
        <f>IFERROR(__xludf.DUMMYFUNCTION("""COMPUTED_VALUE"""),197.19)</f>
        <v>197.19</v>
      </c>
      <c r="E1064" s="1" t="str">
        <f>IFERROR(__xludf.DUMMYFUNCTION("""COMPUTED_VALUE"""),"-")</f>
        <v>-</v>
      </c>
      <c r="F1064" s="1" t="str">
        <f>IFERROR(__xludf.DUMMYFUNCTION("""COMPUTED_VALUE"""),"Shoulder")</f>
        <v>Shoulder</v>
      </c>
      <c r="G1064" s="1" t="str">
        <f>IFERROR(__xludf.DUMMYFUNCTION("""COMPUTED_VALUE"""),"Compras")</f>
        <v>Compras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7">
        <f>IFERROR(__xludf.DUMMYFUNCTION("""COMPUTED_VALUE"""),45992.0)</f>
        <v>45992</v>
      </c>
      <c r="B1065" s="1"/>
      <c r="C1065" s="1" t="str">
        <f>IFERROR(__xludf.DUMMYFUNCTION("""COMPUTED_VALUE"""),"Shoulder (4/5)")</f>
        <v>Shoulder (4/5)</v>
      </c>
      <c r="D1065" s="2">
        <f>IFERROR(__xludf.DUMMYFUNCTION("""COMPUTED_VALUE"""),197.19)</f>
        <v>197.19</v>
      </c>
      <c r="E1065" s="1" t="str">
        <f>IFERROR(__xludf.DUMMYFUNCTION("""COMPUTED_VALUE"""),"-")</f>
        <v>-</v>
      </c>
      <c r="F1065" s="1" t="str">
        <f>IFERROR(__xludf.DUMMYFUNCTION("""COMPUTED_VALUE"""),"Shoulder")</f>
        <v>Shoulder</v>
      </c>
      <c r="G1065" s="1" t="str">
        <f>IFERROR(__xludf.DUMMYFUNCTION("""COMPUTED_VALUE"""),"Compras")</f>
        <v>Compras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7">
        <f>IFERROR(__xludf.DUMMYFUNCTION("""COMPUTED_VALUE"""),45992.0)</f>
        <v>45992</v>
      </c>
      <c r="B1066" s="1"/>
      <c r="C1066" s="1" t="str">
        <f>IFERROR(__xludf.DUMMYFUNCTION("""COMPUTED_VALUE"""),"Shoulder (3/5)")</f>
        <v>Shoulder (3/5)</v>
      </c>
      <c r="D1066" s="2">
        <f>IFERROR(__xludf.DUMMYFUNCTION("""COMPUTED_VALUE"""),197.19)</f>
        <v>197.19</v>
      </c>
      <c r="E1066" s="1" t="str">
        <f>IFERROR(__xludf.DUMMYFUNCTION("""COMPUTED_VALUE"""),"-")</f>
        <v>-</v>
      </c>
      <c r="F1066" s="1" t="str">
        <f>IFERROR(__xludf.DUMMYFUNCTION("""COMPUTED_VALUE"""),"Shoulder")</f>
        <v>Shoulder</v>
      </c>
      <c r="G1066" s="1" t="str">
        <f>IFERROR(__xludf.DUMMYFUNCTION("""COMPUTED_VALUE"""),"Compras")</f>
        <v>Compras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7">
        <f>IFERROR(__xludf.DUMMYFUNCTION("""COMPUTED_VALUE"""),45992.0)</f>
        <v>45992</v>
      </c>
      <c r="B1067" s="1"/>
      <c r="C1067" s="1" t="str">
        <f>IFERROR(__xludf.DUMMYFUNCTION("""COMPUTED_VALUE"""),"Shoulder (2/5)")</f>
        <v>Shoulder (2/5)</v>
      </c>
      <c r="D1067" s="2">
        <f>IFERROR(__xludf.DUMMYFUNCTION("""COMPUTED_VALUE"""),197.19)</f>
        <v>197.19</v>
      </c>
      <c r="E1067" s="1" t="str">
        <f>IFERROR(__xludf.DUMMYFUNCTION("""COMPUTED_VALUE"""),"-")</f>
        <v>-</v>
      </c>
      <c r="F1067" s="1" t="str">
        <f>IFERROR(__xludf.DUMMYFUNCTION("""COMPUTED_VALUE"""),"Shoulder")</f>
        <v>Shoulder</v>
      </c>
      <c r="G1067" s="1" t="str">
        <f>IFERROR(__xludf.DUMMYFUNCTION("""COMPUTED_VALUE"""),"Compras")</f>
        <v>Compras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7">
        <f>IFERROR(__xludf.DUMMYFUNCTION("""COMPUTED_VALUE"""),45992.0)</f>
        <v>45992</v>
      </c>
      <c r="B1068" s="1"/>
      <c r="C1068" s="1" t="str">
        <f>IFERROR(__xludf.DUMMYFUNCTION("""COMPUTED_VALUE"""),"Ciatoy Brinquedos (5/5)")</f>
        <v>Ciatoy Brinquedos (5/5)</v>
      </c>
      <c r="D1068" s="2">
        <f>IFERROR(__xludf.DUMMYFUNCTION("""COMPUTED_VALUE"""),55.8)</f>
        <v>55.8</v>
      </c>
      <c r="E1068" s="1" t="str">
        <f>IFERROR(__xludf.DUMMYFUNCTION("""COMPUTED_VALUE"""),"-")</f>
        <v>-</v>
      </c>
      <c r="F1068" s="1" t="str">
        <f>IFERROR(__xludf.DUMMYFUNCTION("""COMPUTED_VALUE"""),"Ciatoy Brinquedos")</f>
        <v>Ciatoy Brinquedos</v>
      </c>
      <c r="G1068" s="1" t="str">
        <f>IFERROR(__xludf.DUMMYFUNCTION("""COMPUTED_VALUE"""),"Compras")</f>
        <v>Compras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7">
        <f>IFERROR(__xludf.DUMMYFUNCTION("""COMPUTED_VALUE"""),45992.0)</f>
        <v>45992</v>
      </c>
      <c r="B1069" s="1"/>
      <c r="C1069" s="1" t="str">
        <f>IFERROR(__xludf.DUMMYFUNCTION("""COMPUTED_VALUE"""),"Ciatoy Brinquedos (4/5)")</f>
        <v>Ciatoy Brinquedos (4/5)</v>
      </c>
      <c r="D1069" s="2">
        <f>IFERROR(__xludf.DUMMYFUNCTION("""COMPUTED_VALUE"""),55.8)</f>
        <v>55.8</v>
      </c>
      <c r="E1069" s="1" t="str">
        <f>IFERROR(__xludf.DUMMYFUNCTION("""COMPUTED_VALUE"""),"-")</f>
        <v>-</v>
      </c>
      <c r="F1069" s="1" t="str">
        <f>IFERROR(__xludf.DUMMYFUNCTION("""COMPUTED_VALUE"""),"Ciatoy Brinquedos")</f>
        <v>Ciatoy Brinquedos</v>
      </c>
      <c r="G1069" s="1" t="str">
        <f>IFERROR(__xludf.DUMMYFUNCTION("""COMPUTED_VALUE"""),"Compras")</f>
        <v>Compras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7">
        <f>IFERROR(__xludf.DUMMYFUNCTION("""COMPUTED_VALUE"""),45992.0)</f>
        <v>45992</v>
      </c>
      <c r="B1070" s="1"/>
      <c r="C1070" s="1" t="str">
        <f>IFERROR(__xludf.DUMMYFUNCTION("""COMPUTED_VALUE"""),"Ciatoy Brinquedos (3/5)")</f>
        <v>Ciatoy Brinquedos (3/5)</v>
      </c>
      <c r="D1070" s="2">
        <f>IFERROR(__xludf.DUMMYFUNCTION("""COMPUTED_VALUE"""),55.8)</f>
        <v>55.8</v>
      </c>
      <c r="E1070" s="1" t="str">
        <f>IFERROR(__xludf.DUMMYFUNCTION("""COMPUTED_VALUE"""),"-")</f>
        <v>-</v>
      </c>
      <c r="F1070" s="1" t="str">
        <f>IFERROR(__xludf.DUMMYFUNCTION("""COMPUTED_VALUE"""),"Ciatoy Brinquedos")</f>
        <v>Ciatoy Brinquedos</v>
      </c>
      <c r="G1070" s="1" t="str">
        <f>IFERROR(__xludf.DUMMYFUNCTION("""COMPUTED_VALUE"""),"Compras")</f>
        <v>Compras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7">
        <f>IFERROR(__xludf.DUMMYFUNCTION("""COMPUTED_VALUE"""),45992.0)</f>
        <v>45992</v>
      </c>
      <c r="B1071" s="1"/>
      <c r="C1071" s="1" t="str">
        <f>IFERROR(__xludf.DUMMYFUNCTION("""COMPUTED_VALUE"""),"Ciatoy Brinquedos (2/5)")</f>
        <v>Ciatoy Brinquedos (2/5)</v>
      </c>
      <c r="D1071" s="2">
        <f>IFERROR(__xludf.DUMMYFUNCTION("""COMPUTED_VALUE"""),55.8)</f>
        <v>55.8</v>
      </c>
      <c r="E1071" s="1" t="str">
        <f>IFERROR(__xludf.DUMMYFUNCTION("""COMPUTED_VALUE"""),"-")</f>
        <v>-</v>
      </c>
      <c r="F1071" s="1" t="str">
        <f>IFERROR(__xludf.DUMMYFUNCTION("""COMPUTED_VALUE"""),"Ciatoy Brinquedos")</f>
        <v>Ciatoy Brinquedos</v>
      </c>
      <c r="G1071" s="1" t="str">
        <f>IFERROR(__xludf.DUMMYFUNCTION("""COMPUTED_VALUE"""),"Compras")</f>
        <v>Compras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7">
        <f>IFERROR(__xludf.DUMMYFUNCTION("""COMPUTED_VALUE"""),45992.0)</f>
        <v>45992</v>
      </c>
      <c r="B1072" s="1"/>
      <c r="C1072" s="1" t="str">
        <f>IFERROR(__xludf.DUMMYFUNCTION("""COMPUTED_VALUE"""),"Quality Eptg")</f>
        <v>Quality Eptg</v>
      </c>
      <c r="D1072" s="2">
        <f>IFERROR(__xludf.DUMMYFUNCTION("""COMPUTED_VALUE"""),181.45)</f>
        <v>181.45</v>
      </c>
      <c r="E1072" s="1" t="str">
        <f>IFERROR(__xludf.DUMMYFUNCTION("""COMPUTED_VALUE"""),"-")</f>
        <v>-</v>
      </c>
      <c r="F1072" s="1" t="str">
        <f>IFERROR(__xludf.DUMMYFUNCTION("""COMPUTED_VALUE"""),"Quality Eptg")</f>
        <v>Quality Eptg</v>
      </c>
      <c r="G1072" s="1" t="str">
        <f>IFERROR(__xludf.DUMMYFUNCTION("""COMPUTED_VALUE"""),"-")</f>
        <v>-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7">
        <f>IFERROR(__xludf.DUMMYFUNCTION("""COMPUTED_VALUE"""),45992.0)</f>
        <v>45992</v>
      </c>
      <c r="B1073" s="1"/>
      <c r="C1073" s="1" t="str">
        <f>IFERROR(__xludf.DUMMYFUNCTION("""COMPUTED_VALUE"""),"Empório Fazenda Velha")</f>
        <v>Empório Fazenda Velha</v>
      </c>
      <c r="D1073" s="2">
        <f>IFERROR(__xludf.DUMMYFUNCTION("""COMPUTED_VALUE"""),106.0)</f>
        <v>106</v>
      </c>
      <c r="E1073" s="1" t="str">
        <f>IFERROR(__xludf.DUMMYFUNCTION("""COMPUTED_VALUE"""),"-")</f>
        <v>-</v>
      </c>
      <c r="F1073" s="1" t="str">
        <f>IFERROR(__xludf.DUMMYFUNCTION("""COMPUTED_VALUE"""),"Empório Fazenda Velha")</f>
        <v>Empório Fazenda Velha</v>
      </c>
      <c r="G1073" s="1" t="str">
        <f>IFERROR(__xludf.DUMMYFUNCTION("""COMPUTED_VALUE"""),"Comida")</f>
        <v>Comida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7">
        <f>IFERROR(__xludf.DUMMYFUNCTION("""COMPUTED_VALUE"""),45992.0)</f>
        <v>45992</v>
      </c>
      <c r="B1074" s="1"/>
      <c r="C1074" s="1" t="str">
        <f>IFERROR(__xludf.DUMMYFUNCTION("""COMPUTED_VALUE"""),"Auto Posto Maquine")</f>
        <v>Auto Posto Maquine</v>
      </c>
      <c r="D1074" s="2">
        <f>IFERROR(__xludf.DUMMYFUNCTION("""COMPUTED_VALUE"""),153.95)</f>
        <v>153.95</v>
      </c>
      <c r="E1074" s="1" t="str">
        <f>IFERROR(__xludf.DUMMYFUNCTION("""COMPUTED_VALUE"""),"-")</f>
        <v>-</v>
      </c>
      <c r="F1074" s="1" t="str">
        <f>IFERROR(__xludf.DUMMYFUNCTION("""COMPUTED_VALUE"""),"Auto Posto Maquine")</f>
        <v>Auto Posto Maquine</v>
      </c>
      <c r="G1074" s="1" t="str">
        <f>IFERROR(__xludf.DUMMYFUNCTION("""COMPUTED_VALUE"""),"Carro")</f>
        <v>Carro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7">
        <f>IFERROR(__xludf.DUMMYFUNCTION("""COMPUTED_VALUE"""),45992.0)</f>
        <v>45992</v>
      </c>
      <c r="B1075" s="1"/>
      <c r="C1075" s="1" t="str">
        <f>IFERROR(__xludf.DUMMYFUNCTION("""COMPUTED_VALUE"""),"Delicias Da Mandy")</f>
        <v>Delicias Da Mandy</v>
      </c>
      <c r="D1075" s="2">
        <f>IFERROR(__xludf.DUMMYFUNCTION("""COMPUTED_VALUE"""),23.5)</f>
        <v>23.5</v>
      </c>
      <c r="E1075" s="1" t="str">
        <f>IFERROR(__xludf.DUMMYFUNCTION("""COMPUTED_VALUE"""),"-")</f>
        <v>-</v>
      </c>
      <c r="F1075" s="1" t="str">
        <f>IFERROR(__xludf.DUMMYFUNCTION("""COMPUTED_VALUE"""),"Delicias Da Mandy")</f>
        <v>Delicias Da Mandy</v>
      </c>
      <c r="G1075" s="1" t="str">
        <f>IFERROR(__xludf.DUMMYFUNCTION("""COMPUTED_VALUE"""),"Comida")</f>
        <v>Comida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7">
        <f>IFERROR(__xludf.DUMMYFUNCTION("""COMPUTED_VALUE"""),45992.0)</f>
        <v>45992</v>
      </c>
      <c r="B1076" s="1"/>
      <c r="C1076" s="1" t="str">
        <f>IFERROR(__xludf.DUMMYFUNCTION("""COMPUTED_VALUE"""),"Romerito")</f>
        <v>Romerito</v>
      </c>
      <c r="D1076" s="2">
        <f>IFERROR(__xludf.DUMMYFUNCTION("""COMPUTED_VALUE"""),150.0)</f>
        <v>150</v>
      </c>
      <c r="E1076" s="1" t="str">
        <f>IFERROR(__xludf.DUMMYFUNCTION("""COMPUTED_VALUE"""),"-")</f>
        <v>-</v>
      </c>
      <c r="F1076" s="1" t="str">
        <f>IFERROR(__xludf.DUMMYFUNCTION("""COMPUTED_VALUE"""),"Romerito")</f>
        <v>Romerito</v>
      </c>
      <c r="G1076" s="1" t="str">
        <f>IFERROR(__xludf.DUMMYFUNCTION("""COMPUTED_VALUE"""),"-")</f>
        <v>-</v>
      </c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7">
        <f>IFERROR(__xludf.DUMMYFUNCTION("""COMPUTED_VALUE"""),45992.0)</f>
        <v>45992</v>
      </c>
      <c r="B1077" s="1"/>
      <c r="C1077" s="1" t="str">
        <f>IFERROR(__xludf.DUMMYFUNCTION("""COMPUTED_VALUE"""),"Mercado Livre")</f>
        <v>Mercado Livre</v>
      </c>
      <c r="D1077" s="2">
        <f>IFERROR(__xludf.DUMMYFUNCTION("""COMPUTED_VALUE"""),38.9)</f>
        <v>38.9</v>
      </c>
      <c r="E1077" s="1" t="str">
        <f>IFERROR(__xludf.DUMMYFUNCTION("""COMPUTED_VALUE"""),"-")</f>
        <v>-</v>
      </c>
      <c r="F1077" s="1" t="str">
        <f>IFERROR(__xludf.DUMMYFUNCTION("""COMPUTED_VALUE"""),"Mercado Livre")</f>
        <v>Mercado Livre</v>
      </c>
      <c r="G1077" s="1" t="str">
        <f>IFERROR(__xludf.DUMMYFUNCTION("""COMPUTED_VALUE"""),"Compras")</f>
        <v>Compras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7">
        <f>IFERROR(__xludf.DUMMYFUNCTION("""COMPUTED_VALUE"""),45992.0)</f>
        <v>45992</v>
      </c>
      <c r="B1078" s="1"/>
      <c r="C1078" s="1" t="str">
        <f>IFERROR(__xludf.DUMMYFUNCTION("""COMPUTED_VALUE"""),"Cristiane Greice Costa (4/4)")</f>
        <v>Cristiane Greice Costa (4/4)</v>
      </c>
      <c r="D1078" s="2">
        <f>IFERROR(__xludf.DUMMYFUNCTION("""COMPUTED_VALUE"""),337.5)</f>
        <v>337.5</v>
      </c>
      <c r="E1078" s="1" t="str">
        <f>IFERROR(__xludf.DUMMYFUNCTION("""COMPUTED_VALUE"""),"-")</f>
        <v>-</v>
      </c>
      <c r="F1078" s="1" t="str">
        <f>IFERROR(__xludf.DUMMYFUNCTION("""COMPUTED_VALUE"""),"Cristiane Greice Costa")</f>
        <v>Cristiane Greice Costa</v>
      </c>
      <c r="G1078" s="1" t="str">
        <f>IFERROR(__xludf.DUMMYFUNCTION("""COMPUTED_VALUE"""),"Saúde")</f>
        <v>Saúde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7">
        <f>IFERROR(__xludf.DUMMYFUNCTION("""COMPUTED_VALUE"""),45992.0)</f>
        <v>45992</v>
      </c>
      <c r="B1079" s="1"/>
      <c r="C1079" s="1" t="str">
        <f>IFERROR(__xludf.DUMMYFUNCTION("""COMPUTED_VALUE"""),"Cristiane Greice Costa (3/4)")</f>
        <v>Cristiane Greice Costa (3/4)</v>
      </c>
      <c r="D1079" s="2">
        <f>IFERROR(__xludf.DUMMYFUNCTION("""COMPUTED_VALUE"""),337.5)</f>
        <v>337.5</v>
      </c>
      <c r="E1079" s="1" t="str">
        <f>IFERROR(__xludf.DUMMYFUNCTION("""COMPUTED_VALUE"""),"-")</f>
        <v>-</v>
      </c>
      <c r="F1079" s="1" t="str">
        <f>IFERROR(__xludf.DUMMYFUNCTION("""COMPUTED_VALUE"""),"Cristiane Greice Costa")</f>
        <v>Cristiane Greice Costa</v>
      </c>
      <c r="G1079" s="1" t="str">
        <f>IFERROR(__xludf.DUMMYFUNCTION("""COMPUTED_VALUE"""),"Saúde")</f>
        <v>Saúde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7">
        <f>IFERROR(__xludf.DUMMYFUNCTION("""COMPUTED_VALUE"""),45992.0)</f>
        <v>45992</v>
      </c>
      <c r="B1080" s="1"/>
      <c r="C1080" s="1" t="str">
        <f>IFERROR(__xludf.DUMMYFUNCTION("""COMPUTED_VALUE"""),"Cristiane Greice Costa (2/4)")</f>
        <v>Cristiane Greice Costa (2/4)</v>
      </c>
      <c r="D1080" s="2">
        <f>IFERROR(__xludf.DUMMYFUNCTION("""COMPUTED_VALUE"""),337.5)</f>
        <v>337.5</v>
      </c>
      <c r="E1080" s="1" t="str">
        <f>IFERROR(__xludf.DUMMYFUNCTION("""COMPUTED_VALUE"""),"-")</f>
        <v>-</v>
      </c>
      <c r="F1080" s="1" t="str">
        <f>IFERROR(__xludf.DUMMYFUNCTION("""COMPUTED_VALUE"""),"Cristiane Greice Costa")</f>
        <v>Cristiane Greice Costa</v>
      </c>
      <c r="G1080" s="1" t="str">
        <f>IFERROR(__xludf.DUMMYFUNCTION("""COMPUTED_VALUE"""),"Saúde")</f>
        <v>Saúde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7">
        <f>IFERROR(__xludf.DUMMYFUNCTION("""COMPUTED_VALUE"""),45992.0)</f>
        <v>45992</v>
      </c>
      <c r="B1081" s="1"/>
      <c r="C1081" s="1" t="str">
        <f>IFERROR(__xludf.DUMMYFUNCTION("""COMPUTED_VALUE"""),"Cristiane Greice Costa (1/4)")</f>
        <v>Cristiane Greice Costa (1/4)</v>
      </c>
      <c r="D1081" s="2">
        <f>IFERROR(__xludf.DUMMYFUNCTION("""COMPUTED_VALUE"""),337.5)</f>
        <v>337.5</v>
      </c>
      <c r="E1081" s="1" t="str">
        <f>IFERROR(__xludf.DUMMYFUNCTION("""COMPUTED_VALUE"""),"-")</f>
        <v>-</v>
      </c>
      <c r="F1081" s="1" t="str">
        <f>IFERROR(__xludf.DUMMYFUNCTION("""COMPUTED_VALUE"""),"Cristiane Greice Costa")</f>
        <v>Cristiane Greice Costa</v>
      </c>
      <c r="G1081" s="1" t="str">
        <f>IFERROR(__xludf.DUMMYFUNCTION("""COMPUTED_VALUE"""),"Saúde")</f>
        <v>Saúde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7">
        <f>IFERROR(__xludf.DUMMYFUNCTION("""COMPUTED_VALUE"""),45992.0)</f>
        <v>45992</v>
      </c>
      <c r="B1082" s="1"/>
      <c r="C1082" s="1" t="str">
        <f>IFERROR(__xludf.DUMMYFUNCTION("""COMPUTED_VALUE"""),"Amazon Digital Br")</f>
        <v>Amazon Digital Br</v>
      </c>
      <c r="D1082" s="2">
        <f>IFERROR(__xludf.DUMMYFUNCTION("""COMPUTED_VALUE"""),27.93)</f>
        <v>27.93</v>
      </c>
      <c r="E1082" s="1" t="str">
        <f>IFERROR(__xludf.DUMMYFUNCTION("""COMPUTED_VALUE"""),"-")</f>
        <v>-</v>
      </c>
      <c r="F1082" s="1" t="str">
        <f>IFERROR(__xludf.DUMMYFUNCTION("""COMPUTED_VALUE"""),"Amazon Digital Br")</f>
        <v>Amazon Digital Br</v>
      </c>
      <c r="G1082" s="1" t="str">
        <f>IFERROR(__xludf.DUMMYFUNCTION("""COMPUTED_VALUE"""),"Compras")</f>
        <v>Compras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7">
        <f>IFERROR(__xludf.DUMMYFUNCTION("""COMPUTED_VALUE"""),45992.0)</f>
        <v>45992</v>
      </c>
      <c r="B1083" s="1"/>
      <c r="C1083" s="1" t="str">
        <f>IFERROR(__xludf.DUMMYFUNCTION("""COMPUTED_VALUE"""),"Amazon")</f>
        <v>Amazon</v>
      </c>
      <c r="D1083" s="2">
        <f>IFERROR(__xludf.DUMMYFUNCTION("""COMPUTED_VALUE"""),89.2)</f>
        <v>89.2</v>
      </c>
      <c r="E1083" s="1" t="str">
        <f>IFERROR(__xludf.DUMMYFUNCTION("""COMPUTED_VALUE"""),"-")</f>
        <v>-</v>
      </c>
      <c r="F1083" s="1" t="str">
        <f>IFERROR(__xludf.DUMMYFUNCTION("""COMPUTED_VALUE"""),"Amazon")</f>
        <v>Amazon</v>
      </c>
      <c r="G1083" s="1" t="str">
        <f>IFERROR(__xludf.DUMMYFUNCTION("""COMPUTED_VALUE"""),"Compras")</f>
        <v>Compras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7">
        <f>IFERROR(__xludf.DUMMYFUNCTION("""COMPUTED_VALUE"""),45992.0)</f>
        <v>45992</v>
      </c>
      <c r="B1084" s="1"/>
      <c r="C1084" s="1" t="str">
        <f>IFERROR(__xludf.DUMMYFUNCTION("""COMPUTED_VALUE"""),"Amazon")</f>
        <v>Amazon</v>
      </c>
      <c r="D1084" s="2">
        <f>IFERROR(__xludf.DUMMYFUNCTION("""COMPUTED_VALUE"""),21.47)</f>
        <v>21.47</v>
      </c>
      <c r="E1084" s="1" t="str">
        <f>IFERROR(__xludf.DUMMYFUNCTION("""COMPUTED_VALUE"""),"-")</f>
        <v>-</v>
      </c>
      <c r="F1084" s="1" t="str">
        <f>IFERROR(__xludf.DUMMYFUNCTION("""COMPUTED_VALUE"""),"Amazon")</f>
        <v>Amazon</v>
      </c>
      <c r="G1084" s="1" t="str">
        <f>IFERROR(__xludf.DUMMYFUNCTION("""COMPUTED_VALUE"""),"Compras")</f>
        <v>Compras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7">
        <f>IFERROR(__xludf.DUMMYFUNCTION("""COMPUTED_VALUE"""),45992.0)</f>
        <v>45992</v>
      </c>
      <c r="B1085" s="1"/>
      <c r="C1085" s="1" t="str">
        <f>IFERROR(__xludf.DUMMYFUNCTION("""COMPUTED_VALUE"""),"Amazon")</f>
        <v>Amazon</v>
      </c>
      <c r="D1085" s="2">
        <f>IFERROR(__xludf.DUMMYFUNCTION("""COMPUTED_VALUE"""),38.0)</f>
        <v>38</v>
      </c>
      <c r="E1085" s="1" t="str">
        <f>IFERROR(__xludf.DUMMYFUNCTION("""COMPUTED_VALUE"""),"-")</f>
        <v>-</v>
      </c>
      <c r="F1085" s="1" t="str">
        <f>IFERROR(__xludf.DUMMYFUNCTION("""COMPUTED_VALUE"""),"Amazon")</f>
        <v>Amazon</v>
      </c>
      <c r="G1085" s="1" t="str">
        <f>IFERROR(__xludf.DUMMYFUNCTION("""COMPUTED_VALUE"""),"Compras")</f>
        <v>Compras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7">
        <f>IFERROR(__xludf.DUMMYFUNCTION("""COMPUTED_VALUE"""),45992.0)</f>
        <v>45992</v>
      </c>
      <c r="B1086" s="1"/>
      <c r="C1086" s="1" t="str">
        <f>IFERROR(__xludf.DUMMYFUNCTION("""COMPUTED_VALUE"""),"Uber")</f>
        <v>Uber</v>
      </c>
      <c r="D1086" s="2">
        <f>IFERROR(__xludf.DUMMYFUNCTION("""COMPUTED_VALUE"""),26.95)</f>
        <v>26.95</v>
      </c>
      <c r="E1086" s="1" t="str">
        <f>IFERROR(__xludf.DUMMYFUNCTION("""COMPUTED_VALUE"""),"-")</f>
        <v>-</v>
      </c>
      <c r="F1086" s="1" t="str">
        <f>IFERROR(__xludf.DUMMYFUNCTION("""COMPUTED_VALUE"""),"Uber")</f>
        <v>Uber</v>
      </c>
      <c r="G1086" s="1" t="str">
        <f>IFERROR(__xludf.DUMMYFUNCTION("""COMPUTED_VALUE"""),"Uber/99")</f>
        <v>Uber/99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7">
        <f>IFERROR(__xludf.DUMMYFUNCTION("""COMPUTED_VALUE"""),45992.0)</f>
        <v>45992</v>
      </c>
      <c r="B1087" s="1"/>
      <c r="C1087" s="1" t="str">
        <f>IFERROR(__xludf.DUMMYFUNCTION("""COMPUTED_VALUE"""),"Uber")</f>
        <v>Uber</v>
      </c>
      <c r="D1087" s="2">
        <f>IFERROR(__xludf.DUMMYFUNCTION("""COMPUTED_VALUE"""),15.94)</f>
        <v>15.94</v>
      </c>
      <c r="E1087" s="1" t="str">
        <f>IFERROR(__xludf.DUMMYFUNCTION("""COMPUTED_VALUE"""),"-")</f>
        <v>-</v>
      </c>
      <c r="F1087" s="1" t="str">
        <f>IFERROR(__xludf.DUMMYFUNCTION("""COMPUTED_VALUE"""),"Uber")</f>
        <v>Uber</v>
      </c>
      <c r="G1087" s="1" t="str">
        <f>IFERROR(__xludf.DUMMYFUNCTION("""COMPUTED_VALUE"""),"Uber/99")</f>
        <v>Uber/99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7">
        <f>IFERROR(__xludf.DUMMYFUNCTION("""COMPUTED_VALUE"""),45992.0)</f>
        <v>45992</v>
      </c>
      <c r="B1088" s="1"/>
      <c r="C1088" s="1" t="str">
        <f>IFERROR(__xludf.DUMMYFUNCTION("""COMPUTED_VALUE"""),"Drogaria Araujo")</f>
        <v>Drogaria Araujo</v>
      </c>
      <c r="D1088" s="2">
        <f>IFERROR(__xludf.DUMMYFUNCTION("""COMPUTED_VALUE"""),13.59)</f>
        <v>13.59</v>
      </c>
      <c r="E1088" s="1" t="str">
        <f>IFERROR(__xludf.DUMMYFUNCTION("""COMPUTED_VALUE"""),"-")</f>
        <v>-</v>
      </c>
      <c r="F1088" s="1" t="str">
        <f>IFERROR(__xludf.DUMMYFUNCTION("""COMPUTED_VALUE"""),"Drogaria Araujo")</f>
        <v>Drogaria Araujo</v>
      </c>
      <c r="G1088" s="1" t="str">
        <f>IFERROR(__xludf.DUMMYFUNCTION("""COMPUTED_VALUE"""),"Farmácia")</f>
        <v>Farmácia</v>
      </c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7">
        <f>IFERROR(__xludf.DUMMYFUNCTION("""COMPUTED_VALUE"""),45992.0)</f>
        <v>45992</v>
      </c>
      <c r="B1089" s="1"/>
      <c r="C1089" s="1" t="str">
        <f>IFERROR(__xludf.DUMMYFUNCTION("""COMPUTED_VALUE"""),"Drogaria Araujo")</f>
        <v>Drogaria Araujo</v>
      </c>
      <c r="D1089" s="2">
        <f>IFERROR(__xludf.DUMMYFUNCTION("""COMPUTED_VALUE"""),8.89)</f>
        <v>8.89</v>
      </c>
      <c r="E1089" s="1" t="str">
        <f>IFERROR(__xludf.DUMMYFUNCTION("""COMPUTED_VALUE"""),"-")</f>
        <v>-</v>
      </c>
      <c r="F1089" s="1" t="str">
        <f>IFERROR(__xludf.DUMMYFUNCTION("""COMPUTED_VALUE"""),"Drogaria Araujo")</f>
        <v>Drogaria Araujo</v>
      </c>
      <c r="G1089" s="1" t="str">
        <f>IFERROR(__xludf.DUMMYFUNCTION("""COMPUTED_VALUE"""),"Farmácia")</f>
        <v>Farmácia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7">
        <f>IFERROR(__xludf.DUMMYFUNCTION("""COMPUTED_VALUE"""),45992.0)</f>
        <v>45992</v>
      </c>
      <c r="B1090" s="1"/>
      <c r="C1090" s="1" t="str">
        <f>IFERROR(__xludf.DUMMYFUNCTION("""COMPUTED_VALUE"""),"Panif Mendes Sion")</f>
        <v>Panif Mendes Sion</v>
      </c>
      <c r="D1090" s="2">
        <f>IFERROR(__xludf.DUMMYFUNCTION("""COMPUTED_VALUE"""),3.5)</f>
        <v>3.5</v>
      </c>
      <c r="E1090" s="1" t="str">
        <f>IFERROR(__xludf.DUMMYFUNCTION("""COMPUTED_VALUE"""),"-")</f>
        <v>-</v>
      </c>
      <c r="F1090" s="1" t="str">
        <f>IFERROR(__xludf.DUMMYFUNCTION("""COMPUTED_VALUE"""),"Panif Mendes Sion")</f>
        <v>Panif Mendes Sion</v>
      </c>
      <c r="G1090" s="1" t="str">
        <f>IFERROR(__xludf.DUMMYFUNCTION("""COMPUTED_VALUE"""),"Comida")</f>
        <v>Comida</v>
      </c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7">
        <f>IFERROR(__xludf.DUMMYFUNCTION("""COMPUTED_VALUE"""),45992.0)</f>
        <v>45992</v>
      </c>
      <c r="B1091" s="1"/>
      <c r="C1091" s="1" t="str">
        <f>IFERROR(__xludf.DUMMYFUNCTION("""COMPUTED_VALUE"""),"Lupo (2/2)")</f>
        <v>Lupo (2/2)</v>
      </c>
      <c r="D1091" s="2">
        <f>IFERROR(__xludf.DUMMYFUNCTION("""COMPUTED_VALUE"""),55.95)</f>
        <v>55.95</v>
      </c>
      <c r="E1091" s="1" t="str">
        <f>IFERROR(__xludf.DUMMYFUNCTION("""COMPUTED_VALUE"""),"-")</f>
        <v>-</v>
      </c>
      <c r="F1091" s="1" t="str">
        <f>IFERROR(__xludf.DUMMYFUNCTION("""COMPUTED_VALUE"""),"Lupo")</f>
        <v>Lupo</v>
      </c>
      <c r="G1091" s="1" t="str">
        <f>IFERROR(__xludf.DUMMYFUNCTION("""COMPUTED_VALUE"""),"Compras")</f>
        <v>Compras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7">
        <f>IFERROR(__xludf.DUMMYFUNCTION("""COMPUTED_VALUE"""),45992.0)</f>
        <v>45992</v>
      </c>
      <c r="B1092" s="1"/>
      <c r="C1092" s="1" t="str">
        <f>IFERROR(__xludf.DUMMYFUNCTION("""COMPUTED_VALUE"""),"Lupo (1/2)")</f>
        <v>Lupo (1/2)</v>
      </c>
      <c r="D1092" s="2">
        <f>IFERROR(__xludf.DUMMYFUNCTION("""COMPUTED_VALUE"""),55.95)</f>
        <v>55.95</v>
      </c>
      <c r="E1092" s="1" t="str">
        <f>IFERROR(__xludf.DUMMYFUNCTION("""COMPUTED_VALUE"""),"-")</f>
        <v>-</v>
      </c>
      <c r="F1092" s="1" t="str">
        <f>IFERROR(__xludf.DUMMYFUNCTION("""COMPUTED_VALUE"""),"Lupo")</f>
        <v>Lupo</v>
      </c>
      <c r="G1092" s="1" t="str">
        <f>IFERROR(__xludf.DUMMYFUNCTION("""COMPUTED_VALUE"""),"Compras")</f>
        <v>Compras</v>
      </c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7">
        <f>IFERROR(__xludf.DUMMYFUNCTION("""COMPUTED_VALUE"""),45992.0)</f>
        <v>45992</v>
      </c>
      <c r="B1093" s="1"/>
      <c r="C1093" s="1" t="str">
        <f>IFERROR(__xludf.DUMMYFUNCTION("""COMPUTED_VALUE"""),"Panif Mendes Sion")</f>
        <v>Panif Mendes Sion</v>
      </c>
      <c r="D1093" s="2">
        <f>IFERROR(__xludf.DUMMYFUNCTION("""COMPUTED_VALUE"""),3.5)</f>
        <v>3.5</v>
      </c>
      <c r="E1093" s="1" t="str">
        <f>IFERROR(__xludf.DUMMYFUNCTION("""COMPUTED_VALUE"""),"-")</f>
        <v>-</v>
      </c>
      <c r="F1093" s="1" t="str">
        <f>IFERROR(__xludf.DUMMYFUNCTION("""COMPUTED_VALUE"""),"Panif Mendes Sion")</f>
        <v>Panif Mendes Sion</v>
      </c>
      <c r="G1093" s="1" t="str">
        <f>IFERROR(__xludf.DUMMYFUNCTION("""COMPUTED_VALUE"""),"Comida")</f>
        <v>Comida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7">
        <f>IFERROR(__xludf.DUMMYFUNCTION("""COMPUTED_VALUE"""),45992.0)</f>
        <v>45992</v>
      </c>
      <c r="B1094" s="1"/>
      <c r="C1094" s="1" t="str">
        <f>IFERROR(__xludf.DUMMYFUNCTION("""COMPUTED_VALUE"""),"Amazon Digital Br")</f>
        <v>Amazon Digital Br</v>
      </c>
      <c r="D1094" s="2">
        <f>IFERROR(__xludf.DUMMYFUNCTION("""COMPUTED_VALUE"""),34.9)</f>
        <v>34.9</v>
      </c>
      <c r="E1094" s="1" t="str">
        <f>IFERROR(__xludf.DUMMYFUNCTION("""COMPUTED_VALUE"""),"-")</f>
        <v>-</v>
      </c>
      <c r="F1094" s="1" t="str">
        <f>IFERROR(__xludf.DUMMYFUNCTION("""COMPUTED_VALUE"""),"Amazon Digital Br")</f>
        <v>Amazon Digital Br</v>
      </c>
      <c r="G1094" s="1" t="str">
        <f>IFERROR(__xludf.DUMMYFUNCTION("""COMPUTED_VALUE"""),"Compras")</f>
        <v>Compras</v>
      </c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7">
        <f>IFERROR(__xludf.DUMMYFUNCTION("""COMPUTED_VALUE"""),45992.0)</f>
        <v>45992</v>
      </c>
      <c r="B1095" s="1"/>
      <c r="C1095" s="1" t="str">
        <f>IFERROR(__xludf.DUMMYFUNCTION("""COMPUTED_VALUE"""),"Supermercado &amp; Padaria")</f>
        <v>Supermercado &amp; Padaria</v>
      </c>
      <c r="D1095" s="2">
        <f>IFERROR(__xludf.DUMMYFUNCTION("""COMPUTED_VALUE"""),241.57)</f>
        <v>241.57</v>
      </c>
      <c r="E1095" s="1" t="str">
        <f>IFERROR(__xludf.DUMMYFUNCTION("""COMPUTED_VALUE"""),"-")</f>
        <v>-</v>
      </c>
      <c r="F1095" s="1" t="str">
        <f>IFERROR(__xludf.DUMMYFUNCTION("""COMPUTED_VALUE"""),"Supermercado &amp; Padaria")</f>
        <v>Supermercado &amp; Padaria</v>
      </c>
      <c r="G1095" s="1" t="str">
        <f>IFERROR(__xludf.DUMMYFUNCTION("""COMPUTED_VALUE"""),"Comida")</f>
        <v>Comida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7">
        <f>IFERROR(__xludf.DUMMYFUNCTION("""COMPUTED_VALUE"""),45992.0)</f>
        <v>45992</v>
      </c>
      <c r="B1096" s="1"/>
      <c r="C1096" s="1" t="str">
        <f>IFERROR(__xludf.DUMMYFUNCTION("""COMPUTED_VALUE"""),"Dma Distribuidora Sa (3/3)")</f>
        <v>Dma Distribuidora Sa (3/3)</v>
      </c>
      <c r="D1096" s="2">
        <f>IFERROR(__xludf.DUMMYFUNCTION("""COMPUTED_VALUE"""),85.95)</f>
        <v>85.95</v>
      </c>
      <c r="E1096" s="1" t="str">
        <f>IFERROR(__xludf.DUMMYFUNCTION("""COMPUTED_VALUE"""),"-")</f>
        <v>-</v>
      </c>
      <c r="F1096" s="1" t="str">
        <f>IFERROR(__xludf.DUMMYFUNCTION("""COMPUTED_VALUE"""),"Dma Distribuidora Sa")</f>
        <v>Dma Distribuidora Sa</v>
      </c>
      <c r="G1096" s="1" t="str">
        <f>IFERROR(__xludf.DUMMYFUNCTION("""COMPUTED_VALUE"""),"Supermercado")</f>
        <v>Supermercado</v>
      </c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7">
        <f>IFERROR(__xludf.DUMMYFUNCTION("""COMPUTED_VALUE"""),45992.0)</f>
        <v>45992</v>
      </c>
      <c r="B1097" s="1"/>
      <c r="C1097" s="1" t="str">
        <f>IFERROR(__xludf.DUMMYFUNCTION("""COMPUTED_VALUE"""),"Dma Distribuidora Sa (2/3)")</f>
        <v>Dma Distribuidora Sa (2/3)</v>
      </c>
      <c r="D1097" s="2">
        <f>IFERROR(__xludf.DUMMYFUNCTION("""COMPUTED_VALUE"""),85.95)</f>
        <v>85.95</v>
      </c>
      <c r="E1097" s="1" t="str">
        <f>IFERROR(__xludf.DUMMYFUNCTION("""COMPUTED_VALUE"""),"-")</f>
        <v>-</v>
      </c>
      <c r="F1097" s="1" t="str">
        <f>IFERROR(__xludf.DUMMYFUNCTION("""COMPUTED_VALUE"""),"Dma Distribuidora Sa")</f>
        <v>Dma Distribuidora Sa</v>
      </c>
      <c r="G1097" s="1" t="str">
        <f>IFERROR(__xludf.DUMMYFUNCTION("""COMPUTED_VALUE"""),"Supermercado")</f>
        <v>Supermercado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7">
        <f>IFERROR(__xludf.DUMMYFUNCTION("""COMPUTED_VALUE"""),45992.0)</f>
        <v>45992</v>
      </c>
      <c r="B1098" s="1"/>
      <c r="C1098" s="1" t="str">
        <f>IFERROR(__xludf.DUMMYFUNCTION("""COMPUTED_VALUE"""),"Dma Distribuidora Sa (1/3)")</f>
        <v>Dma Distribuidora Sa (1/3)</v>
      </c>
      <c r="D1098" s="2">
        <f>IFERROR(__xludf.DUMMYFUNCTION("""COMPUTED_VALUE"""),85.95)</f>
        <v>85.95</v>
      </c>
      <c r="E1098" s="1" t="str">
        <f>IFERROR(__xludf.DUMMYFUNCTION("""COMPUTED_VALUE"""),"-")</f>
        <v>-</v>
      </c>
      <c r="F1098" s="1" t="str">
        <f>IFERROR(__xludf.DUMMYFUNCTION("""COMPUTED_VALUE"""),"Dma Distribuidora Sa")</f>
        <v>Dma Distribuidora Sa</v>
      </c>
      <c r="G1098" s="1" t="str">
        <f>IFERROR(__xludf.DUMMYFUNCTION("""COMPUTED_VALUE"""),"Supermercado")</f>
        <v>Supermercado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7">
        <f>IFERROR(__xludf.DUMMYFUNCTION("""COMPUTED_VALUE"""),45992.0)</f>
        <v>45992</v>
      </c>
      <c r="B1099" s="1"/>
      <c r="C1099" s="1" t="str">
        <f>IFERROR(__xludf.DUMMYFUNCTION("""COMPUTED_VALUE"""),"Shopee")</f>
        <v>Shopee</v>
      </c>
      <c r="D1099" s="2">
        <f>IFERROR(__xludf.DUMMYFUNCTION("""COMPUTED_VALUE"""),19.95)</f>
        <v>19.95</v>
      </c>
      <c r="E1099" s="1" t="str">
        <f>IFERROR(__xludf.DUMMYFUNCTION("""COMPUTED_VALUE"""),"-")</f>
        <v>-</v>
      </c>
      <c r="F1099" s="1" t="str">
        <f>IFERROR(__xludf.DUMMYFUNCTION("""COMPUTED_VALUE"""),"Shopee")</f>
        <v>Shopee</v>
      </c>
      <c r="G1099" s="1" t="str">
        <f>IFERROR(__xludf.DUMMYFUNCTION("""COMPUTED_VALUE"""),"Compras")</f>
        <v>Compras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7">
        <f>IFERROR(__xludf.DUMMYFUNCTION("""COMPUTED_VALUE"""),45992.0)</f>
        <v>45992</v>
      </c>
      <c r="B1100" s="1"/>
      <c r="C1100" s="1" t="str">
        <f>IFERROR(__xludf.DUMMYFUNCTION("""COMPUTED_VALUE"""),"Amazon")</f>
        <v>Amazon</v>
      </c>
      <c r="D1100" s="2">
        <f>IFERROR(__xludf.DUMMYFUNCTION("""COMPUTED_VALUE"""),19.9)</f>
        <v>19.9</v>
      </c>
      <c r="E1100" s="1" t="str">
        <f>IFERROR(__xludf.DUMMYFUNCTION("""COMPUTED_VALUE"""),"-")</f>
        <v>-</v>
      </c>
      <c r="F1100" s="1" t="str">
        <f>IFERROR(__xludf.DUMMYFUNCTION("""COMPUTED_VALUE"""),"Amazon")</f>
        <v>Amazon</v>
      </c>
      <c r="G1100" s="1" t="str">
        <f>IFERROR(__xludf.DUMMYFUNCTION("""COMPUTED_VALUE"""),"Compras")</f>
        <v>Compras</v>
      </c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7">
        <f>IFERROR(__xludf.DUMMYFUNCTION("""COMPUTED_VALUE"""),45992.0)</f>
        <v>45992</v>
      </c>
      <c r="B1101" s="1"/>
      <c r="C1101" s="1" t="str">
        <f>IFERROR(__xludf.DUMMYFUNCTION("""COMPUTED_VALUE"""),"Maria De Fatima Costa")</f>
        <v>Maria De Fatima Costa</v>
      </c>
      <c r="D1101" s="2">
        <f>IFERROR(__xludf.DUMMYFUNCTION("""COMPUTED_VALUE"""),132.0)</f>
        <v>132</v>
      </c>
      <c r="E1101" s="1" t="str">
        <f>IFERROR(__xludf.DUMMYFUNCTION("""COMPUTED_VALUE"""),"-")</f>
        <v>-</v>
      </c>
      <c r="F1101" s="1" t="str">
        <f>IFERROR(__xludf.DUMMYFUNCTION("""COMPUTED_VALUE"""),"Maria De Fatima Costa")</f>
        <v>Maria De Fatima Costa</v>
      </c>
      <c r="G1101" s="1" t="str">
        <f>IFERROR(__xludf.DUMMYFUNCTION("""COMPUTED_VALUE"""),"-")</f>
        <v>-</v>
      </c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7">
        <f>IFERROR(__xludf.DUMMYFUNCTION("""COMPUTED_VALUE"""),45992.0)</f>
        <v>45992</v>
      </c>
      <c r="B1102" s="1"/>
      <c r="C1102" s="1" t="str">
        <f>IFERROR(__xludf.DUMMYFUNCTION("""COMPUTED_VALUE"""),"Amazonmktplc Luisvicen")</f>
        <v>Amazonmktplc Luisvicen</v>
      </c>
      <c r="D1102" s="2">
        <f>IFERROR(__xludf.DUMMYFUNCTION("""COMPUTED_VALUE"""),23.59)</f>
        <v>23.59</v>
      </c>
      <c r="E1102" s="1" t="str">
        <f>IFERROR(__xludf.DUMMYFUNCTION("""COMPUTED_VALUE"""),"-")</f>
        <v>-</v>
      </c>
      <c r="F1102" s="1" t="str">
        <f>IFERROR(__xludf.DUMMYFUNCTION("""COMPUTED_VALUE"""),"Amazonmktplc")</f>
        <v>Amazonmktplc</v>
      </c>
      <c r="G1102" s="1" t="str">
        <f>IFERROR(__xludf.DUMMYFUNCTION("""COMPUTED_VALUE"""),"Compras")</f>
        <v>Compras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7">
        <f>IFERROR(__xludf.DUMMYFUNCTION("""COMPUTED_VALUE"""),45992.0)</f>
        <v>45992</v>
      </c>
      <c r="B1103" s="1"/>
      <c r="C1103" s="1" t="str">
        <f>IFERROR(__xludf.DUMMYFUNCTION("""COMPUTED_VALUE"""),"Drogaria Ara Araujo (4/4)")</f>
        <v>Drogaria Ara Araujo (4/4)</v>
      </c>
      <c r="D1103" s="2">
        <f>IFERROR(__xludf.DUMMYFUNCTION("""COMPUTED_VALUE"""),65.99)</f>
        <v>65.99</v>
      </c>
      <c r="E1103" s="1" t="str">
        <f>IFERROR(__xludf.DUMMYFUNCTION("""COMPUTED_VALUE"""),"-")</f>
        <v>-</v>
      </c>
      <c r="F1103" s="1" t="str">
        <f>IFERROR(__xludf.DUMMYFUNCTION("""COMPUTED_VALUE"""),"Drogaria Ara Araujo")</f>
        <v>Drogaria Ara Araujo</v>
      </c>
      <c r="G1103" s="1" t="str">
        <f>IFERROR(__xludf.DUMMYFUNCTION("""COMPUTED_VALUE"""),"Farmácia")</f>
        <v>Farmácia</v>
      </c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7">
        <f>IFERROR(__xludf.DUMMYFUNCTION("""COMPUTED_VALUE"""),45992.0)</f>
        <v>45992</v>
      </c>
      <c r="B1104" s="1"/>
      <c r="C1104" s="1" t="str">
        <f>IFERROR(__xludf.DUMMYFUNCTION("""COMPUTED_VALUE"""),"Drogaria Ara Araujo (3/4)")</f>
        <v>Drogaria Ara Araujo (3/4)</v>
      </c>
      <c r="D1104" s="2">
        <f>IFERROR(__xludf.DUMMYFUNCTION("""COMPUTED_VALUE"""),65.99)</f>
        <v>65.99</v>
      </c>
      <c r="E1104" s="1" t="str">
        <f>IFERROR(__xludf.DUMMYFUNCTION("""COMPUTED_VALUE"""),"-")</f>
        <v>-</v>
      </c>
      <c r="F1104" s="1" t="str">
        <f>IFERROR(__xludf.DUMMYFUNCTION("""COMPUTED_VALUE"""),"Drogaria Ara Araujo")</f>
        <v>Drogaria Ara Araujo</v>
      </c>
      <c r="G1104" s="1" t="str">
        <f>IFERROR(__xludf.DUMMYFUNCTION("""COMPUTED_VALUE"""),"Farmácia")</f>
        <v>Farmácia</v>
      </c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7">
        <f>IFERROR(__xludf.DUMMYFUNCTION("""COMPUTED_VALUE"""),45992.0)</f>
        <v>45992</v>
      </c>
      <c r="B1105" s="1"/>
      <c r="C1105" s="1" t="str">
        <f>IFERROR(__xludf.DUMMYFUNCTION("""COMPUTED_VALUE"""),"Drogaria Ara Araujo (2/4)")</f>
        <v>Drogaria Ara Araujo (2/4)</v>
      </c>
      <c r="D1105" s="2">
        <f>IFERROR(__xludf.DUMMYFUNCTION("""COMPUTED_VALUE"""),65.99)</f>
        <v>65.99</v>
      </c>
      <c r="E1105" s="1" t="str">
        <f>IFERROR(__xludf.DUMMYFUNCTION("""COMPUTED_VALUE"""),"-")</f>
        <v>-</v>
      </c>
      <c r="F1105" s="1" t="str">
        <f>IFERROR(__xludf.DUMMYFUNCTION("""COMPUTED_VALUE"""),"Drogaria Ara Araujo")</f>
        <v>Drogaria Ara Araujo</v>
      </c>
      <c r="G1105" s="1" t="str">
        <f>IFERROR(__xludf.DUMMYFUNCTION("""COMPUTED_VALUE"""),"Farmácia")</f>
        <v>Farmácia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7">
        <f>IFERROR(__xludf.DUMMYFUNCTION("""COMPUTED_VALUE"""),45992.0)</f>
        <v>45992</v>
      </c>
      <c r="B1106" s="1"/>
      <c r="C1106" s="1" t="str">
        <f>IFERROR(__xludf.DUMMYFUNCTION("""COMPUTED_VALUE"""),"Drogaria Ara Araujo (1/4)")</f>
        <v>Drogaria Ara Araujo (1/4)</v>
      </c>
      <c r="D1106" s="2">
        <f>IFERROR(__xludf.DUMMYFUNCTION("""COMPUTED_VALUE"""),66.02)</f>
        <v>66.02</v>
      </c>
      <c r="E1106" s="1" t="str">
        <f>IFERROR(__xludf.DUMMYFUNCTION("""COMPUTED_VALUE"""),"-")</f>
        <v>-</v>
      </c>
      <c r="F1106" s="1" t="str">
        <f>IFERROR(__xludf.DUMMYFUNCTION("""COMPUTED_VALUE"""),"Drogaria Ara Araujo")</f>
        <v>Drogaria Ara Araujo</v>
      </c>
      <c r="G1106" s="1" t="str">
        <f>IFERROR(__xludf.DUMMYFUNCTION("""COMPUTED_VALUE"""),"Farmácia")</f>
        <v>Farmácia</v>
      </c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7">
        <f>IFERROR(__xludf.DUMMYFUNCTION("""COMPUTED_VALUE"""),45992.0)</f>
        <v>45992</v>
      </c>
      <c r="B1107" s="1"/>
      <c r="C1107" s="1" t="str">
        <f>IFERROR(__xludf.DUMMYFUNCTION("""COMPUTED_VALUE"""),"Drogaria Ara Araujo")</f>
        <v>Drogaria Ara Araujo</v>
      </c>
      <c r="D1107" s="2">
        <f>IFERROR(__xludf.DUMMYFUNCTION("""COMPUTED_VALUE"""),45.99)</f>
        <v>45.99</v>
      </c>
      <c r="E1107" s="1" t="str">
        <f>IFERROR(__xludf.DUMMYFUNCTION("""COMPUTED_VALUE"""),"-")</f>
        <v>-</v>
      </c>
      <c r="F1107" s="1" t="str">
        <f>IFERROR(__xludf.DUMMYFUNCTION("""COMPUTED_VALUE"""),"Drogaria Ara Araujo")</f>
        <v>Drogaria Ara Araujo</v>
      </c>
      <c r="G1107" s="1" t="str">
        <f>IFERROR(__xludf.DUMMYFUNCTION("""COMPUTED_VALUE"""),"Farmácia")</f>
        <v>Farmácia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7">
        <f>IFERROR(__xludf.DUMMYFUNCTION("""COMPUTED_VALUE"""),45992.0)</f>
        <v>45992</v>
      </c>
      <c r="B1108" s="1"/>
      <c r="C1108" s="1" t="str">
        <f>IFERROR(__xludf.DUMMYFUNCTION("""COMPUTED_VALUE"""),"Drogaria Ara Araujo")</f>
        <v>Drogaria Ara Araujo</v>
      </c>
      <c r="D1108" s="2">
        <f>IFERROR(__xludf.DUMMYFUNCTION("""COMPUTED_VALUE"""),21.59)</f>
        <v>21.59</v>
      </c>
      <c r="E1108" s="1" t="str">
        <f>IFERROR(__xludf.DUMMYFUNCTION("""COMPUTED_VALUE"""),"-")</f>
        <v>-</v>
      </c>
      <c r="F1108" s="1" t="str">
        <f>IFERROR(__xludf.DUMMYFUNCTION("""COMPUTED_VALUE"""),"Drogaria Ara Araujo")</f>
        <v>Drogaria Ara Araujo</v>
      </c>
      <c r="G1108" s="1" t="str">
        <f>IFERROR(__xludf.DUMMYFUNCTION("""COMPUTED_VALUE"""),"Farmácia")</f>
        <v>Farmácia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7">
        <f>IFERROR(__xludf.DUMMYFUNCTION("""COMPUTED_VALUE"""),45992.0)</f>
        <v>45992</v>
      </c>
      <c r="B1109" s="1"/>
      <c r="C1109" s="1" t="str">
        <f>IFERROR(__xludf.DUMMYFUNCTION("""COMPUTED_VALUE"""),"Amazon")</f>
        <v>Amazon</v>
      </c>
      <c r="D1109" s="2">
        <f>IFERROR(__xludf.DUMMYFUNCTION("""COMPUTED_VALUE"""),28.49)</f>
        <v>28.49</v>
      </c>
      <c r="E1109" s="1" t="str">
        <f>IFERROR(__xludf.DUMMYFUNCTION("""COMPUTED_VALUE"""),"-")</f>
        <v>-</v>
      </c>
      <c r="F1109" s="1" t="str">
        <f>IFERROR(__xludf.DUMMYFUNCTION("""COMPUTED_VALUE"""),"Amazon")</f>
        <v>Amazon</v>
      </c>
      <c r="G1109" s="1" t="str">
        <f>IFERROR(__xludf.DUMMYFUNCTION("""COMPUTED_VALUE"""),"Compras")</f>
        <v>Compras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7">
        <f>IFERROR(__xludf.DUMMYFUNCTION("""COMPUTED_VALUE"""),45992.0)</f>
        <v>45992</v>
      </c>
      <c r="B1110" s="1"/>
      <c r="C1110" s="1" t="str">
        <f>IFERROR(__xludf.DUMMYFUNCTION("""COMPUTED_VALUE"""),"Uber")</f>
        <v>Uber</v>
      </c>
      <c r="D1110" s="2">
        <f>IFERROR(__xludf.DUMMYFUNCTION("""COMPUTED_VALUE"""),22.95)</f>
        <v>22.95</v>
      </c>
      <c r="E1110" s="1" t="str">
        <f>IFERROR(__xludf.DUMMYFUNCTION("""COMPUTED_VALUE"""),"-")</f>
        <v>-</v>
      </c>
      <c r="F1110" s="1" t="str">
        <f>IFERROR(__xludf.DUMMYFUNCTION("""COMPUTED_VALUE"""),"Uber")</f>
        <v>Uber</v>
      </c>
      <c r="G1110" s="1" t="str">
        <f>IFERROR(__xludf.DUMMYFUNCTION("""COMPUTED_VALUE"""),"Uber/99")</f>
        <v>Uber/99</v>
      </c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7">
        <f>IFERROR(__xludf.DUMMYFUNCTION("""COMPUTED_VALUE"""),45992.0)</f>
        <v>45992</v>
      </c>
      <c r="B1111" s="1"/>
      <c r="C1111" s="1" t="str">
        <f>IFERROR(__xludf.DUMMYFUNCTION("""COMPUTED_VALUE"""),"Uber")</f>
        <v>Uber</v>
      </c>
      <c r="D1111" s="2">
        <f>IFERROR(__xludf.DUMMYFUNCTION("""COMPUTED_VALUE"""),19.93)</f>
        <v>19.93</v>
      </c>
      <c r="E1111" s="1" t="str">
        <f>IFERROR(__xludf.DUMMYFUNCTION("""COMPUTED_VALUE"""),"-")</f>
        <v>-</v>
      </c>
      <c r="F1111" s="1" t="str">
        <f>IFERROR(__xludf.DUMMYFUNCTION("""COMPUTED_VALUE"""),"Uber")</f>
        <v>Uber</v>
      </c>
      <c r="G1111" s="1" t="str">
        <f>IFERROR(__xludf.DUMMYFUNCTION("""COMPUTED_VALUE"""),"Uber/99")</f>
        <v>Uber/99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7">
        <f>IFERROR(__xludf.DUMMYFUNCTION("""COMPUTED_VALUE"""),45992.0)</f>
        <v>45992</v>
      </c>
      <c r="B1112" s="1"/>
      <c r="C1112" s="1" t="str">
        <f>IFERROR(__xludf.DUMMYFUNCTION("""COMPUTED_VALUE"""),"Amazon")</f>
        <v>Amazon</v>
      </c>
      <c r="D1112" s="2">
        <f>IFERROR(__xludf.DUMMYFUNCTION("""COMPUTED_VALUE"""),16.12)</f>
        <v>16.12</v>
      </c>
      <c r="E1112" s="1" t="str">
        <f>IFERROR(__xludf.DUMMYFUNCTION("""COMPUTED_VALUE"""),"-")</f>
        <v>-</v>
      </c>
      <c r="F1112" s="1" t="str">
        <f>IFERROR(__xludf.DUMMYFUNCTION("""COMPUTED_VALUE"""),"Amazon")</f>
        <v>Amazon</v>
      </c>
      <c r="G1112" s="1" t="str">
        <f>IFERROR(__xludf.DUMMYFUNCTION("""COMPUTED_VALUE"""),"Compras")</f>
        <v>Compras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7">
        <f>IFERROR(__xludf.DUMMYFUNCTION("""COMPUTED_VALUE"""),45992.0)</f>
        <v>45992</v>
      </c>
      <c r="B1113" s="1"/>
      <c r="C1113" s="1" t="str">
        <f>IFERROR(__xludf.DUMMYFUNCTION("""COMPUTED_VALUE"""),"Spotify")</f>
        <v>Spotify</v>
      </c>
      <c r="D1113" s="2">
        <f>IFERROR(__xludf.DUMMYFUNCTION("""COMPUTED_VALUE"""),40.9)</f>
        <v>40.9</v>
      </c>
      <c r="E1113" s="1" t="str">
        <f>IFERROR(__xludf.DUMMYFUNCTION("""COMPUTED_VALUE"""),"-")</f>
        <v>-</v>
      </c>
      <c r="F1113" s="1" t="str">
        <f>IFERROR(__xludf.DUMMYFUNCTION("""COMPUTED_VALUE"""),"Spotify")</f>
        <v>Spotify</v>
      </c>
      <c r="G1113" s="1" t="str">
        <f>IFERROR(__xludf.DUMMYFUNCTION("""COMPUTED_VALUE"""),"Assinatura")</f>
        <v>Assinatura</v>
      </c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7">
        <f>IFERROR(__xludf.DUMMYFUNCTION("""COMPUTED_VALUE"""),45992.0)</f>
        <v>45992</v>
      </c>
      <c r="B1114" s="1"/>
      <c r="C1114" s="1" t="str">
        <f>IFERROR(__xludf.DUMMYFUNCTION("""COMPUTED_VALUE"""),"Amazon")</f>
        <v>Amazon</v>
      </c>
      <c r="D1114" s="2">
        <f>IFERROR(__xludf.DUMMYFUNCTION("""COMPUTED_VALUE"""),27.99)</f>
        <v>27.99</v>
      </c>
      <c r="E1114" s="1" t="str">
        <f>IFERROR(__xludf.DUMMYFUNCTION("""COMPUTED_VALUE"""),"-")</f>
        <v>-</v>
      </c>
      <c r="F1114" s="1" t="str">
        <f>IFERROR(__xludf.DUMMYFUNCTION("""COMPUTED_VALUE"""),"Amazon")</f>
        <v>Amazon</v>
      </c>
      <c r="G1114" s="1" t="str">
        <f>IFERROR(__xludf.DUMMYFUNCTION("""COMPUTED_VALUE"""),"Compras")</f>
        <v>Compras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7">
        <f>IFERROR(__xludf.DUMMYFUNCTION("""COMPUTED_VALUE"""),45992.0)</f>
        <v>45992</v>
      </c>
      <c r="B1115" s="1"/>
      <c r="C1115" s="1" t="str">
        <f>IFERROR(__xludf.DUMMYFUNCTION("""COMPUTED_VALUE"""),"Panif Mendes Sion")</f>
        <v>Panif Mendes Sion</v>
      </c>
      <c r="D1115" s="2">
        <f>IFERROR(__xludf.DUMMYFUNCTION("""COMPUTED_VALUE"""),4.41)</f>
        <v>4.41</v>
      </c>
      <c r="E1115" s="1" t="str">
        <f>IFERROR(__xludf.DUMMYFUNCTION("""COMPUTED_VALUE"""),"-")</f>
        <v>-</v>
      </c>
      <c r="F1115" s="1" t="str">
        <f>IFERROR(__xludf.DUMMYFUNCTION("""COMPUTED_VALUE"""),"Panif Mendes Sion")</f>
        <v>Panif Mendes Sion</v>
      </c>
      <c r="G1115" s="1" t="str">
        <f>IFERROR(__xludf.DUMMYFUNCTION("""COMPUTED_VALUE"""),"Comida")</f>
        <v>Comida</v>
      </c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7">
        <f>IFERROR(__xludf.DUMMYFUNCTION("""COMPUTED_VALUE"""),45992.0)</f>
        <v>45992</v>
      </c>
      <c r="B1116" s="1"/>
      <c r="C1116" s="1" t="str">
        <f>IFERROR(__xludf.DUMMYFUNCTION("""COMPUTED_VALUE"""),"Shopee")</f>
        <v>Shopee</v>
      </c>
      <c r="D1116" s="2">
        <f>IFERROR(__xludf.DUMMYFUNCTION("""COMPUTED_VALUE"""),10.95)</f>
        <v>10.95</v>
      </c>
      <c r="E1116" s="1" t="str">
        <f>IFERROR(__xludf.DUMMYFUNCTION("""COMPUTED_VALUE"""),"-")</f>
        <v>-</v>
      </c>
      <c r="F1116" s="1" t="str">
        <f>IFERROR(__xludf.DUMMYFUNCTION("""COMPUTED_VALUE"""),"Shopee")</f>
        <v>Shopee</v>
      </c>
      <c r="G1116" s="1" t="str">
        <f>IFERROR(__xludf.DUMMYFUNCTION("""COMPUTED_VALUE"""),"Compras")</f>
        <v>Compras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7">
        <f>IFERROR(__xludf.DUMMYFUNCTION("""COMPUTED_VALUE"""),45992.0)</f>
        <v>45992</v>
      </c>
      <c r="B1117" s="1"/>
      <c r="C1117" s="1" t="str">
        <f>IFERROR(__xludf.DUMMYFUNCTION("""COMPUTED_VALUE"""),"Drogaria Araujo")</f>
        <v>Drogaria Araujo</v>
      </c>
      <c r="D1117" s="2">
        <f>IFERROR(__xludf.DUMMYFUNCTION("""COMPUTED_VALUE"""),12.78)</f>
        <v>12.78</v>
      </c>
      <c r="E1117" s="1" t="str">
        <f>IFERROR(__xludf.DUMMYFUNCTION("""COMPUTED_VALUE"""),"-")</f>
        <v>-</v>
      </c>
      <c r="F1117" s="1" t="str">
        <f>IFERROR(__xludf.DUMMYFUNCTION("""COMPUTED_VALUE"""),"Drogaria Araujo")</f>
        <v>Drogaria Araujo</v>
      </c>
      <c r="G1117" s="1" t="str">
        <f>IFERROR(__xludf.DUMMYFUNCTION("""COMPUTED_VALUE"""),"Farmácia")</f>
        <v>Farmácia</v>
      </c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7">
        <f>IFERROR(__xludf.DUMMYFUNCTION("""COMPUTED_VALUE"""),45992.0)</f>
        <v>45992</v>
      </c>
      <c r="B1118" s="1"/>
      <c r="C1118" s="1" t="str">
        <f>IFERROR(__xludf.DUMMYFUNCTION("""COMPUTED_VALUE"""),"Amazon Marketplace")</f>
        <v>Amazon Marketplace</v>
      </c>
      <c r="D1118" s="2">
        <f>IFERROR(__xludf.DUMMYFUNCTION("""COMPUTED_VALUE"""),35.41)</f>
        <v>35.41</v>
      </c>
      <c r="E1118" s="1" t="str">
        <f>IFERROR(__xludf.DUMMYFUNCTION("""COMPUTED_VALUE"""),"-")</f>
        <v>-</v>
      </c>
      <c r="F1118" s="1" t="str">
        <f>IFERROR(__xludf.DUMMYFUNCTION("""COMPUTED_VALUE"""),"Amazon Marketplace")</f>
        <v>Amazon Marketplace</v>
      </c>
      <c r="G1118" s="1" t="str">
        <f>IFERROR(__xludf.DUMMYFUNCTION("""COMPUTED_VALUE"""),"Compras")</f>
        <v>Compras</v>
      </c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7">
        <f>IFERROR(__xludf.DUMMYFUNCTION("""COMPUTED_VALUE"""),45992.0)</f>
        <v>45992</v>
      </c>
      <c r="B1119" s="1"/>
      <c r="C1119" s="1" t="str">
        <f>IFERROR(__xludf.DUMMYFUNCTION("""COMPUTED_VALUE"""),"Amazon")</f>
        <v>Amazon</v>
      </c>
      <c r="D1119" s="2">
        <f>IFERROR(__xludf.DUMMYFUNCTION("""COMPUTED_VALUE"""),15.56)</f>
        <v>15.56</v>
      </c>
      <c r="E1119" s="1" t="str">
        <f>IFERROR(__xludf.DUMMYFUNCTION("""COMPUTED_VALUE"""),"-")</f>
        <v>-</v>
      </c>
      <c r="F1119" s="1" t="str">
        <f>IFERROR(__xludf.DUMMYFUNCTION("""COMPUTED_VALUE"""),"Amazon")</f>
        <v>Amazon</v>
      </c>
      <c r="G1119" s="1" t="str">
        <f>IFERROR(__xludf.DUMMYFUNCTION("""COMPUTED_VALUE"""),"Compras")</f>
        <v>Compras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7">
        <f>IFERROR(__xludf.DUMMYFUNCTION("""COMPUTED_VALUE"""),45992.0)</f>
        <v>45992</v>
      </c>
      <c r="B1120" s="1"/>
      <c r="C1120" s="1" t="str">
        <f>IFERROR(__xludf.DUMMYFUNCTION("""COMPUTED_VALUE"""),"Youtube")</f>
        <v>Youtube</v>
      </c>
      <c r="D1120" s="2">
        <f>IFERROR(__xludf.DUMMYFUNCTION("""COMPUTED_VALUE"""),19.99)</f>
        <v>19.99</v>
      </c>
      <c r="E1120" s="1" t="str">
        <f>IFERROR(__xludf.DUMMYFUNCTION("""COMPUTED_VALUE"""),"-")</f>
        <v>-</v>
      </c>
      <c r="F1120" s="1" t="str">
        <f>IFERROR(__xludf.DUMMYFUNCTION("""COMPUTED_VALUE"""),"Youtube")</f>
        <v>Youtube</v>
      </c>
      <c r="G1120" s="1" t="str">
        <f>IFERROR(__xludf.DUMMYFUNCTION("""COMPUTED_VALUE"""),"Assinatura")</f>
        <v>Assinatura</v>
      </c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7">
        <f>IFERROR(__xludf.DUMMYFUNCTION("""COMPUTED_VALUE"""),45992.0)</f>
        <v>45992</v>
      </c>
      <c r="B1121" s="1"/>
      <c r="C1121" s="1">
        <f>IFERROR(__xludf.DUMMYFUNCTION("""COMPUTED_VALUE"""),99.0)</f>
        <v>99</v>
      </c>
      <c r="D1121" s="2">
        <f>IFERROR(__xludf.DUMMYFUNCTION("""COMPUTED_VALUE"""),10.62)</f>
        <v>10.62</v>
      </c>
      <c r="E1121" s="1" t="str">
        <f>IFERROR(__xludf.DUMMYFUNCTION("""COMPUTED_VALUE"""),"-")</f>
        <v>-</v>
      </c>
      <c r="F1121" s="1" t="str">
        <f>IFERROR(__xludf.DUMMYFUNCTION("""COMPUTED_VALUE"""),"99")</f>
        <v>99</v>
      </c>
      <c r="G1121" s="1" t="str">
        <f>IFERROR(__xludf.DUMMYFUNCTION("""COMPUTED_VALUE"""),"Uber/99")</f>
        <v>Uber/99</v>
      </c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7">
        <f>IFERROR(__xludf.DUMMYFUNCTION("""COMPUTED_VALUE"""),45992.0)</f>
        <v>45992</v>
      </c>
      <c r="B1122" s="1"/>
      <c r="C1122" s="1" t="str">
        <f>IFERROR(__xludf.DUMMYFUNCTION("""COMPUTED_VALUE"""),"Barnabe Emporio")</f>
        <v>Barnabe Emporio</v>
      </c>
      <c r="D1122" s="2">
        <f>IFERROR(__xludf.DUMMYFUNCTION("""COMPUTED_VALUE"""),24.9)</f>
        <v>24.9</v>
      </c>
      <c r="E1122" s="1" t="str">
        <f>IFERROR(__xludf.DUMMYFUNCTION("""COMPUTED_VALUE"""),"-")</f>
        <v>-</v>
      </c>
      <c r="F1122" s="1" t="str">
        <f>IFERROR(__xludf.DUMMYFUNCTION("""COMPUTED_VALUE"""),"Barnabe Emporio")</f>
        <v>Barnabe Emporio</v>
      </c>
      <c r="G1122" s="1" t="str">
        <f>IFERROR(__xludf.DUMMYFUNCTION("""COMPUTED_VALUE"""),"Comida")</f>
        <v>Comida</v>
      </c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7">
        <f>IFERROR(__xludf.DUMMYFUNCTION("""COMPUTED_VALUE"""),45992.0)</f>
        <v>45992</v>
      </c>
      <c r="B1123" s="1"/>
      <c r="C1123" s="1" t="str">
        <f>IFERROR(__xludf.DUMMYFUNCTION("""COMPUTED_VALUE"""),"Santissimo Pao")</f>
        <v>Santissimo Pao</v>
      </c>
      <c r="D1123" s="2">
        <f>IFERROR(__xludf.DUMMYFUNCTION("""COMPUTED_VALUE"""),4.6)</f>
        <v>4.6</v>
      </c>
      <c r="E1123" s="1" t="str">
        <f>IFERROR(__xludf.DUMMYFUNCTION("""COMPUTED_VALUE"""),"-")</f>
        <v>-</v>
      </c>
      <c r="F1123" s="1" t="str">
        <f>IFERROR(__xludf.DUMMYFUNCTION("""COMPUTED_VALUE"""),"Santissimo Pao")</f>
        <v>Santissimo Pao</v>
      </c>
      <c r="G1123" s="1" t="str">
        <f>IFERROR(__xludf.DUMMYFUNCTION("""COMPUTED_VALUE"""),"Comida")</f>
        <v>Comida</v>
      </c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7">
        <f>IFERROR(__xludf.DUMMYFUNCTION("""COMPUTED_VALUE"""),45992.0)</f>
        <v>45992</v>
      </c>
      <c r="B1124" s="1"/>
      <c r="C1124" s="1">
        <f>IFERROR(__xludf.DUMMYFUNCTION("""COMPUTED_VALUE"""),99.0)</f>
        <v>99</v>
      </c>
      <c r="D1124" s="2">
        <f>IFERROR(__xludf.DUMMYFUNCTION("""COMPUTED_VALUE"""),16.47)</f>
        <v>16.47</v>
      </c>
      <c r="E1124" s="1" t="str">
        <f>IFERROR(__xludf.DUMMYFUNCTION("""COMPUTED_VALUE"""),"-")</f>
        <v>-</v>
      </c>
      <c r="F1124" s="1" t="str">
        <f>IFERROR(__xludf.DUMMYFUNCTION("""COMPUTED_VALUE"""),"99")</f>
        <v>99</v>
      </c>
      <c r="G1124" s="1" t="str">
        <f>IFERROR(__xludf.DUMMYFUNCTION("""COMPUTED_VALUE"""),"Uber/99")</f>
        <v>Uber/99</v>
      </c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7">
        <f>IFERROR(__xludf.DUMMYFUNCTION("""COMPUTED_VALUE"""),45992.0)</f>
        <v>45992</v>
      </c>
      <c r="B1125" s="1"/>
      <c r="C1125" s="1" t="str">
        <f>IFERROR(__xludf.DUMMYFUNCTION("""COMPUTED_VALUE"""),"Panif Mendes Sion")</f>
        <v>Panif Mendes Sion</v>
      </c>
      <c r="D1125" s="2">
        <f>IFERROR(__xludf.DUMMYFUNCTION("""COMPUTED_VALUE"""),8.0)</f>
        <v>8</v>
      </c>
      <c r="E1125" s="1" t="str">
        <f>IFERROR(__xludf.DUMMYFUNCTION("""COMPUTED_VALUE"""),"-")</f>
        <v>-</v>
      </c>
      <c r="F1125" s="1" t="str">
        <f>IFERROR(__xludf.DUMMYFUNCTION("""COMPUTED_VALUE"""),"Panif Mendes Sion")</f>
        <v>Panif Mendes Sion</v>
      </c>
      <c r="G1125" s="1" t="str">
        <f>IFERROR(__xludf.DUMMYFUNCTION("""COMPUTED_VALUE"""),"Comida")</f>
        <v>Comida</v>
      </c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7">
        <f>IFERROR(__xludf.DUMMYFUNCTION("""COMPUTED_VALUE"""),45992.0)</f>
        <v>45992</v>
      </c>
      <c r="B1126" s="1"/>
      <c r="C1126" s="1" t="str">
        <f>IFERROR(__xludf.DUMMYFUNCTION("""COMPUTED_VALUE"""),"Empório Fazenda Velh")</f>
        <v>Empório Fazenda Velh</v>
      </c>
      <c r="D1126" s="2">
        <f>IFERROR(__xludf.DUMMYFUNCTION("""COMPUTED_VALUE"""),72.0)</f>
        <v>72</v>
      </c>
      <c r="E1126" s="1" t="str">
        <f>IFERROR(__xludf.DUMMYFUNCTION("""COMPUTED_VALUE"""),"-")</f>
        <v>-</v>
      </c>
      <c r="F1126" s="1" t="str">
        <f>IFERROR(__xludf.DUMMYFUNCTION("""COMPUTED_VALUE"""),"Empório Fazenda Velh")</f>
        <v>Empório Fazenda Velh</v>
      </c>
      <c r="G1126" s="1" t="str">
        <f>IFERROR(__xludf.DUMMYFUNCTION("""COMPUTED_VALUE"""),"Comida")</f>
        <v>Comida</v>
      </c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7">
        <f>IFERROR(__xludf.DUMMYFUNCTION("""COMPUTED_VALUE"""),45992.0)</f>
        <v>45992</v>
      </c>
      <c r="B1127" s="1"/>
      <c r="C1127" s="1" t="str">
        <f>IFERROR(__xludf.DUMMYFUNCTION("""COMPUTED_VALUE"""),"Marcus Vinicius")</f>
        <v>Marcus Vinicius</v>
      </c>
      <c r="D1127" s="2">
        <f>IFERROR(__xludf.DUMMYFUNCTION("""COMPUTED_VALUE"""),264.8)</f>
        <v>264.8</v>
      </c>
      <c r="E1127" s="1" t="str">
        <f>IFERROR(__xludf.DUMMYFUNCTION("""COMPUTED_VALUE"""),"-")</f>
        <v>-</v>
      </c>
      <c r="F1127" s="1" t="str">
        <f>IFERROR(__xludf.DUMMYFUNCTION("""COMPUTED_VALUE"""),"Marcus Vinicius")</f>
        <v>Marcus Vinicius</v>
      </c>
      <c r="G1127" s="1" t="str">
        <f>IFERROR(__xludf.DUMMYFUNCTION("""COMPUTED_VALUE"""),"-")</f>
        <v>-</v>
      </c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7">
        <f>IFERROR(__xludf.DUMMYFUNCTION("""COMPUTED_VALUE"""),45992.0)</f>
        <v>45992</v>
      </c>
      <c r="B1128" s="1"/>
      <c r="C1128" s="1" t="str">
        <f>IFERROR(__xludf.DUMMYFUNCTION("""COMPUTED_VALUE"""),"Melimais")</f>
        <v>Melimais</v>
      </c>
      <c r="D1128" s="2">
        <f>IFERROR(__xludf.DUMMYFUNCTION("""COMPUTED_VALUE"""),24.9)</f>
        <v>24.9</v>
      </c>
      <c r="E1128" s="1" t="str">
        <f>IFERROR(__xludf.DUMMYFUNCTION("""COMPUTED_VALUE"""),"-")</f>
        <v>-</v>
      </c>
      <c r="F1128" s="1" t="str">
        <f>IFERROR(__xludf.DUMMYFUNCTION("""COMPUTED_VALUE"""),"Melimais")</f>
        <v>Melimais</v>
      </c>
      <c r="G1128" s="1" t="str">
        <f>IFERROR(__xludf.DUMMYFUNCTION("""COMPUTED_VALUE"""),"-")</f>
        <v>-</v>
      </c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7">
        <f>IFERROR(__xludf.DUMMYFUNCTION("""COMPUTED_VALUE"""),45992.0)</f>
        <v>45992</v>
      </c>
      <c r="B1129" s="1"/>
      <c r="C1129" s="1" t="str">
        <f>IFERROR(__xludf.DUMMYFUNCTION("""COMPUTED_VALUE"""),"Posto Volkssete Iii")</f>
        <v>Posto Volkssete Iii</v>
      </c>
      <c r="D1129" s="2">
        <f>IFERROR(__xludf.DUMMYFUNCTION("""COMPUTED_VALUE"""),204.59)</f>
        <v>204.59</v>
      </c>
      <c r="E1129" s="1" t="str">
        <f>IFERROR(__xludf.DUMMYFUNCTION("""COMPUTED_VALUE"""),"-")</f>
        <v>-</v>
      </c>
      <c r="F1129" s="1" t="str">
        <f>IFERROR(__xludf.DUMMYFUNCTION("""COMPUTED_VALUE"""),"Posto Volkssete Iii")</f>
        <v>Posto Volkssete Iii</v>
      </c>
      <c r="G1129" s="1" t="str">
        <f>IFERROR(__xludf.DUMMYFUNCTION("""COMPUTED_VALUE"""),"Carro")</f>
        <v>Carro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7">
        <f>IFERROR(__xludf.DUMMYFUNCTION("""COMPUTED_VALUE"""),45992.0)</f>
        <v>45992</v>
      </c>
      <c r="B1130" s="1"/>
      <c r="C1130" s="1" t="str">
        <f>IFERROR(__xludf.DUMMYFUNCTION("""COMPUTED_VALUE"""),"Empório Fazenda Velh")</f>
        <v>Empório Fazenda Velh</v>
      </c>
      <c r="D1130" s="2">
        <f>IFERROR(__xludf.DUMMYFUNCTION("""COMPUTED_VALUE"""),26.0)</f>
        <v>26</v>
      </c>
      <c r="E1130" s="1" t="str">
        <f>IFERROR(__xludf.DUMMYFUNCTION("""COMPUTED_VALUE"""),"-")</f>
        <v>-</v>
      </c>
      <c r="F1130" s="1" t="str">
        <f>IFERROR(__xludf.DUMMYFUNCTION("""COMPUTED_VALUE"""),"Empório Fazenda Velh")</f>
        <v>Empório Fazenda Velh</v>
      </c>
      <c r="G1130" s="1" t="str">
        <f>IFERROR(__xludf.DUMMYFUNCTION("""COMPUTED_VALUE"""),"Comida")</f>
        <v>Comida</v>
      </c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7">
        <f>IFERROR(__xludf.DUMMYFUNCTION("""COMPUTED_VALUE"""),45992.0)</f>
        <v>45992</v>
      </c>
      <c r="B1131" s="1"/>
      <c r="C1131" s="1" t="str">
        <f>IFERROR(__xludf.DUMMYFUNCTION("""COMPUTED_VALUE"""),"Amazon Digital Br")</f>
        <v>Amazon Digital Br</v>
      </c>
      <c r="D1131" s="2">
        <f>IFERROR(__xludf.DUMMYFUNCTION("""COMPUTED_VALUE"""),28.57)</f>
        <v>28.57</v>
      </c>
      <c r="E1131" s="1" t="str">
        <f>IFERROR(__xludf.DUMMYFUNCTION("""COMPUTED_VALUE"""),"-")</f>
        <v>-</v>
      </c>
      <c r="F1131" s="1" t="str">
        <f>IFERROR(__xludf.DUMMYFUNCTION("""COMPUTED_VALUE"""),"Amazon Digital Br")</f>
        <v>Amazon Digital Br</v>
      </c>
      <c r="G1131" s="1" t="str">
        <f>IFERROR(__xludf.DUMMYFUNCTION("""COMPUTED_VALUE"""),"Compras")</f>
        <v>Compras</v>
      </c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7">
        <f>IFERROR(__xludf.DUMMYFUNCTION("""COMPUTED_VALUE"""),45992.0)</f>
        <v>45992</v>
      </c>
      <c r="B1132" s="1"/>
      <c r="C1132" s="1" t="str">
        <f>IFERROR(__xludf.DUMMYFUNCTION("""COMPUTED_VALUE"""),"Supermercado &amp; Padaria")</f>
        <v>Supermercado &amp; Padaria</v>
      </c>
      <c r="D1132" s="2">
        <f>IFERROR(__xludf.DUMMYFUNCTION("""COMPUTED_VALUE"""),315.13)</f>
        <v>315.13</v>
      </c>
      <c r="E1132" s="1" t="str">
        <f>IFERROR(__xludf.DUMMYFUNCTION("""COMPUTED_VALUE"""),"-")</f>
        <v>-</v>
      </c>
      <c r="F1132" s="1" t="str">
        <f>IFERROR(__xludf.DUMMYFUNCTION("""COMPUTED_VALUE"""),"Supermercado &amp; Padaria")</f>
        <v>Supermercado &amp; Padaria</v>
      </c>
      <c r="G1132" s="1" t="str">
        <f>IFERROR(__xludf.DUMMYFUNCTION("""COMPUTED_VALUE"""),"Comida")</f>
        <v>Comida</v>
      </c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7">
        <f>IFERROR(__xludf.DUMMYFUNCTION("""COMPUTED_VALUE"""),45992.0)</f>
        <v>45992</v>
      </c>
      <c r="B1133" s="1"/>
      <c r="C1133" s="1" t="str">
        <f>IFERROR(__xludf.DUMMYFUNCTION("""COMPUTED_VALUE"""),"Amazonmktplc Hcwebltda")</f>
        <v>Amazonmktplc Hcwebltda</v>
      </c>
      <c r="D1133" s="2">
        <f>IFERROR(__xludf.DUMMYFUNCTION("""COMPUTED_VALUE"""),112.5)</f>
        <v>112.5</v>
      </c>
      <c r="E1133" s="1" t="str">
        <f>IFERROR(__xludf.DUMMYFUNCTION("""COMPUTED_VALUE"""),"-")</f>
        <v>-</v>
      </c>
      <c r="F1133" s="1" t="str">
        <f>IFERROR(__xludf.DUMMYFUNCTION("""COMPUTED_VALUE"""),"Amazonmktplc")</f>
        <v>Amazonmktplc</v>
      </c>
      <c r="G1133" s="1" t="str">
        <f>IFERROR(__xludf.DUMMYFUNCTION("""COMPUTED_VALUE"""),"Compras")</f>
        <v>Compras</v>
      </c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7">
        <f>IFERROR(__xludf.DUMMYFUNCTION("""COMPUTED_VALUE"""),45992.0)</f>
        <v>45992</v>
      </c>
      <c r="B1134" s="1"/>
      <c r="C1134" s="1" t="str">
        <f>IFERROR(__xludf.DUMMYFUNCTION("""COMPUTED_VALUE"""),"Amazon")</f>
        <v>Amazon</v>
      </c>
      <c r="D1134" s="2">
        <f>IFERROR(__xludf.DUMMYFUNCTION("""COMPUTED_VALUE"""),46.66)</f>
        <v>46.66</v>
      </c>
      <c r="E1134" s="1" t="str">
        <f>IFERROR(__xludf.DUMMYFUNCTION("""COMPUTED_VALUE"""),"-")</f>
        <v>-</v>
      </c>
      <c r="F1134" s="1" t="str">
        <f>IFERROR(__xludf.DUMMYFUNCTION("""COMPUTED_VALUE"""),"Amazon")</f>
        <v>Amazon</v>
      </c>
      <c r="G1134" s="1" t="str">
        <f>IFERROR(__xludf.DUMMYFUNCTION("""COMPUTED_VALUE"""),"Compras")</f>
        <v>Compras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7">
        <f>IFERROR(__xludf.DUMMYFUNCTION("""COMPUTED_VALUE"""),45992.0)</f>
        <v>45992</v>
      </c>
      <c r="B1135" s="1"/>
      <c r="C1135" s="1" t="str">
        <f>IFERROR(__xludf.DUMMYFUNCTION("""COMPUTED_VALUE"""),"Amazon")</f>
        <v>Amazon</v>
      </c>
      <c r="D1135" s="2">
        <f>IFERROR(__xludf.DUMMYFUNCTION("""COMPUTED_VALUE"""),15.8)</f>
        <v>15.8</v>
      </c>
      <c r="E1135" s="1" t="str">
        <f>IFERROR(__xludf.DUMMYFUNCTION("""COMPUTED_VALUE"""),"-")</f>
        <v>-</v>
      </c>
      <c r="F1135" s="1" t="str">
        <f>IFERROR(__xludf.DUMMYFUNCTION("""COMPUTED_VALUE"""),"Amazon")</f>
        <v>Amazon</v>
      </c>
      <c r="G1135" s="1" t="str">
        <f>IFERROR(__xludf.DUMMYFUNCTION("""COMPUTED_VALUE"""),"Compras")</f>
        <v>Compras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7">
        <f>IFERROR(__xludf.DUMMYFUNCTION("""COMPUTED_VALUE"""),45992.0)</f>
        <v>45992</v>
      </c>
      <c r="B1136" s="1"/>
      <c r="C1136" s="1" t="str">
        <f>IFERROR(__xludf.DUMMYFUNCTION("""COMPUTED_VALUE"""),"Panif Mendes Sion")</f>
        <v>Panif Mendes Sion</v>
      </c>
      <c r="D1136" s="2">
        <f>IFERROR(__xludf.DUMMYFUNCTION("""COMPUTED_VALUE"""),2.91)</f>
        <v>2.91</v>
      </c>
      <c r="E1136" s="1" t="str">
        <f>IFERROR(__xludf.DUMMYFUNCTION("""COMPUTED_VALUE"""),"-")</f>
        <v>-</v>
      </c>
      <c r="F1136" s="1" t="str">
        <f>IFERROR(__xludf.DUMMYFUNCTION("""COMPUTED_VALUE"""),"Panif Mendes Sion")</f>
        <v>Panif Mendes Sion</v>
      </c>
      <c r="G1136" s="1" t="str">
        <f>IFERROR(__xludf.DUMMYFUNCTION("""COMPUTED_VALUE"""),"Comida")</f>
        <v>Comida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7">
        <f>IFERROR(__xludf.DUMMYFUNCTION("""COMPUTED_VALUE"""),45992.0)</f>
        <v>45992</v>
      </c>
      <c r="B1137" s="1"/>
      <c r="C1137" s="1" t="str">
        <f>IFERROR(__xludf.DUMMYFUNCTION("""COMPUTED_VALUE"""),"Farmácias Pa 324")</f>
        <v>Farmácias Pa 324</v>
      </c>
      <c r="D1137" s="2">
        <f>IFERROR(__xludf.DUMMYFUNCTION("""COMPUTED_VALUE"""),229.0)</f>
        <v>229</v>
      </c>
      <c r="E1137" s="1" t="str">
        <f>IFERROR(__xludf.DUMMYFUNCTION("""COMPUTED_VALUE"""),"-")</f>
        <v>-</v>
      </c>
      <c r="F1137" s="1" t="str">
        <f>IFERROR(__xludf.DUMMYFUNCTION("""COMPUTED_VALUE"""),"Farmácias Pa 324")</f>
        <v>Farmácias Pa 324</v>
      </c>
      <c r="G1137" s="1" t="str">
        <f>IFERROR(__xludf.DUMMYFUNCTION("""COMPUTED_VALUE"""),"Compras")</f>
        <v>Compras</v>
      </c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7">
        <f>IFERROR(__xludf.DUMMYFUNCTION("""COMPUTED_VALUE"""),45992.0)</f>
        <v>45992</v>
      </c>
      <c r="B1138" s="1"/>
      <c r="C1138" s="1" t="str">
        <f>IFERROR(__xludf.DUMMYFUNCTION("""COMPUTED_VALUE"""),"Rodrigo De Souza")</f>
        <v>Rodrigo De Souza</v>
      </c>
      <c r="D1138" s="2">
        <f>IFERROR(__xludf.DUMMYFUNCTION("""COMPUTED_VALUE"""),75.0)</f>
        <v>75</v>
      </c>
      <c r="E1138" s="1" t="str">
        <f>IFERROR(__xludf.DUMMYFUNCTION("""COMPUTED_VALUE"""),"-")</f>
        <v>-</v>
      </c>
      <c r="F1138" s="1" t="str">
        <f>IFERROR(__xludf.DUMMYFUNCTION("""COMPUTED_VALUE"""),"Rodrigo De Souza")</f>
        <v>Rodrigo De Souza</v>
      </c>
      <c r="G1138" s="1" t="str">
        <f>IFERROR(__xludf.DUMMYFUNCTION("""COMPUTED_VALUE"""),"-")</f>
        <v>-</v>
      </c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7">
        <f>IFERROR(__xludf.DUMMYFUNCTION("""COMPUTED_VALUE"""),45992.0)</f>
        <v>45992</v>
      </c>
      <c r="B1139" s="1"/>
      <c r="C1139" s="1" t="str">
        <f>IFERROR(__xludf.DUMMYFUNCTION("""COMPUTED_VALUE"""),"Belo Horizont Bra")</f>
        <v>Belo Horizont Bra</v>
      </c>
      <c r="D1139" s="2">
        <f>IFERROR(__xludf.DUMMYFUNCTION("""COMPUTED_VALUE"""),279.28)</f>
        <v>279.28</v>
      </c>
      <c r="E1139" s="1" t="str">
        <f>IFERROR(__xludf.DUMMYFUNCTION("""COMPUTED_VALUE"""),"-")</f>
        <v>-</v>
      </c>
      <c r="F1139" s="1" t="str">
        <f>IFERROR(__xludf.DUMMYFUNCTION("""COMPUTED_VALUE"""),"Belo Horizont Bra")</f>
        <v>Belo Horizont Bra</v>
      </c>
      <c r="G1139" s="1" t="str">
        <f>IFERROR(__xludf.DUMMYFUNCTION("""COMPUTED_VALUE"""),"-")</f>
        <v>-</v>
      </c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7">
        <f>IFERROR(__xludf.DUMMYFUNCTION("""COMPUTED_VALUE"""),45992.0)</f>
        <v>45992</v>
      </c>
      <c r="B1140" s="1"/>
      <c r="C1140" s="1" t="str">
        <f>IFERROR(__xludf.DUMMYFUNCTION("""COMPUTED_VALUE"""),"Supermercado &amp; Padaria")</f>
        <v>Supermercado &amp; Padaria</v>
      </c>
      <c r="D1140" s="2">
        <f>IFERROR(__xludf.DUMMYFUNCTION("""COMPUTED_VALUE"""),270.16)</f>
        <v>270.16</v>
      </c>
      <c r="E1140" s="1" t="str">
        <f>IFERROR(__xludf.DUMMYFUNCTION("""COMPUTED_VALUE"""),"-")</f>
        <v>-</v>
      </c>
      <c r="F1140" s="1" t="str">
        <f>IFERROR(__xludf.DUMMYFUNCTION("""COMPUTED_VALUE"""),"Supermercado &amp; Padaria")</f>
        <v>Supermercado &amp; Padaria</v>
      </c>
      <c r="G1140" s="1" t="str">
        <f>IFERROR(__xludf.DUMMYFUNCTION("""COMPUTED_VALUE"""),"Comida")</f>
        <v>Comida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7">
        <f>IFERROR(__xludf.DUMMYFUNCTION("""COMPUTED_VALUE"""),45992.0)</f>
        <v>45992</v>
      </c>
      <c r="B1141" s="1"/>
      <c r="C1141" s="1" t="str">
        <f>IFERROR(__xludf.DUMMYFUNCTION("""COMPUTED_VALUE"""),"Amazon Marketplace")</f>
        <v>Amazon Marketplace</v>
      </c>
      <c r="D1141" s="2">
        <f>IFERROR(__xludf.DUMMYFUNCTION("""COMPUTED_VALUE"""),10.95)</f>
        <v>10.95</v>
      </c>
      <c r="E1141" s="1" t="str">
        <f>IFERROR(__xludf.DUMMYFUNCTION("""COMPUTED_VALUE"""),"-")</f>
        <v>-</v>
      </c>
      <c r="F1141" s="1" t="str">
        <f>IFERROR(__xludf.DUMMYFUNCTION("""COMPUTED_VALUE"""),"Amazon Marketplace")</f>
        <v>Amazon Marketplace</v>
      </c>
      <c r="G1141" s="1" t="str">
        <f>IFERROR(__xludf.DUMMYFUNCTION("""COMPUTED_VALUE"""),"Compras")</f>
        <v>Compras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7">
        <f>IFERROR(__xludf.DUMMYFUNCTION("""COMPUTED_VALUE"""),45992.0)</f>
        <v>45992</v>
      </c>
      <c r="B1142" s="1"/>
      <c r="C1142" s="1" t="str">
        <f>IFERROR(__xludf.DUMMYFUNCTION("""COMPUTED_VALUE"""),"My Hair Escovaria Band")</f>
        <v>My Hair Escovaria Band</v>
      </c>
      <c r="D1142" s="2">
        <f>IFERROR(__xludf.DUMMYFUNCTION("""COMPUTED_VALUE"""),146.0)</f>
        <v>146</v>
      </c>
      <c r="E1142" s="1" t="str">
        <f>IFERROR(__xludf.DUMMYFUNCTION("""COMPUTED_VALUE"""),"-")</f>
        <v>-</v>
      </c>
      <c r="F1142" s="1" t="str">
        <f>IFERROR(__xludf.DUMMYFUNCTION("""COMPUTED_VALUE"""),"My Hair Escovaria Band")</f>
        <v>My Hair Escovaria Band</v>
      </c>
      <c r="G1142" s="1" t="str">
        <f>IFERROR(__xludf.DUMMYFUNCTION("""COMPUTED_VALUE"""),"-")</f>
        <v>-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7">
        <f>IFERROR(__xludf.DUMMYFUNCTION("""COMPUTED_VALUE"""),45992.0)</f>
        <v>45992</v>
      </c>
      <c r="B1143" s="1"/>
      <c r="C1143" s="1" t="str">
        <f>IFERROR(__xludf.DUMMYFUNCTION("""COMPUTED_VALUE"""),"Supermercado &amp; Padaria")</f>
        <v>Supermercado &amp; Padaria</v>
      </c>
      <c r="D1143" s="2">
        <f>IFERROR(__xludf.DUMMYFUNCTION("""COMPUTED_VALUE"""),50.33)</f>
        <v>50.33</v>
      </c>
      <c r="E1143" s="1" t="str">
        <f>IFERROR(__xludf.DUMMYFUNCTION("""COMPUTED_VALUE"""),"-")</f>
        <v>-</v>
      </c>
      <c r="F1143" s="1" t="str">
        <f>IFERROR(__xludf.DUMMYFUNCTION("""COMPUTED_VALUE"""),"Supermercado &amp; Padaria")</f>
        <v>Supermercado &amp; Padaria</v>
      </c>
      <c r="G1143" s="1" t="str">
        <f>IFERROR(__xludf.DUMMYFUNCTION("""COMPUTED_VALUE"""),"Comida")</f>
        <v>Comida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7">
        <f>IFERROR(__xludf.DUMMYFUNCTION("""COMPUTED_VALUE"""),45992.0)</f>
        <v>45992</v>
      </c>
      <c r="B1144" s="1"/>
      <c r="C1144" s="1" t="str">
        <f>IFERROR(__xludf.DUMMYFUNCTION("""COMPUTED_VALUE"""),"Posto Leste")</f>
        <v>Posto Leste</v>
      </c>
      <c r="D1144" s="2">
        <f>IFERROR(__xludf.DUMMYFUNCTION("""COMPUTED_VALUE"""),108.8)</f>
        <v>108.8</v>
      </c>
      <c r="E1144" s="1" t="str">
        <f>IFERROR(__xludf.DUMMYFUNCTION("""COMPUTED_VALUE"""),"-")</f>
        <v>-</v>
      </c>
      <c r="F1144" s="1" t="str">
        <f>IFERROR(__xludf.DUMMYFUNCTION("""COMPUTED_VALUE"""),"Posto Leste")</f>
        <v>Posto Leste</v>
      </c>
      <c r="G1144" s="1" t="str">
        <f>IFERROR(__xludf.DUMMYFUNCTION("""COMPUTED_VALUE"""),"Carro")</f>
        <v>Carro</v>
      </c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7">
        <f>IFERROR(__xludf.DUMMYFUNCTION("""COMPUTED_VALUE"""),45992.0)</f>
        <v>45992</v>
      </c>
      <c r="B1145" s="1"/>
      <c r="C1145" s="1" t="str">
        <f>IFERROR(__xludf.DUMMYFUNCTION("""COMPUTED_VALUE"""),"Sacolao Abc Noroeste")</f>
        <v>Sacolao Abc Noroeste</v>
      </c>
      <c r="D1145" s="2">
        <f>IFERROR(__xludf.DUMMYFUNCTION("""COMPUTED_VALUE"""),64.24)</f>
        <v>64.24</v>
      </c>
      <c r="E1145" s="1" t="str">
        <f>IFERROR(__xludf.DUMMYFUNCTION("""COMPUTED_VALUE"""),"-")</f>
        <v>-</v>
      </c>
      <c r="F1145" s="1" t="str">
        <f>IFERROR(__xludf.DUMMYFUNCTION("""COMPUTED_VALUE"""),"Sacolao Abc Noroeste")</f>
        <v>Sacolao Abc Noroeste</v>
      </c>
      <c r="G1145" s="1" t="str">
        <f>IFERROR(__xludf.DUMMYFUNCTION("""COMPUTED_VALUE"""),"Comida")</f>
        <v>Comida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7">
        <f>IFERROR(__xludf.DUMMYFUNCTION("""COMPUTED_VALUE"""),45992.0)</f>
        <v>45992</v>
      </c>
      <c r="B1146" s="1"/>
      <c r="C1146" s="1" t="str">
        <f>IFERROR(__xludf.DUMMYFUNCTION("""COMPUTED_VALUE"""),"Sacolao Abc Noroeste")</f>
        <v>Sacolao Abc Noroeste</v>
      </c>
      <c r="D1146" s="2">
        <f>IFERROR(__xludf.DUMMYFUNCTION("""COMPUTED_VALUE"""),26.31)</f>
        <v>26.31</v>
      </c>
      <c r="E1146" s="1" t="str">
        <f>IFERROR(__xludf.DUMMYFUNCTION("""COMPUTED_VALUE"""),"-")</f>
        <v>-</v>
      </c>
      <c r="F1146" s="1" t="str">
        <f>IFERROR(__xludf.DUMMYFUNCTION("""COMPUTED_VALUE"""),"Sacolao Abc Noroeste")</f>
        <v>Sacolao Abc Noroeste</v>
      </c>
      <c r="G1146" s="1" t="str">
        <f>IFERROR(__xludf.DUMMYFUNCTION("""COMPUTED_VALUE"""),"Comida")</f>
        <v>Comida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7">
        <f>IFERROR(__xludf.DUMMYFUNCTION("""COMPUTED_VALUE"""),45992.0)</f>
        <v>45992</v>
      </c>
      <c r="B1147" s="1"/>
      <c r="C1147" s="1" t="str">
        <f>IFERROR(__xludf.DUMMYFUNCTION("""COMPUTED_VALUE"""),"Supermercado &amp; Padaria")</f>
        <v>Supermercado &amp; Padaria</v>
      </c>
      <c r="D1147" s="2">
        <f>IFERROR(__xludf.DUMMYFUNCTION("""COMPUTED_VALUE"""),163.59)</f>
        <v>163.59</v>
      </c>
      <c r="E1147" s="1" t="str">
        <f>IFERROR(__xludf.DUMMYFUNCTION("""COMPUTED_VALUE"""),"-")</f>
        <v>-</v>
      </c>
      <c r="F1147" s="1" t="str">
        <f>IFERROR(__xludf.DUMMYFUNCTION("""COMPUTED_VALUE"""),"Supermercado &amp; Padaria")</f>
        <v>Supermercado &amp; Padaria</v>
      </c>
      <c r="G1147" s="1" t="str">
        <f>IFERROR(__xludf.DUMMYFUNCTION("""COMPUTED_VALUE"""),"Comida")</f>
        <v>Comida</v>
      </c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7">
        <f>IFERROR(__xludf.DUMMYFUNCTION("""COMPUTED_VALUE"""),45992.0)</f>
        <v>45992</v>
      </c>
      <c r="B1148" s="1"/>
      <c r="C1148" s="1" t="str">
        <f>IFERROR(__xludf.DUMMYFUNCTION("""COMPUTED_VALUE"""),"Golden Pet")</f>
        <v>Golden Pet</v>
      </c>
      <c r="D1148" s="2">
        <f>IFERROR(__xludf.DUMMYFUNCTION("""COMPUTED_VALUE"""),68.0)</f>
        <v>68</v>
      </c>
      <c r="E1148" s="1" t="str">
        <f>IFERROR(__xludf.DUMMYFUNCTION("""COMPUTED_VALUE"""),"-")</f>
        <v>-</v>
      </c>
      <c r="F1148" s="1" t="str">
        <f>IFERROR(__xludf.DUMMYFUNCTION("""COMPUTED_VALUE"""),"Golden Pet")</f>
        <v>Golden Pet</v>
      </c>
      <c r="G1148" s="1" t="str">
        <f>IFERROR(__xludf.DUMMYFUNCTION("""COMPUTED_VALUE"""),"Hulk")</f>
        <v>Hulk</v>
      </c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7">
        <f>IFERROR(__xludf.DUMMYFUNCTION("""COMPUTED_VALUE"""),45992.0)</f>
        <v>45992</v>
      </c>
      <c r="B1149" s="1"/>
      <c r="C1149" s="1" t="str">
        <f>IFERROR(__xludf.DUMMYFUNCTION("""COMPUTED_VALUE"""),"Drogaria Araujo")</f>
        <v>Drogaria Araujo</v>
      </c>
      <c r="D1149" s="2">
        <f>IFERROR(__xludf.DUMMYFUNCTION("""COMPUTED_VALUE"""),45.25)</f>
        <v>45.25</v>
      </c>
      <c r="E1149" s="1" t="str">
        <f>IFERROR(__xludf.DUMMYFUNCTION("""COMPUTED_VALUE"""),"-")</f>
        <v>-</v>
      </c>
      <c r="F1149" s="1" t="str">
        <f>IFERROR(__xludf.DUMMYFUNCTION("""COMPUTED_VALUE"""),"Drogaria Araujo")</f>
        <v>Drogaria Araujo</v>
      </c>
      <c r="G1149" s="1" t="str">
        <f>IFERROR(__xludf.DUMMYFUNCTION("""COMPUTED_VALUE"""),"Farmácia")</f>
        <v>Farmácia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7">
        <f>IFERROR(__xludf.DUMMYFUNCTION("""COMPUTED_VALUE"""),45992.0)</f>
        <v>45992</v>
      </c>
      <c r="B1150" s="1"/>
      <c r="C1150" s="1" t="str">
        <f>IFERROR(__xludf.DUMMYFUNCTION("""COMPUTED_VALUE"""),"Amazonmktplc Gustavoam")</f>
        <v>Amazonmktplc Gustavoam</v>
      </c>
      <c r="D1150" s="2">
        <f>IFERROR(__xludf.DUMMYFUNCTION("""COMPUTED_VALUE"""),11.3)</f>
        <v>11.3</v>
      </c>
      <c r="E1150" s="1" t="str">
        <f>IFERROR(__xludf.DUMMYFUNCTION("""COMPUTED_VALUE"""),"-")</f>
        <v>-</v>
      </c>
      <c r="F1150" s="1" t="str">
        <f>IFERROR(__xludf.DUMMYFUNCTION("""COMPUTED_VALUE"""),"Amazonmktplc")</f>
        <v>Amazonmktplc</v>
      </c>
      <c r="G1150" s="1" t="str">
        <f>IFERROR(__xludf.DUMMYFUNCTION("""COMPUTED_VALUE"""),"Compras")</f>
        <v>Compras</v>
      </c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7">
        <f>IFERROR(__xludf.DUMMYFUNCTION("""COMPUTED_VALUE"""),45992.0)</f>
        <v>45992</v>
      </c>
      <c r="B1151" s="1"/>
      <c r="C1151" s="1" t="str">
        <f>IFERROR(__xludf.DUMMYFUNCTION("""COMPUTED_VALUE"""),"Lojas Rede")</f>
        <v>Lojas Rede</v>
      </c>
      <c r="D1151" s="2">
        <f>IFERROR(__xludf.DUMMYFUNCTION("""COMPUTED_VALUE"""),13.9)</f>
        <v>13.9</v>
      </c>
      <c r="E1151" s="1" t="str">
        <f>IFERROR(__xludf.DUMMYFUNCTION("""COMPUTED_VALUE"""),"-")</f>
        <v>-</v>
      </c>
      <c r="F1151" s="1" t="str">
        <f>IFERROR(__xludf.DUMMYFUNCTION("""COMPUTED_VALUE"""),"Lojas Rede")</f>
        <v>Lojas Rede</v>
      </c>
      <c r="G1151" s="1" t="str">
        <f>IFERROR(__xludf.DUMMYFUNCTION("""COMPUTED_VALUE"""),"Compras")</f>
        <v>Compras</v>
      </c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7">
        <f>IFERROR(__xludf.DUMMYFUNCTION("""COMPUTED_VALUE"""),45992.0)</f>
        <v>45992</v>
      </c>
      <c r="B1152" s="1"/>
      <c r="C1152" s="1" t="str">
        <f>IFERROR(__xludf.DUMMYFUNCTION("""COMPUTED_VALUE"""),"Oscar Restaurante")</f>
        <v>Oscar Restaurante</v>
      </c>
      <c r="D1152" s="2">
        <f>IFERROR(__xludf.DUMMYFUNCTION("""COMPUTED_VALUE"""),26.97)</f>
        <v>26.97</v>
      </c>
      <c r="E1152" s="1" t="str">
        <f>IFERROR(__xludf.DUMMYFUNCTION("""COMPUTED_VALUE"""),"-")</f>
        <v>-</v>
      </c>
      <c r="F1152" s="1" t="str">
        <f>IFERROR(__xludf.DUMMYFUNCTION("""COMPUTED_VALUE"""),"Oscar Restaurante")</f>
        <v>Oscar Restaurante</v>
      </c>
      <c r="G1152" s="1" t="str">
        <f>IFERROR(__xludf.DUMMYFUNCTION("""COMPUTED_VALUE"""),"Comida")</f>
        <v>Comida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7">
        <f>IFERROR(__xludf.DUMMYFUNCTION("""COMPUTED_VALUE"""),45992.0)</f>
        <v>45992</v>
      </c>
      <c r="B1153" s="1"/>
      <c r="C1153" s="1">
        <f>IFERROR(__xludf.DUMMYFUNCTION("""COMPUTED_VALUE"""),99.0)</f>
        <v>99</v>
      </c>
      <c r="D1153" s="2">
        <f>IFERROR(__xludf.DUMMYFUNCTION("""COMPUTED_VALUE"""),21.0)</f>
        <v>21</v>
      </c>
      <c r="E1153" s="1" t="str">
        <f>IFERROR(__xludf.DUMMYFUNCTION("""COMPUTED_VALUE"""),"-")</f>
        <v>-</v>
      </c>
      <c r="F1153" s="1" t="str">
        <f>IFERROR(__xludf.DUMMYFUNCTION("""COMPUTED_VALUE"""),"99")</f>
        <v>99</v>
      </c>
      <c r="G1153" s="1" t="str">
        <f>IFERROR(__xludf.DUMMYFUNCTION("""COMPUTED_VALUE"""),"Uber/99")</f>
        <v>Uber/99</v>
      </c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7">
        <f>IFERROR(__xludf.DUMMYFUNCTION("""COMPUTED_VALUE"""),45992.0)</f>
        <v>45992</v>
      </c>
      <c r="B1154" s="1"/>
      <c r="C1154" s="1" t="str">
        <f>IFERROR(__xludf.DUMMYFUNCTION("""COMPUTED_VALUE"""),"Mercado Livre")</f>
        <v>Mercado Livre</v>
      </c>
      <c r="D1154" s="2">
        <f>IFERROR(__xludf.DUMMYFUNCTION("""COMPUTED_VALUE"""),96.6)</f>
        <v>96.6</v>
      </c>
      <c r="E1154" s="1" t="str">
        <f>IFERROR(__xludf.DUMMYFUNCTION("""COMPUTED_VALUE"""),"-")</f>
        <v>-</v>
      </c>
      <c r="F1154" s="1" t="str">
        <f>IFERROR(__xludf.DUMMYFUNCTION("""COMPUTED_VALUE"""),"Mercado Livre")</f>
        <v>Mercado Livre</v>
      </c>
      <c r="G1154" s="1" t="str">
        <f>IFERROR(__xludf.DUMMYFUNCTION("""COMPUTED_VALUE"""),"Compras")</f>
        <v>Compras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7">
        <f>IFERROR(__xludf.DUMMYFUNCTION("""COMPUTED_VALUE"""),45992.0)</f>
        <v>45992</v>
      </c>
      <c r="B1155" s="1"/>
      <c r="C1155" s="1" t="str">
        <f>IFERROR(__xludf.DUMMYFUNCTION("""COMPUTED_VALUE"""),"Ebn Amazon Retail")</f>
        <v>Ebn Amazon Retail</v>
      </c>
      <c r="D1155" s="2">
        <f>IFERROR(__xludf.DUMMYFUNCTION("""COMPUTED_VALUE"""),91.94)</f>
        <v>91.94</v>
      </c>
      <c r="E1155" s="1" t="str">
        <f>IFERROR(__xludf.DUMMYFUNCTION("""COMPUTED_VALUE"""),"-")</f>
        <v>-</v>
      </c>
      <c r="F1155" s="1" t="str">
        <f>IFERROR(__xludf.DUMMYFUNCTION("""COMPUTED_VALUE"""),"Ebn Amazon Retail")</f>
        <v>Ebn Amazon Retail</v>
      </c>
      <c r="G1155" s="1" t="str">
        <f>IFERROR(__xludf.DUMMYFUNCTION("""COMPUTED_VALUE"""),"Compras")</f>
        <v>Compras</v>
      </c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7">
        <f>IFERROR(__xludf.DUMMYFUNCTION("""COMPUTED_VALUE"""),45992.0)</f>
        <v>45992</v>
      </c>
      <c r="B1156" s="1"/>
      <c r="C1156" s="1" t="str">
        <f>IFERROR(__xludf.DUMMYFUNCTION("""COMPUTED_VALUE"""),"Unisant")</f>
        <v>Unisant</v>
      </c>
      <c r="D1156" s="2">
        <f>IFERROR(__xludf.DUMMYFUNCTION("""COMPUTED_VALUE"""),225.52)</f>
        <v>225.52</v>
      </c>
      <c r="E1156" s="1" t="str">
        <f>IFERROR(__xludf.DUMMYFUNCTION("""COMPUTED_VALUE"""),"-")</f>
        <v>-</v>
      </c>
      <c r="F1156" s="1" t="str">
        <f>IFERROR(__xludf.DUMMYFUNCTION("""COMPUTED_VALUE"""),"Unisant")</f>
        <v>Unisant</v>
      </c>
      <c r="G1156" s="1" t="str">
        <f>IFERROR(__xludf.DUMMYFUNCTION("""COMPUTED_VALUE"""),"-")</f>
        <v>-</v>
      </c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7">
        <f>IFERROR(__xludf.DUMMYFUNCTION("""COMPUTED_VALUE"""),45992.0)</f>
        <v>45992</v>
      </c>
      <c r="B1157" s="1"/>
      <c r="C1157" s="1" t="str">
        <f>IFERROR(__xludf.DUMMYFUNCTION("""COMPUTED_VALUE"""),"Super Nosso")</f>
        <v>Super Nosso</v>
      </c>
      <c r="D1157" s="2">
        <f>IFERROR(__xludf.DUMMYFUNCTION("""COMPUTED_VALUE"""),13.99)</f>
        <v>13.99</v>
      </c>
      <c r="E1157" s="1" t="str">
        <f>IFERROR(__xludf.DUMMYFUNCTION("""COMPUTED_VALUE"""),"-")</f>
        <v>-</v>
      </c>
      <c r="F1157" s="1" t="str">
        <f>IFERROR(__xludf.DUMMYFUNCTION("""COMPUTED_VALUE"""),"Super Nosso")</f>
        <v>Super Nosso</v>
      </c>
      <c r="G1157" s="1" t="str">
        <f>IFERROR(__xludf.DUMMYFUNCTION("""COMPUTED_VALUE"""),"Supermercado")</f>
        <v>Supermercado</v>
      </c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7">
        <f>IFERROR(__xludf.DUMMYFUNCTION("""COMPUTED_VALUE"""),45992.0)</f>
        <v>45992</v>
      </c>
      <c r="B1158" s="1"/>
      <c r="C1158" s="1">
        <f>IFERROR(__xludf.DUMMYFUNCTION("""COMPUTED_VALUE"""),99.0)</f>
        <v>99</v>
      </c>
      <c r="D1158" s="2">
        <f>IFERROR(__xludf.DUMMYFUNCTION("""COMPUTED_VALUE"""),23.7)</f>
        <v>23.7</v>
      </c>
      <c r="E1158" s="1" t="str">
        <f>IFERROR(__xludf.DUMMYFUNCTION("""COMPUTED_VALUE"""),"-")</f>
        <v>-</v>
      </c>
      <c r="F1158" s="1" t="str">
        <f>IFERROR(__xludf.DUMMYFUNCTION("""COMPUTED_VALUE"""),"99")</f>
        <v>99</v>
      </c>
      <c r="G1158" s="1" t="str">
        <f>IFERROR(__xludf.DUMMYFUNCTION("""COMPUTED_VALUE"""),"Uber/99")</f>
        <v>Uber/99</v>
      </c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7">
        <f>IFERROR(__xludf.DUMMYFUNCTION("""COMPUTED_VALUE"""),45992.0)</f>
        <v>45992</v>
      </c>
      <c r="B1159" s="1"/>
      <c r="C1159" s="1" t="str">
        <f>IFERROR(__xludf.DUMMYFUNCTION("""COMPUTED_VALUE"""),"Drogaria Ara Araujo")</f>
        <v>Drogaria Ara Araujo</v>
      </c>
      <c r="D1159" s="2">
        <f>IFERROR(__xludf.DUMMYFUNCTION("""COMPUTED_VALUE"""),55.17)</f>
        <v>55.17</v>
      </c>
      <c r="E1159" s="1" t="str">
        <f>IFERROR(__xludf.DUMMYFUNCTION("""COMPUTED_VALUE"""),"-")</f>
        <v>-</v>
      </c>
      <c r="F1159" s="1" t="str">
        <f>IFERROR(__xludf.DUMMYFUNCTION("""COMPUTED_VALUE"""),"Drogaria Ara Araujo")</f>
        <v>Drogaria Ara Araujo</v>
      </c>
      <c r="G1159" s="1" t="str">
        <f>IFERROR(__xludf.DUMMYFUNCTION("""COMPUTED_VALUE"""),"Farmácia")</f>
        <v>Farmácia</v>
      </c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7">
        <f>IFERROR(__xludf.DUMMYFUNCTION("""COMPUTED_VALUE"""),45992.0)</f>
        <v>45992</v>
      </c>
      <c r="B1160" s="1"/>
      <c r="C1160" s="1" t="str">
        <f>IFERROR(__xludf.DUMMYFUNCTION("""COMPUTED_VALUE"""),"Mercado Livre (3/3)")</f>
        <v>Mercado Livre (3/3)</v>
      </c>
      <c r="D1160" s="2">
        <f>IFERROR(__xludf.DUMMYFUNCTION("""COMPUTED_VALUE"""),72.0)</f>
        <v>72</v>
      </c>
      <c r="E1160" s="1" t="str">
        <f>IFERROR(__xludf.DUMMYFUNCTION("""COMPUTED_VALUE"""),"-")</f>
        <v>-</v>
      </c>
      <c r="F1160" s="1" t="str">
        <f>IFERROR(__xludf.DUMMYFUNCTION("""COMPUTED_VALUE"""),"Mercado Livre")</f>
        <v>Mercado Livre</v>
      </c>
      <c r="G1160" s="1" t="str">
        <f>IFERROR(__xludf.DUMMYFUNCTION("""COMPUTED_VALUE"""),"Compras")</f>
        <v>Compras</v>
      </c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7">
        <f>IFERROR(__xludf.DUMMYFUNCTION("""COMPUTED_VALUE"""),45992.0)</f>
        <v>45992</v>
      </c>
      <c r="B1161" s="1"/>
      <c r="C1161" s="1" t="str">
        <f>IFERROR(__xludf.DUMMYFUNCTION("""COMPUTED_VALUE"""),"Mercado Livre (2/3)")</f>
        <v>Mercado Livre (2/3)</v>
      </c>
      <c r="D1161" s="2">
        <f>IFERROR(__xludf.DUMMYFUNCTION("""COMPUTED_VALUE"""),72.0)</f>
        <v>72</v>
      </c>
      <c r="E1161" s="1" t="str">
        <f>IFERROR(__xludf.DUMMYFUNCTION("""COMPUTED_VALUE"""),"-")</f>
        <v>-</v>
      </c>
      <c r="F1161" s="1" t="str">
        <f>IFERROR(__xludf.DUMMYFUNCTION("""COMPUTED_VALUE"""),"Mercado Livre")</f>
        <v>Mercado Livre</v>
      </c>
      <c r="G1161" s="1" t="str">
        <f>IFERROR(__xludf.DUMMYFUNCTION("""COMPUTED_VALUE"""),"Compras")</f>
        <v>Compras</v>
      </c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7">
        <f>IFERROR(__xludf.DUMMYFUNCTION("""COMPUTED_VALUE"""),45992.0)</f>
        <v>45992</v>
      </c>
      <c r="B1162" s="1"/>
      <c r="C1162" s="1" t="str">
        <f>IFERROR(__xludf.DUMMYFUNCTION("""COMPUTED_VALUE"""),"Mercado Livre (1/3)")</f>
        <v>Mercado Livre (1/3)</v>
      </c>
      <c r="D1162" s="2">
        <f>IFERROR(__xludf.DUMMYFUNCTION("""COMPUTED_VALUE"""),72.0)</f>
        <v>72</v>
      </c>
      <c r="E1162" s="1" t="str">
        <f>IFERROR(__xludf.DUMMYFUNCTION("""COMPUTED_VALUE"""),"-")</f>
        <v>-</v>
      </c>
      <c r="F1162" s="1" t="str">
        <f>IFERROR(__xludf.DUMMYFUNCTION("""COMPUTED_VALUE"""),"Mercado Livre")</f>
        <v>Mercado Livre</v>
      </c>
      <c r="G1162" s="1" t="str">
        <f>IFERROR(__xludf.DUMMYFUNCTION("""COMPUTED_VALUE"""),"Compras")</f>
        <v>Compras</v>
      </c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7">
        <f>IFERROR(__xludf.DUMMYFUNCTION("""COMPUTED_VALUE"""),45992.0)</f>
        <v>45992</v>
      </c>
      <c r="B1163" s="1"/>
      <c r="C1163" s="1">
        <f>IFERROR(__xludf.DUMMYFUNCTION("""COMPUTED_VALUE"""),99.0)</f>
        <v>99</v>
      </c>
      <c r="D1163" s="2">
        <f>IFERROR(__xludf.DUMMYFUNCTION("""COMPUTED_VALUE"""),17.5)</f>
        <v>17.5</v>
      </c>
      <c r="E1163" s="1" t="str">
        <f>IFERROR(__xludf.DUMMYFUNCTION("""COMPUTED_VALUE"""),"-")</f>
        <v>-</v>
      </c>
      <c r="F1163" s="1" t="str">
        <f>IFERROR(__xludf.DUMMYFUNCTION("""COMPUTED_VALUE"""),"99")</f>
        <v>99</v>
      </c>
      <c r="G1163" s="1" t="str">
        <f>IFERROR(__xludf.DUMMYFUNCTION("""COMPUTED_VALUE"""),"Uber/99")</f>
        <v>Uber/99</v>
      </c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7">
        <f>IFERROR(__xludf.DUMMYFUNCTION("""COMPUTED_VALUE"""),45992.0)</f>
        <v>45992</v>
      </c>
      <c r="B1164" s="1"/>
      <c r="C1164" s="1" t="str">
        <f>IFERROR(__xludf.DUMMYFUNCTION("""COMPUTED_VALUE"""),"Amazon Digital Br")</f>
        <v>Amazon Digital Br</v>
      </c>
      <c r="D1164" s="2">
        <f>IFERROR(__xludf.DUMMYFUNCTION("""COMPUTED_VALUE"""),11.96)</f>
        <v>11.96</v>
      </c>
      <c r="E1164" s="1" t="str">
        <f>IFERROR(__xludf.DUMMYFUNCTION("""COMPUTED_VALUE"""),"-")</f>
        <v>-</v>
      </c>
      <c r="F1164" s="1" t="str">
        <f>IFERROR(__xludf.DUMMYFUNCTION("""COMPUTED_VALUE"""),"Amazon Digital Br")</f>
        <v>Amazon Digital Br</v>
      </c>
      <c r="G1164" s="1" t="str">
        <f>IFERROR(__xludf.DUMMYFUNCTION("""COMPUTED_VALUE"""),"Compras")</f>
        <v>Compras</v>
      </c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7">
        <f>IFERROR(__xludf.DUMMYFUNCTION("""COMPUTED_VALUE"""),45992.0)</f>
        <v>45992</v>
      </c>
      <c r="B1165" s="1"/>
      <c r="C1165" s="1" t="str">
        <f>IFERROR(__xludf.DUMMYFUNCTION("""COMPUTED_VALUE"""),"Amazon")</f>
        <v>Amazon</v>
      </c>
      <c r="D1165" s="2">
        <f>IFERROR(__xludf.DUMMYFUNCTION("""COMPUTED_VALUE"""),26.39)</f>
        <v>26.39</v>
      </c>
      <c r="E1165" s="1" t="str">
        <f>IFERROR(__xludf.DUMMYFUNCTION("""COMPUTED_VALUE"""),"-")</f>
        <v>-</v>
      </c>
      <c r="F1165" s="1" t="str">
        <f>IFERROR(__xludf.DUMMYFUNCTION("""COMPUTED_VALUE"""),"Amazon")</f>
        <v>Amazon</v>
      </c>
      <c r="G1165" s="1" t="str">
        <f>IFERROR(__xludf.DUMMYFUNCTION("""COMPUTED_VALUE"""),"Compras")</f>
        <v>Compras</v>
      </c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7">
        <f>IFERROR(__xludf.DUMMYFUNCTION("""COMPUTED_VALUE"""),45992.0)</f>
        <v>45992</v>
      </c>
      <c r="B1166" s="1"/>
      <c r="C1166" s="1">
        <f>IFERROR(__xludf.DUMMYFUNCTION("""COMPUTED_VALUE"""),99.0)</f>
        <v>99</v>
      </c>
      <c r="D1166" s="2">
        <f>IFERROR(__xludf.DUMMYFUNCTION("""COMPUTED_VALUE"""),15.66)</f>
        <v>15.66</v>
      </c>
      <c r="E1166" s="1" t="str">
        <f>IFERROR(__xludf.DUMMYFUNCTION("""COMPUTED_VALUE"""),"-")</f>
        <v>-</v>
      </c>
      <c r="F1166" s="1" t="str">
        <f>IFERROR(__xludf.DUMMYFUNCTION("""COMPUTED_VALUE"""),"99")</f>
        <v>99</v>
      </c>
      <c r="G1166" s="1" t="str">
        <f>IFERROR(__xludf.DUMMYFUNCTION("""COMPUTED_VALUE"""),"Uber/99")</f>
        <v>Uber/99</v>
      </c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7">
        <f>IFERROR(__xludf.DUMMYFUNCTION("""COMPUTED_VALUE"""),45992.0)</f>
        <v>45992</v>
      </c>
      <c r="B1167" s="1"/>
      <c r="C1167" s="1" t="str">
        <f>IFERROR(__xludf.DUMMYFUNCTION("""COMPUTED_VALUE"""),"Uber")</f>
        <v>Uber</v>
      </c>
      <c r="D1167" s="2">
        <f>IFERROR(__xludf.DUMMYFUNCTION("""COMPUTED_VALUE"""),9.83)</f>
        <v>9.83</v>
      </c>
      <c r="E1167" s="1" t="str">
        <f>IFERROR(__xludf.DUMMYFUNCTION("""COMPUTED_VALUE"""),"-")</f>
        <v>-</v>
      </c>
      <c r="F1167" s="1" t="str">
        <f>IFERROR(__xludf.DUMMYFUNCTION("""COMPUTED_VALUE"""),"Uber")</f>
        <v>Uber</v>
      </c>
      <c r="G1167" s="1" t="str">
        <f>IFERROR(__xludf.DUMMYFUNCTION("""COMPUTED_VALUE"""),"Uber/99")</f>
        <v>Uber/99</v>
      </c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7">
        <f>IFERROR(__xludf.DUMMYFUNCTION("""COMPUTED_VALUE"""),45992.0)</f>
        <v>45992</v>
      </c>
      <c r="B1168" s="1"/>
      <c r="C1168" s="1" t="str">
        <f>IFERROR(__xludf.DUMMYFUNCTION("""COMPUTED_VALUE"""),"Uber")</f>
        <v>Uber</v>
      </c>
      <c r="D1168" s="2">
        <f>IFERROR(__xludf.DUMMYFUNCTION("""COMPUTED_VALUE"""),17.94)</f>
        <v>17.94</v>
      </c>
      <c r="E1168" s="1" t="str">
        <f>IFERROR(__xludf.DUMMYFUNCTION("""COMPUTED_VALUE"""),"-")</f>
        <v>-</v>
      </c>
      <c r="F1168" s="1" t="str">
        <f>IFERROR(__xludf.DUMMYFUNCTION("""COMPUTED_VALUE"""),"Uber")</f>
        <v>Uber</v>
      </c>
      <c r="G1168" s="1" t="str">
        <f>IFERROR(__xludf.DUMMYFUNCTION("""COMPUTED_VALUE"""),"Uber/99")</f>
        <v>Uber/99</v>
      </c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7">
        <f>IFERROR(__xludf.DUMMYFUNCTION("""COMPUTED_VALUE"""),45992.0)</f>
        <v>45992</v>
      </c>
      <c r="B1169" s="1"/>
      <c r="C1169" s="1" t="str">
        <f>IFERROR(__xludf.DUMMYFUNCTION("""COMPUTED_VALUE"""),"Neckartal")</f>
        <v>Neckartal</v>
      </c>
      <c r="D1169" s="2">
        <f>IFERROR(__xludf.DUMMYFUNCTION("""COMPUTED_VALUE"""),64.9)</f>
        <v>64.9</v>
      </c>
      <c r="E1169" s="1" t="str">
        <f>IFERROR(__xludf.DUMMYFUNCTION("""COMPUTED_VALUE"""),"-")</f>
        <v>-</v>
      </c>
      <c r="F1169" s="1" t="str">
        <f>IFERROR(__xludf.DUMMYFUNCTION("""COMPUTED_VALUE"""),"Neckartal")</f>
        <v>Neckartal</v>
      </c>
      <c r="G1169" s="1" t="str">
        <f>IFERROR(__xludf.DUMMYFUNCTION("""COMPUTED_VALUE"""),"-")</f>
        <v>-</v>
      </c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7">
        <f>IFERROR(__xludf.DUMMYFUNCTION("""COMPUTED_VALUE"""),45992.0)</f>
        <v>45992</v>
      </c>
      <c r="B1170" s="1"/>
      <c r="C1170" s="1" t="str">
        <f>IFERROR(__xludf.DUMMYFUNCTION("""COMPUTED_VALUE"""),"Amazonmktplc Icomercio")</f>
        <v>Amazonmktplc Icomercio</v>
      </c>
      <c r="D1170" s="2">
        <f>IFERROR(__xludf.DUMMYFUNCTION("""COMPUTED_VALUE"""),27.9)</f>
        <v>27.9</v>
      </c>
      <c r="E1170" s="1" t="str">
        <f>IFERROR(__xludf.DUMMYFUNCTION("""COMPUTED_VALUE"""),"-")</f>
        <v>-</v>
      </c>
      <c r="F1170" s="1" t="str">
        <f>IFERROR(__xludf.DUMMYFUNCTION("""COMPUTED_VALUE"""),"Amazonmktplc")</f>
        <v>Amazonmktplc</v>
      </c>
      <c r="G1170" s="1" t="str">
        <f>IFERROR(__xludf.DUMMYFUNCTION("""COMPUTED_VALUE"""),"Compras")</f>
        <v>Compras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7">
        <f>IFERROR(__xludf.DUMMYFUNCTION("""COMPUTED_VALUE"""),45992.0)</f>
        <v>45992</v>
      </c>
      <c r="B1171" s="1"/>
      <c r="C1171" s="1" t="str">
        <f>IFERROR(__xludf.DUMMYFUNCTION("""COMPUTED_VALUE"""),"Drogaria Araujo")</f>
        <v>Drogaria Araujo</v>
      </c>
      <c r="D1171" s="2">
        <f>IFERROR(__xludf.DUMMYFUNCTION("""COMPUTED_VALUE"""),173.21)</f>
        <v>173.21</v>
      </c>
      <c r="E1171" s="1" t="str">
        <f>IFERROR(__xludf.DUMMYFUNCTION("""COMPUTED_VALUE"""),"-")</f>
        <v>-</v>
      </c>
      <c r="F1171" s="1" t="str">
        <f>IFERROR(__xludf.DUMMYFUNCTION("""COMPUTED_VALUE"""),"Drogaria Araujo")</f>
        <v>Drogaria Araujo</v>
      </c>
      <c r="G1171" s="1" t="str">
        <f>IFERROR(__xludf.DUMMYFUNCTION("""COMPUTED_VALUE"""),"Farmácia")</f>
        <v>Farmácia</v>
      </c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7">
        <f>IFERROR(__xludf.DUMMYFUNCTION("""COMPUTED_VALUE"""),45992.0)</f>
        <v>45992</v>
      </c>
      <c r="B1172" s="1"/>
      <c r="C1172" s="1" t="str">
        <f>IFERROR(__xludf.DUMMYFUNCTION("""COMPUTED_VALUE"""),"Mercado Livre (3/3)")</f>
        <v>Mercado Livre (3/3)</v>
      </c>
      <c r="D1172" s="2">
        <f>IFERROR(__xludf.DUMMYFUNCTION("""COMPUTED_VALUE"""),49.5)</f>
        <v>49.5</v>
      </c>
      <c r="E1172" s="1" t="str">
        <f>IFERROR(__xludf.DUMMYFUNCTION("""COMPUTED_VALUE"""),"-")</f>
        <v>-</v>
      </c>
      <c r="F1172" s="1" t="str">
        <f>IFERROR(__xludf.DUMMYFUNCTION("""COMPUTED_VALUE"""),"Mercado Livre")</f>
        <v>Mercado Livre</v>
      </c>
      <c r="G1172" s="1" t="str">
        <f>IFERROR(__xludf.DUMMYFUNCTION("""COMPUTED_VALUE"""),"Compras")</f>
        <v>Compras</v>
      </c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7">
        <f>IFERROR(__xludf.DUMMYFUNCTION("""COMPUTED_VALUE"""),45992.0)</f>
        <v>45992</v>
      </c>
      <c r="B1173" s="1"/>
      <c r="C1173" s="1" t="str">
        <f>IFERROR(__xludf.DUMMYFUNCTION("""COMPUTED_VALUE"""),"Mercado Livre (2/3)")</f>
        <v>Mercado Livre (2/3)</v>
      </c>
      <c r="D1173" s="2">
        <f>IFERROR(__xludf.DUMMYFUNCTION("""COMPUTED_VALUE"""),49.5)</f>
        <v>49.5</v>
      </c>
      <c r="E1173" s="1" t="str">
        <f>IFERROR(__xludf.DUMMYFUNCTION("""COMPUTED_VALUE"""),"-")</f>
        <v>-</v>
      </c>
      <c r="F1173" s="1" t="str">
        <f>IFERROR(__xludf.DUMMYFUNCTION("""COMPUTED_VALUE"""),"Mercado Livre")</f>
        <v>Mercado Livre</v>
      </c>
      <c r="G1173" s="1" t="str">
        <f>IFERROR(__xludf.DUMMYFUNCTION("""COMPUTED_VALUE"""),"Compras")</f>
        <v>Compras</v>
      </c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7">
        <f>IFERROR(__xludf.DUMMYFUNCTION("""COMPUTED_VALUE"""),45992.0)</f>
        <v>45992</v>
      </c>
      <c r="B1174" s="1"/>
      <c r="C1174" s="1" t="str">
        <f>IFERROR(__xludf.DUMMYFUNCTION("""COMPUTED_VALUE"""),"Mercado Livre (1/3)")</f>
        <v>Mercado Livre (1/3)</v>
      </c>
      <c r="D1174" s="2">
        <f>IFERROR(__xludf.DUMMYFUNCTION("""COMPUTED_VALUE"""),49.5)</f>
        <v>49.5</v>
      </c>
      <c r="E1174" s="1" t="str">
        <f>IFERROR(__xludf.DUMMYFUNCTION("""COMPUTED_VALUE"""),"-")</f>
        <v>-</v>
      </c>
      <c r="F1174" s="1" t="str">
        <f>IFERROR(__xludf.DUMMYFUNCTION("""COMPUTED_VALUE"""),"Mercado Livre")</f>
        <v>Mercado Livre</v>
      </c>
      <c r="G1174" s="1" t="str">
        <f>IFERROR(__xludf.DUMMYFUNCTION("""COMPUTED_VALUE"""),"Compras")</f>
        <v>Compras</v>
      </c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7">
        <f>IFERROR(__xludf.DUMMYFUNCTION("""COMPUTED_VALUE"""),45992.0)</f>
        <v>45992</v>
      </c>
      <c r="B1175" s="1"/>
      <c r="C1175" s="1" t="str">
        <f>IFERROR(__xludf.DUMMYFUNCTION("""COMPUTED_VALUE"""),"Golden Pet")</f>
        <v>Golden Pet</v>
      </c>
      <c r="D1175" s="2">
        <f>IFERROR(__xludf.DUMMYFUNCTION("""COMPUTED_VALUE"""),330.0)</f>
        <v>330</v>
      </c>
      <c r="E1175" s="1" t="str">
        <f>IFERROR(__xludf.DUMMYFUNCTION("""COMPUTED_VALUE"""),"-")</f>
        <v>-</v>
      </c>
      <c r="F1175" s="1" t="str">
        <f>IFERROR(__xludf.DUMMYFUNCTION("""COMPUTED_VALUE"""),"Golden Pet")</f>
        <v>Golden Pet</v>
      </c>
      <c r="G1175" s="1" t="str">
        <f>IFERROR(__xludf.DUMMYFUNCTION("""COMPUTED_VALUE"""),"Hulk")</f>
        <v>Hulk</v>
      </c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7">
        <f>IFERROR(__xludf.DUMMYFUNCTION("""COMPUTED_VALUE"""),45992.0)</f>
        <v>45992</v>
      </c>
      <c r="B1176" s="1"/>
      <c r="C1176" s="1" t="str">
        <f>IFERROR(__xludf.DUMMYFUNCTION("""COMPUTED_VALUE"""),"Drogaria Ara Araujo")</f>
        <v>Drogaria Ara Araujo</v>
      </c>
      <c r="D1176" s="2">
        <f>IFERROR(__xludf.DUMMYFUNCTION("""COMPUTED_VALUE"""),41.99)</f>
        <v>41.99</v>
      </c>
      <c r="E1176" s="1" t="str">
        <f>IFERROR(__xludf.DUMMYFUNCTION("""COMPUTED_VALUE"""),"-")</f>
        <v>-</v>
      </c>
      <c r="F1176" s="1" t="str">
        <f>IFERROR(__xludf.DUMMYFUNCTION("""COMPUTED_VALUE"""),"Drogaria Ara Araujo")</f>
        <v>Drogaria Ara Araujo</v>
      </c>
      <c r="G1176" s="1" t="str">
        <f>IFERROR(__xludf.DUMMYFUNCTION("""COMPUTED_VALUE"""),"Farmácia")</f>
        <v>Farmácia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7">
        <f>IFERROR(__xludf.DUMMYFUNCTION("""COMPUTED_VALUE"""),45992.0)</f>
        <v>45992</v>
      </c>
      <c r="B1177" s="1"/>
      <c r="C1177" s="1" t="str">
        <f>IFERROR(__xludf.DUMMYFUNCTION("""COMPUTED_VALUE"""),"Uber")</f>
        <v>Uber</v>
      </c>
      <c r="D1177" s="2">
        <f>IFERROR(__xludf.DUMMYFUNCTION("""COMPUTED_VALUE"""),11.97)</f>
        <v>11.97</v>
      </c>
      <c r="E1177" s="1" t="str">
        <f>IFERROR(__xludf.DUMMYFUNCTION("""COMPUTED_VALUE"""),"-")</f>
        <v>-</v>
      </c>
      <c r="F1177" s="1" t="str">
        <f>IFERROR(__xludf.DUMMYFUNCTION("""COMPUTED_VALUE"""),"Uber")</f>
        <v>Uber</v>
      </c>
      <c r="G1177" s="1" t="str">
        <f>IFERROR(__xludf.DUMMYFUNCTION("""COMPUTED_VALUE"""),"Uber/99")</f>
        <v>Uber/99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7">
        <f>IFERROR(__xludf.DUMMYFUNCTION("""COMPUTED_VALUE"""),45992.0)</f>
        <v>45992</v>
      </c>
      <c r="B1178" s="1"/>
      <c r="C1178" s="1" t="str">
        <f>IFERROR(__xludf.DUMMYFUNCTION("""COMPUTED_VALUE"""),"Shopee")</f>
        <v>Shopee</v>
      </c>
      <c r="D1178" s="2">
        <f>IFERROR(__xludf.DUMMYFUNCTION("""COMPUTED_VALUE"""),15.47)</f>
        <v>15.47</v>
      </c>
      <c r="E1178" s="1" t="str">
        <f>IFERROR(__xludf.DUMMYFUNCTION("""COMPUTED_VALUE"""),"-")</f>
        <v>-</v>
      </c>
      <c r="F1178" s="1" t="str">
        <f>IFERROR(__xludf.DUMMYFUNCTION("""COMPUTED_VALUE"""),"Shopee")</f>
        <v>Shopee</v>
      </c>
      <c r="G1178" s="1" t="str">
        <f>IFERROR(__xludf.DUMMYFUNCTION("""COMPUTED_VALUE"""),"Compras")</f>
        <v>Compras</v>
      </c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7">
        <f>IFERROR(__xludf.DUMMYFUNCTION("""COMPUTED_VALUE"""),45992.0)</f>
        <v>45992</v>
      </c>
      <c r="B1179" s="1"/>
      <c r="C1179" s="1" t="str">
        <f>IFERROR(__xludf.DUMMYFUNCTION("""COMPUTED_VALUE"""),"Shopee")</f>
        <v>Shopee</v>
      </c>
      <c r="D1179" s="2">
        <f>IFERROR(__xludf.DUMMYFUNCTION("""COMPUTED_VALUE"""),27.98)</f>
        <v>27.98</v>
      </c>
      <c r="E1179" s="1" t="str">
        <f>IFERROR(__xludf.DUMMYFUNCTION("""COMPUTED_VALUE"""),"-")</f>
        <v>-</v>
      </c>
      <c r="F1179" s="1" t="str">
        <f>IFERROR(__xludf.DUMMYFUNCTION("""COMPUTED_VALUE"""),"Shopee")</f>
        <v>Shopee</v>
      </c>
      <c r="G1179" s="1" t="str">
        <f>IFERROR(__xludf.DUMMYFUNCTION("""COMPUTED_VALUE"""),"Compras")</f>
        <v>Compras</v>
      </c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7">
        <f>IFERROR(__xludf.DUMMYFUNCTION("""COMPUTED_VALUE"""),45992.0)</f>
        <v>45992</v>
      </c>
      <c r="B1180" s="1"/>
      <c r="C1180" s="1" t="str">
        <f>IFERROR(__xludf.DUMMYFUNCTION("""COMPUTED_VALUE"""),"Mercado Livre")</f>
        <v>Mercado Livre</v>
      </c>
      <c r="D1180" s="2">
        <f>IFERROR(__xludf.DUMMYFUNCTION("""COMPUTED_VALUE"""),74.25)</f>
        <v>74.25</v>
      </c>
      <c r="E1180" s="1" t="str">
        <f>IFERROR(__xludf.DUMMYFUNCTION("""COMPUTED_VALUE"""),"-")</f>
        <v>-</v>
      </c>
      <c r="F1180" s="1" t="str">
        <f>IFERROR(__xludf.DUMMYFUNCTION("""COMPUTED_VALUE"""),"Mercado Livre")</f>
        <v>Mercado Livre</v>
      </c>
      <c r="G1180" s="1" t="str">
        <f>IFERROR(__xludf.DUMMYFUNCTION("""COMPUTED_VALUE"""),"Compras")</f>
        <v>Compras</v>
      </c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7">
        <f>IFERROR(__xludf.DUMMYFUNCTION("""COMPUTED_VALUE"""),45992.0)</f>
        <v>45992</v>
      </c>
      <c r="B1181" s="1"/>
      <c r="C1181" s="1" t="str">
        <f>IFERROR(__xludf.DUMMYFUNCTION("""COMPUTED_VALUE"""),"Auto Posto Maquine")</f>
        <v>Auto Posto Maquine</v>
      </c>
      <c r="D1181" s="2">
        <f>IFERROR(__xludf.DUMMYFUNCTION("""COMPUTED_VALUE"""),114.85)</f>
        <v>114.85</v>
      </c>
      <c r="E1181" s="1" t="str">
        <f>IFERROR(__xludf.DUMMYFUNCTION("""COMPUTED_VALUE"""),"-")</f>
        <v>-</v>
      </c>
      <c r="F1181" s="1" t="str">
        <f>IFERROR(__xludf.DUMMYFUNCTION("""COMPUTED_VALUE"""),"Auto Posto Maquine")</f>
        <v>Auto Posto Maquine</v>
      </c>
      <c r="G1181" s="1" t="str">
        <f>IFERROR(__xludf.DUMMYFUNCTION("""COMPUTED_VALUE"""),"Carro")</f>
        <v>Carro</v>
      </c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7">
        <f>IFERROR(__xludf.DUMMYFUNCTION("""COMPUTED_VALUE"""),45992.0)</f>
        <v>45992</v>
      </c>
      <c r="B1182" s="1"/>
      <c r="C1182" s="1" t="str">
        <f>IFERROR(__xludf.DUMMYFUNCTION("""COMPUTED_VALUE"""),"Shopee")</f>
        <v>Shopee</v>
      </c>
      <c r="D1182" s="2">
        <f>IFERROR(__xludf.DUMMYFUNCTION("""COMPUTED_VALUE"""),10.99)</f>
        <v>10.99</v>
      </c>
      <c r="E1182" s="1" t="str">
        <f>IFERROR(__xludf.DUMMYFUNCTION("""COMPUTED_VALUE"""),"-")</f>
        <v>-</v>
      </c>
      <c r="F1182" s="1" t="str">
        <f>IFERROR(__xludf.DUMMYFUNCTION("""COMPUTED_VALUE"""),"Shopee")</f>
        <v>Shopee</v>
      </c>
      <c r="G1182" s="1" t="str">
        <f>IFERROR(__xludf.DUMMYFUNCTION("""COMPUTED_VALUE"""),"Compras")</f>
        <v>Compras</v>
      </c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7">
        <f>IFERROR(__xludf.DUMMYFUNCTION("""COMPUTED_VALUE"""),45992.0)</f>
        <v>45992</v>
      </c>
      <c r="B1183" s="1"/>
      <c r="C1183" s="1" t="str">
        <f>IFERROR(__xludf.DUMMYFUNCTION("""COMPUTED_VALUE"""),"Brastemp (1/8)")</f>
        <v>Brastemp (1/8)</v>
      </c>
      <c r="D1183" s="2">
        <f>IFERROR(__xludf.DUMMYFUNCTION("""COMPUTED_VALUE"""),203.81)</f>
        <v>203.81</v>
      </c>
      <c r="E1183" s="1" t="str">
        <f>IFERROR(__xludf.DUMMYFUNCTION("""COMPUTED_VALUE"""),"-")</f>
        <v>-</v>
      </c>
      <c r="F1183" s="1" t="str">
        <f>IFERROR(__xludf.DUMMYFUNCTION("""COMPUTED_VALUE"""),"Brastemp")</f>
        <v>Brastemp</v>
      </c>
      <c r="G1183" s="1" t="str">
        <f>IFERROR(__xludf.DUMMYFUNCTION("""COMPUTED_VALUE"""),"Compras")</f>
        <v>Compras</v>
      </c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7">
        <f>IFERROR(__xludf.DUMMYFUNCTION("""COMPUTED_VALUE"""),45992.0)</f>
        <v>45992</v>
      </c>
      <c r="B1184" s="1"/>
      <c r="C1184" s="1" t="str">
        <f>IFERROR(__xludf.DUMMYFUNCTION("""COMPUTED_VALUE"""),"Amazon")</f>
        <v>Amazon</v>
      </c>
      <c r="D1184" s="2">
        <f>IFERROR(__xludf.DUMMYFUNCTION("""COMPUTED_VALUE"""),44.59)</f>
        <v>44.59</v>
      </c>
      <c r="E1184" s="1" t="str">
        <f>IFERROR(__xludf.DUMMYFUNCTION("""COMPUTED_VALUE"""),"-")</f>
        <v>-</v>
      </c>
      <c r="F1184" s="1" t="str">
        <f>IFERROR(__xludf.DUMMYFUNCTION("""COMPUTED_VALUE"""),"Amazon")</f>
        <v>Amazon</v>
      </c>
      <c r="G1184" s="1" t="str">
        <f>IFERROR(__xludf.DUMMYFUNCTION("""COMPUTED_VALUE"""),"Compras")</f>
        <v>Compras</v>
      </c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7">
        <f>IFERROR(__xludf.DUMMYFUNCTION("""COMPUTED_VALUE"""),45992.0)</f>
        <v>45992</v>
      </c>
      <c r="B1185" s="1"/>
      <c r="C1185" s="1" t="str">
        <f>IFERROR(__xludf.DUMMYFUNCTION("""COMPUTED_VALUE"""),"Brastemp")</f>
        <v>Brastemp</v>
      </c>
      <c r="D1185" s="2">
        <f>IFERROR(__xludf.DUMMYFUNCTION("""COMPUTED_VALUE"""),1548.49)</f>
        <v>1548.49</v>
      </c>
      <c r="E1185" s="1" t="str">
        <f>IFERROR(__xludf.DUMMYFUNCTION("""COMPUTED_VALUE"""),"-")</f>
        <v>-</v>
      </c>
      <c r="F1185" s="1" t="str">
        <f>IFERROR(__xludf.DUMMYFUNCTION("""COMPUTED_VALUE"""),"Brastemp")</f>
        <v>Brastemp</v>
      </c>
      <c r="G1185" s="1" t="str">
        <f>IFERROR(__xludf.DUMMYFUNCTION("""COMPUTED_VALUE"""),"Compras")</f>
        <v>Compras</v>
      </c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7">
        <f>IFERROR(__xludf.DUMMYFUNCTION("""COMPUTED_VALUE"""),45992.0)</f>
        <v>45992</v>
      </c>
      <c r="B1186" s="1"/>
      <c r="C1186" s="1">
        <f>IFERROR(__xludf.DUMMYFUNCTION("""COMPUTED_VALUE"""),99.0)</f>
        <v>99</v>
      </c>
      <c r="D1186" s="2">
        <f>IFERROR(__xludf.DUMMYFUNCTION("""COMPUTED_VALUE"""),9.0)</f>
        <v>9</v>
      </c>
      <c r="E1186" s="1" t="str">
        <f>IFERROR(__xludf.DUMMYFUNCTION("""COMPUTED_VALUE"""),"-")</f>
        <v>-</v>
      </c>
      <c r="F1186" s="1" t="str">
        <f>IFERROR(__xludf.DUMMYFUNCTION("""COMPUTED_VALUE"""),"99")</f>
        <v>99</v>
      </c>
      <c r="G1186" s="1" t="str">
        <f>IFERROR(__xludf.DUMMYFUNCTION("""COMPUTED_VALUE"""),"Uber/99")</f>
        <v>Uber/99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7">
        <f>IFERROR(__xludf.DUMMYFUNCTION("""COMPUTED_VALUE"""),45992.0)</f>
        <v>45992</v>
      </c>
      <c r="B1187" s="1"/>
      <c r="C1187" s="1" t="str">
        <f>IFERROR(__xludf.DUMMYFUNCTION("""COMPUTED_VALUE"""),"Joao Pacifico Antunes")</f>
        <v>Joao Pacifico Antunes</v>
      </c>
      <c r="D1187" s="2">
        <f>IFERROR(__xludf.DUMMYFUNCTION("""COMPUTED_VALUE"""),100.0)</f>
        <v>100</v>
      </c>
      <c r="E1187" s="1" t="str">
        <f>IFERROR(__xludf.DUMMYFUNCTION("""COMPUTED_VALUE"""),"-")</f>
        <v>-</v>
      </c>
      <c r="F1187" s="1" t="str">
        <f>IFERROR(__xludf.DUMMYFUNCTION("""COMPUTED_VALUE"""),"Joao Pacifico Antunes")</f>
        <v>Joao Pacifico Antunes</v>
      </c>
      <c r="G1187" s="1" t="str">
        <f>IFERROR(__xludf.DUMMYFUNCTION("""COMPUTED_VALUE"""),"-")</f>
        <v>-</v>
      </c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7">
        <f>IFERROR(__xludf.DUMMYFUNCTION("""COMPUTED_VALUE"""),45992.0)</f>
        <v>45992</v>
      </c>
      <c r="B1188" s="1"/>
      <c r="C1188" s="1" t="str">
        <f>IFERROR(__xludf.DUMMYFUNCTION("""COMPUTED_VALUE"""),"Uber")</f>
        <v>Uber</v>
      </c>
      <c r="D1188" s="2">
        <f>IFERROR(__xludf.DUMMYFUNCTION("""COMPUTED_VALUE"""),8.14)</f>
        <v>8.14</v>
      </c>
      <c r="E1188" s="1" t="str">
        <f>IFERROR(__xludf.DUMMYFUNCTION("""COMPUTED_VALUE"""),"-")</f>
        <v>-</v>
      </c>
      <c r="F1188" s="1" t="str">
        <f>IFERROR(__xludf.DUMMYFUNCTION("""COMPUTED_VALUE"""),"Uber")</f>
        <v>Uber</v>
      </c>
      <c r="G1188" s="1" t="str">
        <f>IFERROR(__xludf.DUMMYFUNCTION("""COMPUTED_VALUE"""),"Uber/99")</f>
        <v>Uber/99</v>
      </c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7">
        <f>IFERROR(__xludf.DUMMYFUNCTION("""COMPUTED_VALUE"""),45992.0)</f>
        <v>45992</v>
      </c>
      <c r="B1189" s="1"/>
      <c r="C1189" s="1" t="str">
        <f>IFERROR(__xludf.DUMMYFUNCTION("""COMPUTED_VALUE"""),"Uber")</f>
        <v>Uber</v>
      </c>
      <c r="D1189" s="2">
        <f>IFERROR(__xludf.DUMMYFUNCTION("""COMPUTED_VALUE"""),24.97)</f>
        <v>24.97</v>
      </c>
      <c r="E1189" s="1" t="str">
        <f>IFERROR(__xludf.DUMMYFUNCTION("""COMPUTED_VALUE"""),"-")</f>
        <v>-</v>
      </c>
      <c r="F1189" s="1" t="str">
        <f>IFERROR(__xludf.DUMMYFUNCTION("""COMPUTED_VALUE"""),"Uber")</f>
        <v>Uber</v>
      </c>
      <c r="G1189" s="1" t="str">
        <f>IFERROR(__xludf.DUMMYFUNCTION("""COMPUTED_VALUE"""),"Uber/99")</f>
        <v>Uber/99</v>
      </c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7">
        <f>IFERROR(__xludf.DUMMYFUNCTION("""COMPUTED_VALUE"""),45992.0)</f>
        <v>45992</v>
      </c>
      <c r="B1190" s="1"/>
      <c r="C1190" s="1">
        <f>IFERROR(__xludf.DUMMYFUNCTION("""COMPUTED_VALUE"""),99.0)</f>
        <v>99</v>
      </c>
      <c r="D1190" s="2">
        <f>IFERROR(__xludf.DUMMYFUNCTION("""COMPUTED_VALUE"""),5.9)</f>
        <v>5.9</v>
      </c>
      <c r="E1190" s="1" t="str">
        <f>IFERROR(__xludf.DUMMYFUNCTION("""COMPUTED_VALUE"""),"-")</f>
        <v>-</v>
      </c>
      <c r="F1190" s="1" t="str">
        <f>IFERROR(__xludf.DUMMYFUNCTION("""COMPUTED_VALUE"""),"99")</f>
        <v>99</v>
      </c>
      <c r="G1190" s="1" t="str">
        <f>IFERROR(__xludf.DUMMYFUNCTION("""COMPUTED_VALUE"""),"Uber/99")</f>
        <v>Uber/99</v>
      </c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7">
        <f>IFERROR(__xludf.DUMMYFUNCTION("""COMPUTED_VALUE"""),45992.0)</f>
        <v>45992</v>
      </c>
      <c r="B1191" s="1"/>
      <c r="C1191" s="1">
        <f>IFERROR(__xludf.DUMMYFUNCTION("""COMPUTED_VALUE"""),99.0)</f>
        <v>99</v>
      </c>
      <c r="D1191" s="2">
        <f>IFERROR(__xludf.DUMMYFUNCTION("""COMPUTED_VALUE"""),24.22)</f>
        <v>24.22</v>
      </c>
      <c r="E1191" s="1" t="str">
        <f>IFERROR(__xludf.DUMMYFUNCTION("""COMPUTED_VALUE"""),"-")</f>
        <v>-</v>
      </c>
      <c r="F1191" s="1" t="str">
        <f>IFERROR(__xludf.DUMMYFUNCTION("""COMPUTED_VALUE"""),"99")</f>
        <v>99</v>
      </c>
      <c r="G1191" s="1" t="str">
        <f>IFERROR(__xludf.DUMMYFUNCTION("""COMPUTED_VALUE"""),"Uber/99")</f>
        <v>Uber/99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7">
        <f>IFERROR(__xludf.DUMMYFUNCTION("""COMPUTED_VALUE"""),45992.0)</f>
        <v>45992</v>
      </c>
      <c r="B1192" s="1"/>
      <c r="C1192" s="1" t="str">
        <f>IFERROR(__xludf.DUMMYFUNCTION("""COMPUTED_VALUE"""),"Mercado Livre")</f>
        <v>Mercado Livre</v>
      </c>
      <c r="D1192" s="2">
        <f>IFERROR(__xludf.DUMMYFUNCTION("""COMPUTED_VALUE"""),21.99)</f>
        <v>21.99</v>
      </c>
      <c r="E1192" s="1" t="str">
        <f>IFERROR(__xludf.DUMMYFUNCTION("""COMPUTED_VALUE"""),"-")</f>
        <v>-</v>
      </c>
      <c r="F1192" s="1" t="str">
        <f>IFERROR(__xludf.DUMMYFUNCTION("""COMPUTED_VALUE"""),"Mercado Livre")</f>
        <v>Mercado Livre</v>
      </c>
      <c r="G1192" s="1" t="str">
        <f>IFERROR(__xludf.DUMMYFUNCTION("""COMPUTED_VALUE"""),"Compras")</f>
        <v>Compras</v>
      </c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7">
        <f>IFERROR(__xludf.DUMMYFUNCTION("""COMPUTED_VALUE"""),45992.0)</f>
        <v>45992</v>
      </c>
      <c r="B1193" s="1"/>
      <c r="C1193" s="1" t="str">
        <f>IFERROR(__xludf.DUMMYFUNCTION("""COMPUTED_VALUE"""),"Mercado Livre")</f>
        <v>Mercado Livre</v>
      </c>
      <c r="D1193" s="2">
        <f>IFERROR(__xludf.DUMMYFUNCTION("""COMPUTED_VALUE"""),134.38)</f>
        <v>134.38</v>
      </c>
      <c r="E1193" s="1" t="str">
        <f>IFERROR(__xludf.DUMMYFUNCTION("""COMPUTED_VALUE"""),"-")</f>
        <v>-</v>
      </c>
      <c r="F1193" s="1" t="str">
        <f>IFERROR(__xludf.DUMMYFUNCTION("""COMPUTED_VALUE"""),"Mercado Livre")</f>
        <v>Mercado Livre</v>
      </c>
      <c r="G1193" s="1" t="str">
        <f>IFERROR(__xludf.DUMMYFUNCTION("""COMPUTED_VALUE"""),"Compras")</f>
        <v>Compras</v>
      </c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7">
        <f>IFERROR(__xludf.DUMMYFUNCTION("""COMPUTED_VALUE"""),45992.0)</f>
        <v>45992</v>
      </c>
      <c r="B1194" s="1"/>
      <c r="C1194" s="1" t="str">
        <f>IFERROR(__xludf.DUMMYFUNCTION("""COMPUTED_VALUE"""),"Mapfre")</f>
        <v>Mapfre</v>
      </c>
      <c r="D1194" s="2">
        <f>IFERROR(__xludf.DUMMYFUNCTION("""COMPUTED_VALUE"""),200.99)</f>
        <v>200.99</v>
      </c>
      <c r="E1194" s="1" t="str">
        <f>IFERROR(__xludf.DUMMYFUNCTION("""COMPUTED_VALUE"""),"-")</f>
        <v>-</v>
      </c>
      <c r="F1194" s="1" t="str">
        <f>IFERROR(__xludf.DUMMYFUNCTION("""COMPUTED_VALUE"""),"Mapfre")</f>
        <v>Mapfre</v>
      </c>
      <c r="G1194" s="1" t="str">
        <f>IFERROR(__xludf.DUMMYFUNCTION("""COMPUTED_VALUE"""),"Carro")</f>
        <v>Carro</v>
      </c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/>
      <c r="B1195" s="1"/>
      <c r="C1195" s="1"/>
      <c r="D1195" s="1"/>
      <c r="E1195" s="1" t="str">
        <f>IFERROR(__xludf.DUMMYFUNCTION("""COMPUTED_VALUE"""),"-")</f>
        <v>-</v>
      </c>
      <c r="F1195" s="1"/>
      <c r="G1195" s="1" t="str">
        <f>IFERROR(__xludf.DUMMYFUNCTION("""COMPUTED_VALUE"""),"-")</f>
        <v>-</v>
      </c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/>
      <c r="B1196" s="1"/>
      <c r="C1196" s="1"/>
      <c r="D1196" s="1"/>
      <c r="E1196" s="1" t="str">
        <f>IFERROR(__xludf.DUMMYFUNCTION("""COMPUTED_VALUE"""),"-")</f>
        <v>-</v>
      </c>
      <c r="F1196" s="1"/>
      <c r="G1196" s="1" t="str">
        <f>IFERROR(__xludf.DUMMYFUNCTION("""COMPUTED_VALUE"""),"-")</f>
        <v>-</v>
      </c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/>
      <c r="B1197" s="1"/>
      <c r="C1197" s="1"/>
      <c r="D1197" s="1"/>
      <c r="E1197" s="1" t="str">
        <f>IFERROR(__xludf.DUMMYFUNCTION("""COMPUTED_VALUE"""),"-")</f>
        <v>-</v>
      </c>
      <c r="F1197" s="1"/>
      <c r="G1197" s="1" t="str">
        <f>IFERROR(__xludf.DUMMYFUNCTION("""COMPUTED_VALUE"""),"-")</f>
        <v>-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/>
      <c r="B1198" s="1"/>
      <c r="C1198" s="1"/>
      <c r="D1198" s="1"/>
      <c r="E1198" s="1" t="str">
        <f>IFERROR(__xludf.DUMMYFUNCTION("""COMPUTED_VALUE"""),"-")</f>
        <v>-</v>
      </c>
      <c r="F1198" s="1"/>
      <c r="G1198" s="1" t="str">
        <f>IFERROR(__xludf.DUMMYFUNCTION("""COMPUTED_VALUE"""),"-")</f>
        <v>-</v>
      </c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/>
      <c r="B1199" s="1"/>
      <c r="C1199" s="1"/>
      <c r="D1199" s="1"/>
      <c r="E1199" s="1" t="str">
        <f>IFERROR(__xludf.DUMMYFUNCTION("""COMPUTED_VALUE"""),"-")</f>
        <v>-</v>
      </c>
      <c r="F1199" s="1"/>
      <c r="G1199" s="1" t="str">
        <f>IFERROR(__xludf.DUMMYFUNCTION("""COMPUTED_VALUE"""),"-")</f>
        <v>-</v>
      </c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/>
      <c r="B1200" s="1"/>
      <c r="C1200" s="1"/>
      <c r="D1200" s="1"/>
      <c r="E1200" s="1" t="str">
        <f>IFERROR(__xludf.DUMMYFUNCTION("""COMPUTED_VALUE"""),"-")</f>
        <v>-</v>
      </c>
      <c r="F1200" s="1"/>
      <c r="G1200" s="1" t="str">
        <f>IFERROR(__xludf.DUMMYFUNCTION("""COMPUTED_VALUE"""),"-")</f>
        <v>-</v>
      </c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/>
      <c r="B1201" s="1"/>
      <c r="C1201" s="1"/>
      <c r="D1201" s="1"/>
      <c r="E1201" s="1" t="str">
        <f>IFERROR(__xludf.DUMMYFUNCTION("""COMPUTED_VALUE"""),"-")</f>
        <v>-</v>
      </c>
      <c r="F1201" s="1"/>
      <c r="G1201" s="1" t="str">
        <f>IFERROR(__xludf.DUMMYFUNCTION("""COMPUTED_VALUE"""),"-")</f>
        <v>-</v>
      </c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/>
      <c r="B1202" s="1"/>
      <c r="C1202" s="1"/>
      <c r="D1202" s="1"/>
      <c r="E1202" s="1" t="str">
        <f>IFERROR(__xludf.DUMMYFUNCTION("""COMPUTED_VALUE"""),"-")</f>
        <v>-</v>
      </c>
      <c r="F1202" s="1"/>
      <c r="G1202" s="1" t="str">
        <f>IFERROR(__xludf.DUMMYFUNCTION("""COMPUTED_VALUE"""),"-")</f>
        <v>-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/>
      <c r="B1203" s="1"/>
      <c r="C1203" s="1"/>
      <c r="D1203" s="1"/>
      <c r="E1203" s="1" t="str">
        <f>IFERROR(__xludf.DUMMYFUNCTION("""COMPUTED_VALUE"""),"-")</f>
        <v>-</v>
      </c>
      <c r="F1203" s="1"/>
      <c r="G1203" s="1" t="str">
        <f>IFERROR(__xludf.DUMMYFUNCTION("""COMPUTED_VALUE"""),"-")</f>
        <v>-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/>
      <c r="B1204" s="1"/>
      <c r="C1204" s="1"/>
      <c r="D1204" s="1"/>
      <c r="E1204" s="1" t="str">
        <f>IFERROR(__xludf.DUMMYFUNCTION("""COMPUTED_VALUE"""),"-")</f>
        <v>-</v>
      </c>
      <c r="F1204" s="1"/>
      <c r="G1204" s="1" t="str">
        <f>IFERROR(__xludf.DUMMYFUNCTION("""COMPUTED_VALUE"""),"-")</f>
        <v>-</v>
      </c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/>
      <c r="B1205" s="1"/>
      <c r="C1205" s="1"/>
      <c r="D1205" s="1"/>
      <c r="E1205" s="1" t="str">
        <f>IFERROR(__xludf.DUMMYFUNCTION("""COMPUTED_VALUE"""),"-")</f>
        <v>-</v>
      </c>
      <c r="F1205" s="1"/>
      <c r="G1205" s="1" t="str">
        <f>IFERROR(__xludf.DUMMYFUNCTION("""COMPUTED_VALUE"""),"-")</f>
        <v>-</v>
      </c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/>
      <c r="B1206" s="1"/>
      <c r="C1206" s="1"/>
      <c r="D1206" s="1"/>
      <c r="E1206" s="1" t="str">
        <f>IFERROR(__xludf.DUMMYFUNCTION("""COMPUTED_VALUE"""),"-")</f>
        <v>-</v>
      </c>
      <c r="F1206" s="1"/>
      <c r="G1206" s="1" t="str">
        <f>IFERROR(__xludf.DUMMYFUNCTION("""COMPUTED_VALUE"""),"-")</f>
        <v>-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/>
      <c r="B1207" s="1"/>
      <c r="C1207" s="1"/>
      <c r="D1207" s="1"/>
      <c r="E1207" s="1" t="str">
        <f>IFERROR(__xludf.DUMMYFUNCTION("""COMPUTED_VALUE"""),"-")</f>
        <v>-</v>
      </c>
      <c r="F1207" s="1"/>
      <c r="G1207" s="1" t="str">
        <f>IFERROR(__xludf.DUMMYFUNCTION("""COMPUTED_VALUE"""),"-")</f>
        <v>-</v>
      </c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/>
      <c r="B1208" s="1"/>
      <c r="C1208" s="1"/>
      <c r="D1208" s="1"/>
      <c r="E1208" s="1" t="str">
        <f>IFERROR(__xludf.DUMMYFUNCTION("""COMPUTED_VALUE"""),"-")</f>
        <v>-</v>
      </c>
      <c r="F1208" s="1"/>
      <c r="G1208" s="1" t="str">
        <f>IFERROR(__xludf.DUMMYFUNCTION("""COMPUTED_VALUE"""),"-")</f>
        <v>-</v>
      </c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/>
      <c r="B1209" s="1"/>
      <c r="C1209" s="1"/>
      <c r="D1209" s="1"/>
      <c r="E1209" s="1" t="str">
        <f>IFERROR(__xludf.DUMMYFUNCTION("""COMPUTED_VALUE"""),"-")</f>
        <v>-</v>
      </c>
      <c r="F1209" s="1"/>
      <c r="G1209" s="1" t="str">
        <f>IFERROR(__xludf.DUMMYFUNCTION("""COMPUTED_VALUE"""),"-")</f>
        <v>-</v>
      </c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/>
      <c r="B1210" s="1"/>
      <c r="C1210" s="1"/>
      <c r="D1210" s="1"/>
      <c r="E1210" s="1" t="str">
        <f>IFERROR(__xludf.DUMMYFUNCTION("""COMPUTED_VALUE"""),"-")</f>
        <v>-</v>
      </c>
      <c r="F1210" s="1"/>
      <c r="G1210" s="1" t="str">
        <f>IFERROR(__xludf.DUMMYFUNCTION("""COMPUTED_VALUE"""),"-")</f>
        <v>-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/>
      <c r="B1211" s="1"/>
      <c r="C1211" s="1"/>
      <c r="D1211" s="1"/>
      <c r="E1211" s="1" t="str">
        <f>IFERROR(__xludf.DUMMYFUNCTION("""COMPUTED_VALUE"""),"-")</f>
        <v>-</v>
      </c>
      <c r="F1211" s="1"/>
      <c r="G1211" s="1" t="str">
        <f>IFERROR(__xludf.DUMMYFUNCTION("""COMPUTED_VALUE"""),"-")</f>
        <v>-</v>
      </c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/>
      <c r="B1212" s="1"/>
      <c r="C1212" s="1"/>
      <c r="D1212" s="1"/>
      <c r="E1212" s="1" t="str">
        <f>IFERROR(__xludf.DUMMYFUNCTION("""COMPUTED_VALUE"""),"-")</f>
        <v>-</v>
      </c>
      <c r="F1212" s="1"/>
      <c r="G1212" s="1" t="str">
        <f>IFERROR(__xludf.DUMMYFUNCTION("""COMPUTED_VALUE"""),"-")</f>
        <v>-</v>
      </c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/>
      <c r="B1213" s="1"/>
      <c r="C1213" s="1"/>
      <c r="D1213" s="1"/>
      <c r="E1213" s="1" t="str">
        <f>IFERROR(__xludf.DUMMYFUNCTION("""COMPUTED_VALUE"""),"-")</f>
        <v>-</v>
      </c>
      <c r="F1213" s="1"/>
      <c r="G1213" s="1" t="str">
        <f>IFERROR(__xludf.DUMMYFUNCTION("""COMPUTED_VALUE"""),"-")</f>
        <v>-</v>
      </c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/>
      <c r="B1214" s="1"/>
      <c r="C1214" s="1"/>
      <c r="D1214" s="1"/>
      <c r="E1214" s="1" t="str">
        <f>IFERROR(__xludf.DUMMYFUNCTION("""COMPUTED_VALUE"""),"-")</f>
        <v>-</v>
      </c>
      <c r="F1214" s="1"/>
      <c r="G1214" s="1" t="str">
        <f>IFERROR(__xludf.DUMMYFUNCTION("""COMPUTED_VALUE"""),"-")</f>
        <v>-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/>
      <c r="B1215" s="1"/>
      <c r="C1215" s="1"/>
      <c r="D1215" s="1"/>
      <c r="E1215" s="1" t="str">
        <f>IFERROR(__xludf.DUMMYFUNCTION("""COMPUTED_VALUE"""),"-")</f>
        <v>-</v>
      </c>
      <c r="F1215" s="1"/>
      <c r="G1215" s="1" t="str">
        <f>IFERROR(__xludf.DUMMYFUNCTION("""COMPUTED_VALUE"""),"-")</f>
        <v>-</v>
      </c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/>
      <c r="B1216" s="1"/>
      <c r="C1216" s="1"/>
      <c r="D1216" s="1"/>
      <c r="E1216" s="1" t="str">
        <f>IFERROR(__xludf.DUMMYFUNCTION("""COMPUTED_VALUE"""),"-")</f>
        <v>-</v>
      </c>
      <c r="F1216" s="1"/>
      <c r="G1216" s="1" t="str">
        <f>IFERROR(__xludf.DUMMYFUNCTION("""COMPUTED_VALUE"""),"-")</f>
        <v>-</v>
      </c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/>
      <c r="B1217" s="1"/>
      <c r="C1217" s="1"/>
      <c r="D1217" s="1"/>
      <c r="E1217" s="1" t="str">
        <f>IFERROR(__xludf.DUMMYFUNCTION("""COMPUTED_VALUE"""),"-")</f>
        <v>-</v>
      </c>
      <c r="F1217" s="1"/>
      <c r="G1217" s="1" t="str">
        <f>IFERROR(__xludf.DUMMYFUNCTION("""COMPUTED_VALUE"""),"-")</f>
        <v>-</v>
      </c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/>
      <c r="B1218" s="1"/>
      <c r="C1218" s="1"/>
      <c r="D1218" s="1"/>
      <c r="E1218" s="1" t="str">
        <f>IFERROR(__xludf.DUMMYFUNCTION("""COMPUTED_VALUE"""),"-")</f>
        <v>-</v>
      </c>
      <c r="F1218" s="1"/>
      <c r="G1218" s="1" t="str">
        <f>IFERROR(__xludf.DUMMYFUNCTION("""COMPUTED_VALUE"""),"-")</f>
        <v>-</v>
      </c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/>
      <c r="B1219" s="1"/>
      <c r="C1219" s="1"/>
      <c r="D1219" s="1"/>
      <c r="E1219" s="1" t="str">
        <f>IFERROR(__xludf.DUMMYFUNCTION("""COMPUTED_VALUE"""),"-")</f>
        <v>-</v>
      </c>
      <c r="F1219" s="1"/>
      <c r="G1219" s="1" t="str">
        <f>IFERROR(__xludf.DUMMYFUNCTION("""COMPUTED_VALUE"""),"-")</f>
        <v>-</v>
      </c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/>
      <c r="B1220" s="1"/>
      <c r="C1220" s="1"/>
      <c r="D1220" s="1"/>
      <c r="E1220" s="1" t="str">
        <f>IFERROR(__xludf.DUMMYFUNCTION("""COMPUTED_VALUE"""),"-")</f>
        <v>-</v>
      </c>
      <c r="F1220" s="1"/>
      <c r="G1220" s="1" t="str">
        <f>IFERROR(__xludf.DUMMYFUNCTION("""COMPUTED_VALUE"""),"-")</f>
        <v>-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/>
      <c r="B1221" s="1"/>
      <c r="C1221" s="1"/>
      <c r="D1221" s="1"/>
      <c r="E1221" s="1" t="str">
        <f>IFERROR(__xludf.DUMMYFUNCTION("""COMPUTED_VALUE"""),"-")</f>
        <v>-</v>
      </c>
      <c r="F1221" s="1"/>
      <c r="G1221" s="1" t="str">
        <f>IFERROR(__xludf.DUMMYFUNCTION("""COMPUTED_VALUE"""),"-")</f>
        <v>-</v>
      </c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/>
      <c r="B1222" s="1"/>
      <c r="C1222" s="1"/>
      <c r="D1222" s="1"/>
      <c r="E1222" s="1" t="str">
        <f>IFERROR(__xludf.DUMMYFUNCTION("""COMPUTED_VALUE"""),"-")</f>
        <v>-</v>
      </c>
      <c r="F1222" s="1"/>
      <c r="G1222" s="1" t="str">
        <f>IFERROR(__xludf.DUMMYFUNCTION("""COMPUTED_VALUE"""),"-")</f>
        <v>-</v>
      </c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/>
      <c r="B1223" s="1"/>
      <c r="C1223" s="1"/>
      <c r="D1223" s="1"/>
      <c r="E1223" s="1" t="str">
        <f>IFERROR(__xludf.DUMMYFUNCTION("""COMPUTED_VALUE"""),"-")</f>
        <v>-</v>
      </c>
      <c r="F1223" s="1"/>
      <c r="G1223" s="1" t="str">
        <f>IFERROR(__xludf.DUMMYFUNCTION("""COMPUTED_VALUE"""),"-")</f>
        <v>-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"/>
      <c r="B1224" s="1"/>
      <c r="C1224" s="1"/>
      <c r="D1224" s="1"/>
      <c r="E1224" s="1" t="str">
        <f>IFERROR(__xludf.DUMMYFUNCTION("""COMPUTED_VALUE"""),"-")</f>
        <v>-</v>
      </c>
      <c r="F1224" s="1"/>
      <c r="G1224" s="1" t="str">
        <f>IFERROR(__xludf.DUMMYFUNCTION("""COMPUTED_VALUE"""),"-")</f>
        <v>-</v>
      </c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/>
      <c r="B1225" s="1"/>
      <c r="C1225" s="1"/>
      <c r="D1225" s="1"/>
      <c r="E1225" s="1" t="str">
        <f>IFERROR(__xludf.DUMMYFUNCTION("""COMPUTED_VALUE"""),"-")</f>
        <v>-</v>
      </c>
      <c r="F1225" s="1"/>
      <c r="G1225" s="1" t="str">
        <f>IFERROR(__xludf.DUMMYFUNCTION("""COMPUTED_VALUE"""),"-")</f>
        <v>-</v>
      </c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/>
      <c r="B1226" s="1"/>
      <c r="C1226" s="1"/>
      <c r="D1226" s="1"/>
      <c r="E1226" s="1" t="str">
        <f>IFERROR(__xludf.DUMMYFUNCTION("""COMPUTED_VALUE"""),"-")</f>
        <v>-</v>
      </c>
      <c r="F1226" s="1"/>
      <c r="G1226" s="1" t="str">
        <f>IFERROR(__xludf.DUMMYFUNCTION("""COMPUTED_VALUE"""),"-")</f>
        <v>-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/>
      <c r="B1227" s="1"/>
      <c r="C1227" s="1"/>
      <c r="D1227" s="1"/>
      <c r="E1227" s="1" t="str">
        <f>IFERROR(__xludf.DUMMYFUNCTION("""COMPUTED_VALUE"""),"-")</f>
        <v>-</v>
      </c>
      <c r="F1227" s="1"/>
      <c r="G1227" s="1" t="str">
        <f>IFERROR(__xludf.DUMMYFUNCTION("""COMPUTED_VALUE"""),"-")</f>
        <v>-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/>
      <c r="B1228" s="1"/>
      <c r="C1228" s="1"/>
      <c r="D1228" s="1"/>
      <c r="E1228" s="1" t="str">
        <f>IFERROR(__xludf.DUMMYFUNCTION("""COMPUTED_VALUE"""),"-")</f>
        <v>-</v>
      </c>
      <c r="F1228" s="1"/>
      <c r="G1228" s="1" t="str">
        <f>IFERROR(__xludf.DUMMYFUNCTION("""COMPUTED_VALUE"""),"-")</f>
        <v>-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/>
      <c r="B1229" s="1"/>
      <c r="C1229" s="1"/>
      <c r="D1229" s="1"/>
      <c r="E1229" s="1" t="str">
        <f>IFERROR(__xludf.DUMMYFUNCTION("""COMPUTED_VALUE"""),"-")</f>
        <v>-</v>
      </c>
      <c r="F1229" s="1"/>
      <c r="G1229" s="1" t="str">
        <f>IFERROR(__xludf.DUMMYFUNCTION("""COMPUTED_VALUE"""),"-")</f>
        <v>-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/>
      <c r="B1230" s="1"/>
      <c r="C1230" s="1"/>
      <c r="D1230" s="1"/>
      <c r="E1230" s="1" t="str">
        <f>IFERROR(__xludf.DUMMYFUNCTION("""COMPUTED_VALUE"""),"-")</f>
        <v>-</v>
      </c>
      <c r="F1230" s="1"/>
      <c r="G1230" s="1" t="str">
        <f>IFERROR(__xludf.DUMMYFUNCTION("""COMPUTED_VALUE"""),"-")</f>
        <v>-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/>
      <c r="B1231" s="1"/>
      <c r="C1231" s="1"/>
      <c r="D1231" s="1"/>
      <c r="E1231" s="1" t="str">
        <f>IFERROR(__xludf.DUMMYFUNCTION("""COMPUTED_VALUE"""),"-")</f>
        <v>-</v>
      </c>
      <c r="F1231" s="1"/>
      <c r="G1231" s="1" t="str">
        <f>IFERROR(__xludf.DUMMYFUNCTION("""COMPUTED_VALUE"""),"-")</f>
        <v>-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/>
      <c r="B1232" s="1"/>
      <c r="C1232" s="1"/>
      <c r="D1232" s="1"/>
      <c r="E1232" s="1" t="str">
        <f>IFERROR(__xludf.DUMMYFUNCTION("""COMPUTED_VALUE"""),"-")</f>
        <v>-</v>
      </c>
      <c r="F1232" s="1"/>
      <c r="G1232" s="1" t="str">
        <f>IFERROR(__xludf.DUMMYFUNCTION("""COMPUTED_VALUE"""),"-")</f>
        <v>-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/>
      <c r="B1233" s="1"/>
      <c r="C1233" s="1"/>
      <c r="D1233" s="1"/>
      <c r="E1233" s="1" t="str">
        <f>IFERROR(__xludf.DUMMYFUNCTION("""COMPUTED_VALUE"""),"-")</f>
        <v>-</v>
      </c>
      <c r="F1233" s="1"/>
      <c r="G1233" s="1" t="str">
        <f>IFERROR(__xludf.DUMMYFUNCTION("""COMPUTED_VALUE"""),"-")</f>
        <v>-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/>
      <c r="B1234" s="1"/>
      <c r="C1234" s="1"/>
      <c r="D1234" s="1"/>
      <c r="E1234" s="1" t="str">
        <f>IFERROR(__xludf.DUMMYFUNCTION("""COMPUTED_VALUE"""),"-")</f>
        <v>-</v>
      </c>
      <c r="F1234" s="1"/>
      <c r="G1234" s="1" t="str">
        <f>IFERROR(__xludf.DUMMYFUNCTION("""COMPUTED_VALUE"""),"-")</f>
        <v>-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/>
      <c r="B1235" s="1"/>
      <c r="C1235" s="1"/>
      <c r="D1235" s="1"/>
      <c r="E1235" s="1" t="str">
        <f>IFERROR(__xludf.DUMMYFUNCTION("""COMPUTED_VALUE"""),"-")</f>
        <v>-</v>
      </c>
      <c r="F1235" s="1"/>
      <c r="G1235" s="1" t="str">
        <f>IFERROR(__xludf.DUMMYFUNCTION("""COMPUTED_VALUE"""),"-")</f>
        <v>-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/>
      <c r="B1236" s="1"/>
      <c r="C1236" s="1"/>
      <c r="D1236" s="1"/>
      <c r="E1236" s="1" t="str">
        <f>IFERROR(__xludf.DUMMYFUNCTION("""COMPUTED_VALUE"""),"-")</f>
        <v>-</v>
      </c>
      <c r="F1236" s="1"/>
      <c r="G1236" s="1" t="str">
        <f>IFERROR(__xludf.DUMMYFUNCTION("""COMPUTED_VALUE"""),"-")</f>
        <v>-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/>
      <c r="B1237" s="1"/>
      <c r="C1237" s="1"/>
      <c r="D1237" s="1"/>
      <c r="E1237" s="1" t="str">
        <f>IFERROR(__xludf.DUMMYFUNCTION("""COMPUTED_VALUE"""),"-")</f>
        <v>-</v>
      </c>
      <c r="F1237" s="1"/>
      <c r="G1237" s="1" t="str">
        <f>IFERROR(__xludf.DUMMYFUNCTION("""COMPUTED_VALUE"""),"-")</f>
        <v>-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/>
      <c r="B1238" s="1"/>
      <c r="C1238" s="1"/>
      <c r="D1238" s="1"/>
      <c r="E1238" s="1" t="str">
        <f>IFERROR(__xludf.DUMMYFUNCTION("""COMPUTED_VALUE"""),"-")</f>
        <v>-</v>
      </c>
      <c r="F1238" s="1"/>
      <c r="G1238" s="1" t="str">
        <f>IFERROR(__xludf.DUMMYFUNCTION("""COMPUTED_VALUE"""),"-")</f>
        <v>-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/>
      <c r="B1239" s="1"/>
      <c r="C1239" s="1"/>
      <c r="D1239" s="1"/>
      <c r="E1239" s="1" t="str">
        <f>IFERROR(__xludf.DUMMYFUNCTION("""COMPUTED_VALUE"""),"-")</f>
        <v>-</v>
      </c>
      <c r="F1239" s="1"/>
      <c r="G1239" s="1" t="str">
        <f>IFERROR(__xludf.DUMMYFUNCTION("""COMPUTED_VALUE"""),"-")</f>
        <v>-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/>
      <c r="B1240" s="1"/>
      <c r="C1240" s="1"/>
      <c r="D1240" s="1"/>
      <c r="E1240" s="1" t="str">
        <f>IFERROR(__xludf.DUMMYFUNCTION("""COMPUTED_VALUE"""),"-")</f>
        <v>-</v>
      </c>
      <c r="F1240" s="1"/>
      <c r="G1240" s="1" t="str">
        <f>IFERROR(__xludf.DUMMYFUNCTION("""COMPUTED_VALUE"""),"-")</f>
        <v>-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/>
      <c r="B1241" s="1"/>
      <c r="C1241" s="1"/>
      <c r="D1241" s="1"/>
      <c r="E1241" s="1" t="str">
        <f>IFERROR(__xludf.DUMMYFUNCTION("""COMPUTED_VALUE"""),"-")</f>
        <v>-</v>
      </c>
      <c r="F1241" s="1"/>
      <c r="G1241" s="1" t="str">
        <f>IFERROR(__xludf.DUMMYFUNCTION("""COMPUTED_VALUE"""),"-")</f>
        <v>-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/>
      <c r="B1242" s="1"/>
      <c r="C1242" s="1"/>
      <c r="D1242" s="1"/>
      <c r="E1242" s="1" t="str">
        <f>IFERROR(__xludf.DUMMYFUNCTION("""COMPUTED_VALUE"""),"-")</f>
        <v>-</v>
      </c>
      <c r="F1242" s="1"/>
      <c r="G1242" s="1" t="str">
        <f>IFERROR(__xludf.DUMMYFUNCTION("""COMPUTED_VALUE"""),"-")</f>
        <v>-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/>
      <c r="B1243" s="1"/>
      <c r="C1243" s="1"/>
      <c r="D1243" s="1"/>
      <c r="E1243" s="1" t="str">
        <f>IFERROR(__xludf.DUMMYFUNCTION("""COMPUTED_VALUE"""),"-")</f>
        <v>-</v>
      </c>
      <c r="F1243" s="1"/>
      <c r="G1243" s="1" t="str">
        <f>IFERROR(__xludf.DUMMYFUNCTION("""COMPUTED_VALUE"""),"-")</f>
        <v>-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/>
      <c r="B1244" s="1"/>
      <c r="C1244" s="1"/>
      <c r="D1244" s="1"/>
      <c r="E1244" s="1" t="str">
        <f>IFERROR(__xludf.DUMMYFUNCTION("""COMPUTED_VALUE"""),"-")</f>
        <v>-</v>
      </c>
      <c r="F1244" s="1"/>
      <c r="G1244" s="1" t="str">
        <f>IFERROR(__xludf.DUMMYFUNCTION("""COMPUTED_VALUE"""),"-")</f>
        <v>-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/>
      <c r="B1245" s="1"/>
      <c r="C1245" s="1"/>
      <c r="D1245" s="1"/>
      <c r="E1245" s="1" t="str">
        <f>IFERROR(__xludf.DUMMYFUNCTION("""COMPUTED_VALUE"""),"-")</f>
        <v>-</v>
      </c>
      <c r="F1245" s="1"/>
      <c r="G1245" s="1" t="str">
        <f>IFERROR(__xludf.DUMMYFUNCTION("""COMPUTED_VALUE"""),"-")</f>
        <v>-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/>
      <c r="B1246" s="1"/>
      <c r="C1246" s="1"/>
      <c r="D1246" s="1"/>
      <c r="E1246" s="1" t="str">
        <f>IFERROR(__xludf.DUMMYFUNCTION("""COMPUTED_VALUE"""),"-")</f>
        <v>-</v>
      </c>
      <c r="F1246" s="1"/>
      <c r="G1246" s="1" t="str">
        <f>IFERROR(__xludf.DUMMYFUNCTION("""COMPUTED_VALUE"""),"-")</f>
        <v>-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/>
      <c r="B1247" s="1"/>
      <c r="C1247" s="1"/>
      <c r="D1247" s="1"/>
      <c r="E1247" s="1" t="str">
        <f>IFERROR(__xludf.DUMMYFUNCTION("""COMPUTED_VALUE"""),"-")</f>
        <v>-</v>
      </c>
      <c r="F1247" s="1"/>
      <c r="G1247" s="1" t="str">
        <f>IFERROR(__xludf.DUMMYFUNCTION("""COMPUTED_VALUE"""),"-")</f>
        <v>-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/>
      <c r="B1248" s="1"/>
      <c r="C1248" s="1"/>
      <c r="D1248" s="1"/>
      <c r="E1248" s="1" t="str">
        <f>IFERROR(__xludf.DUMMYFUNCTION("""COMPUTED_VALUE"""),"-")</f>
        <v>-</v>
      </c>
      <c r="F1248" s="1"/>
      <c r="G1248" s="1" t="str">
        <f>IFERROR(__xludf.DUMMYFUNCTION("""COMPUTED_VALUE"""),"-")</f>
        <v>-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/>
      <c r="B1249" s="1"/>
      <c r="C1249" s="1"/>
      <c r="D1249" s="1"/>
      <c r="E1249" s="1" t="str">
        <f>IFERROR(__xludf.DUMMYFUNCTION("""COMPUTED_VALUE"""),"-")</f>
        <v>-</v>
      </c>
      <c r="F1249" s="1"/>
      <c r="G1249" s="1" t="str">
        <f>IFERROR(__xludf.DUMMYFUNCTION("""COMPUTED_VALUE"""),"-")</f>
        <v>-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/>
      <c r="B1250" s="1"/>
      <c r="C1250" s="1"/>
      <c r="D1250" s="1"/>
      <c r="E1250" s="1" t="str">
        <f>IFERROR(__xludf.DUMMYFUNCTION("""COMPUTED_VALUE"""),"-")</f>
        <v>-</v>
      </c>
      <c r="F1250" s="1"/>
      <c r="G1250" s="1" t="str">
        <f>IFERROR(__xludf.DUMMYFUNCTION("""COMPUTED_VALUE"""),"-")</f>
        <v>-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/>
      <c r="B1251" s="1"/>
      <c r="C1251" s="1"/>
      <c r="D1251" s="1"/>
      <c r="E1251" s="1" t="str">
        <f>IFERROR(__xludf.DUMMYFUNCTION("""COMPUTED_VALUE"""),"-")</f>
        <v>-</v>
      </c>
      <c r="F1251" s="1"/>
      <c r="G1251" s="1" t="str">
        <f>IFERROR(__xludf.DUMMYFUNCTION("""COMPUTED_VALUE"""),"-")</f>
        <v>-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/>
      <c r="B1252" s="1"/>
      <c r="C1252" s="1"/>
      <c r="D1252" s="1"/>
      <c r="E1252" s="1" t="str">
        <f>IFERROR(__xludf.DUMMYFUNCTION("""COMPUTED_VALUE"""),"-")</f>
        <v>-</v>
      </c>
      <c r="F1252" s="1"/>
      <c r="G1252" s="1" t="str">
        <f>IFERROR(__xludf.DUMMYFUNCTION("""COMPUTED_VALUE"""),"-")</f>
        <v>-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"/>
      <c r="B1253" s="1"/>
      <c r="C1253" s="1"/>
      <c r="D1253" s="1"/>
      <c r="E1253" s="1" t="str">
        <f>IFERROR(__xludf.DUMMYFUNCTION("""COMPUTED_VALUE"""),"-")</f>
        <v>-</v>
      </c>
      <c r="F1253" s="1"/>
      <c r="G1253" s="1" t="str">
        <f>IFERROR(__xludf.DUMMYFUNCTION("""COMPUTED_VALUE"""),"-")</f>
        <v>-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 t="str">
        <f>IFERROR(__xludf.DUMMYFUNCTION("""COMPUTED_VALUE"""),"-")</f>
        <v>-</v>
      </c>
      <c r="F1254" s="1"/>
      <c r="G1254" s="1" t="str">
        <f>IFERROR(__xludf.DUMMYFUNCTION("""COMPUTED_VALUE"""),"-")</f>
        <v>-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 t="str">
        <f>IFERROR(__xludf.DUMMYFUNCTION("""COMPUTED_VALUE"""),"-")</f>
        <v>-</v>
      </c>
      <c r="F1255" s="1"/>
      <c r="G1255" s="1" t="str">
        <f>IFERROR(__xludf.DUMMYFUNCTION("""COMPUTED_VALUE"""),"-")</f>
        <v>-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 t="str">
        <f>IFERROR(__xludf.DUMMYFUNCTION("""COMPUTED_VALUE"""),"-")</f>
        <v>-</v>
      </c>
      <c r="F1256" s="1"/>
      <c r="G1256" s="1" t="str">
        <f>IFERROR(__xludf.DUMMYFUNCTION("""COMPUTED_VALUE"""),"-")</f>
        <v>-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 t="str">
        <f>IFERROR(__xludf.DUMMYFUNCTION("""COMPUTED_VALUE"""),"-")</f>
        <v>-</v>
      </c>
      <c r="F1257" s="1"/>
      <c r="G1257" s="1" t="str">
        <f>IFERROR(__xludf.DUMMYFUNCTION("""COMPUTED_VALUE"""),"-")</f>
        <v>-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 t="str">
        <f>IFERROR(__xludf.DUMMYFUNCTION("""COMPUTED_VALUE"""),"-")</f>
        <v>-</v>
      </c>
      <c r="F1258" s="1"/>
      <c r="G1258" s="1" t="str">
        <f>IFERROR(__xludf.DUMMYFUNCTION("""COMPUTED_VALUE"""),"-")</f>
        <v>-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 t="str">
        <f>IFERROR(__xludf.DUMMYFUNCTION("""COMPUTED_VALUE"""),"-")</f>
        <v>-</v>
      </c>
      <c r="F1259" s="1"/>
      <c r="G1259" s="1" t="str">
        <f>IFERROR(__xludf.DUMMYFUNCTION("""COMPUTED_VALUE"""),"-")</f>
        <v>-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 t="str">
        <f>IFERROR(__xludf.DUMMYFUNCTION("""COMPUTED_VALUE"""),"-")</f>
        <v>-</v>
      </c>
      <c r="F1260" s="1"/>
      <c r="G1260" s="1" t="str">
        <f>IFERROR(__xludf.DUMMYFUNCTION("""COMPUTED_VALUE"""),"-")</f>
        <v>-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 t="str">
        <f>IFERROR(__xludf.DUMMYFUNCTION("""COMPUTED_VALUE"""),"-")</f>
        <v>-</v>
      </c>
      <c r="F1261" s="1"/>
      <c r="G1261" s="1" t="str">
        <f>IFERROR(__xludf.DUMMYFUNCTION("""COMPUTED_VALUE"""),"-")</f>
        <v>-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 t="str">
        <f>IFERROR(__xludf.DUMMYFUNCTION("""COMPUTED_VALUE"""),"-")</f>
        <v>-</v>
      </c>
      <c r="F1262" s="1"/>
      <c r="G1262" s="1" t="str">
        <f>IFERROR(__xludf.DUMMYFUNCTION("""COMPUTED_VALUE"""),"-")</f>
        <v>-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 t="str">
        <f>IFERROR(__xludf.DUMMYFUNCTION("""COMPUTED_VALUE"""),"-")</f>
        <v>-</v>
      </c>
      <c r="F1263" s="1"/>
      <c r="G1263" s="1" t="str">
        <f>IFERROR(__xludf.DUMMYFUNCTION("""COMPUTED_VALUE"""),"-")</f>
        <v>-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 t="str">
        <f>IFERROR(__xludf.DUMMYFUNCTION("""COMPUTED_VALUE"""),"-")</f>
        <v>-</v>
      </c>
      <c r="F1264" s="1"/>
      <c r="G1264" s="1" t="str">
        <f>IFERROR(__xludf.DUMMYFUNCTION("""COMPUTED_VALUE"""),"-")</f>
        <v>-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 t="str">
        <f>IFERROR(__xludf.DUMMYFUNCTION("""COMPUTED_VALUE"""),"-")</f>
        <v>-</v>
      </c>
      <c r="F1265" s="1"/>
      <c r="G1265" s="1" t="str">
        <f>IFERROR(__xludf.DUMMYFUNCTION("""COMPUTED_VALUE"""),"-")</f>
        <v>-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 t="str">
        <f>IFERROR(__xludf.DUMMYFUNCTION("""COMPUTED_VALUE"""),"-")</f>
        <v>-</v>
      </c>
      <c r="F1266" s="1"/>
      <c r="G1266" s="1" t="str">
        <f>IFERROR(__xludf.DUMMYFUNCTION("""COMPUTED_VALUE"""),"-")</f>
        <v>-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/>
      <c r="B1267" s="1"/>
      <c r="C1267" s="1"/>
      <c r="D1267" s="1"/>
      <c r="E1267" s="1" t="str">
        <f>IFERROR(__xludf.DUMMYFUNCTION("""COMPUTED_VALUE"""),"-")</f>
        <v>-</v>
      </c>
      <c r="F1267" s="1"/>
      <c r="G1267" s="1" t="str">
        <f>IFERROR(__xludf.DUMMYFUNCTION("""COMPUTED_VALUE"""),"-")</f>
        <v>-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/>
      <c r="B1268" s="1"/>
      <c r="C1268" s="1"/>
      <c r="D1268" s="1"/>
      <c r="E1268" s="1" t="str">
        <f>IFERROR(__xludf.DUMMYFUNCTION("""COMPUTED_VALUE"""),"-")</f>
        <v>-</v>
      </c>
      <c r="F1268" s="1"/>
      <c r="G1268" s="1" t="str">
        <f>IFERROR(__xludf.DUMMYFUNCTION("""COMPUTED_VALUE"""),"-")</f>
        <v>-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/>
      <c r="B1269" s="1"/>
      <c r="C1269" s="1"/>
      <c r="D1269" s="1"/>
      <c r="E1269" s="1" t="str">
        <f>IFERROR(__xludf.DUMMYFUNCTION("""COMPUTED_VALUE"""),"-")</f>
        <v>-</v>
      </c>
      <c r="F1269" s="1"/>
      <c r="G1269" s="1" t="str">
        <f>IFERROR(__xludf.DUMMYFUNCTION("""COMPUTED_VALUE"""),"-")</f>
        <v>-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/>
      <c r="B1270" s="1"/>
      <c r="C1270" s="1"/>
      <c r="D1270" s="1"/>
      <c r="E1270" s="1" t="str">
        <f>IFERROR(__xludf.DUMMYFUNCTION("""COMPUTED_VALUE"""),"-")</f>
        <v>-</v>
      </c>
      <c r="F1270" s="1"/>
      <c r="G1270" s="1" t="str">
        <f>IFERROR(__xludf.DUMMYFUNCTION("""COMPUTED_VALUE"""),"-")</f>
        <v>-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/>
      <c r="B1271" s="1"/>
      <c r="C1271" s="1"/>
      <c r="D1271" s="1"/>
      <c r="E1271" s="1" t="str">
        <f>IFERROR(__xludf.DUMMYFUNCTION("""COMPUTED_VALUE"""),"-")</f>
        <v>-</v>
      </c>
      <c r="F1271" s="1"/>
      <c r="G1271" s="1" t="str">
        <f>IFERROR(__xludf.DUMMYFUNCTION("""COMPUTED_VALUE"""),"-")</f>
        <v>-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/>
      <c r="B1272" s="1"/>
      <c r="C1272" s="1"/>
      <c r="D1272" s="1"/>
      <c r="E1272" s="1" t="str">
        <f>IFERROR(__xludf.DUMMYFUNCTION("""COMPUTED_VALUE"""),"-")</f>
        <v>-</v>
      </c>
      <c r="F1272" s="1"/>
      <c r="G1272" s="1" t="str">
        <f>IFERROR(__xludf.DUMMYFUNCTION("""COMPUTED_VALUE"""),"-")</f>
        <v>-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/>
      <c r="B1273" s="1"/>
      <c r="C1273" s="1"/>
      <c r="D1273" s="1"/>
      <c r="E1273" s="1" t="str">
        <f>IFERROR(__xludf.DUMMYFUNCTION("""COMPUTED_VALUE"""),"-")</f>
        <v>-</v>
      </c>
      <c r="F1273" s="1"/>
      <c r="G1273" s="1" t="str">
        <f>IFERROR(__xludf.DUMMYFUNCTION("""COMPUTED_VALUE"""),"-")</f>
        <v>-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/>
      <c r="B1274" s="1"/>
      <c r="C1274" s="1"/>
      <c r="D1274" s="1"/>
      <c r="E1274" s="1" t="str">
        <f>IFERROR(__xludf.DUMMYFUNCTION("""COMPUTED_VALUE"""),"-")</f>
        <v>-</v>
      </c>
      <c r="F1274" s="1"/>
      <c r="G1274" s="1" t="str">
        <f>IFERROR(__xludf.DUMMYFUNCTION("""COMPUTED_VALUE"""),"-")</f>
        <v>-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/>
      <c r="B1275" s="1"/>
      <c r="C1275" s="1"/>
      <c r="D1275" s="1"/>
      <c r="E1275" s="1" t="str">
        <f>IFERROR(__xludf.DUMMYFUNCTION("""COMPUTED_VALUE"""),"-")</f>
        <v>-</v>
      </c>
      <c r="F1275" s="1"/>
      <c r="G1275" s="1" t="str">
        <f>IFERROR(__xludf.DUMMYFUNCTION("""COMPUTED_VALUE"""),"-")</f>
        <v>-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/>
      <c r="B1276" s="1"/>
      <c r="C1276" s="1"/>
      <c r="D1276" s="1"/>
      <c r="E1276" s="1" t="str">
        <f>IFERROR(__xludf.DUMMYFUNCTION("""COMPUTED_VALUE"""),"-")</f>
        <v>-</v>
      </c>
      <c r="F1276" s="1"/>
      <c r="G1276" s="1" t="str">
        <f>IFERROR(__xludf.DUMMYFUNCTION("""COMPUTED_VALUE"""),"-")</f>
        <v>-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/>
      <c r="B1277" s="1"/>
      <c r="C1277" s="1"/>
      <c r="D1277" s="1"/>
      <c r="E1277" s="1" t="str">
        <f>IFERROR(__xludf.DUMMYFUNCTION("""COMPUTED_VALUE"""),"-")</f>
        <v>-</v>
      </c>
      <c r="F1277" s="1"/>
      <c r="G1277" s="1" t="str">
        <f>IFERROR(__xludf.DUMMYFUNCTION("""COMPUTED_VALUE"""),"-")</f>
        <v>-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/>
      <c r="B1278" s="1"/>
      <c r="C1278" s="1"/>
      <c r="D1278" s="1"/>
      <c r="E1278" s="1" t="str">
        <f>IFERROR(__xludf.DUMMYFUNCTION("""COMPUTED_VALUE"""),"-")</f>
        <v>-</v>
      </c>
      <c r="F1278" s="1"/>
      <c r="G1278" s="1" t="str">
        <f>IFERROR(__xludf.DUMMYFUNCTION("""COMPUTED_VALUE"""),"-")</f>
        <v>-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/>
      <c r="B1279" s="1"/>
      <c r="C1279" s="1"/>
      <c r="D1279" s="1"/>
      <c r="E1279" s="1" t="str">
        <f>IFERROR(__xludf.DUMMYFUNCTION("""COMPUTED_VALUE"""),"-")</f>
        <v>-</v>
      </c>
      <c r="F1279" s="1"/>
      <c r="G1279" s="1" t="str">
        <f>IFERROR(__xludf.DUMMYFUNCTION("""COMPUTED_VALUE"""),"-")</f>
        <v>-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/>
      <c r="B1280" s="1"/>
      <c r="C1280" s="1"/>
      <c r="D1280" s="1"/>
      <c r="E1280" s="1" t="str">
        <f>IFERROR(__xludf.DUMMYFUNCTION("""COMPUTED_VALUE"""),"-")</f>
        <v>-</v>
      </c>
      <c r="F1280" s="1"/>
      <c r="G1280" s="1" t="str">
        <f>IFERROR(__xludf.DUMMYFUNCTION("""COMPUTED_VALUE"""),"-")</f>
        <v>-</v>
      </c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/>
      <c r="B1281" s="1"/>
      <c r="C1281" s="1"/>
      <c r="D1281" s="1"/>
      <c r="E1281" s="1" t="str">
        <f>IFERROR(__xludf.DUMMYFUNCTION("""COMPUTED_VALUE"""),"-")</f>
        <v>-</v>
      </c>
      <c r="F1281" s="1"/>
      <c r="G1281" s="1" t="str">
        <f>IFERROR(__xludf.DUMMYFUNCTION("""COMPUTED_VALUE"""),"-")</f>
        <v>-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/>
      <c r="B1282" s="1"/>
      <c r="C1282" s="1"/>
      <c r="D1282" s="1"/>
      <c r="E1282" s="1" t="str">
        <f>IFERROR(__xludf.DUMMYFUNCTION("""COMPUTED_VALUE"""),"-")</f>
        <v>-</v>
      </c>
      <c r="F1282" s="1"/>
      <c r="G1282" s="1" t="str">
        <f>IFERROR(__xludf.DUMMYFUNCTION("""COMPUTED_VALUE"""),"-")</f>
        <v>-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/>
      <c r="B1283" s="1"/>
      <c r="C1283" s="1"/>
      <c r="D1283" s="1"/>
      <c r="E1283" s="1" t="str">
        <f>IFERROR(__xludf.DUMMYFUNCTION("""COMPUTED_VALUE"""),"-")</f>
        <v>-</v>
      </c>
      <c r="F1283" s="1"/>
      <c r="G1283" s="1" t="str">
        <f>IFERROR(__xludf.DUMMYFUNCTION("""COMPUTED_VALUE"""),"-")</f>
        <v>-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/>
      <c r="B1284" s="1"/>
      <c r="C1284" s="1"/>
      <c r="D1284" s="1"/>
      <c r="E1284" s="1" t="str">
        <f>IFERROR(__xludf.DUMMYFUNCTION("""COMPUTED_VALUE"""),"-")</f>
        <v>-</v>
      </c>
      <c r="F1284" s="1"/>
      <c r="G1284" s="1" t="str">
        <f>IFERROR(__xludf.DUMMYFUNCTION("""COMPUTED_VALUE"""),"-")</f>
        <v>-</v>
      </c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/>
      <c r="B1285" s="1"/>
      <c r="C1285" s="1"/>
      <c r="D1285" s="1"/>
      <c r="E1285" s="1" t="str">
        <f>IFERROR(__xludf.DUMMYFUNCTION("""COMPUTED_VALUE"""),"-")</f>
        <v>-</v>
      </c>
      <c r="F1285" s="1"/>
      <c r="G1285" s="1" t="str">
        <f>IFERROR(__xludf.DUMMYFUNCTION("""COMPUTED_VALUE"""),"-")</f>
        <v>-</v>
      </c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/>
      <c r="B1286" s="1"/>
      <c r="C1286" s="1"/>
      <c r="D1286" s="1"/>
      <c r="E1286" s="1" t="str">
        <f>IFERROR(__xludf.DUMMYFUNCTION("""COMPUTED_VALUE"""),"-")</f>
        <v>-</v>
      </c>
      <c r="F1286" s="1"/>
      <c r="G1286" s="1" t="str">
        <f>IFERROR(__xludf.DUMMYFUNCTION("""COMPUTED_VALUE"""),"-")</f>
        <v>-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/>
      <c r="B1287" s="1"/>
      <c r="C1287" s="1"/>
      <c r="D1287" s="1"/>
      <c r="E1287" s="1" t="str">
        <f>IFERROR(__xludf.DUMMYFUNCTION("""COMPUTED_VALUE"""),"-")</f>
        <v>-</v>
      </c>
      <c r="F1287" s="1"/>
      <c r="G1287" s="1" t="str">
        <f>IFERROR(__xludf.DUMMYFUNCTION("""COMPUTED_VALUE"""),"-")</f>
        <v>-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/>
      <c r="B1288" s="1"/>
      <c r="C1288" s="1"/>
      <c r="D1288" s="1"/>
      <c r="E1288" s="1" t="str">
        <f>IFERROR(__xludf.DUMMYFUNCTION("""COMPUTED_VALUE"""),"-")</f>
        <v>-</v>
      </c>
      <c r="F1288" s="1"/>
      <c r="G1288" s="1" t="str">
        <f>IFERROR(__xludf.DUMMYFUNCTION("""COMPUTED_VALUE"""),"-")</f>
        <v>-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/>
      <c r="B1289" s="1"/>
      <c r="C1289" s="1"/>
      <c r="D1289" s="1"/>
      <c r="E1289" s="1" t="str">
        <f>IFERROR(__xludf.DUMMYFUNCTION("""COMPUTED_VALUE"""),"-")</f>
        <v>-</v>
      </c>
      <c r="F1289" s="1"/>
      <c r="G1289" s="1" t="str">
        <f>IFERROR(__xludf.DUMMYFUNCTION("""COMPUTED_VALUE"""),"-")</f>
        <v>-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/>
      <c r="B1290" s="1"/>
      <c r="C1290" s="1"/>
      <c r="D1290" s="1"/>
      <c r="E1290" s="1" t="str">
        <f>IFERROR(__xludf.DUMMYFUNCTION("""COMPUTED_VALUE"""),"-")</f>
        <v>-</v>
      </c>
      <c r="F1290" s="1"/>
      <c r="G1290" s="1" t="str">
        <f>IFERROR(__xludf.DUMMYFUNCTION("""COMPUTED_VALUE"""),"-")</f>
        <v>-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/>
      <c r="B1291" s="1"/>
      <c r="C1291" s="1"/>
      <c r="D1291" s="1"/>
      <c r="E1291" s="1" t="str">
        <f>IFERROR(__xludf.DUMMYFUNCTION("""COMPUTED_VALUE"""),"-")</f>
        <v>-</v>
      </c>
      <c r="F1291" s="1"/>
      <c r="G1291" s="1" t="str">
        <f>IFERROR(__xludf.DUMMYFUNCTION("""COMPUTED_VALUE"""),"-")</f>
        <v>-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/>
      <c r="B1292" s="1"/>
      <c r="C1292" s="1"/>
      <c r="D1292" s="1"/>
      <c r="E1292" s="1" t="str">
        <f>IFERROR(__xludf.DUMMYFUNCTION("""COMPUTED_VALUE"""),"-")</f>
        <v>-</v>
      </c>
      <c r="F1292" s="1"/>
      <c r="G1292" s="1" t="str">
        <f>IFERROR(__xludf.DUMMYFUNCTION("""COMPUTED_VALUE"""),"-")</f>
        <v>-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/>
      <c r="B1293" s="1"/>
      <c r="C1293" s="1"/>
      <c r="D1293" s="1"/>
      <c r="E1293" s="1" t="str">
        <f>IFERROR(__xludf.DUMMYFUNCTION("""COMPUTED_VALUE"""),"-")</f>
        <v>-</v>
      </c>
      <c r="F1293" s="1"/>
      <c r="G1293" s="1" t="str">
        <f>IFERROR(__xludf.DUMMYFUNCTION("""COMPUTED_VALUE"""),"-")</f>
        <v>-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/>
      <c r="B1294" s="1"/>
      <c r="C1294" s="1"/>
      <c r="D1294" s="1"/>
      <c r="E1294" s="1" t="str">
        <f>IFERROR(__xludf.DUMMYFUNCTION("""COMPUTED_VALUE"""),"-")</f>
        <v>-</v>
      </c>
      <c r="F1294" s="1"/>
      <c r="G1294" s="1" t="str">
        <f>IFERROR(__xludf.DUMMYFUNCTION("""COMPUTED_VALUE"""),"-")</f>
        <v>-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/>
      <c r="B1295" s="1"/>
      <c r="C1295" s="1"/>
      <c r="D1295" s="1"/>
      <c r="E1295" s="1" t="str">
        <f>IFERROR(__xludf.DUMMYFUNCTION("""COMPUTED_VALUE"""),"-")</f>
        <v>-</v>
      </c>
      <c r="F1295" s="1"/>
      <c r="G1295" s="1" t="str">
        <f>IFERROR(__xludf.DUMMYFUNCTION("""COMPUTED_VALUE"""),"-")</f>
        <v>-</v>
      </c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/>
      <c r="B1296" s="1"/>
      <c r="C1296" s="1"/>
      <c r="D1296" s="1"/>
      <c r="E1296" s="1" t="str">
        <f>IFERROR(__xludf.DUMMYFUNCTION("""COMPUTED_VALUE"""),"-")</f>
        <v>-</v>
      </c>
      <c r="F1296" s="1"/>
      <c r="G1296" s="1" t="str">
        <f>IFERROR(__xludf.DUMMYFUNCTION("""COMPUTED_VALUE"""),"-")</f>
        <v>-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/>
      <c r="B1297" s="1"/>
      <c r="C1297" s="1"/>
      <c r="D1297" s="1"/>
      <c r="E1297" s="1" t="str">
        <f>IFERROR(__xludf.DUMMYFUNCTION("""COMPUTED_VALUE"""),"-")</f>
        <v>-</v>
      </c>
      <c r="F1297" s="1"/>
      <c r="G1297" s="1" t="str">
        <f>IFERROR(__xludf.DUMMYFUNCTION("""COMPUTED_VALUE"""),"-")</f>
        <v>-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/>
      <c r="B1298" s="1"/>
      <c r="C1298" s="1"/>
      <c r="D1298" s="1"/>
      <c r="E1298" s="1" t="str">
        <f>IFERROR(__xludf.DUMMYFUNCTION("""COMPUTED_VALUE"""),"-")</f>
        <v>-</v>
      </c>
      <c r="F1298" s="1"/>
      <c r="G1298" s="1" t="str">
        <f>IFERROR(__xludf.DUMMYFUNCTION("""COMPUTED_VALUE"""),"-")</f>
        <v>-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/>
      <c r="B1299" s="1"/>
      <c r="C1299" s="1"/>
      <c r="D1299" s="1"/>
      <c r="E1299" s="1" t="str">
        <f>IFERROR(__xludf.DUMMYFUNCTION("""COMPUTED_VALUE"""),"-")</f>
        <v>-</v>
      </c>
      <c r="F1299" s="1"/>
      <c r="G1299" s="1" t="str">
        <f>IFERROR(__xludf.DUMMYFUNCTION("""COMPUTED_VALUE"""),"-")</f>
        <v>-</v>
      </c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/>
      <c r="B1300" s="1"/>
      <c r="C1300" s="1"/>
      <c r="D1300" s="1"/>
      <c r="E1300" s="1" t="str">
        <f>IFERROR(__xludf.DUMMYFUNCTION("""COMPUTED_VALUE"""),"-")</f>
        <v>-</v>
      </c>
      <c r="F1300" s="1"/>
      <c r="G1300" s="1" t="str">
        <f>IFERROR(__xludf.DUMMYFUNCTION("""COMPUTED_VALUE"""),"-")</f>
        <v>-</v>
      </c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/>
      <c r="B1301" s="1"/>
      <c r="C1301" s="1"/>
      <c r="D1301" s="1"/>
      <c r="E1301" s="1" t="str">
        <f>IFERROR(__xludf.DUMMYFUNCTION("""COMPUTED_VALUE"""),"-")</f>
        <v>-</v>
      </c>
      <c r="F1301" s="1"/>
      <c r="G1301" s="1" t="str">
        <f>IFERROR(__xludf.DUMMYFUNCTION("""COMPUTED_VALUE"""),"-")</f>
        <v>-</v>
      </c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/>
      <c r="B1302" s="1"/>
      <c r="C1302" s="1"/>
      <c r="D1302" s="1"/>
      <c r="E1302" s="1" t="str">
        <f>IFERROR(__xludf.DUMMYFUNCTION("""COMPUTED_VALUE"""),"-")</f>
        <v>-</v>
      </c>
      <c r="F1302" s="1"/>
      <c r="G1302" s="1" t="str">
        <f>IFERROR(__xludf.DUMMYFUNCTION("""COMPUTED_VALUE"""),"-")</f>
        <v>-</v>
      </c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/>
      <c r="B1303" s="1"/>
      <c r="C1303" s="1"/>
      <c r="D1303" s="1"/>
      <c r="E1303" s="1" t="str">
        <f>IFERROR(__xludf.DUMMYFUNCTION("""COMPUTED_VALUE"""),"-")</f>
        <v>-</v>
      </c>
      <c r="F1303" s="1"/>
      <c r="G1303" s="1" t="str">
        <f>IFERROR(__xludf.DUMMYFUNCTION("""COMPUTED_VALUE"""),"-")</f>
        <v>-</v>
      </c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/>
      <c r="B1304" s="1"/>
      <c r="C1304" s="1"/>
      <c r="D1304" s="1"/>
      <c r="E1304" s="1" t="str">
        <f>IFERROR(__xludf.DUMMYFUNCTION("""COMPUTED_VALUE"""),"-")</f>
        <v>-</v>
      </c>
      <c r="F1304" s="1"/>
      <c r="G1304" s="1" t="str">
        <f>IFERROR(__xludf.DUMMYFUNCTION("""COMPUTED_VALUE"""),"-")</f>
        <v>-</v>
      </c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/>
      <c r="B1305" s="1"/>
      <c r="C1305" s="1"/>
      <c r="D1305" s="1"/>
      <c r="E1305" s="1" t="str">
        <f>IFERROR(__xludf.DUMMYFUNCTION("""COMPUTED_VALUE"""),"-")</f>
        <v>-</v>
      </c>
      <c r="F1305" s="1"/>
      <c r="G1305" s="1" t="str">
        <f>IFERROR(__xludf.DUMMYFUNCTION("""COMPUTED_VALUE"""),"-")</f>
        <v>-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/>
      <c r="B1306" s="1"/>
      <c r="C1306" s="1"/>
      <c r="D1306" s="1"/>
      <c r="E1306" s="1" t="str">
        <f>IFERROR(__xludf.DUMMYFUNCTION("""COMPUTED_VALUE"""),"-")</f>
        <v>-</v>
      </c>
      <c r="F1306" s="1"/>
      <c r="G1306" s="1" t="str">
        <f>IFERROR(__xludf.DUMMYFUNCTION("""COMPUTED_VALUE"""),"-")</f>
        <v>-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/>
      <c r="B1307" s="1"/>
      <c r="C1307" s="1"/>
      <c r="D1307" s="1"/>
      <c r="E1307" s="1" t="str">
        <f>IFERROR(__xludf.DUMMYFUNCTION("""COMPUTED_VALUE"""),"-")</f>
        <v>-</v>
      </c>
      <c r="F1307" s="1"/>
      <c r="G1307" s="1" t="str">
        <f>IFERROR(__xludf.DUMMYFUNCTION("""COMPUTED_VALUE"""),"-")</f>
        <v>-</v>
      </c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/>
      <c r="B1308" s="1"/>
      <c r="C1308" s="1"/>
      <c r="D1308" s="1"/>
      <c r="E1308" s="1" t="str">
        <f>IFERROR(__xludf.DUMMYFUNCTION("""COMPUTED_VALUE"""),"-")</f>
        <v>-</v>
      </c>
      <c r="F1308" s="1"/>
      <c r="G1308" s="1" t="str">
        <f>IFERROR(__xludf.DUMMYFUNCTION("""COMPUTED_VALUE"""),"-")</f>
        <v>-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/>
      <c r="B1309" s="1"/>
      <c r="C1309" s="1"/>
      <c r="D1309" s="1"/>
      <c r="E1309" s="1" t="str">
        <f>IFERROR(__xludf.DUMMYFUNCTION("""COMPUTED_VALUE"""),"-")</f>
        <v>-</v>
      </c>
      <c r="F1309" s="1"/>
      <c r="G1309" s="1" t="str">
        <f>IFERROR(__xludf.DUMMYFUNCTION("""COMPUTED_VALUE"""),"-")</f>
        <v>-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/>
      <c r="B1310" s="1"/>
      <c r="C1310" s="1"/>
      <c r="D1310" s="1"/>
      <c r="E1310" s="1" t="str">
        <f>IFERROR(__xludf.DUMMYFUNCTION("""COMPUTED_VALUE"""),"-")</f>
        <v>-</v>
      </c>
      <c r="F1310" s="1"/>
      <c r="G1310" s="1" t="str">
        <f>IFERROR(__xludf.DUMMYFUNCTION("""COMPUTED_VALUE"""),"-")</f>
        <v>-</v>
      </c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/>
      <c r="B1311" s="1"/>
      <c r="C1311" s="1"/>
      <c r="D1311" s="1"/>
      <c r="E1311" s="1" t="str">
        <f>IFERROR(__xludf.DUMMYFUNCTION("""COMPUTED_VALUE"""),"-")</f>
        <v>-</v>
      </c>
      <c r="F1311" s="1"/>
      <c r="G1311" s="1" t="str">
        <f>IFERROR(__xludf.DUMMYFUNCTION("""COMPUTED_VALUE"""),"-")</f>
        <v>-</v>
      </c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/>
      <c r="B1312" s="1"/>
      <c r="C1312" s="1"/>
      <c r="D1312" s="1"/>
      <c r="E1312" s="1" t="str">
        <f>IFERROR(__xludf.DUMMYFUNCTION("""COMPUTED_VALUE"""),"-")</f>
        <v>-</v>
      </c>
      <c r="F1312" s="1"/>
      <c r="G1312" s="1" t="str">
        <f>IFERROR(__xludf.DUMMYFUNCTION("""COMPUTED_VALUE"""),"-")</f>
        <v>-</v>
      </c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/>
      <c r="B1313" s="1"/>
      <c r="C1313" s="1"/>
      <c r="D1313" s="1"/>
      <c r="E1313" s="1" t="str">
        <f>IFERROR(__xludf.DUMMYFUNCTION("""COMPUTED_VALUE"""),"-")</f>
        <v>-</v>
      </c>
      <c r="F1313" s="1"/>
      <c r="G1313" s="1" t="str">
        <f>IFERROR(__xludf.DUMMYFUNCTION("""COMPUTED_VALUE"""),"-")</f>
        <v>-</v>
      </c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/>
      <c r="B1314" s="1"/>
      <c r="C1314" s="1"/>
      <c r="D1314" s="1"/>
      <c r="E1314" s="1" t="str">
        <f>IFERROR(__xludf.DUMMYFUNCTION("""COMPUTED_VALUE"""),"-")</f>
        <v>-</v>
      </c>
      <c r="F1314" s="1"/>
      <c r="G1314" s="1" t="str">
        <f>IFERROR(__xludf.DUMMYFUNCTION("""COMPUTED_VALUE"""),"-")</f>
        <v>-</v>
      </c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/>
      <c r="B1315" s="1"/>
      <c r="C1315" s="1"/>
      <c r="D1315" s="1"/>
      <c r="E1315" s="1" t="str">
        <f>IFERROR(__xludf.DUMMYFUNCTION("""COMPUTED_VALUE"""),"-")</f>
        <v>-</v>
      </c>
      <c r="F1315" s="1"/>
      <c r="G1315" s="1" t="str">
        <f>IFERROR(__xludf.DUMMYFUNCTION("""COMPUTED_VALUE"""),"-")</f>
        <v>-</v>
      </c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/>
      <c r="B1316" s="1"/>
      <c r="C1316" s="1"/>
      <c r="D1316" s="1"/>
      <c r="E1316" s="1" t="str">
        <f>IFERROR(__xludf.DUMMYFUNCTION("""COMPUTED_VALUE"""),"-")</f>
        <v>-</v>
      </c>
      <c r="F1316" s="1"/>
      <c r="G1316" s="1" t="str">
        <f>IFERROR(__xludf.DUMMYFUNCTION("""COMPUTED_VALUE"""),"-")</f>
        <v>-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/>
      <c r="B1317" s="1"/>
      <c r="C1317" s="1"/>
      <c r="D1317" s="1"/>
      <c r="E1317" s="1" t="str">
        <f>IFERROR(__xludf.DUMMYFUNCTION("""COMPUTED_VALUE"""),"-")</f>
        <v>-</v>
      </c>
      <c r="F1317" s="1"/>
      <c r="G1317" s="1" t="str">
        <f>IFERROR(__xludf.DUMMYFUNCTION("""COMPUTED_VALUE"""),"-")</f>
        <v>-</v>
      </c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/>
      <c r="B1318" s="1"/>
      <c r="C1318" s="1"/>
      <c r="D1318" s="1"/>
      <c r="E1318" s="1" t="str">
        <f>IFERROR(__xludf.DUMMYFUNCTION("""COMPUTED_VALUE"""),"-")</f>
        <v>-</v>
      </c>
      <c r="F1318" s="1"/>
      <c r="G1318" s="1" t="str">
        <f>IFERROR(__xludf.DUMMYFUNCTION("""COMPUTED_VALUE"""),"-")</f>
        <v>-</v>
      </c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/>
      <c r="B1319" s="1"/>
      <c r="C1319" s="1"/>
      <c r="D1319" s="1"/>
      <c r="E1319" s="1" t="str">
        <f>IFERROR(__xludf.DUMMYFUNCTION("""COMPUTED_VALUE"""),"-")</f>
        <v>-</v>
      </c>
      <c r="F1319" s="1"/>
      <c r="G1319" s="1" t="str">
        <f>IFERROR(__xludf.DUMMYFUNCTION("""COMPUTED_VALUE"""),"-")</f>
        <v>-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/>
      <c r="B1320" s="1"/>
      <c r="C1320" s="1"/>
      <c r="D1320" s="1"/>
      <c r="E1320" s="1" t="str">
        <f>IFERROR(__xludf.DUMMYFUNCTION("""COMPUTED_VALUE"""),"-")</f>
        <v>-</v>
      </c>
      <c r="F1320" s="1"/>
      <c r="G1320" s="1" t="str">
        <f>IFERROR(__xludf.DUMMYFUNCTION("""COMPUTED_VALUE"""),"-")</f>
        <v>-</v>
      </c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/>
      <c r="B1321" s="1"/>
      <c r="C1321" s="1"/>
      <c r="D1321" s="1"/>
      <c r="E1321" s="1" t="str">
        <f>IFERROR(__xludf.DUMMYFUNCTION("""COMPUTED_VALUE"""),"-")</f>
        <v>-</v>
      </c>
      <c r="F1321" s="1"/>
      <c r="G1321" s="1" t="str">
        <f>IFERROR(__xludf.DUMMYFUNCTION("""COMPUTED_VALUE"""),"-")</f>
        <v>-</v>
      </c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/>
      <c r="B1322" s="1"/>
      <c r="C1322" s="1"/>
      <c r="D1322" s="1"/>
      <c r="E1322" s="1" t="str">
        <f>IFERROR(__xludf.DUMMYFUNCTION("""COMPUTED_VALUE"""),"-")</f>
        <v>-</v>
      </c>
      <c r="F1322" s="1"/>
      <c r="G1322" s="1" t="str">
        <f>IFERROR(__xludf.DUMMYFUNCTION("""COMPUTED_VALUE"""),"-")</f>
        <v>-</v>
      </c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/>
      <c r="B1323" s="1"/>
      <c r="C1323" s="1"/>
      <c r="D1323" s="1"/>
      <c r="E1323" s="1" t="str">
        <f>IFERROR(__xludf.DUMMYFUNCTION("""COMPUTED_VALUE"""),"-")</f>
        <v>-</v>
      </c>
      <c r="F1323" s="1"/>
      <c r="G1323" s="1" t="str">
        <f>IFERROR(__xludf.DUMMYFUNCTION("""COMPUTED_VALUE"""),"-")</f>
        <v>-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/>
      <c r="B1324" s="1"/>
      <c r="C1324" s="1"/>
      <c r="D1324" s="1"/>
      <c r="E1324" s="1" t="str">
        <f>IFERROR(__xludf.DUMMYFUNCTION("""COMPUTED_VALUE"""),"-")</f>
        <v>-</v>
      </c>
      <c r="F1324" s="1"/>
      <c r="G1324" s="1" t="str">
        <f>IFERROR(__xludf.DUMMYFUNCTION("""COMPUTED_VALUE"""),"-")</f>
        <v>-</v>
      </c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/>
      <c r="B1325" s="1"/>
      <c r="C1325" s="1"/>
      <c r="D1325" s="1"/>
      <c r="E1325" s="1" t="str">
        <f>IFERROR(__xludf.DUMMYFUNCTION("""COMPUTED_VALUE"""),"-")</f>
        <v>-</v>
      </c>
      <c r="F1325" s="1"/>
      <c r="G1325" s="1" t="str">
        <f>IFERROR(__xludf.DUMMYFUNCTION("""COMPUTED_VALUE"""),"-")</f>
        <v>-</v>
      </c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/>
      <c r="B1326" s="1"/>
      <c r="C1326" s="1"/>
      <c r="D1326" s="1"/>
      <c r="E1326" s="1" t="str">
        <f>IFERROR(__xludf.DUMMYFUNCTION("""COMPUTED_VALUE"""),"-")</f>
        <v>-</v>
      </c>
      <c r="F1326" s="1"/>
      <c r="G1326" s="1" t="str">
        <f>IFERROR(__xludf.DUMMYFUNCTION("""COMPUTED_VALUE"""),"-")</f>
        <v>-</v>
      </c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/>
      <c r="B1327" s="1"/>
      <c r="C1327" s="1"/>
      <c r="D1327" s="1"/>
      <c r="E1327" s="1" t="str">
        <f>IFERROR(__xludf.DUMMYFUNCTION("""COMPUTED_VALUE"""),"-")</f>
        <v>-</v>
      </c>
      <c r="F1327" s="1"/>
      <c r="G1327" s="1" t="str">
        <f>IFERROR(__xludf.DUMMYFUNCTION("""COMPUTED_VALUE"""),"-")</f>
        <v>-</v>
      </c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/>
      <c r="B1328" s="1"/>
      <c r="C1328" s="1"/>
      <c r="D1328" s="1"/>
      <c r="E1328" s="1" t="str">
        <f>IFERROR(__xludf.DUMMYFUNCTION("""COMPUTED_VALUE"""),"-")</f>
        <v>-</v>
      </c>
      <c r="F1328" s="1"/>
      <c r="G1328" s="1" t="str">
        <f>IFERROR(__xludf.DUMMYFUNCTION("""COMPUTED_VALUE"""),"-")</f>
        <v>-</v>
      </c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"/>
      <c r="B1329" s="1"/>
      <c r="C1329" s="1"/>
      <c r="D1329" s="1"/>
      <c r="E1329" s="1" t="str">
        <f>IFERROR(__xludf.DUMMYFUNCTION("""COMPUTED_VALUE"""),"-")</f>
        <v>-</v>
      </c>
      <c r="F1329" s="1"/>
      <c r="G1329" s="1" t="str">
        <f>IFERROR(__xludf.DUMMYFUNCTION("""COMPUTED_VALUE"""),"-")</f>
        <v>-</v>
      </c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"/>
      <c r="B1330" s="1"/>
      <c r="C1330" s="1"/>
      <c r="D1330" s="1"/>
      <c r="E1330" s="1" t="str">
        <f>IFERROR(__xludf.DUMMYFUNCTION("""COMPUTED_VALUE"""),"-")</f>
        <v>-</v>
      </c>
      <c r="F1330" s="1"/>
      <c r="G1330" s="1" t="str">
        <f>IFERROR(__xludf.DUMMYFUNCTION("""COMPUTED_VALUE"""),"-")</f>
        <v>-</v>
      </c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/>
      <c r="B1331" s="1"/>
      <c r="C1331" s="1"/>
      <c r="D1331" s="1"/>
      <c r="E1331" s="1" t="str">
        <f>IFERROR(__xludf.DUMMYFUNCTION("""COMPUTED_VALUE"""),"-")</f>
        <v>-</v>
      </c>
      <c r="F1331" s="1"/>
      <c r="G1331" s="1" t="str">
        <f>IFERROR(__xludf.DUMMYFUNCTION("""COMPUTED_VALUE"""),"-")</f>
        <v>-</v>
      </c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/>
      <c r="B1332" s="1"/>
      <c r="C1332" s="1"/>
      <c r="D1332" s="1"/>
      <c r="E1332" s="1" t="str">
        <f>IFERROR(__xludf.DUMMYFUNCTION("""COMPUTED_VALUE"""),"-")</f>
        <v>-</v>
      </c>
      <c r="F1332" s="1"/>
      <c r="G1332" s="1" t="str">
        <f>IFERROR(__xludf.DUMMYFUNCTION("""COMPUTED_VALUE"""),"-")</f>
        <v>-</v>
      </c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/>
      <c r="B1333" s="1"/>
      <c r="C1333" s="1"/>
      <c r="D1333" s="1"/>
      <c r="E1333" s="1" t="str">
        <f>IFERROR(__xludf.DUMMYFUNCTION("""COMPUTED_VALUE"""),"-")</f>
        <v>-</v>
      </c>
      <c r="F1333" s="1"/>
      <c r="G1333" s="1" t="str">
        <f>IFERROR(__xludf.DUMMYFUNCTION("""COMPUTED_VALUE"""),"-")</f>
        <v>-</v>
      </c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/>
      <c r="B1334" s="1"/>
      <c r="C1334" s="1"/>
      <c r="D1334" s="1"/>
      <c r="E1334" s="1" t="str">
        <f>IFERROR(__xludf.DUMMYFUNCTION("""COMPUTED_VALUE"""),"-")</f>
        <v>-</v>
      </c>
      <c r="F1334" s="1"/>
      <c r="G1334" s="1" t="str">
        <f>IFERROR(__xludf.DUMMYFUNCTION("""COMPUTED_VALUE"""),"-")</f>
        <v>-</v>
      </c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/>
      <c r="B1335" s="1"/>
      <c r="C1335" s="1"/>
      <c r="D1335" s="1"/>
      <c r="E1335" s="1" t="str">
        <f>IFERROR(__xludf.DUMMYFUNCTION("""COMPUTED_VALUE"""),"-")</f>
        <v>-</v>
      </c>
      <c r="F1335" s="1"/>
      <c r="G1335" s="1" t="str">
        <f>IFERROR(__xludf.DUMMYFUNCTION("""COMPUTED_VALUE"""),"-")</f>
        <v>-</v>
      </c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/>
      <c r="B1336" s="1"/>
      <c r="C1336" s="1"/>
      <c r="D1336" s="1"/>
      <c r="E1336" s="1" t="str">
        <f>IFERROR(__xludf.DUMMYFUNCTION("""COMPUTED_VALUE"""),"-")</f>
        <v>-</v>
      </c>
      <c r="F1336" s="1"/>
      <c r="G1336" s="1" t="str">
        <f>IFERROR(__xludf.DUMMYFUNCTION("""COMPUTED_VALUE"""),"-")</f>
        <v>-</v>
      </c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/>
      <c r="B1337" s="1"/>
      <c r="C1337" s="1"/>
      <c r="D1337" s="1"/>
      <c r="E1337" s="1" t="str">
        <f>IFERROR(__xludf.DUMMYFUNCTION("""COMPUTED_VALUE"""),"-")</f>
        <v>-</v>
      </c>
      <c r="F1337" s="1"/>
      <c r="G1337" s="1" t="str">
        <f>IFERROR(__xludf.DUMMYFUNCTION("""COMPUTED_VALUE"""),"-")</f>
        <v>-</v>
      </c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/>
      <c r="B1338" s="1"/>
      <c r="C1338" s="1"/>
      <c r="D1338" s="1"/>
      <c r="E1338" s="1" t="str">
        <f>IFERROR(__xludf.DUMMYFUNCTION("""COMPUTED_VALUE"""),"-")</f>
        <v>-</v>
      </c>
      <c r="F1338" s="1"/>
      <c r="G1338" s="1" t="str">
        <f>IFERROR(__xludf.DUMMYFUNCTION("""COMPUTED_VALUE"""),"-")</f>
        <v>-</v>
      </c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/>
      <c r="B1339" s="1"/>
      <c r="C1339" s="1"/>
      <c r="D1339" s="1"/>
      <c r="E1339" s="1" t="str">
        <f>IFERROR(__xludf.DUMMYFUNCTION("""COMPUTED_VALUE"""),"-")</f>
        <v>-</v>
      </c>
      <c r="F1339" s="1"/>
      <c r="G1339" s="1" t="str">
        <f>IFERROR(__xludf.DUMMYFUNCTION("""COMPUTED_VALUE"""),"-")</f>
        <v>-</v>
      </c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/>
      <c r="B1340" s="1"/>
      <c r="C1340" s="1"/>
      <c r="D1340" s="1"/>
      <c r="E1340" s="1" t="str">
        <f>IFERROR(__xludf.DUMMYFUNCTION("""COMPUTED_VALUE"""),"-")</f>
        <v>-</v>
      </c>
      <c r="F1340" s="1"/>
      <c r="G1340" s="1" t="str">
        <f>IFERROR(__xludf.DUMMYFUNCTION("""COMPUTED_VALUE"""),"-")</f>
        <v>-</v>
      </c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/>
      <c r="B1341" s="1"/>
      <c r="C1341" s="1"/>
      <c r="D1341" s="1"/>
      <c r="E1341" s="1" t="str">
        <f>IFERROR(__xludf.DUMMYFUNCTION("""COMPUTED_VALUE"""),"-")</f>
        <v>-</v>
      </c>
      <c r="F1341" s="1"/>
      <c r="G1341" s="1" t="str">
        <f>IFERROR(__xludf.DUMMYFUNCTION("""COMPUTED_VALUE"""),"-")</f>
        <v>-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/>
      <c r="B1342" s="1"/>
      <c r="C1342" s="1"/>
      <c r="D1342" s="1"/>
      <c r="E1342" s="1" t="str">
        <f>IFERROR(__xludf.DUMMYFUNCTION("""COMPUTED_VALUE"""),"-")</f>
        <v>-</v>
      </c>
      <c r="F1342" s="1"/>
      <c r="G1342" s="1" t="str">
        <f>IFERROR(__xludf.DUMMYFUNCTION("""COMPUTED_VALUE"""),"-")</f>
        <v>-</v>
      </c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/>
      <c r="B1343" s="1"/>
      <c r="C1343" s="1"/>
      <c r="D1343" s="1"/>
      <c r="E1343" s="1" t="str">
        <f>IFERROR(__xludf.DUMMYFUNCTION("""COMPUTED_VALUE"""),"-")</f>
        <v>-</v>
      </c>
      <c r="F1343" s="1"/>
      <c r="G1343" s="1" t="str">
        <f>IFERROR(__xludf.DUMMYFUNCTION("""COMPUTED_VALUE"""),"-")</f>
        <v>-</v>
      </c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/>
      <c r="B1344" s="1"/>
      <c r="C1344" s="1"/>
      <c r="D1344" s="1"/>
      <c r="E1344" s="1" t="str">
        <f>IFERROR(__xludf.DUMMYFUNCTION("""COMPUTED_VALUE"""),"-")</f>
        <v>-</v>
      </c>
      <c r="F1344" s="1"/>
      <c r="G1344" s="1" t="str">
        <f>IFERROR(__xludf.DUMMYFUNCTION("""COMPUTED_VALUE"""),"-")</f>
        <v>-</v>
      </c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/>
      <c r="B1345" s="1"/>
      <c r="C1345" s="1"/>
      <c r="D1345" s="1"/>
      <c r="E1345" s="1" t="str">
        <f>IFERROR(__xludf.DUMMYFUNCTION("""COMPUTED_VALUE"""),"-")</f>
        <v>-</v>
      </c>
      <c r="F1345" s="1"/>
      <c r="G1345" s="1" t="str">
        <f>IFERROR(__xludf.DUMMYFUNCTION("""COMPUTED_VALUE"""),"-")</f>
        <v>-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/>
      <c r="B1346" s="1"/>
      <c r="C1346" s="1"/>
      <c r="D1346" s="1"/>
      <c r="E1346" s="1" t="str">
        <f>IFERROR(__xludf.DUMMYFUNCTION("""COMPUTED_VALUE"""),"-")</f>
        <v>-</v>
      </c>
      <c r="F1346" s="1"/>
      <c r="G1346" s="1" t="str">
        <f>IFERROR(__xludf.DUMMYFUNCTION("""COMPUTED_VALUE"""),"-")</f>
        <v>-</v>
      </c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/>
      <c r="B1347" s="1"/>
      <c r="C1347" s="1"/>
      <c r="D1347" s="1"/>
      <c r="E1347" s="1" t="str">
        <f>IFERROR(__xludf.DUMMYFUNCTION("""COMPUTED_VALUE"""),"-")</f>
        <v>-</v>
      </c>
      <c r="F1347" s="1"/>
      <c r="G1347" s="1" t="str">
        <f>IFERROR(__xludf.DUMMYFUNCTION("""COMPUTED_VALUE"""),"-")</f>
        <v>-</v>
      </c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/>
      <c r="B1348" s="1"/>
      <c r="C1348" s="1"/>
      <c r="D1348" s="1"/>
      <c r="E1348" s="1" t="str">
        <f>IFERROR(__xludf.DUMMYFUNCTION("""COMPUTED_VALUE"""),"-")</f>
        <v>-</v>
      </c>
      <c r="F1348" s="1"/>
      <c r="G1348" s="1" t="str">
        <f>IFERROR(__xludf.DUMMYFUNCTION("""COMPUTED_VALUE"""),"-")</f>
        <v>-</v>
      </c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/>
      <c r="B1349" s="1"/>
      <c r="C1349" s="1"/>
      <c r="D1349" s="1"/>
      <c r="E1349" s="1" t="str">
        <f>IFERROR(__xludf.DUMMYFUNCTION("""COMPUTED_VALUE"""),"-")</f>
        <v>-</v>
      </c>
      <c r="F1349" s="1"/>
      <c r="G1349" s="1" t="str">
        <f>IFERROR(__xludf.DUMMYFUNCTION("""COMPUTED_VALUE"""),"-")</f>
        <v>-</v>
      </c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/>
      <c r="B1350" s="1"/>
      <c r="C1350" s="1"/>
      <c r="D1350" s="1"/>
      <c r="E1350" s="1" t="str">
        <f>IFERROR(__xludf.DUMMYFUNCTION("""COMPUTED_VALUE"""),"-")</f>
        <v>-</v>
      </c>
      <c r="F1350" s="1"/>
      <c r="G1350" s="1" t="str">
        <f>IFERROR(__xludf.DUMMYFUNCTION("""COMPUTED_VALUE"""),"-")</f>
        <v>-</v>
      </c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/>
      <c r="B1351" s="1"/>
      <c r="C1351" s="1"/>
      <c r="D1351" s="1"/>
      <c r="E1351" s="1" t="str">
        <f>IFERROR(__xludf.DUMMYFUNCTION("""COMPUTED_VALUE"""),"-")</f>
        <v>-</v>
      </c>
      <c r="F1351" s="1"/>
      <c r="G1351" s="1" t="str">
        <f>IFERROR(__xludf.DUMMYFUNCTION("""COMPUTED_VALUE"""),"-")</f>
        <v>-</v>
      </c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/>
      <c r="B1352" s="1"/>
      <c r="C1352" s="1"/>
      <c r="D1352" s="1"/>
      <c r="E1352" s="1" t="str">
        <f>IFERROR(__xludf.DUMMYFUNCTION("""COMPUTED_VALUE"""),"-")</f>
        <v>-</v>
      </c>
      <c r="F1352" s="1"/>
      <c r="G1352" s="1" t="str">
        <f>IFERROR(__xludf.DUMMYFUNCTION("""COMPUTED_VALUE"""),"-")</f>
        <v>-</v>
      </c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/>
      <c r="B1353" s="1"/>
      <c r="C1353" s="1"/>
      <c r="D1353" s="1"/>
      <c r="E1353" s="1" t="str">
        <f>IFERROR(__xludf.DUMMYFUNCTION("""COMPUTED_VALUE"""),"-")</f>
        <v>-</v>
      </c>
      <c r="F1353" s="1"/>
      <c r="G1353" s="1" t="str">
        <f>IFERROR(__xludf.DUMMYFUNCTION("""COMPUTED_VALUE"""),"-")</f>
        <v>-</v>
      </c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/>
      <c r="B1354" s="1"/>
      <c r="C1354" s="1"/>
      <c r="D1354" s="1"/>
      <c r="E1354" s="1" t="str">
        <f>IFERROR(__xludf.DUMMYFUNCTION("""COMPUTED_VALUE"""),"-")</f>
        <v>-</v>
      </c>
      <c r="F1354" s="1"/>
      <c r="G1354" s="1" t="str">
        <f>IFERROR(__xludf.DUMMYFUNCTION("""COMPUTED_VALUE"""),"-")</f>
        <v>-</v>
      </c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/>
      <c r="B1355" s="1"/>
      <c r="C1355" s="1"/>
      <c r="D1355" s="1"/>
      <c r="E1355" s="1" t="str">
        <f>IFERROR(__xludf.DUMMYFUNCTION("""COMPUTED_VALUE"""),"-")</f>
        <v>-</v>
      </c>
      <c r="F1355" s="1"/>
      <c r="G1355" s="1" t="str">
        <f>IFERROR(__xludf.DUMMYFUNCTION("""COMPUTED_VALUE"""),"-")</f>
        <v>-</v>
      </c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/>
      <c r="B1356" s="1"/>
      <c r="C1356" s="1"/>
      <c r="D1356" s="1"/>
      <c r="E1356" s="1" t="str">
        <f>IFERROR(__xludf.DUMMYFUNCTION("""COMPUTED_VALUE"""),"-")</f>
        <v>-</v>
      </c>
      <c r="F1356" s="1"/>
      <c r="G1356" s="1" t="str">
        <f>IFERROR(__xludf.DUMMYFUNCTION("""COMPUTED_VALUE"""),"-")</f>
        <v>-</v>
      </c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/>
      <c r="B1357" s="1"/>
      <c r="C1357" s="1"/>
      <c r="D1357" s="1"/>
      <c r="E1357" s="1" t="str">
        <f>IFERROR(__xludf.DUMMYFUNCTION("""COMPUTED_VALUE"""),"-")</f>
        <v>-</v>
      </c>
      <c r="F1357" s="1"/>
      <c r="G1357" s="1" t="str">
        <f>IFERROR(__xludf.DUMMYFUNCTION("""COMPUTED_VALUE"""),"-")</f>
        <v>-</v>
      </c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/>
      <c r="B1358" s="1"/>
      <c r="C1358" s="1"/>
      <c r="D1358" s="1"/>
      <c r="E1358" s="1" t="str">
        <f>IFERROR(__xludf.DUMMYFUNCTION("""COMPUTED_VALUE"""),"-")</f>
        <v>-</v>
      </c>
      <c r="F1358" s="1"/>
      <c r="G1358" s="1" t="str">
        <f>IFERROR(__xludf.DUMMYFUNCTION("""COMPUTED_VALUE"""),"-")</f>
        <v>-</v>
      </c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/>
      <c r="B1359" s="1"/>
      <c r="C1359" s="1"/>
      <c r="D1359" s="1"/>
      <c r="E1359" s="1" t="str">
        <f>IFERROR(__xludf.DUMMYFUNCTION("""COMPUTED_VALUE"""),"-")</f>
        <v>-</v>
      </c>
      <c r="F1359" s="1"/>
      <c r="G1359" s="1" t="str">
        <f>IFERROR(__xludf.DUMMYFUNCTION("""COMPUTED_VALUE"""),"-")</f>
        <v>-</v>
      </c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/>
      <c r="B1360" s="1"/>
      <c r="C1360" s="1"/>
      <c r="D1360" s="1"/>
      <c r="E1360" s="1" t="str">
        <f>IFERROR(__xludf.DUMMYFUNCTION("""COMPUTED_VALUE"""),"-")</f>
        <v>-</v>
      </c>
      <c r="F1360" s="1"/>
      <c r="G1360" s="1" t="str">
        <f>IFERROR(__xludf.DUMMYFUNCTION("""COMPUTED_VALUE"""),"-")</f>
        <v>-</v>
      </c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/>
      <c r="B1361" s="1"/>
      <c r="C1361" s="1"/>
      <c r="D1361" s="1"/>
      <c r="E1361" s="1" t="str">
        <f>IFERROR(__xludf.DUMMYFUNCTION("""COMPUTED_VALUE"""),"-")</f>
        <v>-</v>
      </c>
      <c r="F1361" s="1"/>
      <c r="G1361" s="1" t="str">
        <f>IFERROR(__xludf.DUMMYFUNCTION("""COMPUTED_VALUE"""),"-")</f>
        <v>-</v>
      </c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/>
      <c r="B1362" s="1"/>
      <c r="C1362" s="1"/>
      <c r="D1362" s="1"/>
      <c r="E1362" s="1" t="str">
        <f>IFERROR(__xludf.DUMMYFUNCTION("""COMPUTED_VALUE"""),"-")</f>
        <v>-</v>
      </c>
      <c r="F1362" s="1"/>
      <c r="G1362" s="1" t="str">
        <f>IFERROR(__xludf.DUMMYFUNCTION("""COMPUTED_VALUE"""),"-")</f>
        <v>-</v>
      </c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/>
      <c r="B1363" s="1"/>
      <c r="C1363" s="1"/>
      <c r="D1363" s="1"/>
      <c r="E1363" s="1" t="str">
        <f>IFERROR(__xludf.DUMMYFUNCTION("""COMPUTED_VALUE"""),"-")</f>
        <v>-</v>
      </c>
      <c r="F1363" s="1"/>
      <c r="G1363" s="1" t="str">
        <f>IFERROR(__xludf.DUMMYFUNCTION("""COMPUTED_VALUE"""),"-")</f>
        <v>-</v>
      </c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/>
      <c r="B1364" s="1"/>
      <c r="C1364" s="1"/>
      <c r="D1364" s="1"/>
      <c r="E1364" s="1" t="str">
        <f>IFERROR(__xludf.DUMMYFUNCTION("""COMPUTED_VALUE"""),"-")</f>
        <v>-</v>
      </c>
      <c r="F1364" s="1"/>
      <c r="G1364" s="1" t="str">
        <f>IFERROR(__xludf.DUMMYFUNCTION("""COMPUTED_VALUE"""),"-")</f>
        <v>-</v>
      </c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/>
      <c r="B1365" s="1"/>
      <c r="C1365" s="1"/>
      <c r="D1365" s="1"/>
      <c r="E1365" s="1" t="str">
        <f>IFERROR(__xludf.DUMMYFUNCTION("""COMPUTED_VALUE"""),"-")</f>
        <v>-</v>
      </c>
      <c r="F1365" s="1"/>
      <c r="G1365" s="1" t="str">
        <f>IFERROR(__xludf.DUMMYFUNCTION("""COMPUTED_VALUE"""),"-")</f>
        <v>-</v>
      </c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/>
      <c r="B1366" s="1"/>
      <c r="C1366" s="1"/>
      <c r="D1366" s="1"/>
      <c r="E1366" s="1" t="str">
        <f>IFERROR(__xludf.DUMMYFUNCTION("""COMPUTED_VALUE"""),"-")</f>
        <v>-</v>
      </c>
      <c r="F1366" s="1"/>
      <c r="G1366" s="1" t="str">
        <f>IFERROR(__xludf.DUMMYFUNCTION("""COMPUTED_VALUE"""),"-")</f>
        <v>-</v>
      </c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/>
      <c r="B1367" s="1"/>
      <c r="C1367" s="1"/>
      <c r="D1367" s="1"/>
      <c r="E1367" s="1" t="str">
        <f>IFERROR(__xludf.DUMMYFUNCTION("""COMPUTED_VALUE"""),"-")</f>
        <v>-</v>
      </c>
      <c r="F1367" s="1"/>
      <c r="G1367" s="1" t="str">
        <f>IFERROR(__xludf.DUMMYFUNCTION("""COMPUTED_VALUE"""),"-")</f>
        <v>-</v>
      </c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/>
      <c r="B1368" s="1"/>
      <c r="C1368" s="1"/>
      <c r="D1368" s="1"/>
      <c r="E1368" s="1" t="str">
        <f>IFERROR(__xludf.DUMMYFUNCTION("""COMPUTED_VALUE"""),"-")</f>
        <v>-</v>
      </c>
      <c r="F1368" s="1"/>
      <c r="G1368" s="1" t="str">
        <f>IFERROR(__xludf.DUMMYFUNCTION("""COMPUTED_VALUE"""),"-")</f>
        <v>-</v>
      </c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/>
      <c r="B1369" s="1"/>
      <c r="C1369" s="1"/>
      <c r="D1369" s="1"/>
      <c r="E1369" s="1" t="str">
        <f>IFERROR(__xludf.DUMMYFUNCTION("""COMPUTED_VALUE"""),"-")</f>
        <v>-</v>
      </c>
      <c r="F1369" s="1"/>
      <c r="G1369" s="1" t="str">
        <f>IFERROR(__xludf.DUMMYFUNCTION("""COMPUTED_VALUE"""),"-")</f>
        <v>-</v>
      </c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/>
      <c r="B1370" s="1"/>
      <c r="C1370" s="1"/>
      <c r="D1370" s="1"/>
      <c r="E1370" s="1" t="str">
        <f>IFERROR(__xludf.DUMMYFUNCTION("""COMPUTED_VALUE"""),"-")</f>
        <v>-</v>
      </c>
      <c r="F1370" s="1"/>
      <c r="G1370" s="1" t="str">
        <f>IFERROR(__xludf.DUMMYFUNCTION("""COMPUTED_VALUE"""),"-")</f>
        <v>-</v>
      </c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/>
      <c r="B1371" s="1"/>
      <c r="C1371" s="1"/>
      <c r="D1371" s="1"/>
      <c r="E1371" s="1" t="str">
        <f>IFERROR(__xludf.DUMMYFUNCTION("""COMPUTED_VALUE"""),"-")</f>
        <v>-</v>
      </c>
      <c r="F1371" s="1"/>
      <c r="G1371" s="1" t="str">
        <f>IFERROR(__xludf.DUMMYFUNCTION("""COMPUTED_VALUE"""),"-")</f>
        <v>-</v>
      </c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/>
      <c r="B1372" s="1"/>
      <c r="C1372" s="1"/>
      <c r="D1372" s="1"/>
      <c r="E1372" s="1" t="str">
        <f>IFERROR(__xludf.DUMMYFUNCTION("""COMPUTED_VALUE"""),"-")</f>
        <v>-</v>
      </c>
      <c r="F1372" s="1"/>
      <c r="G1372" s="1" t="str">
        <f>IFERROR(__xludf.DUMMYFUNCTION("""COMPUTED_VALUE"""),"-")</f>
        <v>-</v>
      </c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/>
      <c r="B1373" s="1"/>
      <c r="C1373" s="1"/>
      <c r="D1373" s="1"/>
      <c r="E1373" s="1" t="str">
        <f>IFERROR(__xludf.DUMMYFUNCTION("""COMPUTED_VALUE"""),"-")</f>
        <v>-</v>
      </c>
      <c r="F1373" s="1"/>
      <c r="G1373" s="1" t="str">
        <f>IFERROR(__xludf.DUMMYFUNCTION("""COMPUTED_VALUE"""),"-")</f>
        <v>-</v>
      </c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/>
      <c r="B1374" s="1"/>
      <c r="C1374" s="1"/>
      <c r="D1374" s="1"/>
      <c r="E1374" s="1" t="str">
        <f>IFERROR(__xludf.DUMMYFUNCTION("""COMPUTED_VALUE"""),"-")</f>
        <v>-</v>
      </c>
      <c r="F1374" s="1"/>
      <c r="G1374" s="1" t="str">
        <f>IFERROR(__xludf.DUMMYFUNCTION("""COMPUTED_VALUE"""),"-")</f>
        <v>-</v>
      </c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/>
      <c r="B1375" s="1"/>
      <c r="C1375" s="1"/>
      <c r="D1375" s="1"/>
      <c r="E1375" s="1" t="str">
        <f>IFERROR(__xludf.DUMMYFUNCTION("""COMPUTED_VALUE"""),"-")</f>
        <v>-</v>
      </c>
      <c r="F1375" s="1"/>
      <c r="G1375" s="1" t="str">
        <f>IFERROR(__xludf.DUMMYFUNCTION("""COMPUTED_VALUE"""),"-")</f>
        <v>-</v>
      </c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/>
      <c r="B1376" s="1"/>
      <c r="C1376" s="1"/>
      <c r="D1376" s="1"/>
      <c r="E1376" s="1" t="str">
        <f>IFERROR(__xludf.DUMMYFUNCTION("""COMPUTED_VALUE"""),"-")</f>
        <v>-</v>
      </c>
      <c r="F1376" s="1"/>
      <c r="G1376" s="1" t="str">
        <f>IFERROR(__xludf.DUMMYFUNCTION("""COMPUTED_VALUE"""),"-")</f>
        <v>-</v>
      </c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/>
      <c r="B1377" s="1"/>
      <c r="C1377" s="1"/>
      <c r="D1377" s="1"/>
      <c r="E1377" s="1" t="str">
        <f>IFERROR(__xludf.DUMMYFUNCTION("""COMPUTED_VALUE"""),"-")</f>
        <v>-</v>
      </c>
      <c r="F1377" s="1"/>
      <c r="G1377" s="1" t="str">
        <f>IFERROR(__xludf.DUMMYFUNCTION("""COMPUTED_VALUE"""),"-")</f>
        <v>-</v>
      </c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/>
      <c r="B1378" s="1"/>
      <c r="C1378" s="1"/>
      <c r="D1378" s="1"/>
      <c r="E1378" s="1" t="str">
        <f>IFERROR(__xludf.DUMMYFUNCTION("""COMPUTED_VALUE"""),"-")</f>
        <v>-</v>
      </c>
      <c r="F1378" s="1"/>
      <c r="G1378" s="1" t="str">
        <f>IFERROR(__xludf.DUMMYFUNCTION("""COMPUTED_VALUE"""),"-")</f>
        <v>-</v>
      </c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/>
      <c r="B1379" s="1"/>
      <c r="C1379" s="1"/>
      <c r="D1379" s="1"/>
      <c r="E1379" s="1" t="str">
        <f>IFERROR(__xludf.DUMMYFUNCTION("""COMPUTED_VALUE"""),"-")</f>
        <v>-</v>
      </c>
      <c r="F1379" s="1"/>
      <c r="G1379" s="1" t="str">
        <f>IFERROR(__xludf.DUMMYFUNCTION("""COMPUTED_VALUE"""),"-")</f>
        <v>-</v>
      </c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/>
      <c r="B1380" s="1"/>
      <c r="C1380" s="1"/>
      <c r="D1380" s="1"/>
      <c r="E1380" s="1" t="str">
        <f>IFERROR(__xludf.DUMMYFUNCTION("""COMPUTED_VALUE"""),"-")</f>
        <v>-</v>
      </c>
      <c r="F1380" s="1"/>
      <c r="G1380" s="1" t="str">
        <f>IFERROR(__xludf.DUMMYFUNCTION("""COMPUTED_VALUE"""),"-")</f>
        <v>-</v>
      </c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/>
      <c r="B1381" s="1"/>
      <c r="C1381" s="1"/>
      <c r="D1381" s="1"/>
      <c r="E1381" s="1" t="str">
        <f>IFERROR(__xludf.DUMMYFUNCTION("""COMPUTED_VALUE"""),"-")</f>
        <v>-</v>
      </c>
      <c r="F1381" s="1"/>
      <c r="G1381" s="1" t="str">
        <f>IFERROR(__xludf.DUMMYFUNCTION("""COMPUTED_VALUE"""),"-")</f>
        <v>-</v>
      </c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/>
      <c r="B1382" s="1"/>
      <c r="C1382" s="1"/>
      <c r="D1382" s="1"/>
      <c r="E1382" s="1" t="str">
        <f>IFERROR(__xludf.DUMMYFUNCTION("""COMPUTED_VALUE"""),"-")</f>
        <v>-</v>
      </c>
      <c r="F1382" s="1"/>
      <c r="G1382" s="1" t="str">
        <f>IFERROR(__xludf.DUMMYFUNCTION("""COMPUTED_VALUE"""),"-")</f>
        <v>-</v>
      </c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/>
      <c r="B1383" s="1"/>
      <c r="C1383" s="1"/>
      <c r="D1383" s="1"/>
      <c r="E1383" s="1" t="str">
        <f>IFERROR(__xludf.DUMMYFUNCTION("""COMPUTED_VALUE"""),"-")</f>
        <v>-</v>
      </c>
      <c r="F1383" s="1"/>
      <c r="G1383" s="1" t="str">
        <f>IFERROR(__xludf.DUMMYFUNCTION("""COMPUTED_VALUE"""),"-")</f>
        <v>-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"/>
      <c r="B1384" s="1"/>
      <c r="C1384" s="1"/>
      <c r="D1384" s="1"/>
      <c r="E1384" s="1" t="str">
        <f>IFERROR(__xludf.DUMMYFUNCTION("""COMPUTED_VALUE"""),"-")</f>
        <v>-</v>
      </c>
      <c r="F1384" s="1"/>
      <c r="G1384" s="1" t="str">
        <f>IFERROR(__xludf.DUMMYFUNCTION("""COMPUTED_VALUE"""),"-")</f>
        <v>-</v>
      </c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"/>
      <c r="B1385" s="1"/>
      <c r="C1385" s="1"/>
      <c r="D1385" s="1"/>
      <c r="E1385" s="1" t="str">
        <f>IFERROR(__xludf.DUMMYFUNCTION("""COMPUTED_VALUE"""),"-")</f>
        <v>-</v>
      </c>
      <c r="F1385" s="1"/>
      <c r="G1385" s="1" t="str">
        <f>IFERROR(__xludf.DUMMYFUNCTION("""COMPUTED_VALUE"""),"-")</f>
        <v>-</v>
      </c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"/>
      <c r="B1386" s="1"/>
      <c r="C1386" s="1"/>
      <c r="D1386" s="1"/>
      <c r="E1386" s="1" t="str">
        <f>IFERROR(__xludf.DUMMYFUNCTION("""COMPUTED_VALUE"""),"-")</f>
        <v>-</v>
      </c>
      <c r="F1386" s="1"/>
      <c r="G1386" s="1" t="str">
        <f>IFERROR(__xludf.DUMMYFUNCTION("""COMPUTED_VALUE"""),"-")</f>
        <v>-</v>
      </c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"/>
      <c r="B1387" s="1"/>
      <c r="C1387" s="1"/>
      <c r="D1387" s="1"/>
      <c r="E1387" s="1" t="str">
        <f>IFERROR(__xludf.DUMMYFUNCTION("""COMPUTED_VALUE"""),"-")</f>
        <v>-</v>
      </c>
      <c r="F1387" s="1"/>
      <c r="G1387" s="1" t="str">
        <f>IFERROR(__xludf.DUMMYFUNCTION("""COMPUTED_VALUE"""),"-")</f>
        <v>-</v>
      </c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"/>
      <c r="B1388" s="1"/>
      <c r="C1388" s="1"/>
      <c r="D1388" s="1"/>
      <c r="E1388" s="1" t="str">
        <f>IFERROR(__xludf.DUMMYFUNCTION("""COMPUTED_VALUE"""),"-")</f>
        <v>-</v>
      </c>
      <c r="F1388" s="1"/>
      <c r="G1388" s="1" t="str">
        <f>IFERROR(__xludf.DUMMYFUNCTION("""COMPUTED_VALUE"""),"-")</f>
        <v>-</v>
      </c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"/>
      <c r="B1389" s="1"/>
      <c r="C1389" s="1"/>
      <c r="D1389" s="1"/>
      <c r="E1389" s="1" t="str">
        <f>IFERROR(__xludf.DUMMYFUNCTION("""COMPUTED_VALUE"""),"-")</f>
        <v>-</v>
      </c>
      <c r="F1389" s="1"/>
      <c r="G1389" s="1" t="str">
        <f>IFERROR(__xludf.DUMMYFUNCTION("""COMPUTED_VALUE"""),"-")</f>
        <v>-</v>
      </c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"/>
      <c r="B1390" s="1"/>
      <c r="C1390" s="1"/>
      <c r="D1390" s="1"/>
      <c r="E1390" s="1" t="str">
        <f>IFERROR(__xludf.DUMMYFUNCTION("""COMPUTED_VALUE"""),"-")</f>
        <v>-</v>
      </c>
      <c r="F1390" s="1"/>
      <c r="G1390" s="1" t="str">
        <f>IFERROR(__xludf.DUMMYFUNCTION("""COMPUTED_VALUE"""),"-")</f>
        <v>-</v>
      </c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"/>
      <c r="B1391" s="1"/>
      <c r="C1391" s="1"/>
      <c r="D1391" s="1"/>
      <c r="E1391" s="1" t="str">
        <f>IFERROR(__xludf.DUMMYFUNCTION("""COMPUTED_VALUE"""),"-")</f>
        <v>-</v>
      </c>
      <c r="F1391" s="1"/>
      <c r="G1391" s="1" t="str">
        <f>IFERROR(__xludf.DUMMYFUNCTION("""COMPUTED_VALUE"""),"-")</f>
        <v>-</v>
      </c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"/>
      <c r="B1392" s="1"/>
      <c r="C1392" s="1"/>
      <c r="D1392" s="1"/>
      <c r="E1392" s="1" t="str">
        <f>IFERROR(__xludf.DUMMYFUNCTION("""COMPUTED_VALUE"""),"-")</f>
        <v>-</v>
      </c>
      <c r="F1392" s="1"/>
      <c r="G1392" s="1" t="str">
        <f>IFERROR(__xludf.DUMMYFUNCTION("""COMPUTED_VALUE"""),"-")</f>
        <v>-</v>
      </c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"/>
      <c r="B1393" s="1"/>
      <c r="C1393" s="1"/>
      <c r="D1393" s="1"/>
      <c r="E1393" s="1" t="str">
        <f>IFERROR(__xludf.DUMMYFUNCTION("""COMPUTED_VALUE"""),"-")</f>
        <v>-</v>
      </c>
      <c r="F1393" s="1"/>
      <c r="G1393" s="1" t="str">
        <f>IFERROR(__xludf.DUMMYFUNCTION("""COMPUTED_VALUE"""),"-")</f>
        <v>-</v>
      </c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"/>
      <c r="B1394" s="1"/>
      <c r="C1394" s="1"/>
      <c r="D1394" s="1"/>
      <c r="E1394" s="1" t="str">
        <f>IFERROR(__xludf.DUMMYFUNCTION("""COMPUTED_VALUE"""),"-")</f>
        <v>-</v>
      </c>
      <c r="F1394" s="1"/>
      <c r="G1394" s="1" t="str">
        <f>IFERROR(__xludf.DUMMYFUNCTION("""COMPUTED_VALUE"""),"-")</f>
        <v>-</v>
      </c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"/>
      <c r="B1395" s="1"/>
      <c r="C1395" s="1"/>
      <c r="D1395" s="1"/>
      <c r="E1395" s="1" t="str">
        <f>IFERROR(__xludf.DUMMYFUNCTION("""COMPUTED_VALUE"""),"-")</f>
        <v>-</v>
      </c>
      <c r="F1395" s="1"/>
      <c r="G1395" s="1" t="str">
        <f>IFERROR(__xludf.DUMMYFUNCTION("""COMPUTED_VALUE"""),"-")</f>
        <v>-</v>
      </c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"/>
      <c r="B1396" s="1"/>
      <c r="C1396" s="1"/>
      <c r="D1396" s="1"/>
      <c r="E1396" s="1" t="str">
        <f>IFERROR(__xludf.DUMMYFUNCTION("""COMPUTED_VALUE"""),"-")</f>
        <v>-</v>
      </c>
      <c r="F1396" s="1"/>
      <c r="G1396" s="1" t="str">
        <f>IFERROR(__xludf.DUMMYFUNCTION("""COMPUTED_VALUE"""),"-")</f>
        <v>-</v>
      </c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"/>
      <c r="B1397" s="1"/>
      <c r="C1397" s="1"/>
      <c r="D1397" s="1"/>
      <c r="E1397" s="1" t="str">
        <f>IFERROR(__xludf.DUMMYFUNCTION("""COMPUTED_VALUE"""),"-")</f>
        <v>-</v>
      </c>
      <c r="F1397" s="1"/>
      <c r="G1397" s="1" t="str">
        <f>IFERROR(__xludf.DUMMYFUNCTION("""COMPUTED_VALUE"""),"-")</f>
        <v>-</v>
      </c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"/>
      <c r="B1398" s="1"/>
      <c r="C1398" s="1"/>
      <c r="D1398" s="1"/>
      <c r="E1398" s="1" t="str">
        <f>IFERROR(__xludf.DUMMYFUNCTION("""COMPUTED_VALUE"""),"-")</f>
        <v>-</v>
      </c>
      <c r="F1398" s="1"/>
      <c r="G1398" s="1" t="str">
        <f>IFERROR(__xludf.DUMMYFUNCTION("""COMPUTED_VALUE"""),"-")</f>
        <v>-</v>
      </c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"/>
      <c r="B1399" s="1"/>
      <c r="C1399" s="1"/>
      <c r="D1399" s="1"/>
      <c r="E1399" s="1" t="str">
        <f>IFERROR(__xludf.DUMMYFUNCTION("""COMPUTED_VALUE"""),"-")</f>
        <v>-</v>
      </c>
      <c r="F1399" s="1"/>
      <c r="G1399" s="1" t="str">
        <f>IFERROR(__xludf.DUMMYFUNCTION("""COMPUTED_VALUE"""),"-")</f>
        <v>-</v>
      </c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"/>
      <c r="B1400" s="1"/>
      <c r="C1400" s="1"/>
      <c r="D1400" s="1"/>
      <c r="E1400" s="1" t="str">
        <f>IFERROR(__xludf.DUMMYFUNCTION("""COMPUTED_VALUE"""),"-")</f>
        <v>-</v>
      </c>
      <c r="F1400" s="1"/>
      <c r="G1400" s="1" t="str">
        <f>IFERROR(__xludf.DUMMYFUNCTION("""COMPUTED_VALUE"""),"-")</f>
        <v>-</v>
      </c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"/>
      <c r="B1401" s="1"/>
      <c r="C1401" s="1"/>
      <c r="D1401" s="1"/>
      <c r="E1401" s="1" t="str">
        <f>IFERROR(__xludf.DUMMYFUNCTION("""COMPUTED_VALUE"""),"-")</f>
        <v>-</v>
      </c>
      <c r="F1401" s="1"/>
      <c r="G1401" s="1" t="str">
        <f>IFERROR(__xludf.DUMMYFUNCTION("""COMPUTED_VALUE"""),"-")</f>
        <v>-</v>
      </c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"/>
      <c r="B1402" s="1"/>
      <c r="C1402" s="1"/>
      <c r="D1402" s="1"/>
      <c r="E1402" s="1" t="str">
        <f>IFERROR(__xludf.DUMMYFUNCTION("""COMPUTED_VALUE"""),"-")</f>
        <v>-</v>
      </c>
      <c r="F1402" s="1"/>
      <c r="G1402" s="1" t="str">
        <f>IFERROR(__xludf.DUMMYFUNCTION("""COMPUTED_VALUE"""),"-")</f>
        <v>-</v>
      </c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"/>
      <c r="B1403" s="1"/>
      <c r="C1403" s="1"/>
      <c r="D1403" s="1"/>
      <c r="E1403" s="1" t="str">
        <f>IFERROR(__xludf.DUMMYFUNCTION("""COMPUTED_VALUE"""),"-")</f>
        <v>-</v>
      </c>
      <c r="F1403" s="1"/>
      <c r="G1403" s="1" t="str">
        <f>IFERROR(__xludf.DUMMYFUNCTION("""COMPUTED_VALUE"""),"-")</f>
        <v>-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"/>
      <c r="B1404" s="1"/>
      <c r="C1404" s="1"/>
      <c r="D1404" s="1"/>
      <c r="E1404" s="1" t="str">
        <f>IFERROR(__xludf.DUMMYFUNCTION("""COMPUTED_VALUE"""),"-")</f>
        <v>-</v>
      </c>
      <c r="F1404" s="1"/>
      <c r="G1404" s="1" t="str">
        <f>IFERROR(__xludf.DUMMYFUNCTION("""COMPUTED_VALUE"""),"-")</f>
        <v>-</v>
      </c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1"/>
      <c r="B1405" s="1"/>
      <c r="C1405" s="1"/>
      <c r="D1405" s="1"/>
      <c r="E1405" s="1" t="str">
        <f>IFERROR(__xludf.DUMMYFUNCTION("""COMPUTED_VALUE"""),"-")</f>
        <v>-</v>
      </c>
      <c r="F1405" s="1"/>
      <c r="G1405" s="1" t="str">
        <f>IFERROR(__xludf.DUMMYFUNCTION("""COMPUTED_VALUE"""),"-")</f>
        <v>-</v>
      </c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1"/>
      <c r="B1406" s="1"/>
      <c r="C1406" s="1"/>
      <c r="D1406" s="1"/>
      <c r="E1406" s="1" t="str">
        <f>IFERROR(__xludf.DUMMYFUNCTION("""COMPUTED_VALUE"""),"-")</f>
        <v>-</v>
      </c>
      <c r="F1406" s="1"/>
      <c r="G1406" s="1" t="str">
        <f>IFERROR(__xludf.DUMMYFUNCTION("""COMPUTED_VALUE"""),"-")</f>
        <v>-</v>
      </c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"/>
      <c r="B1407" s="1"/>
      <c r="C1407" s="1"/>
      <c r="D1407" s="1"/>
      <c r="E1407" s="1" t="str">
        <f>IFERROR(__xludf.DUMMYFUNCTION("""COMPUTED_VALUE"""),"-")</f>
        <v>-</v>
      </c>
      <c r="F1407" s="1"/>
      <c r="G1407" s="1" t="str">
        <f>IFERROR(__xludf.DUMMYFUNCTION("""COMPUTED_VALUE"""),"-")</f>
        <v>-</v>
      </c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1"/>
      <c r="B1408" s="1"/>
      <c r="C1408" s="1"/>
      <c r="D1408" s="1"/>
      <c r="E1408" s="1" t="str">
        <f>IFERROR(__xludf.DUMMYFUNCTION("""COMPUTED_VALUE"""),"-")</f>
        <v>-</v>
      </c>
      <c r="F1408" s="1"/>
      <c r="G1408" s="1" t="str">
        <f>IFERROR(__xludf.DUMMYFUNCTION("""COMPUTED_VALUE"""),"-")</f>
        <v>-</v>
      </c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1"/>
      <c r="B1409" s="1"/>
      <c r="C1409" s="1"/>
      <c r="D1409" s="1"/>
      <c r="E1409" s="1" t="str">
        <f>IFERROR(__xludf.DUMMYFUNCTION("""COMPUTED_VALUE"""),"-")</f>
        <v>-</v>
      </c>
      <c r="F1409" s="1"/>
      <c r="G1409" s="1" t="str">
        <f>IFERROR(__xludf.DUMMYFUNCTION("""COMPUTED_VALUE"""),"-")</f>
        <v>-</v>
      </c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"/>
      <c r="B1410" s="1"/>
      <c r="C1410" s="1"/>
      <c r="D1410" s="1"/>
      <c r="E1410" s="1" t="str">
        <f>IFERROR(__xludf.DUMMYFUNCTION("""COMPUTED_VALUE"""),"-")</f>
        <v>-</v>
      </c>
      <c r="F1410" s="1"/>
      <c r="G1410" s="1" t="str">
        <f>IFERROR(__xludf.DUMMYFUNCTION("""COMPUTED_VALUE"""),"-")</f>
        <v>-</v>
      </c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"/>
      <c r="B1411" s="1"/>
      <c r="C1411" s="1"/>
      <c r="D1411" s="1"/>
      <c r="E1411" s="1" t="str">
        <f>IFERROR(__xludf.DUMMYFUNCTION("""COMPUTED_VALUE"""),"-")</f>
        <v>-</v>
      </c>
      <c r="F1411" s="1"/>
      <c r="G1411" s="1" t="str">
        <f>IFERROR(__xludf.DUMMYFUNCTION("""COMPUTED_VALUE"""),"-")</f>
        <v>-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"/>
      <c r="B1412" s="1"/>
      <c r="C1412" s="1"/>
      <c r="D1412" s="1"/>
      <c r="E1412" s="1" t="str">
        <f>IFERROR(__xludf.DUMMYFUNCTION("""COMPUTED_VALUE"""),"-")</f>
        <v>-</v>
      </c>
      <c r="F1412" s="1"/>
      <c r="G1412" s="1" t="str">
        <f>IFERROR(__xludf.DUMMYFUNCTION("""COMPUTED_VALUE"""),"-")</f>
        <v>-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"/>
      <c r="B1413" s="1"/>
      <c r="C1413" s="1"/>
      <c r="D1413" s="1"/>
      <c r="E1413" s="1" t="str">
        <f>IFERROR(__xludf.DUMMYFUNCTION("""COMPUTED_VALUE"""),"-")</f>
        <v>-</v>
      </c>
      <c r="F1413" s="1"/>
      <c r="G1413" s="1" t="str">
        <f>IFERROR(__xludf.DUMMYFUNCTION("""COMPUTED_VALUE"""),"-")</f>
        <v>-</v>
      </c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"/>
      <c r="B1414" s="1"/>
      <c r="C1414" s="1"/>
      <c r="D1414" s="1"/>
      <c r="E1414" s="1" t="str">
        <f>IFERROR(__xludf.DUMMYFUNCTION("""COMPUTED_VALUE"""),"-")</f>
        <v>-</v>
      </c>
      <c r="F1414" s="1"/>
      <c r="G1414" s="1" t="str">
        <f>IFERROR(__xludf.DUMMYFUNCTION("""COMPUTED_VALUE"""),"-")</f>
        <v>-</v>
      </c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"/>
      <c r="B1415" s="1"/>
      <c r="C1415" s="1"/>
      <c r="D1415" s="1"/>
      <c r="E1415" s="1" t="str">
        <f>IFERROR(__xludf.DUMMYFUNCTION("""COMPUTED_VALUE"""),"-")</f>
        <v>-</v>
      </c>
      <c r="F1415" s="1"/>
      <c r="G1415" s="1" t="str">
        <f>IFERROR(__xludf.DUMMYFUNCTION("""COMPUTED_VALUE"""),"-")</f>
        <v>-</v>
      </c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"/>
      <c r="B1416" s="1"/>
      <c r="C1416" s="1"/>
      <c r="D1416" s="1"/>
      <c r="E1416" s="1" t="str">
        <f>IFERROR(__xludf.DUMMYFUNCTION("""COMPUTED_VALUE"""),"-")</f>
        <v>-</v>
      </c>
      <c r="F1416" s="1"/>
      <c r="G1416" s="1" t="str">
        <f>IFERROR(__xludf.DUMMYFUNCTION("""COMPUTED_VALUE"""),"-")</f>
        <v>-</v>
      </c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"/>
      <c r="B1417" s="1"/>
      <c r="C1417" s="1"/>
      <c r="D1417" s="1"/>
      <c r="E1417" s="1" t="str">
        <f>IFERROR(__xludf.DUMMYFUNCTION("""COMPUTED_VALUE"""),"-")</f>
        <v>-</v>
      </c>
      <c r="F1417" s="1"/>
      <c r="G1417" s="1" t="str">
        <f>IFERROR(__xludf.DUMMYFUNCTION("""COMPUTED_VALUE"""),"-")</f>
        <v>-</v>
      </c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"/>
      <c r="B1418" s="1"/>
      <c r="C1418" s="1"/>
      <c r="D1418" s="1"/>
      <c r="E1418" s="1" t="str">
        <f>IFERROR(__xludf.DUMMYFUNCTION("""COMPUTED_VALUE"""),"-")</f>
        <v>-</v>
      </c>
      <c r="F1418" s="1"/>
      <c r="G1418" s="1" t="str">
        <f>IFERROR(__xludf.DUMMYFUNCTION("""COMPUTED_VALUE"""),"-")</f>
        <v>-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"/>
      <c r="B1419" s="1"/>
      <c r="C1419" s="1"/>
      <c r="D1419" s="1"/>
      <c r="E1419" s="1" t="str">
        <f>IFERROR(__xludf.DUMMYFUNCTION("""COMPUTED_VALUE"""),"-")</f>
        <v>-</v>
      </c>
      <c r="F1419" s="1"/>
      <c r="G1419" s="1" t="str">
        <f>IFERROR(__xludf.DUMMYFUNCTION("""COMPUTED_VALUE"""),"-")</f>
        <v>-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"/>
      <c r="B1420" s="1"/>
      <c r="C1420" s="1"/>
      <c r="D1420" s="1"/>
      <c r="E1420" s="1" t="str">
        <f>IFERROR(__xludf.DUMMYFUNCTION("""COMPUTED_VALUE"""),"-")</f>
        <v>-</v>
      </c>
      <c r="F1420" s="1"/>
      <c r="G1420" s="1" t="str">
        <f>IFERROR(__xludf.DUMMYFUNCTION("""COMPUTED_VALUE"""),"-")</f>
        <v>-</v>
      </c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"/>
      <c r="B1421" s="1"/>
      <c r="C1421" s="1"/>
      <c r="D1421" s="1"/>
      <c r="E1421" s="1" t="str">
        <f>IFERROR(__xludf.DUMMYFUNCTION("""COMPUTED_VALUE"""),"-")</f>
        <v>-</v>
      </c>
      <c r="F1421" s="1"/>
      <c r="G1421" s="1" t="str">
        <f>IFERROR(__xludf.DUMMYFUNCTION("""COMPUTED_VALUE"""),"-")</f>
        <v>-</v>
      </c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/>
      <c r="B1422" s="1"/>
      <c r="C1422" s="1"/>
      <c r="D1422" s="1"/>
      <c r="E1422" s="1" t="str">
        <f>IFERROR(__xludf.DUMMYFUNCTION("""COMPUTED_VALUE"""),"-")</f>
        <v>-</v>
      </c>
      <c r="F1422" s="1"/>
      <c r="G1422" s="1" t="str">
        <f>IFERROR(__xludf.DUMMYFUNCTION("""COMPUTED_VALUE"""),"-")</f>
        <v>-</v>
      </c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/>
      <c r="B1423" s="1"/>
      <c r="C1423" s="1"/>
      <c r="D1423" s="1"/>
      <c r="E1423" s="1" t="str">
        <f>IFERROR(__xludf.DUMMYFUNCTION("""COMPUTED_VALUE"""),"-")</f>
        <v>-</v>
      </c>
      <c r="F1423" s="1"/>
      <c r="G1423" s="1" t="str">
        <f>IFERROR(__xludf.DUMMYFUNCTION("""COMPUTED_VALUE"""),"-")</f>
        <v>-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/>
      <c r="B1424" s="1"/>
      <c r="C1424" s="1"/>
      <c r="D1424" s="1"/>
      <c r="E1424" s="1" t="str">
        <f>IFERROR(__xludf.DUMMYFUNCTION("""COMPUTED_VALUE"""),"-")</f>
        <v>-</v>
      </c>
      <c r="F1424" s="1"/>
      <c r="G1424" s="1" t="str">
        <f>IFERROR(__xludf.DUMMYFUNCTION("""COMPUTED_VALUE"""),"-")</f>
        <v>-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"/>
      <c r="B1425" s="1"/>
      <c r="C1425" s="1"/>
      <c r="D1425" s="1"/>
      <c r="E1425" s="1" t="str">
        <f>IFERROR(__xludf.DUMMYFUNCTION("""COMPUTED_VALUE"""),"-")</f>
        <v>-</v>
      </c>
      <c r="F1425" s="1"/>
      <c r="G1425" s="1" t="str">
        <f>IFERROR(__xludf.DUMMYFUNCTION("""COMPUTED_VALUE"""),"-")</f>
        <v>-</v>
      </c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"/>
      <c r="B1426" s="1"/>
      <c r="C1426" s="1"/>
      <c r="D1426" s="1"/>
      <c r="E1426" s="1" t="str">
        <f>IFERROR(__xludf.DUMMYFUNCTION("""COMPUTED_VALUE"""),"-")</f>
        <v>-</v>
      </c>
      <c r="F1426" s="1"/>
      <c r="G1426" s="1" t="str">
        <f>IFERROR(__xludf.DUMMYFUNCTION("""COMPUTED_VALUE"""),"-")</f>
        <v>-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"/>
      <c r="B1427" s="1"/>
      <c r="C1427" s="1"/>
      <c r="D1427" s="1"/>
      <c r="E1427" s="1" t="str">
        <f>IFERROR(__xludf.DUMMYFUNCTION("""COMPUTED_VALUE"""),"-")</f>
        <v>-</v>
      </c>
      <c r="F1427" s="1"/>
      <c r="G1427" s="1" t="str">
        <f>IFERROR(__xludf.DUMMYFUNCTION("""COMPUTED_VALUE"""),"-")</f>
        <v>-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"/>
      <c r="B1428" s="1"/>
      <c r="C1428" s="1"/>
      <c r="D1428" s="1"/>
      <c r="E1428" s="1" t="str">
        <f>IFERROR(__xludf.DUMMYFUNCTION("""COMPUTED_VALUE"""),"-")</f>
        <v>-</v>
      </c>
      <c r="F1428" s="1"/>
      <c r="G1428" s="1" t="str">
        <f>IFERROR(__xludf.DUMMYFUNCTION("""COMPUTED_VALUE"""),"-")</f>
        <v>-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"/>
      <c r="B1429" s="1"/>
      <c r="C1429" s="1"/>
      <c r="D1429" s="1"/>
      <c r="E1429" s="1" t="str">
        <f>IFERROR(__xludf.DUMMYFUNCTION("""COMPUTED_VALUE"""),"-")</f>
        <v>-</v>
      </c>
      <c r="F1429" s="1"/>
      <c r="G1429" s="1" t="str">
        <f>IFERROR(__xludf.DUMMYFUNCTION("""COMPUTED_VALUE"""),"-")</f>
        <v>-</v>
      </c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"/>
      <c r="B1430" s="1"/>
      <c r="C1430" s="1"/>
      <c r="D1430" s="1"/>
      <c r="E1430" s="1" t="str">
        <f>IFERROR(__xludf.DUMMYFUNCTION("""COMPUTED_VALUE"""),"-")</f>
        <v>-</v>
      </c>
      <c r="F1430" s="1"/>
      <c r="G1430" s="1" t="str">
        <f>IFERROR(__xludf.DUMMYFUNCTION("""COMPUTED_VALUE"""),"-")</f>
        <v>-</v>
      </c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"/>
      <c r="B1431" s="1"/>
      <c r="C1431" s="1"/>
      <c r="D1431" s="1"/>
      <c r="E1431" s="1" t="str">
        <f>IFERROR(__xludf.DUMMYFUNCTION("""COMPUTED_VALUE"""),"-")</f>
        <v>-</v>
      </c>
      <c r="F1431" s="1"/>
      <c r="G1431" s="1" t="str">
        <f>IFERROR(__xludf.DUMMYFUNCTION("""COMPUTED_VALUE"""),"-")</f>
        <v>-</v>
      </c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"/>
      <c r="B1432" s="1"/>
      <c r="C1432" s="1"/>
      <c r="D1432" s="1"/>
      <c r="E1432" s="1" t="str">
        <f>IFERROR(__xludf.DUMMYFUNCTION("""COMPUTED_VALUE"""),"-")</f>
        <v>-</v>
      </c>
      <c r="F1432" s="1"/>
      <c r="G1432" s="1" t="str">
        <f>IFERROR(__xludf.DUMMYFUNCTION("""COMPUTED_VALUE"""),"-")</f>
        <v>-</v>
      </c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"/>
      <c r="B1433" s="1"/>
      <c r="C1433" s="1"/>
      <c r="D1433" s="1"/>
      <c r="E1433" s="1" t="str">
        <f>IFERROR(__xludf.DUMMYFUNCTION("""COMPUTED_VALUE"""),"-")</f>
        <v>-</v>
      </c>
      <c r="F1433" s="1"/>
      <c r="G1433" s="1" t="str">
        <f>IFERROR(__xludf.DUMMYFUNCTION("""COMPUTED_VALUE"""),"-")</f>
        <v>-</v>
      </c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"/>
      <c r="B1434" s="1"/>
      <c r="C1434" s="1"/>
      <c r="D1434" s="1"/>
      <c r="E1434" s="1" t="str">
        <f>IFERROR(__xludf.DUMMYFUNCTION("""COMPUTED_VALUE"""),"-")</f>
        <v>-</v>
      </c>
      <c r="F1434" s="1"/>
      <c r="G1434" s="1" t="str">
        <f>IFERROR(__xludf.DUMMYFUNCTION("""COMPUTED_VALUE"""),"-")</f>
        <v>-</v>
      </c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/>
      <c r="B1435" s="1"/>
      <c r="C1435" s="1"/>
      <c r="D1435" s="1"/>
      <c r="E1435" s="1" t="str">
        <f>IFERROR(__xludf.DUMMYFUNCTION("""COMPUTED_VALUE"""),"-")</f>
        <v>-</v>
      </c>
      <c r="F1435" s="1"/>
      <c r="G1435" s="1" t="str">
        <f>IFERROR(__xludf.DUMMYFUNCTION("""COMPUTED_VALUE"""),"-")</f>
        <v>-</v>
      </c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"/>
      <c r="B1436" s="1"/>
      <c r="C1436" s="1"/>
      <c r="D1436" s="1"/>
      <c r="E1436" s="1" t="str">
        <f>IFERROR(__xludf.DUMMYFUNCTION("""COMPUTED_VALUE"""),"-")</f>
        <v>-</v>
      </c>
      <c r="F1436" s="1"/>
      <c r="G1436" s="1" t="str">
        <f>IFERROR(__xludf.DUMMYFUNCTION("""COMPUTED_VALUE"""),"-")</f>
        <v>-</v>
      </c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"/>
      <c r="B1437" s="1"/>
      <c r="C1437" s="1"/>
      <c r="D1437" s="1"/>
      <c r="E1437" s="1" t="str">
        <f>IFERROR(__xludf.DUMMYFUNCTION("""COMPUTED_VALUE"""),"-")</f>
        <v>-</v>
      </c>
      <c r="F1437" s="1"/>
      <c r="G1437" s="1" t="str">
        <f>IFERROR(__xludf.DUMMYFUNCTION("""COMPUTED_VALUE"""),"-")</f>
        <v>-</v>
      </c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"/>
      <c r="B1438" s="1"/>
      <c r="C1438" s="1"/>
      <c r="D1438" s="1"/>
      <c r="E1438" s="1" t="str">
        <f>IFERROR(__xludf.DUMMYFUNCTION("""COMPUTED_VALUE"""),"-")</f>
        <v>-</v>
      </c>
      <c r="F1438" s="1"/>
      <c r="G1438" s="1" t="str">
        <f>IFERROR(__xludf.DUMMYFUNCTION("""COMPUTED_VALUE"""),"-")</f>
        <v>-</v>
      </c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"/>
      <c r="B1439" s="1"/>
      <c r="C1439" s="1"/>
      <c r="D1439" s="1"/>
      <c r="E1439" s="1" t="str">
        <f>IFERROR(__xludf.DUMMYFUNCTION("""COMPUTED_VALUE"""),"-")</f>
        <v>-</v>
      </c>
      <c r="F1439" s="1"/>
      <c r="G1439" s="1" t="str">
        <f>IFERROR(__xludf.DUMMYFUNCTION("""COMPUTED_VALUE"""),"-")</f>
        <v>-</v>
      </c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"/>
      <c r="B1440" s="1"/>
      <c r="C1440" s="1"/>
      <c r="D1440" s="1"/>
      <c r="E1440" s="1" t="str">
        <f>IFERROR(__xludf.DUMMYFUNCTION("""COMPUTED_VALUE"""),"-")</f>
        <v>-</v>
      </c>
      <c r="F1440" s="1"/>
      <c r="G1440" s="1" t="str">
        <f>IFERROR(__xludf.DUMMYFUNCTION("""COMPUTED_VALUE"""),"-")</f>
        <v>-</v>
      </c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"/>
      <c r="B1441" s="1"/>
      <c r="C1441" s="1"/>
      <c r="D1441" s="1"/>
      <c r="E1441" s="1" t="str">
        <f>IFERROR(__xludf.DUMMYFUNCTION("""COMPUTED_VALUE"""),"-")</f>
        <v>-</v>
      </c>
      <c r="F1441" s="1"/>
      <c r="G1441" s="1" t="str">
        <f>IFERROR(__xludf.DUMMYFUNCTION("""COMPUTED_VALUE"""),"-")</f>
        <v>-</v>
      </c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"/>
      <c r="B1442" s="1"/>
      <c r="C1442" s="1"/>
      <c r="D1442" s="1"/>
      <c r="E1442" s="1" t="str">
        <f>IFERROR(__xludf.DUMMYFUNCTION("""COMPUTED_VALUE"""),"-")</f>
        <v>-</v>
      </c>
      <c r="F1442" s="1"/>
      <c r="G1442" s="1" t="str">
        <f>IFERROR(__xludf.DUMMYFUNCTION("""COMPUTED_VALUE"""),"-")</f>
        <v>-</v>
      </c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"/>
      <c r="B1443" s="1"/>
      <c r="C1443" s="1"/>
      <c r="D1443" s="1"/>
      <c r="E1443" s="1" t="str">
        <f>IFERROR(__xludf.DUMMYFUNCTION("""COMPUTED_VALUE"""),"-")</f>
        <v>-</v>
      </c>
      <c r="F1443" s="1"/>
      <c r="G1443" s="1" t="str">
        <f>IFERROR(__xludf.DUMMYFUNCTION("""COMPUTED_VALUE"""),"-")</f>
        <v>-</v>
      </c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"/>
      <c r="B1444" s="1"/>
      <c r="C1444" s="1"/>
      <c r="D1444" s="1"/>
      <c r="E1444" s="1" t="str">
        <f>IFERROR(__xludf.DUMMYFUNCTION("""COMPUTED_VALUE"""),"-")</f>
        <v>-</v>
      </c>
      <c r="F1444" s="1"/>
      <c r="G1444" s="1" t="str">
        <f>IFERROR(__xludf.DUMMYFUNCTION("""COMPUTED_VALUE"""),"-")</f>
        <v>-</v>
      </c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"/>
      <c r="B1445" s="1"/>
      <c r="C1445" s="1"/>
      <c r="D1445" s="1"/>
      <c r="E1445" s="1" t="str">
        <f>IFERROR(__xludf.DUMMYFUNCTION("""COMPUTED_VALUE"""),"-")</f>
        <v>-</v>
      </c>
      <c r="F1445" s="1"/>
      <c r="G1445" s="1" t="str">
        <f>IFERROR(__xludf.DUMMYFUNCTION("""COMPUTED_VALUE"""),"-")</f>
        <v>-</v>
      </c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"/>
      <c r="B1446" s="1"/>
      <c r="C1446" s="1"/>
      <c r="D1446" s="1"/>
      <c r="E1446" s="1" t="str">
        <f>IFERROR(__xludf.DUMMYFUNCTION("""COMPUTED_VALUE"""),"-")</f>
        <v>-</v>
      </c>
      <c r="F1446" s="1"/>
      <c r="G1446" s="1" t="str">
        <f>IFERROR(__xludf.DUMMYFUNCTION("""COMPUTED_VALUE"""),"-")</f>
        <v>-</v>
      </c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"/>
      <c r="B1447" s="1"/>
      <c r="C1447" s="1"/>
      <c r="D1447" s="1"/>
      <c r="E1447" s="1" t="str">
        <f>IFERROR(__xludf.DUMMYFUNCTION("""COMPUTED_VALUE"""),"-")</f>
        <v>-</v>
      </c>
      <c r="F1447" s="1"/>
      <c r="G1447" s="1" t="str">
        <f>IFERROR(__xludf.DUMMYFUNCTION("""COMPUTED_VALUE"""),"-")</f>
        <v>-</v>
      </c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"/>
      <c r="B1448" s="1"/>
      <c r="C1448" s="1"/>
      <c r="D1448" s="1"/>
      <c r="E1448" s="1" t="str">
        <f>IFERROR(__xludf.DUMMYFUNCTION("""COMPUTED_VALUE"""),"-")</f>
        <v>-</v>
      </c>
      <c r="F1448" s="1"/>
      <c r="G1448" s="1" t="str">
        <f>IFERROR(__xludf.DUMMYFUNCTION("""COMPUTED_VALUE"""),"-")</f>
        <v>-</v>
      </c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"/>
      <c r="B1449" s="1"/>
      <c r="C1449" s="1"/>
      <c r="D1449" s="1"/>
      <c r="E1449" s="1" t="str">
        <f>IFERROR(__xludf.DUMMYFUNCTION("""COMPUTED_VALUE"""),"-")</f>
        <v>-</v>
      </c>
      <c r="F1449" s="1"/>
      <c r="G1449" s="1" t="str">
        <f>IFERROR(__xludf.DUMMYFUNCTION("""COMPUTED_VALUE"""),"-")</f>
        <v>-</v>
      </c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"/>
      <c r="B1450" s="1"/>
      <c r="C1450" s="1"/>
      <c r="D1450" s="1"/>
      <c r="E1450" s="1" t="str">
        <f>IFERROR(__xludf.DUMMYFUNCTION("""COMPUTED_VALUE"""),"-")</f>
        <v>-</v>
      </c>
      <c r="F1450" s="1"/>
      <c r="G1450" s="1" t="str">
        <f>IFERROR(__xludf.DUMMYFUNCTION("""COMPUTED_VALUE"""),"-")</f>
        <v>-</v>
      </c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"/>
      <c r="B1451" s="1"/>
      <c r="C1451" s="1"/>
      <c r="D1451" s="1"/>
      <c r="E1451" s="1" t="str">
        <f>IFERROR(__xludf.DUMMYFUNCTION("""COMPUTED_VALUE"""),"-")</f>
        <v>-</v>
      </c>
      <c r="F1451" s="1"/>
      <c r="G1451" s="1" t="str">
        <f>IFERROR(__xludf.DUMMYFUNCTION("""COMPUTED_VALUE"""),"-")</f>
        <v>-</v>
      </c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"/>
      <c r="B1452" s="1"/>
      <c r="C1452" s="1"/>
      <c r="D1452" s="1"/>
      <c r="E1452" s="1" t="str">
        <f>IFERROR(__xludf.DUMMYFUNCTION("""COMPUTED_VALUE"""),"-")</f>
        <v>-</v>
      </c>
      <c r="F1452" s="1"/>
      <c r="G1452" s="1" t="str">
        <f>IFERROR(__xludf.DUMMYFUNCTION("""COMPUTED_VALUE"""),"-")</f>
        <v>-</v>
      </c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/>
      <c r="B1453" s="1"/>
      <c r="C1453" s="1"/>
      <c r="D1453" s="1"/>
      <c r="E1453" s="1" t="str">
        <f>IFERROR(__xludf.DUMMYFUNCTION("""COMPUTED_VALUE"""),"-")</f>
        <v>-</v>
      </c>
      <c r="F1453" s="1"/>
      <c r="G1453" s="1" t="str">
        <f>IFERROR(__xludf.DUMMYFUNCTION("""COMPUTED_VALUE"""),"-")</f>
        <v>-</v>
      </c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"/>
      <c r="B1454" s="1"/>
      <c r="C1454" s="1"/>
      <c r="D1454" s="1"/>
      <c r="E1454" s="1" t="str">
        <f>IFERROR(__xludf.DUMMYFUNCTION("""COMPUTED_VALUE"""),"-")</f>
        <v>-</v>
      </c>
      <c r="F1454" s="1"/>
      <c r="G1454" s="1" t="str">
        <f>IFERROR(__xludf.DUMMYFUNCTION("""COMPUTED_VALUE"""),"-")</f>
        <v>-</v>
      </c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"/>
      <c r="B1455" s="1"/>
      <c r="C1455" s="1"/>
      <c r="D1455" s="1"/>
      <c r="E1455" s="1" t="str">
        <f>IFERROR(__xludf.DUMMYFUNCTION("""COMPUTED_VALUE"""),"-")</f>
        <v>-</v>
      </c>
      <c r="F1455" s="1"/>
      <c r="G1455" s="1" t="str">
        <f>IFERROR(__xludf.DUMMYFUNCTION("""COMPUTED_VALUE"""),"-")</f>
        <v>-</v>
      </c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"/>
      <c r="B1456" s="1"/>
      <c r="C1456" s="1"/>
      <c r="D1456" s="1"/>
      <c r="E1456" s="1" t="str">
        <f>IFERROR(__xludf.DUMMYFUNCTION("""COMPUTED_VALUE"""),"-")</f>
        <v>-</v>
      </c>
      <c r="F1456" s="1"/>
      <c r="G1456" s="1" t="str">
        <f>IFERROR(__xludf.DUMMYFUNCTION("""COMPUTED_VALUE"""),"-")</f>
        <v>-</v>
      </c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"/>
      <c r="B1457" s="1"/>
      <c r="C1457" s="1"/>
      <c r="D1457" s="1"/>
      <c r="E1457" s="1" t="str">
        <f>IFERROR(__xludf.DUMMYFUNCTION("""COMPUTED_VALUE"""),"-")</f>
        <v>-</v>
      </c>
      <c r="F1457" s="1"/>
      <c r="G1457" s="1" t="str">
        <f>IFERROR(__xludf.DUMMYFUNCTION("""COMPUTED_VALUE"""),"-")</f>
        <v>-</v>
      </c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"/>
      <c r="B1458" s="1"/>
      <c r="C1458" s="1"/>
      <c r="D1458" s="1"/>
      <c r="E1458" s="1" t="str">
        <f>IFERROR(__xludf.DUMMYFUNCTION("""COMPUTED_VALUE"""),"-")</f>
        <v>-</v>
      </c>
      <c r="F1458" s="1"/>
      <c r="G1458" s="1" t="str">
        <f>IFERROR(__xludf.DUMMYFUNCTION("""COMPUTED_VALUE"""),"-")</f>
        <v>-</v>
      </c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/>
      <c r="B1459" s="1"/>
      <c r="C1459" s="1"/>
      <c r="D1459" s="1"/>
      <c r="E1459" s="1" t="str">
        <f>IFERROR(__xludf.DUMMYFUNCTION("""COMPUTED_VALUE"""),"-")</f>
        <v>-</v>
      </c>
      <c r="F1459" s="1"/>
      <c r="G1459" s="1" t="str">
        <f>IFERROR(__xludf.DUMMYFUNCTION("""COMPUTED_VALUE"""),"-")</f>
        <v>-</v>
      </c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"/>
      <c r="B1460" s="1"/>
      <c r="C1460" s="1"/>
      <c r="D1460" s="1"/>
      <c r="E1460" s="1" t="str">
        <f>IFERROR(__xludf.DUMMYFUNCTION("""COMPUTED_VALUE"""),"-")</f>
        <v>-</v>
      </c>
      <c r="F1460" s="1"/>
      <c r="G1460" s="1" t="str">
        <f>IFERROR(__xludf.DUMMYFUNCTION("""COMPUTED_VALUE"""),"-")</f>
        <v>-</v>
      </c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"/>
      <c r="B1461" s="1"/>
      <c r="C1461" s="1"/>
      <c r="D1461" s="1"/>
      <c r="E1461" s="1" t="str">
        <f>IFERROR(__xludf.DUMMYFUNCTION("""COMPUTED_VALUE"""),"-")</f>
        <v>-</v>
      </c>
      <c r="F1461" s="1"/>
      <c r="G1461" s="1" t="str">
        <f>IFERROR(__xludf.DUMMYFUNCTION("""COMPUTED_VALUE"""),"-")</f>
        <v>-</v>
      </c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"/>
      <c r="B1462" s="1"/>
      <c r="C1462" s="1"/>
      <c r="D1462" s="1"/>
      <c r="E1462" s="1" t="str">
        <f>IFERROR(__xludf.DUMMYFUNCTION("""COMPUTED_VALUE"""),"-")</f>
        <v>-</v>
      </c>
      <c r="F1462" s="1"/>
      <c r="G1462" s="1" t="str">
        <f>IFERROR(__xludf.DUMMYFUNCTION("""COMPUTED_VALUE"""),"-")</f>
        <v>-</v>
      </c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"/>
      <c r="B1463" s="1"/>
      <c r="C1463" s="1"/>
      <c r="D1463" s="1"/>
      <c r="E1463" s="1" t="str">
        <f>IFERROR(__xludf.DUMMYFUNCTION("""COMPUTED_VALUE"""),"-")</f>
        <v>-</v>
      </c>
      <c r="F1463" s="1"/>
      <c r="G1463" s="1" t="str">
        <f>IFERROR(__xludf.DUMMYFUNCTION("""COMPUTED_VALUE"""),"-")</f>
        <v>-</v>
      </c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"/>
      <c r="B1464" s="1"/>
      <c r="C1464" s="1"/>
      <c r="D1464" s="1"/>
      <c r="E1464" s="1" t="str">
        <f>IFERROR(__xludf.DUMMYFUNCTION("""COMPUTED_VALUE"""),"-")</f>
        <v>-</v>
      </c>
      <c r="F1464" s="1"/>
      <c r="G1464" s="1" t="str">
        <f>IFERROR(__xludf.DUMMYFUNCTION("""COMPUTED_VALUE"""),"-")</f>
        <v>-</v>
      </c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"/>
      <c r="B1465" s="1"/>
      <c r="C1465" s="1"/>
      <c r="D1465" s="1"/>
      <c r="E1465" s="1" t="str">
        <f>IFERROR(__xludf.DUMMYFUNCTION("""COMPUTED_VALUE"""),"-")</f>
        <v>-</v>
      </c>
      <c r="F1465" s="1"/>
      <c r="G1465" s="1" t="str">
        <f>IFERROR(__xludf.DUMMYFUNCTION("""COMPUTED_VALUE"""),"-")</f>
        <v>-</v>
      </c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"/>
      <c r="B1466" s="1"/>
      <c r="C1466" s="1"/>
      <c r="D1466" s="1"/>
      <c r="E1466" s="1" t="str">
        <f>IFERROR(__xludf.DUMMYFUNCTION("""COMPUTED_VALUE"""),"-")</f>
        <v>-</v>
      </c>
      <c r="F1466" s="1"/>
      <c r="G1466" s="1" t="str">
        <f>IFERROR(__xludf.DUMMYFUNCTION("""COMPUTED_VALUE"""),"-")</f>
        <v>-</v>
      </c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"/>
      <c r="B1467" s="1"/>
      <c r="C1467" s="1"/>
      <c r="D1467" s="1"/>
      <c r="E1467" s="1" t="str">
        <f>IFERROR(__xludf.DUMMYFUNCTION("""COMPUTED_VALUE"""),"-")</f>
        <v>-</v>
      </c>
      <c r="F1467" s="1"/>
      <c r="G1467" s="1" t="str">
        <f>IFERROR(__xludf.DUMMYFUNCTION("""COMPUTED_VALUE"""),"-")</f>
        <v>-</v>
      </c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1"/>
      <c r="B1468" s="1"/>
      <c r="C1468" s="1"/>
      <c r="D1468" s="1"/>
      <c r="E1468" s="1" t="str">
        <f>IFERROR(__xludf.DUMMYFUNCTION("""COMPUTED_VALUE"""),"-")</f>
        <v>-</v>
      </c>
      <c r="F1468" s="1"/>
      <c r="G1468" s="1" t="str">
        <f>IFERROR(__xludf.DUMMYFUNCTION("""COMPUTED_VALUE"""),"-")</f>
        <v>-</v>
      </c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/>
      <c r="B1469" s="1"/>
      <c r="C1469" s="1"/>
      <c r="D1469" s="1"/>
      <c r="E1469" s="1" t="str">
        <f>IFERROR(__xludf.DUMMYFUNCTION("""COMPUTED_VALUE"""),"-")</f>
        <v>-</v>
      </c>
      <c r="F1469" s="1"/>
      <c r="G1469" s="1" t="str">
        <f>IFERROR(__xludf.DUMMYFUNCTION("""COMPUTED_VALUE"""),"-")</f>
        <v>-</v>
      </c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1"/>
      <c r="B1470" s="1"/>
      <c r="C1470" s="1"/>
      <c r="D1470" s="1"/>
      <c r="E1470" s="1" t="str">
        <f>IFERROR(__xludf.DUMMYFUNCTION("""COMPUTED_VALUE"""),"-")</f>
        <v>-</v>
      </c>
      <c r="F1470" s="1"/>
      <c r="G1470" s="1" t="str">
        <f>IFERROR(__xludf.DUMMYFUNCTION("""COMPUTED_VALUE"""),"-")</f>
        <v>-</v>
      </c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1"/>
      <c r="B1471" s="1"/>
      <c r="C1471" s="1"/>
      <c r="D1471" s="1"/>
      <c r="E1471" s="1" t="str">
        <f>IFERROR(__xludf.DUMMYFUNCTION("""COMPUTED_VALUE"""),"-")</f>
        <v>-</v>
      </c>
      <c r="F1471" s="1"/>
      <c r="G1471" s="1" t="str">
        <f>IFERROR(__xludf.DUMMYFUNCTION("""COMPUTED_VALUE"""),"-")</f>
        <v>-</v>
      </c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"/>
      <c r="B1472" s="1"/>
      <c r="C1472" s="1"/>
      <c r="D1472" s="1"/>
      <c r="E1472" s="1" t="str">
        <f>IFERROR(__xludf.DUMMYFUNCTION("""COMPUTED_VALUE"""),"-")</f>
        <v>-</v>
      </c>
      <c r="F1472" s="1"/>
      <c r="G1472" s="1" t="str">
        <f>IFERROR(__xludf.DUMMYFUNCTION("""COMPUTED_VALUE"""),"-")</f>
        <v>-</v>
      </c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1"/>
      <c r="B1473" s="1"/>
      <c r="C1473" s="1"/>
      <c r="D1473" s="1"/>
      <c r="E1473" s="1" t="str">
        <f>IFERROR(__xludf.DUMMYFUNCTION("""COMPUTED_VALUE"""),"-")</f>
        <v>-</v>
      </c>
      <c r="F1473" s="1"/>
      <c r="G1473" s="1" t="str">
        <f>IFERROR(__xludf.DUMMYFUNCTION("""COMPUTED_VALUE"""),"-")</f>
        <v>-</v>
      </c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1"/>
      <c r="B1474" s="1"/>
      <c r="C1474" s="1"/>
      <c r="D1474" s="1"/>
      <c r="E1474" s="1" t="str">
        <f>IFERROR(__xludf.DUMMYFUNCTION("""COMPUTED_VALUE"""),"-")</f>
        <v>-</v>
      </c>
      <c r="F1474" s="1"/>
      <c r="G1474" s="1" t="str">
        <f>IFERROR(__xludf.DUMMYFUNCTION("""COMPUTED_VALUE"""),"-")</f>
        <v>-</v>
      </c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"/>
      <c r="B1475" s="1"/>
      <c r="C1475" s="1"/>
      <c r="D1475" s="1"/>
      <c r="E1475" s="1" t="str">
        <f>IFERROR(__xludf.DUMMYFUNCTION("""COMPUTED_VALUE"""),"-")</f>
        <v>-</v>
      </c>
      <c r="F1475" s="1"/>
      <c r="G1475" s="1" t="str">
        <f>IFERROR(__xludf.DUMMYFUNCTION("""COMPUTED_VALUE"""),"-")</f>
        <v>-</v>
      </c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1"/>
      <c r="B1476" s="1"/>
      <c r="C1476" s="1"/>
      <c r="D1476" s="1"/>
      <c r="E1476" s="1" t="str">
        <f>IFERROR(__xludf.DUMMYFUNCTION("""COMPUTED_VALUE"""),"-")</f>
        <v>-</v>
      </c>
      <c r="F1476" s="1"/>
      <c r="G1476" s="1" t="str">
        <f>IFERROR(__xludf.DUMMYFUNCTION("""COMPUTED_VALUE"""),"-")</f>
        <v>-</v>
      </c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1"/>
      <c r="B1477" s="1"/>
      <c r="C1477" s="1"/>
      <c r="D1477" s="1"/>
      <c r="E1477" s="1" t="str">
        <f>IFERROR(__xludf.DUMMYFUNCTION("""COMPUTED_VALUE"""),"-")</f>
        <v>-</v>
      </c>
      <c r="F1477" s="1"/>
      <c r="G1477" s="1" t="str">
        <f>IFERROR(__xludf.DUMMYFUNCTION("""COMPUTED_VALUE"""),"-")</f>
        <v>-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"/>
      <c r="B1478" s="1"/>
      <c r="C1478" s="1"/>
      <c r="D1478" s="1"/>
      <c r="E1478" s="1" t="str">
        <f>IFERROR(__xludf.DUMMYFUNCTION("""COMPUTED_VALUE"""),"-")</f>
        <v>-</v>
      </c>
      <c r="F1478" s="1"/>
      <c r="G1478" s="1" t="str">
        <f>IFERROR(__xludf.DUMMYFUNCTION("""COMPUTED_VALUE"""),"-")</f>
        <v>-</v>
      </c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"/>
      <c r="B1479" s="1"/>
      <c r="C1479" s="1"/>
      <c r="D1479" s="1"/>
      <c r="E1479" s="1" t="str">
        <f>IFERROR(__xludf.DUMMYFUNCTION("""COMPUTED_VALUE"""),"-")</f>
        <v>-</v>
      </c>
      <c r="F1479" s="1"/>
      <c r="G1479" s="1" t="str">
        <f>IFERROR(__xludf.DUMMYFUNCTION("""COMPUTED_VALUE"""),"-")</f>
        <v>-</v>
      </c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1"/>
      <c r="B1480" s="1"/>
      <c r="C1480" s="1"/>
      <c r="D1480" s="1"/>
      <c r="E1480" s="1" t="str">
        <f>IFERROR(__xludf.DUMMYFUNCTION("""COMPUTED_VALUE"""),"-")</f>
        <v>-</v>
      </c>
      <c r="F1480" s="1"/>
      <c r="G1480" s="1" t="str">
        <f>IFERROR(__xludf.DUMMYFUNCTION("""COMPUTED_VALUE"""),"-")</f>
        <v>-</v>
      </c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1"/>
      <c r="B1481" s="1"/>
      <c r="C1481" s="1"/>
      <c r="D1481" s="1"/>
      <c r="E1481" s="1" t="str">
        <f>IFERROR(__xludf.DUMMYFUNCTION("""COMPUTED_VALUE"""),"-")</f>
        <v>-</v>
      </c>
      <c r="F1481" s="1"/>
      <c r="G1481" s="1" t="str">
        <f>IFERROR(__xludf.DUMMYFUNCTION("""COMPUTED_VALUE"""),"-")</f>
        <v>-</v>
      </c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1"/>
      <c r="B1482" s="1"/>
      <c r="C1482" s="1"/>
      <c r="D1482" s="1"/>
      <c r="E1482" s="1" t="str">
        <f>IFERROR(__xludf.DUMMYFUNCTION("""COMPUTED_VALUE"""),"-")</f>
        <v>-</v>
      </c>
      <c r="F1482" s="1"/>
      <c r="G1482" s="1" t="str">
        <f>IFERROR(__xludf.DUMMYFUNCTION("""COMPUTED_VALUE"""),"-")</f>
        <v>-</v>
      </c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1"/>
      <c r="B1483" s="1"/>
      <c r="C1483" s="1"/>
      <c r="D1483" s="1"/>
      <c r="E1483" s="1" t="str">
        <f>IFERROR(__xludf.DUMMYFUNCTION("""COMPUTED_VALUE"""),"-")</f>
        <v>-</v>
      </c>
      <c r="F1483" s="1"/>
      <c r="G1483" s="1" t="str">
        <f>IFERROR(__xludf.DUMMYFUNCTION("""COMPUTED_VALUE"""),"-")</f>
        <v>-</v>
      </c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"/>
      <c r="B1484" s="1"/>
      <c r="C1484" s="1"/>
      <c r="D1484" s="1"/>
      <c r="E1484" s="1" t="str">
        <f>IFERROR(__xludf.DUMMYFUNCTION("""COMPUTED_VALUE"""),"-")</f>
        <v>-</v>
      </c>
      <c r="F1484" s="1"/>
      <c r="G1484" s="1" t="str">
        <f>IFERROR(__xludf.DUMMYFUNCTION("""COMPUTED_VALUE"""),"-")</f>
        <v>-</v>
      </c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"/>
      <c r="B1485" s="1"/>
      <c r="C1485" s="1"/>
      <c r="D1485" s="1"/>
      <c r="E1485" s="1" t="str">
        <f>IFERROR(__xludf.DUMMYFUNCTION("""COMPUTED_VALUE"""),"-")</f>
        <v>-</v>
      </c>
      <c r="F1485" s="1"/>
      <c r="G1485" s="1" t="str">
        <f>IFERROR(__xludf.DUMMYFUNCTION("""COMPUTED_VALUE"""),"-")</f>
        <v>-</v>
      </c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1"/>
      <c r="B1486" s="1"/>
      <c r="C1486" s="1"/>
      <c r="D1486" s="1"/>
      <c r="E1486" s="1" t="str">
        <f>IFERROR(__xludf.DUMMYFUNCTION("""COMPUTED_VALUE"""),"-")</f>
        <v>-</v>
      </c>
      <c r="F1486" s="1"/>
      <c r="G1486" s="1" t="str">
        <f>IFERROR(__xludf.DUMMYFUNCTION("""COMPUTED_VALUE"""),"-")</f>
        <v>-</v>
      </c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1"/>
      <c r="B1487" s="1"/>
      <c r="C1487" s="1"/>
      <c r="D1487" s="1"/>
      <c r="E1487" s="1" t="str">
        <f>IFERROR(__xludf.DUMMYFUNCTION("""COMPUTED_VALUE"""),"-")</f>
        <v>-</v>
      </c>
      <c r="F1487" s="1"/>
      <c r="G1487" s="1" t="str">
        <f>IFERROR(__xludf.DUMMYFUNCTION("""COMPUTED_VALUE"""),"-")</f>
        <v>-</v>
      </c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1"/>
      <c r="B1488" s="1"/>
      <c r="C1488" s="1"/>
      <c r="D1488" s="1"/>
      <c r="E1488" s="1" t="str">
        <f>IFERROR(__xludf.DUMMYFUNCTION("""COMPUTED_VALUE"""),"-")</f>
        <v>-</v>
      </c>
      <c r="F1488" s="1"/>
      <c r="G1488" s="1" t="str">
        <f>IFERROR(__xludf.DUMMYFUNCTION("""COMPUTED_VALUE"""),"-")</f>
        <v>-</v>
      </c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1"/>
      <c r="B1489" s="1"/>
      <c r="C1489" s="1"/>
      <c r="D1489" s="1"/>
      <c r="E1489" s="1" t="str">
        <f>IFERROR(__xludf.DUMMYFUNCTION("""COMPUTED_VALUE"""),"-")</f>
        <v>-</v>
      </c>
      <c r="F1489" s="1"/>
      <c r="G1489" s="1" t="str">
        <f>IFERROR(__xludf.DUMMYFUNCTION("""COMPUTED_VALUE"""),"-")</f>
        <v>-</v>
      </c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"/>
      <c r="B1490" s="1"/>
      <c r="C1490" s="1"/>
      <c r="D1490" s="1"/>
      <c r="E1490" s="1" t="str">
        <f>IFERROR(__xludf.DUMMYFUNCTION("""COMPUTED_VALUE"""),"-")</f>
        <v>-</v>
      </c>
      <c r="F1490" s="1"/>
      <c r="G1490" s="1" t="str">
        <f>IFERROR(__xludf.DUMMYFUNCTION("""COMPUTED_VALUE"""),"-")</f>
        <v>-</v>
      </c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1"/>
      <c r="B1491" s="1"/>
      <c r="C1491" s="1"/>
      <c r="D1491" s="1"/>
      <c r="E1491" s="1" t="str">
        <f>IFERROR(__xludf.DUMMYFUNCTION("""COMPUTED_VALUE"""),"-")</f>
        <v>-</v>
      </c>
      <c r="F1491" s="1"/>
      <c r="G1491" s="1" t="str">
        <f>IFERROR(__xludf.DUMMYFUNCTION("""COMPUTED_VALUE"""),"-")</f>
        <v>-</v>
      </c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1"/>
      <c r="B1492" s="1"/>
      <c r="C1492" s="1"/>
      <c r="D1492" s="1"/>
      <c r="E1492" s="1" t="str">
        <f>IFERROR(__xludf.DUMMYFUNCTION("""COMPUTED_VALUE"""),"-")</f>
        <v>-</v>
      </c>
      <c r="F1492" s="1"/>
      <c r="G1492" s="1" t="str">
        <f>IFERROR(__xludf.DUMMYFUNCTION("""COMPUTED_VALUE"""),"-")</f>
        <v>-</v>
      </c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"/>
      <c r="B1493" s="1"/>
      <c r="C1493" s="1"/>
      <c r="D1493" s="1"/>
      <c r="E1493" s="1" t="str">
        <f>IFERROR(__xludf.DUMMYFUNCTION("""COMPUTED_VALUE"""),"-")</f>
        <v>-</v>
      </c>
      <c r="F1493" s="1"/>
      <c r="G1493" s="1" t="str">
        <f>IFERROR(__xludf.DUMMYFUNCTION("""COMPUTED_VALUE"""),"-")</f>
        <v>-</v>
      </c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1"/>
      <c r="B1494" s="1"/>
      <c r="C1494" s="1"/>
      <c r="D1494" s="1"/>
      <c r="E1494" s="1" t="str">
        <f>IFERROR(__xludf.DUMMYFUNCTION("""COMPUTED_VALUE"""),"-")</f>
        <v>-</v>
      </c>
      <c r="F1494" s="1"/>
      <c r="G1494" s="1" t="str">
        <f>IFERROR(__xludf.DUMMYFUNCTION("""COMPUTED_VALUE"""),"-")</f>
        <v>-</v>
      </c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1"/>
      <c r="B1495" s="1"/>
      <c r="C1495" s="1"/>
      <c r="D1495" s="1"/>
      <c r="E1495" s="1" t="str">
        <f>IFERROR(__xludf.DUMMYFUNCTION("""COMPUTED_VALUE"""),"-")</f>
        <v>-</v>
      </c>
      <c r="F1495" s="1"/>
      <c r="G1495" s="1" t="str">
        <f>IFERROR(__xludf.DUMMYFUNCTION("""COMPUTED_VALUE"""),"-")</f>
        <v>-</v>
      </c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"/>
      <c r="B1496" s="1"/>
      <c r="C1496" s="1"/>
      <c r="D1496" s="1"/>
      <c r="E1496" s="1" t="str">
        <f>IFERROR(__xludf.DUMMYFUNCTION("""COMPUTED_VALUE"""),"-")</f>
        <v>-</v>
      </c>
      <c r="F1496" s="1"/>
      <c r="G1496" s="1" t="str">
        <f>IFERROR(__xludf.DUMMYFUNCTION("""COMPUTED_VALUE"""),"-")</f>
        <v>-</v>
      </c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1"/>
      <c r="B1497" s="1"/>
      <c r="C1497" s="1"/>
      <c r="D1497" s="1"/>
      <c r="E1497" s="1" t="str">
        <f>IFERROR(__xludf.DUMMYFUNCTION("""COMPUTED_VALUE"""),"-")</f>
        <v>-</v>
      </c>
      <c r="F1497" s="1"/>
      <c r="G1497" s="1" t="str">
        <f>IFERROR(__xludf.DUMMYFUNCTION("""COMPUTED_VALUE"""),"-")</f>
        <v>-</v>
      </c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"/>
      <c r="B1498" s="1"/>
      <c r="C1498" s="1"/>
      <c r="D1498" s="1"/>
      <c r="E1498" s="1" t="str">
        <f>IFERROR(__xludf.DUMMYFUNCTION("""COMPUTED_VALUE"""),"-")</f>
        <v>-</v>
      </c>
      <c r="F1498" s="1"/>
      <c r="G1498" s="1" t="str">
        <f>IFERROR(__xludf.DUMMYFUNCTION("""COMPUTED_VALUE"""),"-")</f>
        <v>-</v>
      </c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"/>
      <c r="B1499" s="1"/>
      <c r="C1499" s="1"/>
      <c r="D1499" s="1"/>
      <c r="E1499" s="1" t="str">
        <f>IFERROR(__xludf.DUMMYFUNCTION("""COMPUTED_VALUE"""),"-")</f>
        <v>-</v>
      </c>
      <c r="F1499" s="1"/>
      <c r="G1499" s="1" t="str">
        <f>IFERROR(__xludf.DUMMYFUNCTION("""COMPUTED_VALUE"""),"-")</f>
        <v>-</v>
      </c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1"/>
      <c r="B1500" s="1"/>
      <c r="C1500" s="1"/>
      <c r="D1500" s="1"/>
      <c r="E1500" s="1" t="str">
        <f>IFERROR(__xludf.DUMMYFUNCTION("""COMPUTED_VALUE"""),"-")</f>
        <v>-</v>
      </c>
      <c r="F1500" s="1"/>
      <c r="G1500" s="1" t="str">
        <f>IFERROR(__xludf.DUMMYFUNCTION("""COMPUTED_VALUE"""),"-")</f>
        <v>-</v>
      </c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1"/>
      <c r="B1501" s="1"/>
      <c r="C1501" s="1"/>
      <c r="D1501" s="1"/>
      <c r="E1501" s="1" t="str">
        <f>IFERROR(__xludf.DUMMYFUNCTION("""COMPUTED_VALUE"""),"-")</f>
        <v>-</v>
      </c>
      <c r="F1501" s="1"/>
      <c r="G1501" s="1" t="str">
        <f>IFERROR(__xludf.DUMMYFUNCTION("""COMPUTED_VALUE"""),"-")</f>
        <v>-</v>
      </c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1"/>
      <c r="B1502" s="1"/>
      <c r="C1502" s="1"/>
      <c r="D1502" s="1"/>
      <c r="E1502" s="1" t="str">
        <f>IFERROR(__xludf.DUMMYFUNCTION("""COMPUTED_VALUE"""),"-")</f>
        <v>-</v>
      </c>
      <c r="F1502" s="1"/>
      <c r="G1502" s="1" t="str">
        <f>IFERROR(__xludf.DUMMYFUNCTION("""COMPUTED_VALUE"""),"-")</f>
        <v>-</v>
      </c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1"/>
      <c r="B1503" s="1"/>
      <c r="C1503" s="1"/>
      <c r="D1503" s="1"/>
      <c r="E1503" s="1" t="str">
        <f>IFERROR(__xludf.DUMMYFUNCTION("""COMPUTED_VALUE"""),"-")</f>
        <v>-</v>
      </c>
      <c r="F1503" s="1"/>
      <c r="G1503" s="1" t="str">
        <f>IFERROR(__xludf.DUMMYFUNCTION("""COMPUTED_VALUE"""),"-")</f>
        <v>-</v>
      </c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1"/>
      <c r="B1504" s="1"/>
      <c r="C1504" s="1"/>
      <c r="D1504" s="1"/>
      <c r="E1504" s="1" t="str">
        <f>IFERROR(__xludf.DUMMYFUNCTION("""COMPUTED_VALUE"""),"-")</f>
        <v>-</v>
      </c>
      <c r="F1504" s="1"/>
      <c r="G1504" s="1" t="str">
        <f>IFERROR(__xludf.DUMMYFUNCTION("""COMPUTED_VALUE"""),"-")</f>
        <v>-</v>
      </c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1"/>
      <c r="B1505" s="1"/>
      <c r="C1505" s="1"/>
      <c r="D1505" s="1"/>
      <c r="E1505" s="1" t="str">
        <f>IFERROR(__xludf.DUMMYFUNCTION("""COMPUTED_VALUE"""),"-")</f>
        <v>-</v>
      </c>
      <c r="F1505" s="1"/>
      <c r="G1505" s="1" t="str">
        <f>IFERROR(__xludf.DUMMYFUNCTION("""COMPUTED_VALUE"""),"-")</f>
        <v>-</v>
      </c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1"/>
      <c r="B1506" s="1"/>
      <c r="C1506" s="1"/>
      <c r="D1506" s="1"/>
      <c r="E1506" s="1" t="str">
        <f>IFERROR(__xludf.DUMMYFUNCTION("""COMPUTED_VALUE"""),"-")</f>
        <v>-</v>
      </c>
      <c r="F1506" s="1"/>
      <c r="G1506" s="1" t="str">
        <f>IFERROR(__xludf.DUMMYFUNCTION("""COMPUTED_VALUE"""),"-")</f>
        <v>-</v>
      </c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1"/>
      <c r="B1507" s="1"/>
      <c r="C1507" s="1"/>
      <c r="D1507" s="1"/>
      <c r="E1507" s="1" t="str">
        <f>IFERROR(__xludf.DUMMYFUNCTION("""COMPUTED_VALUE"""),"-")</f>
        <v>-</v>
      </c>
      <c r="F1507" s="1"/>
      <c r="G1507" s="1" t="str">
        <f>IFERROR(__xludf.DUMMYFUNCTION("""COMPUTED_VALUE"""),"-")</f>
        <v>-</v>
      </c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1"/>
      <c r="B1508" s="1"/>
      <c r="C1508" s="1"/>
      <c r="D1508" s="1"/>
      <c r="E1508" s="1" t="str">
        <f>IFERROR(__xludf.DUMMYFUNCTION("""COMPUTED_VALUE"""),"-")</f>
        <v>-</v>
      </c>
      <c r="F1508" s="1"/>
      <c r="G1508" s="1" t="str">
        <f>IFERROR(__xludf.DUMMYFUNCTION("""COMPUTED_VALUE"""),"-")</f>
        <v>-</v>
      </c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1"/>
      <c r="B1509" s="1"/>
      <c r="C1509" s="1"/>
      <c r="D1509" s="1"/>
      <c r="E1509" s="1" t="str">
        <f>IFERROR(__xludf.DUMMYFUNCTION("""COMPUTED_VALUE"""),"-")</f>
        <v>-</v>
      </c>
      <c r="F1509" s="1"/>
      <c r="G1509" s="1" t="str">
        <f>IFERROR(__xludf.DUMMYFUNCTION("""COMPUTED_VALUE"""),"-")</f>
        <v>-</v>
      </c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"/>
      <c r="B1510" s="1"/>
      <c r="C1510" s="1"/>
      <c r="D1510" s="1"/>
      <c r="E1510" s="1" t="str">
        <f>IFERROR(__xludf.DUMMYFUNCTION("""COMPUTED_VALUE"""),"-")</f>
        <v>-</v>
      </c>
      <c r="F1510" s="1"/>
      <c r="G1510" s="1" t="str">
        <f>IFERROR(__xludf.DUMMYFUNCTION("""COMPUTED_VALUE"""),"-")</f>
        <v>-</v>
      </c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1"/>
      <c r="B1511" s="1"/>
      <c r="C1511" s="1"/>
      <c r="D1511" s="1"/>
      <c r="E1511" s="1" t="str">
        <f>IFERROR(__xludf.DUMMYFUNCTION("""COMPUTED_VALUE"""),"-")</f>
        <v>-</v>
      </c>
      <c r="F1511" s="1"/>
      <c r="G1511" s="1" t="str">
        <f>IFERROR(__xludf.DUMMYFUNCTION("""COMPUTED_VALUE"""),"-")</f>
        <v>-</v>
      </c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1"/>
      <c r="B1512" s="1"/>
      <c r="C1512" s="1"/>
      <c r="D1512" s="1"/>
      <c r="E1512" s="1" t="str">
        <f>IFERROR(__xludf.DUMMYFUNCTION("""COMPUTED_VALUE"""),"-")</f>
        <v>-</v>
      </c>
      <c r="F1512" s="1"/>
      <c r="G1512" s="1" t="str">
        <f>IFERROR(__xludf.DUMMYFUNCTION("""COMPUTED_VALUE"""),"-")</f>
        <v>-</v>
      </c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1"/>
      <c r="B1513" s="1"/>
      <c r="C1513" s="1"/>
      <c r="D1513" s="1"/>
      <c r="E1513" s="1" t="str">
        <f>IFERROR(__xludf.DUMMYFUNCTION("""COMPUTED_VALUE"""),"-")</f>
        <v>-</v>
      </c>
      <c r="F1513" s="1"/>
      <c r="G1513" s="1" t="str">
        <f>IFERROR(__xludf.DUMMYFUNCTION("""COMPUTED_VALUE"""),"-")</f>
        <v>-</v>
      </c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1"/>
      <c r="B1514" s="1"/>
      <c r="C1514" s="1"/>
      <c r="D1514" s="1"/>
      <c r="E1514" s="1" t="str">
        <f>IFERROR(__xludf.DUMMYFUNCTION("""COMPUTED_VALUE"""),"-")</f>
        <v>-</v>
      </c>
      <c r="F1514" s="1"/>
      <c r="G1514" s="1" t="str">
        <f>IFERROR(__xludf.DUMMYFUNCTION("""COMPUTED_VALUE"""),"-")</f>
        <v>-</v>
      </c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1"/>
      <c r="B1515" s="1"/>
      <c r="C1515" s="1"/>
      <c r="D1515" s="1"/>
      <c r="E1515" s="1" t="str">
        <f>IFERROR(__xludf.DUMMYFUNCTION("""COMPUTED_VALUE"""),"-")</f>
        <v>-</v>
      </c>
      <c r="F1515" s="1"/>
      <c r="G1515" s="1" t="str">
        <f>IFERROR(__xludf.DUMMYFUNCTION("""COMPUTED_VALUE"""),"-")</f>
        <v>-</v>
      </c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1"/>
      <c r="B1516" s="1"/>
      <c r="C1516" s="1"/>
      <c r="D1516" s="1"/>
      <c r="E1516" s="1" t="str">
        <f>IFERROR(__xludf.DUMMYFUNCTION("""COMPUTED_VALUE"""),"-")</f>
        <v>-</v>
      </c>
      <c r="F1516" s="1"/>
      <c r="G1516" s="1" t="str">
        <f>IFERROR(__xludf.DUMMYFUNCTION("""COMPUTED_VALUE"""),"-")</f>
        <v>-</v>
      </c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1"/>
      <c r="B1517" s="1"/>
      <c r="C1517" s="1"/>
      <c r="D1517" s="1"/>
      <c r="E1517" s="1" t="str">
        <f>IFERROR(__xludf.DUMMYFUNCTION("""COMPUTED_VALUE"""),"-")</f>
        <v>-</v>
      </c>
      <c r="F1517" s="1"/>
      <c r="G1517" s="1" t="str">
        <f>IFERROR(__xludf.DUMMYFUNCTION("""COMPUTED_VALUE"""),"-")</f>
        <v>-</v>
      </c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1"/>
      <c r="B1518" s="1"/>
      <c r="C1518" s="1"/>
      <c r="D1518" s="1"/>
      <c r="E1518" s="1" t="str">
        <f>IFERROR(__xludf.DUMMYFUNCTION("""COMPUTED_VALUE"""),"-")</f>
        <v>-</v>
      </c>
      <c r="F1518" s="1"/>
      <c r="G1518" s="1" t="str">
        <f>IFERROR(__xludf.DUMMYFUNCTION("""COMPUTED_VALUE"""),"-")</f>
        <v>-</v>
      </c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1"/>
      <c r="B1519" s="1"/>
      <c r="C1519" s="1"/>
      <c r="D1519" s="1"/>
      <c r="E1519" s="1" t="str">
        <f>IFERROR(__xludf.DUMMYFUNCTION("""COMPUTED_VALUE"""),"-")</f>
        <v>-</v>
      </c>
      <c r="F1519" s="1"/>
      <c r="G1519" s="1" t="str">
        <f>IFERROR(__xludf.DUMMYFUNCTION("""COMPUTED_VALUE"""),"-")</f>
        <v>-</v>
      </c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1"/>
      <c r="B1520" s="1"/>
      <c r="C1520" s="1"/>
      <c r="D1520" s="1"/>
      <c r="E1520" s="1" t="str">
        <f>IFERROR(__xludf.DUMMYFUNCTION("""COMPUTED_VALUE"""),"-")</f>
        <v>-</v>
      </c>
      <c r="F1520" s="1"/>
      <c r="G1520" s="1" t="str">
        <f>IFERROR(__xludf.DUMMYFUNCTION("""COMPUTED_VALUE"""),"-")</f>
        <v>-</v>
      </c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1"/>
      <c r="B1521" s="1"/>
      <c r="C1521" s="1"/>
      <c r="D1521" s="1"/>
      <c r="E1521" s="1" t="str">
        <f>IFERROR(__xludf.DUMMYFUNCTION("""COMPUTED_VALUE"""),"-")</f>
        <v>-</v>
      </c>
      <c r="F1521" s="1"/>
      <c r="G1521" s="1" t="str">
        <f>IFERROR(__xludf.DUMMYFUNCTION("""COMPUTED_VALUE"""),"-")</f>
        <v>-</v>
      </c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"/>
      <c r="B1522" s="1"/>
      <c r="C1522" s="1"/>
      <c r="D1522" s="1"/>
      <c r="E1522" s="1" t="str">
        <f>IFERROR(__xludf.DUMMYFUNCTION("""COMPUTED_VALUE"""),"-")</f>
        <v>-</v>
      </c>
      <c r="F1522" s="1"/>
      <c r="G1522" s="1" t="str">
        <f>IFERROR(__xludf.DUMMYFUNCTION("""COMPUTED_VALUE"""),"-")</f>
        <v>-</v>
      </c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1"/>
      <c r="B1523" s="1"/>
      <c r="C1523" s="1"/>
      <c r="D1523" s="1"/>
      <c r="E1523" s="1" t="str">
        <f>IFERROR(__xludf.DUMMYFUNCTION("""COMPUTED_VALUE"""),"-")</f>
        <v>-</v>
      </c>
      <c r="F1523" s="1"/>
      <c r="G1523" s="1" t="str">
        <f>IFERROR(__xludf.DUMMYFUNCTION("""COMPUTED_VALUE"""),"-")</f>
        <v>-</v>
      </c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1"/>
      <c r="B1524" s="1"/>
      <c r="C1524" s="1"/>
      <c r="D1524" s="1"/>
      <c r="E1524" s="1" t="str">
        <f>IFERROR(__xludf.DUMMYFUNCTION("""COMPUTED_VALUE"""),"-")</f>
        <v>-</v>
      </c>
      <c r="F1524" s="1"/>
      <c r="G1524" s="1" t="str">
        <f>IFERROR(__xludf.DUMMYFUNCTION("""COMPUTED_VALUE"""),"-")</f>
        <v>-</v>
      </c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1"/>
      <c r="B1525" s="1"/>
      <c r="C1525" s="1"/>
      <c r="D1525" s="1"/>
      <c r="E1525" s="1" t="str">
        <f>IFERROR(__xludf.DUMMYFUNCTION("""COMPUTED_VALUE"""),"-")</f>
        <v>-</v>
      </c>
      <c r="F1525" s="1"/>
      <c r="G1525" s="1" t="str">
        <f>IFERROR(__xludf.DUMMYFUNCTION("""COMPUTED_VALUE"""),"-")</f>
        <v>-</v>
      </c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1"/>
      <c r="B1526" s="1"/>
      <c r="C1526" s="1"/>
      <c r="D1526" s="1"/>
      <c r="E1526" s="1" t="str">
        <f>IFERROR(__xludf.DUMMYFUNCTION("""COMPUTED_VALUE"""),"-")</f>
        <v>-</v>
      </c>
      <c r="F1526" s="1"/>
      <c r="G1526" s="1" t="str">
        <f>IFERROR(__xludf.DUMMYFUNCTION("""COMPUTED_VALUE"""),"-")</f>
        <v>-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1"/>
      <c r="B1527" s="1"/>
      <c r="C1527" s="1"/>
      <c r="D1527" s="1"/>
      <c r="E1527" s="1" t="str">
        <f>IFERROR(__xludf.DUMMYFUNCTION("""COMPUTED_VALUE"""),"-")</f>
        <v>-</v>
      </c>
      <c r="F1527" s="1"/>
      <c r="G1527" s="1" t="str">
        <f>IFERROR(__xludf.DUMMYFUNCTION("""COMPUTED_VALUE"""),"-")</f>
        <v>-</v>
      </c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1"/>
      <c r="B1528" s="1"/>
      <c r="C1528" s="1"/>
      <c r="D1528" s="1"/>
      <c r="E1528" s="1" t="str">
        <f>IFERROR(__xludf.DUMMYFUNCTION("""COMPUTED_VALUE"""),"-")</f>
        <v>-</v>
      </c>
      <c r="F1528" s="1"/>
      <c r="G1528" s="1" t="str">
        <f>IFERROR(__xludf.DUMMYFUNCTION("""COMPUTED_VALUE"""),"-")</f>
        <v>-</v>
      </c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1"/>
      <c r="B1529" s="1"/>
      <c r="C1529" s="1"/>
      <c r="D1529" s="1"/>
      <c r="E1529" s="1" t="str">
        <f>IFERROR(__xludf.DUMMYFUNCTION("""COMPUTED_VALUE"""),"-")</f>
        <v>-</v>
      </c>
      <c r="F1529" s="1"/>
      <c r="G1529" s="1" t="str">
        <f>IFERROR(__xludf.DUMMYFUNCTION("""COMPUTED_VALUE"""),"-")</f>
        <v>-</v>
      </c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1"/>
      <c r="B1530" s="1"/>
      <c r="C1530" s="1"/>
      <c r="D1530" s="1"/>
      <c r="E1530" s="1" t="str">
        <f>IFERROR(__xludf.DUMMYFUNCTION("""COMPUTED_VALUE"""),"-")</f>
        <v>-</v>
      </c>
      <c r="F1530" s="1"/>
      <c r="G1530" s="1" t="str">
        <f>IFERROR(__xludf.DUMMYFUNCTION("""COMPUTED_VALUE"""),"-")</f>
        <v>-</v>
      </c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"/>
      <c r="B1531" s="1"/>
      <c r="C1531" s="1"/>
      <c r="D1531" s="1"/>
      <c r="E1531" s="1" t="str">
        <f>IFERROR(__xludf.DUMMYFUNCTION("""COMPUTED_VALUE"""),"-")</f>
        <v>-</v>
      </c>
      <c r="F1531" s="1"/>
      <c r="G1531" s="1" t="str">
        <f>IFERROR(__xludf.DUMMYFUNCTION("""COMPUTED_VALUE"""),"-")</f>
        <v>-</v>
      </c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1"/>
      <c r="B1532" s="1"/>
      <c r="C1532" s="1"/>
      <c r="D1532" s="1"/>
      <c r="E1532" s="1" t="str">
        <f>IFERROR(__xludf.DUMMYFUNCTION("""COMPUTED_VALUE"""),"-")</f>
        <v>-</v>
      </c>
      <c r="F1532" s="1"/>
      <c r="G1532" s="1" t="str">
        <f>IFERROR(__xludf.DUMMYFUNCTION("""COMPUTED_VALUE"""),"-")</f>
        <v>-</v>
      </c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1"/>
      <c r="B1533" s="1"/>
      <c r="C1533" s="1"/>
      <c r="D1533" s="1"/>
      <c r="E1533" s="1" t="str">
        <f>IFERROR(__xludf.DUMMYFUNCTION("""COMPUTED_VALUE"""),"-")</f>
        <v>-</v>
      </c>
      <c r="F1533" s="1"/>
      <c r="G1533" s="1" t="str">
        <f>IFERROR(__xludf.DUMMYFUNCTION("""COMPUTED_VALUE"""),"-")</f>
        <v>-</v>
      </c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1"/>
      <c r="B1534" s="1"/>
      <c r="C1534" s="1"/>
      <c r="D1534" s="1"/>
      <c r="E1534" s="1" t="str">
        <f>IFERROR(__xludf.DUMMYFUNCTION("""COMPUTED_VALUE"""),"-")</f>
        <v>-</v>
      </c>
      <c r="F1534" s="1"/>
      <c r="G1534" s="1" t="str">
        <f>IFERROR(__xludf.DUMMYFUNCTION("""COMPUTED_VALUE"""),"-")</f>
        <v>-</v>
      </c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1"/>
      <c r="B1535" s="1"/>
      <c r="C1535" s="1"/>
      <c r="D1535" s="1"/>
      <c r="E1535" s="1" t="str">
        <f>IFERROR(__xludf.DUMMYFUNCTION("""COMPUTED_VALUE"""),"-")</f>
        <v>-</v>
      </c>
      <c r="F1535" s="1"/>
      <c r="G1535" s="1" t="str">
        <f>IFERROR(__xludf.DUMMYFUNCTION("""COMPUTED_VALUE"""),"-")</f>
        <v>-</v>
      </c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1"/>
      <c r="B1536" s="1"/>
      <c r="C1536" s="1"/>
      <c r="D1536" s="1"/>
      <c r="E1536" s="1" t="str">
        <f>IFERROR(__xludf.DUMMYFUNCTION("""COMPUTED_VALUE"""),"-")</f>
        <v>-</v>
      </c>
      <c r="F1536" s="1"/>
      <c r="G1536" s="1" t="str">
        <f>IFERROR(__xludf.DUMMYFUNCTION("""COMPUTED_VALUE"""),"-")</f>
        <v>-</v>
      </c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1"/>
      <c r="B1537" s="1"/>
      <c r="C1537" s="1"/>
      <c r="D1537" s="1"/>
      <c r="E1537" s="1" t="str">
        <f>IFERROR(__xludf.DUMMYFUNCTION("""COMPUTED_VALUE"""),"-")</f>
        <v>-</v>
      </c>
      <c r="F1537" s="1"/>
      <c r="G1537" s="1" t="str">
        <f>IFERROR(__xludf.DUMMYFUNCTION("""COMPUTED_VALUE"""),"-")</f>
        <v>-</v>
      </c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1"/>
      <c r="B1538" s="1"/>
      <c r="C1538" s="1"/>
      <c r="D1538" s="1"/>
      <c r="E1538" s="1" t="str">
        <f>IFERROR(__xludf.DUMMYFUNCTION("""COMPUTED_VALUE"""),"-")</f>
        <v>-</v>
      </c>
      <c r="F1538" s="1"/>
      <c r="G1538" s="1" t="str">
        <f>IFERROR(__xludf.DUMMYFUNCTION("""COMPUTED_VALUE"""),"-")</f>
        <v>-</v>
      </c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1"/>
      <c r="B1539" s="1"/>
      <c r="C1539" s="1"/>
      <c r="D1539" s="1"/>
      <c r="E1539" s="1" t="str">
        <f>IFERROR(__xludf.DUMMYFUNCTION("""COMPUTED_VALUE"""),"-")</f>
        <v>-</v>
      </c>
      <c r="F1539" s="1"/>
      <c r="G1539" s="1" t="str">
        <f>IFERROR(__xludf.DUMMYFUNCTION("""COMPUTED_VALUE"""),"-")</f>
        <v>-</v>
      </c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1"/>
      <c r="B1540" s="1"/>
      <c r="C1540" s="1"/>
      <c r="D1540" s="1"/>
      <c r="E1540" s="1" t="str">
        <f>IFERROR(__xludf.DUMMYFUNCTION("""COMPUTED_VALUE"""),"-")</f>
        <v>-</v>
      </c>
      <c r="F1540" s="1"/>
      <c r="G1540" s="1" t="str">
        <f>IFERROR(__xludf.DUMMYFUNCTION("""COMPUTED_VALUE"""),"-")</f>
        <v>-</v>
      </c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1"/>
      <c r="B1541" s="1"/>
      <c r="C1541" s="1"/>
      <c r="D1541" s="1"/>
      <c r="E1541" s="1" t="str">
        <f>IFERROR(__xludf.DUMMYFUNCTION("""COMPUTED_VALUE"""),"-")</f>
        <v>-</v>
      </c>
      <c r="F1541" s="1"/>
      <c r="G1541" s="1" t="str">
        <f>IFERROR(__xludf.DUMMYFUNCTION("""COMPUTED_VALUE"""),"-")</f>
        <v>-</v>
      </c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1"/>
      <c r="B1542" s="1"/>
      <c r="C1542" s="1"/>
      <c r="D1542" s="1"/>
      <c r="E1542" s="1" t="str">
        <f>IFERROR(__xludf.DUMMYFUNCTION("""COMPUTED_VALUE"""),"-")</f>
        <v>-</v>
      </c>
      <c r="F1542" s="1"/>
      <c r="G1542" s="1" t="str">
        <f>IFERROR(__xludf.DUMMYFUNCTION("""COMPUTED_VALUE"""),"-")</f>
        <v>-</v>
      </c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1"/>
      <c r="B1543" s="1"/>
      <c r="C1543" s="1"/>
      <c r="D1543" s="1"/>
      <c r="E1543" s="1" t="str">
        <f>IFERROR(__xludf.DUMMYFUNCTION("""COMPUTED_VALUE"""),"-")</f>
        <v>-</v>
      </c>
      <c r="F1543" s="1"/>
      <c r="G1543" s="1" t="str">
        <f>IFERROR(__xludf.DUMMYFUNCTION("""COMPUTED_VALUE"""),"-")</f>
        <v>-</v>
      </c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1"/>
      <c r="B1544" s="1"/>
      <c r="C1544" s="1"/>
      <c r="D1544" s="1"/>
      <c r="E1544" s="1" t="str">
        <f>IFERROR(__xludf.DUMMYFUNCTION("""COMPUTED_VALUE"""),"-")</f>
        <v>-</v>
      </c>
      <c r="F1544" s="1"/>
      <c r="G1544" s="1" t="str">
        <f>IFERROR(__xludf.DUMMYFUNCTION("""COMPUTED_VALUE"""),"-")</f>
        <v>-</v>
      </c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1"/>
      <c r="B1545" s="1"/>
      <c r="C1545" s="1"/>
      <c r="D1545" s="1"/>
      <c r="E1545" s="1" t="str">
        <f>IFERROR(__xludf.DUMMYFUNCTION("""COMPUTED_VALUE"""),"-")</f>
        <v>-</v>
      </c>
      <c r="F1545" s="1"/>
      <c r="G1545" s="1" t="str">
        <f>IFERROR(__xludf.DUMMYFUNCTION("""COMPUTED_VALUE"""),"-")</f>
        <v>-</v>
      </c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1"/>
      <c r="B1546" s="1"/>
      <c r="C1546" s="1"/>
      <c r="D1546" s="1"/>
      <c r="E1546" s="1" t="str">
        <f>IFERROR(__xludf.DUMMYFUNCTION("""COMPUTED_VALUE"""),"-")</f>
        <v>-</v>
      </c>
      <c r="F1546" s="1"/>
      <c r="G1546" s="1" t="str">
        <f>IFERROR(__xludf.DUMMYFUNCTION("""COMPUTED_VALUE"""),"-")</f>
        <v>-</v>
      </c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1"/>
      <c r="B1547" s="1"/>
      <c r="C1547" s="1"/>
      <c r="D1547" s="1"/>
      <c r="E1547" s="1" t="str">
        <f>IFERROR(__xludf.DUMMYFUNCTION("""COMPUTED_VALUE"""),"-")</f>
        <v>-</v>
      </c>
      <c r="F1547" s="1"/>
      <c r="G1547" s="1" t="str">
        <f>IFERROR(__xludf.DUMMYFUNCTION("""COMPUTED_VALUE"""),"-")</f>
        <v>-</v>
      </c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1"/>
      <c r="B1548" s="1"/>
      <c r="C1548" s="1"/>
      <c r="D1548" s="1"/>
      <c r="E1548" s="1" t="str">
        <f>IFERROR(__xludf.DUMMYFUNCTION("""COMPUTED_VALUE"""),"-")</f>
        <v>-</v>
      </c>
      <c r="F1548" s="1"/>
      <c r="G1548" s="1" t="str">
        <f>IFERROR(__xludf.DUMMYFUNCTION("""COMPUTED_VALUE"""),"-")</f>
        <v>-</v>
      </c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1"/>
      <c r="B1549" s="1"/>
      <c r="C1549" s="1"/>
      <c r="D1549" s="1"/>
      <c r="E1549" s="1" t="str">
        <f>IFERROR(__xludf.DUMMYFUNCTION("""COMPUTED_VALUE"""),"-")</f>
        <v>-</v>
      </c>
      <c r="F1549" s="1"/>
      <c r="G1549" s="1" t="str">
        <f>IFERROR(__xludf.DUMMYFUNCTION("""COMPUTED_VALUE"""),"-")</f>
        <v>-</v>
      </c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1"/>
      <c r="B1550" s="1"/>
      <c r="C1550" s="1"/>
      <c r="D1550" s="1"/>
      <c r="E1550" s="1" t="str">
        <f>IFERROR(__xludf.DUMMYFUNCTION("""COMPUTED_VALUE"""),"-")</f>
        <v>-</v>
      </c>
      <c r="F1550" s="1"/>
      <c r="G1550" s="1" t="str">
        <f>IFERROR(__xludf.DUMMYFUNCTION("""COMPUTED_VALUE"""),"-")</f>
        <v>-</v>
      </c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"/>
      <c r="B1551" s="1"/>
      <c r="C1551" s="1"/>
      <c r="D1551" s="1"/>
      <c r="E1551" s="1" t="str">
        <f>IFERROR(__xludf.DUMMYFUNCTION("""COMPUTED_VALUE"""),"-")</f>
        <v>-</v>
      </c>
      <c r="F1551" s="1"/>
      <c r="G1551" s="1" t="str">
        <f>IFERROR(__xludf.DUMMYFUNCTION("""COMPUTED_VALUE"""),"-")</f>
        <v>-</v>
      </c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1"/>
      <c r="B1552" s="1"/>
      <c r="C1552" s="1"/>
      <c r="D1552" s="1"/>
      <c r="E1552" s="1" t="str">
        <f>IFERROR(__xludf.DUMMYFUNCTION("""COMPUTED_VALUE"""),"-")</f>
        <v>-</v>
      </c>
      <c r="F1552" s="1"/>
      <c r="G1552" s="1" t="str">
        <f>IFERROR(__xludf.DUMMYFUNCTION("""COMPUTED_VALUE"""),"-")</f>
        <v>-</v>
      </c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1"/>
      <c r="B1553" s="1"/>
      <c r="C1553" s="1"/>
      <c r="D1553" s="1"/>
      <c r="E1553" s="1" t="str">
        <f>IFERROR(__xludf.DUMMYFUNCTION("""COMPUTED_VALUE"""),"-")</f>
        <v>-</v>
      </c>
      <c r="F1553" s="1"/>
      <c r="G1553" s="1" t="str">
        <f>IFERROR(__xludf.DUMMYFUNCTION("""COMPUTED_VALUE"""),"-")</f>
        <v>-</v>
      </c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1"/>
      <c r="B1554" s="1"/>
      <c r="C1554" s="1"/>
      <c r="D1554" s="1"/>
      <c r="E1554" s="1" t="str">
        <f>IFERROR(__xludf.DUMMYFUNCTION("""COMPUTED_VALUE"""),"-")</f>
        <v>-</v>
      </c>
      <c r="F1554" s="1"/>
      <c r="G1554" s="1" t="str">
        <f>IFERROR(__xludf.DUMMYFUNCTION("""COMPUTED_VALUE"""),"-")</f>
        <v>-</v>
      </c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1"/>
      <c r="B1555" s="1"/>
      <c r="C1555" s="1"/>
      <c r="D1555" s="1"/>
      <c r="E1555" s="1" t="str">
        <f>IFERROR(__xludf.DUMMYFUNCTION("""COMPUTED_VALUE"""),"-")</f>
        <v>-</v>
      </c>
      <c r="F1555" s="1"/>
      <c r="G1555" s="1" t="str">
        <f>IFERROR(__xludf.DUMMYFUNCTION("""COMPUTED_VALUE"""),"-")</f>
        <v>-</v>
      </c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1"/>
      <c r="B1556" s="1"/>
      <c r="C1556" s="1"/>
      <c r="D1556" s="1"/>
      <c r="E1556" s="1" t="str">
        <f>IFERROR(__xludf.DUMMYFUNCTION("""COMPUTED_VALUE"""),"-")</f>
        <v>-</v>
      </c>
      <c r="F1556" s="1"/>
      <c r="G1556" s="1" t="str">
        <f>IFERROR(__xludf.DUMMYFUNCTION("""COMPUTED_VALUE"""),"-")</f>
        <v>-</v>
      </c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1"/>
      <c r="B1557" s="1"/>
      <c r="C1557" s="1"/>
      <c r="D1557" s="1"/>
      <c r="E1557" s="1" t="str">
        <f>IFERROR(__xludf.DUMMYFUNCTION("""COMPUTED_VALUE"""),"-")</f>
        <v>-</v>
      </c>
      <c r="F1557" s="1"/>
      <c r="G1557" s="1" t="str">
        <f>IFERROR(__xludf.DUMMYFUNCTION("""COMPUTED_VALUE"""),"-")</f>
        <v>-</v>
      </c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1"/>
      <c r="B1558" s="1"/>
      <c r="C1558" s="1"/>
      <c r="D1558" s="1"/>
      <c r="E1558" s="1" t="str">
        <f>IFERROR(__xludf.DUMMYFUNCTION("""COMPUTED_VALUE"""),"-")</f>
        <v>-</v>
      </c>
      <c r="F1558" s="1"/>
      <c r="G1558" s="1" t="str">
        <f>IFERROR(__xludf.DUMMYFUNCTION("""COMPUTED_VALUE"""),"-")</f>
        <v>-</v>
      </c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1"/>
      <c r="B1559" s="1"/>
      <c r="C1559" s="1"/>
      <c r="D1559" s="1"/>
      <c r="E1559" s="1" t="str">
        <f>IFERROR(__xludf.DUMMYFUNCTION("""COMPUTED_VALUE"""),"-")</f>
        <v>-</v>
      </c>
      <c r="F1559" s="1"/>
      <c r="G1559" s="1" t="str">
        <f>IFERROR(__xludf.DUMMYFUNCTION("""COMPUTED_VALUE"""),"-")</f>
        <v>-</v>
      </c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1"/>
      <c r="B1560" s="1"/>
      <c r="C1560" s="1"/>
      <c r="D1560" s="1"/>
      <c r="E1560" s="1" t="str">
        <f>IFERROR(__xludf.DUMMYFUNCTION("""COMPUTED_VALUE"""),"-")</f>
        <v>-</v>
      </c>
      <c r="F1560" s="1"/>
      <c r="G1560" s="1" t="str">
        <f>IFERROR(__xludf.DUMMYFUNCTION("""COMPUTED_VALUE"""),"-")</f>
        <v>-</v>
      </c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1"/>
      <c r="B1561" s="1"/>
      <c r="C1561" s="1"/>
      <c r="D1561" s="1"/>
      <c r="E1561" s="1" t="str">
        <f>IFERROR(__xludf.DUMMYFUNCTION("""COMPUTED_VALUE"""),"-")</f>
        <v>-</v>
      </c>
      <c r="F1561" s="1"/>
      <c r="G1561" s="1" t="str">
        <f>IFERROR(__xludf.DUMMYFUNCTION("""COMPUTED_VALUE"""),"-")</f>
        <v>-</v>
      </c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1"/>
      <c r="B1562" s="1"/>
      <c r="C1562" s="1"/>
      <c r="D1562" s="1"/>
      <c r="E1562" s="1" t="str">
        <f>IFERROR(__xludf.DUMMYFUNCTION("""COMPUTED_VALUE"""),"-")</f>
        <v>-</v>
      </c>
      <c r="F1562" s="1"/>
      <c r="G1562" s="1" t="str">
        <f>IFERROR(__xludf.DUMMYFUNCTION("""COMPUTED_VALUE"""),"-")</f>
        <v>-</v>
      </c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1"/>
      <c r="B1563" s="1"/>
      <c r="C1563" s="1"/>
      <c r="D1563" s="1"/>
      <c r="E1563" s="1" t="str">
        <f>IFERROR(__xludf.DUMMYFUNCTION("""COMPUTED_VALUE"""),"-")</f>
        <v>-</v>
      </c>
      <c r="F1563" s="1"/>
      <c r="G1563" s="1" t="str">
        <f>IFERROR(__xludf.DUMMYFUNCTION("""COMPUTED_VALUE"""),"-")</f>
        <v>-</v>
      </c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1"/>
      <c r="B1564" s="1"/>
      <c r="C1564" s="1"/>
      <c r="D1564" s="1"/>
      <c r="E1564" s="1" t="str">
        <f>IFERROR(__xludf.DUMMYFUNCTION("""COMPUTED_VALUE"""),"-")</f>
        <v>-</v>
      </c>
      <c r="F1564" s="1"/>
      <c r="G1564" s="1" t="str">
        <f>IFERROR(__xludf.DUMMYFUNCTION("""COMPUTED_VALUE"""),"-")</f>
        <v>-</v>
      </c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1"/>
      <c r="B1565" s="1"/>
      <c r="C1565" s="1"/>
      <c r="D1565" s="1"/>
      <c r="E1565" s="1" t="str">
        <f>IFERROR(__xludf.DUMMYFUNCTION("""COMPUTED_VALUE"""),"-")</f>
        <v>-</v>
      </c>
      <c r="F1565" s="1"/>
      <c r="G1565" s="1" t="str">
        <f>IFERROR(__xludf.DUMMYFUNCTION("""COMPUTED_VALUE"""),"-")</f>
        <v>-</v>
      </c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1"/>
      <c r="B1566" s="1"/>
      <c r="C1566" s="1"/>
      <c r="D1566" s="1"/>
      <c r="E1566" s="1" t="str">
        <f>IFERROR(__xludf.DUMMYFUNCTION("""COMPUTED_VALUE"""),"-")</f>
        <v>-</v>
      </c>
      <c r="F1566" s="1"/>
      <c r="G1566" s="1" t="str">
        <f>IFERROR(__xludf.DUMMYFUNCTION("""COMPUTED_VALUE"""),"-")</f>
        <v>-</v>
      </c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1"/>
      <c r="B1567" s="1"/>
      <c r="C1567" s="1"/>
      <c r="D1567" s="1"/>
      <c r="E1567" s="1" t="str">
        <f>IFERROR(__xludf.DUMMYFUNCTION("""COMPUTED_VALUE"""),"-")</f>
        <v>-</v>
      </c>
      <c r="F1567" s="1"/>
      <c r="G1567" s="1" t="str">
        <f>IFERROR(__xludf.DUMMYFUNCTION("""COMPUTED_VALUE"""),"-")</f>
        <v>-</v>
      </c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1"/>
      <c r="B1568" s="1"/>
      <c r="C1568" s="1"/>
      <c r="D1568" s="1"/>
      <c r="E1568" s="1" t="str">
        <f>IFERROR(__xludf.DUMMYFUNCTION("""COMPUTED_VALUE"""),"-")</f>
        <v>-</v>
      </c>
      <c r="F1568" s="1"/>
      <c r="G1568" s="1" t="str">
        <f>IFERROR(__xludf.DUMMYFUNCTION("""COMPUTED_VALUE"""),"-")</f>
        <v>-</v>
      </c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1"/>
      <c r="B1569" s="1"/>
      <c r="C1569" s="1"/>
      <c r="D1569" s="1"/>
      <c r="E1569" s="1" t="str">
        <f>IFERROR(__xludf.DUMMYFUNCTION("""COMPUTED_VALUE"""),"-")</f>
        <v>-</v>
      </c>
      <c r="F1569" s="1"/>
      <c r="G1569" s="1" t="str">
        <f>IFERROR(__xludf.DUMMYFUNCTION("""COMPUTED_VALUE"""),"-")</f>
        <v>-</v>
      </c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"/>
      <c r="B1570" s="1"/>
      <c r="C1570" s="1"/>
      <c r="D1570" s="1"/>
      <c r="E1570" s="1" t="str">
        <f>IFERROR(__xludf.DUMMYFUNCTION("""COMPUTED_VALUE"""),"-")</f>
        <v>-</v>
      </c>
      <c r="F1570" s="1"/>
      <c r="G1570" s="1" t="str">
        <f>IFERROR(__xludf.DUMMYFUNCTION("""COMPUTED_VALUE"""),"-")</f>
        <v>-</v>
      </c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1"/>
      <c r="B1571" s="1"/>
      <c r="C1571" s="1"/>
      <c r="D1571" s="1"/>
      <c r="E1571" s="1" t="str">
        <f>IFERROR(__xludf.DUMMYFUNCTION("""COMPUTED_VALUE"""),"-")</f>
        <v>-</v>
      </c>
      <c r="F1571" s="1"/>
      <c r="G1571" s="1" t="str">
        <f>IFERROR(__xludf.DUMMYFUNCTION("""COMPUTED_VALUE"""),"-")</f>
        <v>-</v>
      </c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1"/>
      <c r="B1572" s="1"/>
      <c r="C1572" s="1"/>
      <c r="D1572" s="1"/>
      <c r="E1572" s="1" t="str">
        <f>IFERROR(__xludf.DUMMYFUNCTION("""COMPUTED_VALUE"""),"-")</f>
        <v>-</v>
      </c>
      <c r="F1572" s="1"/>
      <c r="G1572" s="1" t="str">
        <f>IFERROR(__xludf.DUMMYFUNCTION("""COMPUTED_VALUE"""),"-")</f>
        <v>-</v>
      </c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1"/>
      <c r="B1573" s="1"/>
      <c r="C1573" s="1"/>
      <c r="D1573" s="1"/>
      <c r="E1573" s="1" t="str">
        <f>IFERROR(__xludf.DUMMYFUNCTION("""COMPUTED_VALUE"""),"-")</f>
        <v>-</v>
      </c>
      <c r="F1573" s="1"/>
      <c r="G1573" s="1" t="str">
        <f>IFERROR(__xludf.DUMMYFUNCTION("""COMPUTED_VALUE"""),"-")</f>
        <v>-</v>
      </c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1"/>
      <c r="B1574" s="1"/>
      <c r="C1574" s="1"/>
      <c r="D1574" s="1"/>
      <c r="E1574" s="1" t="str">
        <f>IFERROR(__xludf.DUMMYFUNCTION("""COMPUTED_VALUE"""),"-")</f>
        <v>-</v>
      </c>
      <c r="F1574" s="1"/>
      <c r="G1574" s="1" t="str">
        <f>IFERROR(__xludf.DUMMYFUNCTION("""COMPUTED_VALUE"""),"-")</f>
        <v>-</v>
      </c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1"/>
      <c r="B1575" s="1"/>
      <c r="C1575" s="1"/>
      <c r="D1575" s="1"/>
      <c r="E1575" s="1" t="str">
        <f>IFERROR(__xludf.DUMMYFUNCTION("""COMPUTED_VALUE"""),"-")</f>
        <v>-</v>
      </c>
      <c r="F1575" s="1"/>
      <c r="G1575" s="1" t="str">
        <f>IFERROR(__xludf.DUMMYFUNCTION("""COMPUTED_VALUE"""),"-")</f>
        <v>-</v>
      </c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"/>
      <c r="B1576" s="1"/>
      <c r="C1576" s="1"/>
      <c r="D1576" s="1"/>
      <c r="E1576" s="1" t="str">
        <f>IFERROR(__xludf.DUMMYFUNCTION("""COMPUTED_VALUE"""),"-")</f>
        <v>-</v>
      </c>
      <c r="F1576" s="1"/>
      <c r="G1576" s="1" t="str">
        <f>IFERROR(__xludf.DUMMYFUNCTION("""COMPUTED_VALUE"""),"-")</f>
        <v>-</v>
      </c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1"/>
      <c r="B1577" s="1"/>
      <c r="C1577" s="1"/>
      <c r="D1577" s="1"/>
      <c r="E1577" s="1" t="str">
        <f>IFERROR(__xludf.DUMMYFUNCTION("""COMPUTED_VALUE"""),"-")</f>
        <v>-</v>
      </c>
      <c r="F1577" s="1"/>
      <c r="G1577" s="1" t="str">
        <f>IFERROR(__xludf.DUMMYFUNCTION("""COMPUTED_VALUE"""),"-")</f>
        <v>-</v>
      </c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"/>
      <c r="B1578" s="1"/>
      <c r="C1578" s="1"/>
      <c r="D1578" s="1"/>
      <c r="E1578" s="1" t="str">
        <f>IFERROR(__xludf.DUMMYFUNCTION("""COMPUTED_VALUE"""),"-")</f>
        <v>-</v>
      </c>
      <c r="F1578" s="1"/>
      <c r="G1578" s="1" t="str">
        <f>IFERROR(__xludf.DUMMYFUNCTION("""COMPUTED_VALUE"""),"-")</f>
        <v>-</v>
      </c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"/>
      <c r="B1579" s="1"/>
      <c r="C1579" s="1"/>
      <c r="D1579" s="1"/>
      <c r="E1579" s="1" t="str">
        <f>IFERROR(__xludf.DUMMYFUNCTION("""COMPUTED_VALUE"""),"-")</f>
        <v>-</v>
      </c>
      <c r="F1579" s="1"/>
      <c r="G1579" s="1" t="str">
        <f>IFERROR(__xludf.DUMMYFUNCTION("""COMPUTED_VALUE"""),"-")</f>
        <v>-</v>
      </c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1"/>
      <c r="B1580" s="1"/>
      <c r="C1580" s="1"/>
      <c r="D1580" s="1"/>
      <c r="E1580" s="1" t="str">
        <f>IFERROR(__xludf.DUMMYFUNCTION("""COMPUTED_VALUE"""),"-")</f>
        <v>-</v>
      </c>
      <c r="F1580" s="1"/>
      <c r="G1580" s="1" t="str">
        <f>IFERROR(__xludf.DUMMYFUNCTION("""COMPUTED_VALUE"""),"-")</f>
        <v>-</v>
      </c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"/>
      <c r="B1581" s="1"/>
      <c r="C1581" s="1"/>
      <c r="D1581" s="1"/>
      <c r="E1581" s="1" t="str">
        <f>IFERROR(__xludf.DUMMYFUNCTION("""COMPUTED_VALUE"""),"-")</f>
        <v>-</v>
      </c>
      <c r="F1581" s="1"/>
      <c r="G1581" s="1" t="str">
        <f>IFERROR(__xludf.DUMMYFUNCTION("""COMPUTED_VALUE"""),"-")</f>
        <v>-</v>
      </c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1"/>
      <c r="B1582" s="1"/>
      <c r="C1582" s="1"/>
      <c r="D1582" s="1"/>
      <c r="E1582" s="1" t="str">
        <f>IFERROR(__xludf.DUMMYFUNCTION("""COMPUTED_VALUE"""),"-")</f>
        <v>-</v>
      </c>
      <c r="F1582" s="1"/>
      <c r="G1582" s="1" t="str">
        <f>IFERROR(__xludf.DUMMYFUNCTION("""COMPUTED_VALUE"""),"-")</f>
        <v>-</v>
      </c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"/>
      <c r="B1583" s="1"/>
      <c r="C1583" s="1"/>
      <c r="D1583" s="1"/>
      <c r="E1583" s="1" t="str">
        <f>IFERROR(__xludf.DUMMYFUNCTION("""COMPUTED_VALUE"""),"-")</f>
        <v>-</v>
      </c>
      <c r="F1583" s="1"/>
      <c r="G1583" s="1" t="str">
        <f>IFERROR(__xludf.DUMMYFUNCTION("""COMPUTED_VALUE"""),"-")</f>
        <v>-</v>
      </c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"/>
      <c r="B1584" s="1"/>
      <c r="C1584" s="1"/>
      <c r="D1584" s="1"/>
      <c r="E1584" s="1" t="str">
        <f>IFERROR(__xludf.DUMMYFUNCTION("""COMPUTED_VALUE"""),"-")</f>
        <v>-</v>
      </c>
      <c r="F1584" s="1"/>
      <c r="G1584" s="1" t="str">
        <f>IFERROR(__xludf.DUMMYFUNCTION("""COMPUTED_VALUE"""),"-")</f>
        <v>-</v>
      </c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"/>
      <c r="B1585" s="1"/>
      <c r="C1585" s="1"/>
      <c r="D1585" s="1"/>
      <c r="E1585" s="1" t="str">
        <f>IFERROR(__xludf.DUMMYFUNCTION("""COMPUTED_VALUE"""),"-")</f>
        <v>-</v>
      </c>
      <c r="F1585" s="1"/>
      <c r="G1585" s="1" t="str">
        <f>IFERROR(__xludf.DUMMYFUNCTION("""COMPUTED_VALUE"""),"-")</f>
        <v>-</v>
      </c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1"/>
      <c r="B1586" s="1"/>
      <c r="C1586" s="1"/>
      <c r="D1586" s="1"/>
      <c r="E1586" s="1" t="str">
        <f>IFERROR(__xludf.DUMMYFUNCTION("""COMPUTED_VALUE"""),"-")</f>
        <v>-</v>
      </c>
      <c r="F1586" s="1"/>
      <c r="G1586" s="1" t="str">
        <f>IFERROR(__xludf.DUMMYFUNCTION("""COMPUTED_VALUE"""),"-")</f>
        <v>-</v>
      </c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1"/>
      <c r="B1587" s="1"/>
      <c r="C1587" s="1"/>
      <c r="D1587" s="1"/>
      <c r="E1587" s="1" t="str">
        <f>IFERROR(__xludf.DUMMYFUNCTION("""COMPUTED_VALUE"""),"-")</f>
        <v>-</v>
      </c>
      <c r="F1587" s="1"/>
      <c r="G1587" s="1" t="str">
        <f>IFERROR(__xludf.DUMMYFUNCTION("""COMPUTED_VALUE"""),"-")</f>
        <v>-</v>
      </c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1"/>
      <c r="B1588" s="1"/>
      <c r="C1588" s="1"/>
      <c r="D1588" s="1"/>
      <c r="E1588" s="1" t="str">
        <f>IFERROR(__xludf.DUMMYFUNCTION("""COMPUTED_VALUE"""),"-")</f>
        <v>-</v>
      </c>
      <c r="F1588" s="1"/>
      <c r="G1588" s="1" t="str">
        <f>IFERROR(__xludf.DUMMYFUNCTION("""COMPUTED_VALUE"""),"-")</f>
        <v>-</v>
      </c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"/>
      <c r="B1589" s="1"/>
      <c r="C1589" s="1"/>
      <c r="D1589" s="1"/>
      <c r="E1589" s="1" t="str">
        <f>IFERROR(__xludf.DUMMYFUNCTION("""COMPUTED_VALUE"""),"-")</f>
        <v>-</v>
      </c>
      <c r="F1589" s="1"/>
      <c r="G1589" s="1" t="str">
        <f>IFERROR(__xludf.DUMMYFUNCTION("""COMPUTED_VALUE"""),"-")</f>
        <v>-</v>
      </c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1"/>
      <c r="B1590" s="1"/>
      <c r="C1590" s="1"/>
      <c r="D1590" s="1"/>
      <c r="E1590" s="1" t="str">
        <f>IFERROR(__xludf.DUMMYFUNCTION("""COMPUTED_VALUE"""),"-")</f>
        <v>-</v>
      </c>
      <c r="F1590" s="1"/>
      <c r="G1590" s="1" t="str">
        <f>IFERROR(__xludf.DUMMYFUNCTION("""COMPUTED_VALUE"""),"-")</f>
        <v>-</v>
      </c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1"/>
      <c r="B1591" s="1"/>
      <c r="C1591" s="1"/>
      <c r="D1591" s="1"/>
      <c r="E1591" s="1" t="str">
        <f>IFERROR(__xludf.DUMMYFUNCTION("""COMPUTED_VALUE"""),"-")</f>
        <v>-</v>
      </c>
      <c r="F1591" s="1"/>
      <c r="G1591" s="1" t="str">
        <f>IFERROR(__xludf.DUMMYFUNCTION("""COMPUTED_VALUE"""),"-")</f>
        <v>-</v>
      </c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1"/>
      <c r="B1592" s="1"/>
      <c r="C1592" s="1"/>
      <c r="D1592" s="1"/>
      <c r="E1592" s="1" t="str">
        <f>IFERROR(__xludf.DUMMYFUNCTION("""COMPUTED_VALUE"""),"-")</f>
        <v>-</v>
      </c>
      <c r="F1592" s="1"/>
      <c r="G1592" s="1" t="str">
        <f>IFERROR(__xludf.DUMMYFUNCTION("""COMPUTED_VALUE"""),"-")</f>
        <v>-</v>
      </c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1"/>
      <c r="B1593" s="1"/>
      <c r="C1593" s="1"/>
      <c r="D1593" s="1"/>
      <c r="E1593" s="1" t="str">
        <f>IFERROR(__xludf.DUMMYFUNCTION("""COMPUTED_VALUE"""),"-")</f>
        <v>-</v>
      </c>
      <c r="F1593" s="1"/>
      <c r="G1593" s="1" t="str">
        <f>IFERROR(__xludf.DUMMYFUNCTION("""COMPUTED_VALUE"""),"-")</f>
        <v>-</v>
      </c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"/>
      <c r="B1594" s="1"/>
      <c r="C1594" s="1"/>
      <c r="D1594" s="1"/>
      <c r="E1594" s="1" t="str">
        <f>IFERROR(__xludf.DUMMYFUNCTION("""COMPUTED_VALUE"""),"-")</f>
        <v>-</v>
      </c>
      <c r="F1594" s="1"/>
      <c r="G1594" s="1" t="str">
        <f>IFERROR(__xludf.DUMMYFUNCTION("""COMPUTED_VALUE"""),"-")</f>
        <v>-</v>
      </c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1"/>
      <c r="B1595" s="1"/>
      <c r="C1595" s="1"/>
      <c r="D1595" s="1"/>
      <c r="E1595" s="1" t="str">
        <f>IFERROR(__xludf.DUMMYFUNCTION("""COMPUTED_VALUE"""),"-")</f>
        <v>-</v>
      </c>
      <c r="F1595" s="1"/>
      <c r="G1595" s="1" t="str">
        <f>IFERROR(__xludf.DUMMYFUNCTION("""COMPUTED_VALUE"""),"-")</f>
        <v>-</v>
      </c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1"/>
      <c r="B1596" s="1"/>
      <c r="C1596" s="1"/>
      <c r="D1596" s="1"/>
      <c r="E1596" s="1" t="str">
        <f>IFERROR(__xludf.DUMMYFUNCTION("""COMPUTED_VALUE"""),"-")</f>
        <v>-</v>
      </c>
      <c r="F1596" s="1"/>
      <c r="G1596" s="1" t="str">
        <f>IFERROR(__xludf.DUMMYFUNCTION("""COMPUTED_VALUE"""),"-")</f>
        <v>-</v>
      </c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1"/>
      <c r="B1597" s="1"/>
      <c r="C1597" s="1"/>
      <c r="D1597" s="1"/>
      <c r="E1597" s="1" t="str">
        <f>IFERROR(__xludf.DUMMYFUNCTION("""COMPUTED_VALUE"""),"-")</f>
        <v>-</v>
      </c>
      <c r="F1597" s="1"/>
      <c r="G1597" s="1" t="str">
        <f>IFERROR(__xludf.DUMMYFUNCTION("""COMPUTED_VALUE"""),"-")</f>
        <v>-</v>
      </c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1"/>
      <c r="B1598" s="1"/>
      <c r="C1598" s="1"/>
      <c r="D1598" s="1"/>
      <c r="E1598" s="1" t="str">
        <f>IFERROR(__xludf.DUMMYFUNCTION("""COMPUTED_VALUE"""),"-")</f>
        <v>-</v>
      </c>
      <c r="F1598" s="1"/>
      <c r="G1598" s="1" t="str">
        <f>IFERROR(__xludf.DUMMYFUNCTION("""COMPUTED_VALUE"""),"-")</f>
        <v>-</v>
      </c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"/>
      <c r="B1599" s="1"/>
      <c r="C1599" s="1"/>
      <c r="D1599" s="1"/>
      <c r="E1599" s="1" t="str">
        <f>IFERROR(__xludf.DUMMYFUNCTION("""COMPUTED_VALUE"""),"-")</f>
        <v>-</v>
      </c>
      <c r="F1599" s="1"/>
      <c r="G1599" s="1" t="str">
        <f>IFERROR(__xludf.DUMMYFUNCTION("""COMPUTED_VALUE"""),"-")</f>
        <v>-</v>
      </c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1"/>
      <c r="B1600" s="1"/>
      <c r="C1600" s="1"/>
      <c r="D1600" s="1"/>
      <c r="E1600" s="1" t="str">
        <f>IFERROR(__xludf.DUMMYFUNCTION("""COMPUTED_VALUE"""),"-")</f>
        <v>-</v>
      </c>
      <c r="F1600" s="1"/>
      <c r="G1600" s="1" t="str">
        <f>IFERROR(__xludf.DUMMYFUNCTION("""COMPUTED_VALUE"""),"-")</f>
        <v>-</v>
      </c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1"/>
      <c r="B1601" s="1"/>
      <c r="C1601" s="1"/>
      <c r="D1601" s="1"/>
      <c r="E1601" s="1" t="str">
        <f>IFERROR(__xludf.DUMMYFUNCTION("""COMPUTED_VALUE"""),"-")</f>
        <v>-</v>
      </c>
      <c r="F1601" s="1"/>
      <c r="G1601" s="1" t="str">
        <f>IFERROR(__xludf.DUMMYFUNCTION("""COMPUTED_VALUE"""),"-")</f>
        <v>-</v>
      </c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1"/>
      <c r="B1602" s="1"/>
      <c r="C1602" s="1"/>
      <c r="D1602" s="1"/>
      <c r="E1602" s="1" t="str">
        <f>IFERROR(__xludf.DUMMYFUNCTION("""COMPUTED_VALUE"""),"-")</f>
        <v>-</v>
      </c>
      <c r="F1602" s="1"/>
      <c r="G1602" s="1" t="str">
        <f>IFERROR(__xludf.DUMMYFUNCTION("""COMPUTED_VALUE"""),"-")</f>
        <v>-</v>
      </c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1"/>
      <c r="B1603" s="1"/>
      <c r="C1603" s="1"/>
      <c r="D1603" s="1"/>
      <c r="E1603" s="1" t="str">
        <f>IFERROR(__xludf.DUMMYFUNCTION("""COMPUTED_VALUE"""),"-")</f>
        <v>-</v>
      </c>
      <c r="F1603" s="1"/>
      <c r="G1603" s="1" t="str">
        <f>IFERROR(__xludf.DUMMYFUNCTION("""COMPUTED_VALUE"""),"-")</f>
        <v>-</v>
      </c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1"/>
      <c r="B1604" s="1"/>
      <c r="C1604" s="1"/>
      <c r="D1604" s="1"/>
      <c r="E1604" s="1" t="str">
        <f>IFERROR(__xludf.DUMMYFUNCTION("""COMPUTED_VALUE"""),"-")</f>
        <v>-</v>
      </c>
      <c r="F1604" s="1"/>
      <c r="G1604" s="1" t="str">
        <f>IFERROR(__xludf.DUMMYFUNCTION("""COMPUTED_VALUE"""),"-")</f>
        <v>-</v>
      </c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1"/>
      <c r="B1605" s="1"/>
      <c r="C1605" s="1"/>
      <c r="D1605" s="1"/>
      <c r="E1605" s="1" t="str">
        <f>IFERROR(__xludf.DUMMYFUNCTION("""COMPUTED_VALUE"""),"-")</f>
        <v>-</v>
      </c>
      <c r="F1605" s="1"/>
      <c r="G1605" s="1" t="str">
        <f>IFERROR(__xludf.DUMMYFUNCTION("""COMPUTED_VALUE"""),"-")</f>
        <v>-</v>
      </c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1"/>
      <c r="B1606" s="1"/>
      <c r="C1606" s="1"/>
      <c r="D1606" s="1"/>
      <c r="E1606" s="1" t="str">
        <f>IFERROR(__xludf.DUMMYFUNCTION("""COMPUTED_VALUE"""),"-")</f>
        <v>-</v>
      </c>
      <c r="F1606" s="1"/>
      <c r="G1606" s="1" t="str">
        <f>IFERROR(__xludf.DUMMYFUNCTION("""COMPUTED_VALUE"""),"-")</f>
        <v>-</v>
      </c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1"/>
      <c r="B1607" s="1"/>
      <c r="C1607" s="1"/>
      <c r="D1607" s="1"/>
      <c r="E1607" s="1" t="str">
        <f>IFERROR(__xludf.DUMMYFUNCTION("""COMPUTED_VALUE"""),"-")</f>
        <v>-</v>
      </c>
      <c r="F1607" s="1"/>
      <c r="G1607" s="1" t="str">
        <f>IFERROR(__xludf.DUMMYFUNCTION("""COMPUTED_VALUE"""),"-")</f>
        <v>-</v>
      </c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1"/>
      <c r="B1608" s="1"/>
      <c r="C1608" s="1"/>
      <c r="D1608" s="1"/>
      <c r="E1608" s="1" t="str">
        <f>IFERROR(__xludf.DUMMYFUNCTION("""COMPUTED_VALUE"""),"-")</f>
        <v>-</v>
      </c>
      <c r="F1608" s="1"/>
      <c r="G1608" s="1" t="str">
        <f>IFERROR(__xludf.DUMMYFUNCTION("""COMPUTED_VALUE"""),"-")</f>
        <v>-</v>
      </c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1"/>
      <c r="B1609" s="1"/>
      <c r="C1609" s="1"/>
      <c r="D1609" s="1"/>
      <c r="E1609" s="1" t="str">
        <f>IFERROR(__xludf.DUMMYFUNCTION("""COMPUTED_VALUE"""),"-")</f>
        <v>-</v>
      </c>
      <c r="F1609" s="1"/>
      <c r="G1609" s="1" t="str">
        <f>IFERROR(__xludf.DUMMYFUNCTION("""COMPUTED_VALUE"""),"-")</f>
        <v>-</v>
      </c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1"/>
      <c r="B1610" s="1"/>
      <c r="C1610" s="1"/>
      <c r="D1610" s="1"/>
      <c r="E1610" s="1" t="str">
        <f>IFERROR(__xludf.DUMMYFUNCTION("""COMPUTED_VALUE"""),"-")</f>
        <v>-</v>
      </c>
      <c r="F1610" s="1"/>
      <c r="G1610" s="1" t="str">
        <f>IFERROR(__xludf.DUMMYFUNCTION("""COMPUTED_VALUE"""),"-")</f>
        <v>-</v>
      </c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1"/>
      <c r="B1611" s="1"/>
      <c r="C1611" s="1"/>
      <c r="D1611" s="1"/>
      <c r="E1611" s="1" t="str">
        <f>IFERROR(__xludf.DUMMYFUNCTION("""COMPUTED_VALUE"""),"-")</f>
        <v>-</v>
      </c>
      <c r="F1611" s="1"/>
      <c r="G1611" s="1" t="str">
        <f>IFERROR(__xludf.DUMMYFUNCTION("""COMPUTED_VALUE"""),"-")</f>
        <v>-</v>
      </c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1"/>
      <c r="B1612" s="1"/>
      <c r="C1612" s="1"/>
      <c r="D1612" s="1"/>
      <c r="E1612" s="1" t="str">
        <f>IFERROR(__xludf.DUMMYFUNCTION("""COMPUTED_VALUE"""),"-")</f>
        <v>-</v>
      </c>
      <c r="F1612" s="1"/>
      <c r="G1612" s="1" t="str">
        <f>IFERROR(__xludf.DUMMYFUNCTION("""COMPUTED_VALUE"""),"-")</f>
        <v>-</v>
      </c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1"/>
      <c r="B1613" s="1"/>
      <c r="C1613" s="1"/>
      <c r="D1613" s="1"/>
      <c r="E1613" s="1" t="str">
        <f>IFERROR(__xludf.DUMMYFUNCTION("""COMPUTED_VALUE"""),"-")</f>
        <v>-</v>
      </c>
      <c r="F1613" s="1"/>
      <c r="G1613" s="1" t="str">
        <f>IFERROR(__xludf.DUMMYFUNCTION("""COMPUTED_VALUE"""),"-")</f>
        <v>-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1"/>
      <c r="B1614" s="1"/>
      <c r="C1614" s="1"/>
      <c r="D1614" s="1"/>
      <c r="E1614" s="1" t="str">
        <f>IFERROR(__xludf.DUMMYFUNCTION("""COMPUTED_VALUE"""),"-")</f>
        <v>-</v>
      </c>
      <c r="F1614" s="1"/>
      <c r="G1614" s="1" t="str">
        <f>IFERROR(__xludf.DUMMYFUNCTION("""COMPUTED_VALUE"""),"-")</f>
        <v>-</v>
      </c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1"/>
      <c r="B1615" s="1"/>
      <c r="C1615" s="1"/>
      <c r="D1615" s="1"/>
      <c r="E1615" s="1" t="str">
        <f>IFERROR(__xludf.DUMMYFUNCTION("""COMPUTED_VALUE"""),"-")</f>
        <v>-</v>
      </c>
      <c r="F1615" s="1"/>
      <c r="G1615" s="1" t="str">
        <f>IFERROR(__xludf.DUMMYFUNCTION("""COMPUTED_VALUE"""),"-")</f>
        <v>-</v>
      </c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1"/>
      <c r="B1616" s="1"/>
      <c r="C1616" s="1"/>
      <c r="D1616" s="1"/>
      <c r="E1616" s="1" t="str">
        <f>IFERROR(__xludf.DUMMYFUNCTION("""COMPUTED_VALUE"""),"-")</f>
        <v>-</v>
      </c>
      <c r="F1616" s="1"/>
      <c r="G1616" s="1" t="str">
        <f>IFERROR(__xludf.DUMMYFUNCTION("""COMPUTED_VALUE"""),"-")</f>
        <v>-</v>
      </c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1"/>
      <c r="B1617" s="1"/>
      <c r="C1617" s="1"/>
      <c r="D1617" s="1"/>
      <c r="E1617" s="1" t="str">
        <f>IFERROR(__xludf.DUMMYFUNCTION("""COMPUTED_VALUE"""),"-")</f>
        <v>-</v>
      </c>
      <c r="F1617" s="1"/>
      <c r="G1617" s="1" t="str">
        <f>IFERROR(__xludf.DUMMYFUNCTION("""COMPUTED_VALUE"""),"-")</f>
        <v>-</v>
      </c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1"/>
      <c r="B1618" s="1"/>
      <c r="C1618" s="1"/>
      <c r="D1618" s="1"/>
      <c r="E1618" s="1" t="str">
        <f>IFERROR(__xludf.DUMMYFUNCTION("""COMPUTED_VALUE"""),"-")</f>
        <v>-</v>
      </c>
      <c r="F1618" s="1"/>
      <c r="G1618" s="1" t="str">
        <f>IFERROR(__xludf.DUMMYFUNCTION("""COMPUTED_VALUE"""),"-")</f>
        <v>-</v>
      </c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1"/>
      <c r="B1619" s="1"/>
      <c r="C1619" s="1"/>
      <c r="D1619" s="1"/>
      <c r="E1619" s="1" t="str">
        <f>IFERROR(__xludf.DUMMYFUNCTION("""COMPUTED_VALUE"""),"-")</f>
        <v>-</v>
      </c>
      <c r="F1619" s="1"/>
      <c r="G1619" s="1" t="str">
        <f>IFERROR(__xludf.DUMMYFUNCTION("""COMPUTED_VALUE"""),"-")</f>
        <v>-</v>
      </c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1"/>
      <c r="B1620" s="1"/>
      <c r="C1620" s="1"/>
      <c r="D1620" s="1"/>
      <c r="E1620" s="1" t="str">
        <f>IFERROR(__xludf.DUMMYFUNCTION("""COMPUTED_VALUE"""),"-")</f>
        <v>-</v>
      </c>
      <c r="F1620" s="1"/>
      <c r="G1620" s="1" t="str">
        <f>IFERROR(__xludf.DUMMYFUNCTION("""COMPUTED_VALUE"""),"-")</f>
        <v>-</v>
      </c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1"/>
      <c r="B1621" s="1"/>
      <c r="C1621" s="1"/>
      <c r="D1621" s="1"/>
      <c r="E1621" s="1" t="str">
        <f>IFERROR(__xludf.DUMMYFUNCTION("""COMPUTED_VALUE"""),"-")</f>
        <v>-</v>
      </c>
      <c r="F1621" s="1"/>
      <c r="G1621" s="1" t="str">
        <f>IFERROR(__xludf.DUMMYFUNCTION("""COMPUTED_VALUE"""),"-")</f>
        <v>-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1"/>
      <c r="B1622" s="1"/>
      <c r="C1622" s="1"/>
      <c r="D1622" s="1"/>
      <c r="E1622" s="1" t="str">
        <f>IFERROR(__xludf.DUMMYFUNCTION("""COMPUTED_VALUE"""),"-")</f>
        <v>-</v>
      </c>
      <c r="F1622" s="1"/>
      <c r="G1622" s="1" t="str">
        <f>IFERROR(__xludf.DUMMYFUNCTION("""COMPUTED_VALUE"""),"-")</f>
        <v>-</v>
      </c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1"/>
      <c r="B1623" s="1"/>
      <c r="C1623" s="1"/>
      <c r="D1623" s="1"/>
      <c r="E1623" s="1" t="str">
        <f>IFERROR(__xludf.DUMMYFUNCTION("""COMPUTED_VALUE"""),"-")</f>
        <v>-</v>
      </c>
      <c r="F1623" s="1"/>
      <c r="G1623" s="1" t="str">
        <f>IFERROR(__xludf.DUMMYFUNCTION("""COMPUTED_VALUE"""),"-")</f>
        <v>-</v>
      </c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1"/>
      <c r="B1624" s="1"/>
      <c r="C1624" s="1"/>
      <c r="D1624" s="1"/>
      <c r="E1624" s="1" t="str">
        <f>IFERROR(__xludf.DUMMYFUNCTION("""COMPUTED_VALUE"""),"-")</f>
        <v>-</v>
      </c>
      <c r="F1624" s="1"/>
      <c r="G1624" s="1" t="str">
        <f>IFERROR(__xludf.DUMMYFUNCTION("""COMPUTED_VALUE"""),"-")</f>
        <v>-</v>
      </c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1"/>
      <c r="B1625" s="1"/>
      <c r="C1625" s="1"/>
      <c r="D1625" s="1"/>
      <c r="E1625" s="1" t="str">
        <f>IFERROR(__xludf.DUMMYFUNCTION("""COMPUTED_VALUE"""),"-")</f>
        <v>-</v>
      </c>
      <c r="F1625" s="1"/>
      <c r="G1625" s="1" t="str">
        <f>IFERROR(__xludf.DUMMYFUNCTION("""COMPUTED_VALUE"""),"-")</f>
        <v>-</v>
      </c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1"/>
      <c r="B1626" s="1"/>
      <c r="C1626" s="1"/>
      <c r="D1626" s="1"/>
      <c r="E1626" s="1" t="str">
        <f>IFERROR(__xludf.DUMMYFUNCTION("""COMPUTED_VALUE"""),"-")</f>
        <v>-</v>
      </c>
      <c r="F1626" s="1"/>
      <c r="G1626" s="1" t="str">
        <f>IFERROR(__xludf.DUMMYFUNCTION("""COMPUTED_VALUE"""),"-")</f>
        <v>-</v>
      </c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1"/>
      <c r="B1627" s="1"/>
      <c r="C1627" s="1"/>
      <c r="D1627" s="1"/>
      <c r="E1627" s="1" t="str">
        <f>IFERROR(__xludf.DUMMYFUNCTION("""COMPUTED_VALUE"""),"-")</f>
        <v>-</v>
      </c>
      <c r="F1627" s="1"/>
      <c r="G1627" s="1" t="str">
        <f>IFERROR(__xludf.DUMMYFUNCTION("""COMPUTED_VALUE"""),"-")</f>
        <v>-</v>
      </c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1"/>
      <c r="B1628" s="1"/>
      <c r="C1628" s="1"/>
      <c r="D1628" s="1"/>
      <c r="E1628" s="1" t="str">
        <f>IFERROR(__xludf.DUMMYFUNCTION("""COMPUTED_VALUE"""),"-")</f>
        <v>-</v>
      </c>
      <c r="F1628" s="1"/>
      <c r="G1628" s="1" t="str">
        <f>IFERROR(__xludf.DUMMYFUNCTION("""COMPUTED_VALUE"""),"-")</f>
        <v>-</v>
      </c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1"/>
      <c r="B1629" s="1"/>
      <c r="C1629" s="1"/>
      <c r="D1629" s="1"/>
      <c r="E1629" s="1" t="str">
        <f>IFERROR(__xludf.DUMMYFUNCTION("""COMPUTED_VALUE"""),"-")</f>
        <v>-</v>
      </c>
      <c r="F1629" s="1"/>
      <c r="G1629" s="1" t="str">
        <f>IFERROR(__xludf.DUMMYFUNCTION("""COMPUTED_VALUE"""),"-")</f>
        <v>-</v>
      </c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1"/>
      <c r="B1630" s="1"/>
      <c r="C1630" s="1"/>
      <c r="D1630" s="1"/>
      <c r="E1630" s="1" t="str">
        <f>IFERROR(__xludf.DUMMYFUNCTION("""COMPUTED_VALUE"""),"-")</f>
        <v>-</v>
      </c>
      <c r="F1630" s="1"/>
      <c r="G1630" s="1" t="str">
        <f>IFERROR(__xludf.DUMMYFUNCTION("""COMPUTED_VALUE"""),"-")</f>
        <v>-</v>
      </c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1"/>
      <c r="B1631" s="1"/>
      <c r="C1631" s="1"/>
      <c r="D1631" s="1"/>
      <c r="E1631" s="1" t="str">
        <f>IFERROR(__xludf.DUMMYFUNCTION("""COMPUTED_VALUE"""),"-")</f>
        <v>-</v>
      </c>
      <c r="F1631" s="1"/>
      <c r="G1631" s="1" t="str">
        <f>IFERROR(__xludf.DUMMYFUNCTION("""COMPUTED_VALUE"""),"-")</f>
        <v>-</v>
      </c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1"/>
      <c r="B1632" s="1"/>
      <c r="C1632" s="1"/>
      <c r="D1632" s="1"/>
      <c r="E1632" s="1" t="str">
        <f>IFERROR(__xludf.DUMMYFUNCTION("""COMPUTED_VALUE"""),"-")</f>
        <v>-</v>
      </c>
      <c r="F1632" s="1"/>
      <c r="G1632" s="1" t="str">
        <f>IFERROR(__xludf.DUMMYFUNCTION("""COMPUTED_VALUE"""),"-")</f>
        <v>-</v>
      </c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1"/>
      <c r="B1633" s="1"/>
      <c r="C1633" s="1"/>
      <c r="D1633" s="1"/>
      <c r="E1633" s="1" t="str">
        <f>IFERROR(__xludf.DUMMYFUNCTION("""COMPUTED_VALUE"""),"-")</f>
        <v>-</v>
      </c>
      <c r="F1633" s="1"/>
      <c r="G1633" s="1" t="str">
        <f>IFERROR(__xludf.DUMMYFUNCTION("""COMPUTED_VALUE"""),"-")</f>
        <v>-</v>
      </c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1"/>
      <c r="B1634" s="1"/>
      <c r="C1634" s="1"/>
      <c r="D1634" s="1"/>
      <c r="E1634" s="1" t="str">
        <f>IFERROR(__xludf.DUMMYFUNCTION("""COMPUTED_VALUE"""),"-")</f>
        <v>-</v>
      </c>
      <c r="F1634" s="1"/>
      <c r="G1634" s="1" t="str">
        <f>IFERROR(__xludf.DUMMYFUNCTION("""COMPUTED_VALUE"""),"-")</f>
        <v>-</v>
      </c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1"/>
      <c r="B1635" s="1"/>
      <c r="C1635" s="1"/>
      <c r="D1635" s="1"/>
      <c r="E1635" s="1" t="str">
        <f>IFERROR(__xludf.DUMMYFUNCTION("""COMPUTED_VALUE"""),"-")</f>
        <v>-</v>
      </c>
      <c r="F1635" s="1"/>
      <c r="G1635" s="1" t="str">
        <f>IFERROR(__xludf.DUMMYFUNCTION("""COMPUTED_VALUE"""),"-")</f>
        <v>-</v>
      </c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1"/>
      <c r="B1636" s="1"/>
      <c r="C1636" s="1"/>
      <c r="D1636" s="1"/>
      <c r="E1636" s="1" t="str">
        <f>IFERROR(__xludf.DUMMYFUNCTION("""COMPUTED_VALUE"""),"-")</f>
        <v>-</v>
      </c>
      <c r="F1636" s="1"/>
      <c r="G1636" s="1" t="str">
        <f>IFERROR(__xludf.DUMMYFUNCTION("""COMPUTED_VALUE"""),"-")</f>
        <v>-</v>
      </c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1"/>
      <c r="B1637" s="1"/>
      <c r="C1637" s="1"/>
      <c r="D1637" s="1"/>
      <c r="E1637" s="1" t="str">
        <f>IFERROR(__xludf.DUMMYFUNCTION("""COMPUTED_VALUE"""),"-")</f>
        <v>-</v>
      </c>
      <c r="F1637" s="1"/>
      <c r="G1637" s="1" t="str">
        <f>IFERROR(__xludf.DUMMYFUNCTION("""COMPUTED_VALUE"""),"-")</f>
        <v>-</v>
      </c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1"/>
      <c r="B1638" s="1"/>
      <c r="C1638" s="1"/>
      <c r="D1638" s="1"/>
      <c r="E1638" s="1" t="str">
        <f>IFERROR(__xludf.DUMMYFUNCTION("""COMPUTED_VALUE"""),"-")</f>
        <v>-</v>
      </c>
      <c r="F1638" s="1"/>
      <c r="G1638" s="1" t="str">
        <f>IFERROR(__xludf.DUMMYFUNCTION("""COMPUTED_VALUE"""),"-")</f>
        <v>-</v>
      </c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1"/>
      <c r="B1639" s="1"/>
      <c r="C1639" s="1"/>
      <c r="D1639" s="1"/>
      <c r="E1639" s="1" t="str">
        <f>IFERROR(__xludf.DUMMYFUNCTION("""COMPUTED_VALUE"""),"-")</f>
        <v>-</v>
      </c>
      <c r="F1639" s="1"/>
      <c r="G1639" s="1" t="str">
        <f>IFERROR(__xludf.DUMMYFUNCTION("""COMPUTED_VALUE"""),"-")</f>
        <v>-</v>
      </c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1"/>
      <c r="B1640" s="1"/>
      <c r="C1640" s="1"/>
      <c r="D1640" s="1"/>
      <c r="E1640" s="1" t="str">
        <f>IFERROR(__xludf.DUMMYFUNCTION("""COMPUTED_VALUE"""),"-")</f>
        <v>-</v>
      </c>
      <c r="F1640" s="1"/>
      <c r="G1640" s="1" t="str">
        <f>IFERROR(__xludf.DUMMYFUNCTION("""COMPUTED_VALUE"""),"-")</f>
        <v>-</v>
      </c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1"/>
      <c r="B1641" s="1"/>
      <c r="C1641" s="1"/>
      <c r="D1641" s="1"/>
      <c r="E1641" s="1" t="str">
        <f>IFERROR(__xludf.DUMMYFUNCTION("""COMPUTED_VALUE"""),"-")</f>
        <v>-</v>
      </c>
      <c r="F1641" s="1"/>
      <c r="G1641" s="1" t="str">
        <f>IFERROR(__xludf.DUMMYFUNCTION("""COMPUTED_VALUE"""),"-")</f>
        <v>-</v>
      </c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1"/>
      <c r="B1642" s="1"/>
      <c r="C1642" s="1"/>
      <c r="D1642" s="1"/>
      <c r="E1642" s="1" t="str">
        <f>IFERROR(__xludf.DUMMYFUNCTION("""COMPUTED_VALUE"""),"-")</f>
        <v>-</v>
      </c>
      <c r="F1642" s="1"/>
      <c r="G1642" s="1" t="str">
        <f>IFERROR(__xludf.DUMMYFUNCTION("""COMPUTED_VALUE"""),"-")</f>
        <v>-</v>
      </c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1"/>
      <c r="B1643" s="1"/>
      <c r="C1643" s="1"/>
      <c r="D1643" s="1"/>
      <c r="E1643" s="1" t="str">
        <f>IFERROR(__xludf.DUMMYFUNCTION("""COMPUTED_VALUE"""),"-")</f>
        <v>-</v>
      </c>
      <c r="F1643" s="1"/>
      <c r="G1643" s="1" t="str">
        <f>IFERROR(__xludf.DUMMYFUNCTION("""COMPUTED_VALUE"""),"-")</f>
        <v>-</v>
      </c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1"/>
      <c r="B1644" s="1"/>
      <c r="C1644" s="1"/>
      <c r="D1644" s="1"/>
      <c r="E1644" s="1" t="str">
        <f>IFERROR(__xludf.DUMMYFUNCTION("""COMPUTED_VALUE"""),"-")</f>
        <v>-</v>
      </c>
      <c r="F1644" s="1"/>
      <c r="G1644" s="1" t="str">
        <f>IFERROR(__xludf.DUMMYFUNCTION("""COMPUTED_VALUE"""),"-")</f>
        <v>-</v>
      </c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1"/>
      <c r="B1645" s="1"/>
      <c r="C1645" s="1"/>
      <c r="D1645" s="1"/>
      <c r="E1645" s="1" t="str">
        <f>IFERROR(__xludf.DUMMYFUNCTION("""COMPUTED_VALUE"""),"-")</f>
        <v>-</v>
      </c>
      <c r="F1645" s="1"/>
      <c r="G1645" s="1" t="str">
        <f>IFERROR(__xludf.DUMMYFUNCTION("""COMPUTED_VALUE"""),"-")</f>
        <v>-</v>
      </c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1"/>
      <c r="B1646" s="1"/>
      <c r="C1646" s="1"/>
      <c r="D1646" s="1"/>
      <c r="E1646" s="1" t="str">
        <f>IFERROR(__xludf.DUMMYFUNCTION("""COMPUTED_VALUE"""),"-")</f>
        <v>-</v>
      </c>
      <c r="F1646" s="1"/>
      <c r="G1646" s="1" t="str">
        <f>IFERROR(__xludf.DUMMYFUNCTION("""COMPUTED_VALUE"""),"-")</f>
        <v>-</v>
      </c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1"/>
      <c r="B1647" s="1"/>
      <c r="C1647" s="1"/>
      <c r="D1647" s="1"/>
      <c r="E1647" s="1" t="str">
        <f>IFERROR(__xludf.DUMMYFUNCTION("""COMPUTED_VALUE"""),"-")</f>
        <v>-</v>
      </c>
      <c r="F1647" s="1"/>
      <c r="G1647" s="1" t="str">
        <f>IFERROR(__xludf.DUMMYFUNCTION("""COMPUTED_VALUE"""),"-")</f>
        <v>-</v>
      </c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1"/>
      <c r="B1648" s="1"/>
      <c r="C1648" s="1"/>
      <c r="D1648" s="1"/>
      <c r="E1648" s="1" t="str">
        <f>IFERROR(__xludf.DUMMYFUNCTION("""COMPUTED_VALUE"""),"-")</f>
        <v>-</v>
      </c>
      <c r="F1648" s="1"/>
      <c r="G1648" s="1" t="str">
        <f>IFERROR(__xludf.DUMMYFUNCTION("""COMPUTED_VALUE"""),"-")</f>
        <v>-</v>
      </c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1"/>
      <c r="B1649" s="1"/>
      <c r="C1649" s="1"/>
      <c r="D1649" s="1"/>
      <c r="E1649" s="1" t="str">
        <f>IFERROR(__xludf.DUMMYFUNCTION("""COMPUTED_VALUE"""),"-")</f>
        <v>-</v>
      </c>
      <c r="F1649" s="1"/>
      <c r="G1649" s="1" t="str">
        <f>IFERROR(__xludf.DUMMYFUNCTION("""COMPUTED_VALUE"""),"-")</f>
        <v>-</v>
      </c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1"/>
      <c r="B1650" s="1"/>
      <c r="C1650" s="1"/>
      <c r="D1650" s="1"/>
      <c r="E1650" s="1" t="str">
        <f>IFERROR(__xludf.DUMMYFUNCTION("""COMPUTED_VALUE"""),"-")</f>
        <v>-</v>
      </c>
      <c r="F1650" s="1"/>
      <c r="G1650" s="1" t="str">
        <f>IFERROR(__xludf.DUMMYFUNCTION("""COMPUTED_VALUE"""),"-")</f>
        <v>-</v>
      </c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1"/>
      <c r="B1651" s="1"/>
      <c r="C1651" s="1"/>
      <c r="D1651" s="1"/>
      <c r="E1651" s="1" t="str">
        <f>IFERROR(__xludf.DUMMYFUNCTION("""COMPUTED_VALUE"""),"-")</f>
        <v>-</v>
      </c>
      <c r="F1651" s="1"/>
      <c r="G1651" s="1" t="str">
        <f>IFERROR(__xludf.DUMMYFUNCTION("""COMPUTED_VALUE"""),"-")</f>
        <v>-</v>
      </c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"/>
      <c r="B1652" s="1"/>
      <c r="C1652" s="1"/>
      <c r="D1652" s="1"/>
      <c r="E1652" s="1" t="str">
        <f>IFERROR(__xludf.DUMMYFUNCTION("""COMPUTED_VALUE"""),"-")</f>
        <v>-</v>
      </c>
      <c r="F1652" s="1"/>
      <c r="G1652" s="1" t="str">
        <f>IFERROR(__xludf.DUMMYFUNCTION("""COMPUTED_VALUE"""),"-")</f>
        <v>-</v>
      </c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"/>
      <c r="B1653" s="1"/>
      <c r="C1653" s="1"/>
      <c r="D1653" s="1"/>
      <c r="E1653" s="1" t="str">
        <f>IFERROR(__xludf.DUMMYFUNCTION("""COMPUTED_VALUE"""),"-")</f>
        <v>-</v>
      </c>
      <c r="F1653" s="1"/>
      <c r="G1653" s="1" t="str">
        <f>IFERROR(__xludf.DUMMYFUNCTION("""COMPUTED_VALUE"""),"-")</f>
        <v>-</v>
      </c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1"/>
      <c r="B1654" s="1"/>
      <c r="C1654" s="1"/>
      <c r="D1654" s="1"/>
      <c r="E1654" s="1" t="str">
        <f>IFERROR(__xludf.DUMMYFUNCTION("""COMPUTED_VALUE"""),"-")</f>
        <v>-</v>
      </c>
      <c r="F1654" s="1"/>
      <c r="G1654" s="1" t="str">
        <f>IFERROR(__xludf.DUMMYFUNCTION("""COMPUTED_VALUE"""),"-")</f>
        <v>-</v>
      </c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1"/>
      <c r="B1655" s="1"/>
      <c r="C1655" s="1"/>
      <c r="D1655" s="1"/>
      <c r="E1655" s="1" t="str">
        <f>IFERROR(__xludf.DUMMYFUNCTION("""COMPUTED_VALUE"""),"-")</f>
        <v>-</v>
      </c>
      <c r="F1655" s="1"/>
      <c r="G1655" s="1" t="str">
        <f>IFERROR(__xludf.DUMMYFUNCTION("""COMPUTED_VALUE"""),"-")</f>
        <v>-</v>
      </c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1"/>
      <c r="B1656" s="1"/>
      <c r="C1656" s="1"/>
      <c r="D1656" s="1"/>
      <c r="E1656" s="1" t="str">
        <f>IFERROR(__xludf.DUMMYFUNCTION("""COMPUTED_VALUE"""),"-")</f>
        <v>-</v>
      </c>
      <c r="F1656" s="1"/>
      <c r="G1656" s="1" t="str">
        <f>IFERROR(__xludf.DUMMYFUNCTION("""COMPUTED_VALUE"""),"-")</f>
        <v>-</v>
      </c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1"/>
      <c r="B1657" s="1"/>
      <c r="C1657" s="1"/>
      <c r="D1657" s="1"/>
      <c r="E1657" s="1" t="str">
        <f>IFERROR(__xludf.DUMMYFUNCTION("""COMPUTED_VALUE"""),"-")</f>
        <v>-</v>
      </c>
      <c r="F1657" s="1"/>
      <c r="G1657" s="1" t="str">
        <f>IFERROR(__xludf.DUMMYFUNCTION("""COMPUTED_VALUE"""),"-")</f>
        <v>-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1"/>
      <c r="B1658" s="1"/>
      <c r="C1658" s="1"/>
      <c r="D1658" s="1"/>
      <c r="E1658" s="1" t="str">
        <f>IFERROR(__xludf.DUMMYFUNCTION("""COMPUTED_VALUE"""),"-")</f>
        <v>-</v>
      </c>
      <c r="F1658" s="1"/>
      <c r="G1658" s="1" t="str">
        <f>IFERROR(__xludf.DUMMYFUNCTION("""COMPUTED_VALUE"""),"-")</f>
        <v>-</v>
      </c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1"/>
      <c r="B1659" s="1"/>
      <c r="C1659" s="1"/>
      <c r="D1659" s="1"/>
      <c r="E1659" s="1" t="str">
        <f>IFERROR(__xludf.DUMMYFUNCTION("""COMPUTED_VALUE"""),"-")</f>
        <v>-</v>
      </c>
      <c r="F1659" s="1"/>
      <c r="G1659" s="1" t="str">
        <f>IFERROR(__xludf.DUMMYFUNCTION("""COMPUTED_VALUE"""),"-")</f>
        <v>-</v>
      </c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1"/>
      <c r="B1660" s="1"/>
      <c r="C1660" s="1"/>
      <c r="D1660" s="1"/>
      <c r="E1660" s="1" t="str">
        <f>IFERROR(__xludf.DUMMYFUNCTION("""COMPUTED_VALUE"""),"-")</f>
        <v>-</v>
      </c>
      <c r="F1660" s="1"/>
      <c r="G1660" s="1" t="str">
        <f>IFERROR(__xludf.DUMMYFUNCTION("""COMPUTED_VALUE"""),"-")</f>
        <v>-</v>
      </c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1"/>
      <c r="B1661" s="1"/>
      <c r="C1661" s="1"/>
      <c r="D1661" s="1"/>
      <c r="E1661" s="1" t="str">
        <f>IFERROR(__xludf.DUMMYFUNCTION("""COMPUTED_VALUE"""),"-")</f>
        <v>-</v>
      </c>
      <c r="F1661" s="1"/>
      <c r="G1661" s="1" t="str">
        <f>IFERROR(__xludf.DUMMYFUNCTION("""COMPUTED_VALUE"""),"-")</f>
        <v>-</v>
      </c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1"/>
      <c r="B1662" s="1"/>
      <c r="C1662" s="1"/>
      <c r="D1662" s="1"/>
      <c r="E1662" s="1" t="str">
        <f>IFERROR(__xludf.DUMMYFUNCTION("""COMPUTED_VALUE"""),"-")</f>
        <v>-</v>
      </c>
      <c r="F1662" s="1"/>
      <c r="G1662" s="1" t="str">
        <f>IFERROR(__xludf.DUMMYFUNCTION("""COMPUTED_VALUE"""),"-")</f>
        <v>-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1"/>
      <c r="B1663" s="1"/>
      <c r="C1663" s="1"/>
      <c r="D1663" s="1"/>
      <c r="E1663" s="1" t="str">
        <f>IFERROR(__xludf.DUMMYFUNCTION("""COMPUTED_VALUE"""),"-")</f>
        <v>-</v>
      </c>
      <c r="F1663" s="1"/>
      <c r="G1663" s="1" t="str">
        <f>IFERROR(__xludf.DUMMYFUNCTION("""COMPUTED_VALUE"""),"-")</f>
        <v>-</v>
      </c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1"/>
      <c r="B1664" s="1"/>
      <c r="C1664" s="1"/>
      <c r="D1664" s="1"/>
      <c r="E1664" s="1" t="str">
        <f>IFERROR(__xludf.DUMMYFUNCTION("""COMPUTED_VALUE"""),"-")</f>
        <v>-</v>
      </c>
      <c r="F1664" s="1"/>
      <c r="G1664" s="1" t="str">
        <f>IFERROR(__xludf.DUMMYFUNCTION("""COMPUTED_VALUE"""),"-")</f>
        <v>-</v>
      </c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1"/>
      <c r="B1665" s="1"/>
      <c r="C1665" s="1"/>
      <c r="D1665" s="1"/>
      <c r="E1665" s="1" t="str">
        <f>IFERROR(__xludf.DUMMYFUNCTION("""COMPUTED_VALUE"""),"-")</f>
        <v>-</v>
      </c>
      <c r="F1665" s="1"/>
      <c r="G1665" s="1" t="str">
        <f>IFERROR(__xludf.DUMMYFUNCTION("""COMPUTED_VALUE"""),"-")</f>
        <v>-</v>
      </c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1"/>
      <c r="B1666" s="1"/>
      <c r="C1666" s="1"/>
      <c r="D1666" s="1"/>
      <c r="E1666" s="1" t="str">
        <f>IFERROR(__xludf.DUMMYFUNCTION("""COMPUTED_VALUE"""),"-")</f>
        <v>-</v>
      </c>
      <c r="F1666" s="1"/>
      <c r="G1666" s="1" t="str">
        <f>IFERROR(__xludf.DUMMYFUNCTION("""COMPUTED_VALUE"""),"-")</f>
        <v>-</v>
      </c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1"/>
      <c r="B1667" s="1"/>
      <c r="C1667" s="1"/>
      <c r="D1667" s="1"/>
      <c r="E1667" s="1" t="str">
        <f>IFERROR(__xludf.DUMMYFUNCTION("""COMPUTED_VALUE"""),"-")</f>
        <v>-</v>
      </c>
      <c r="F1667" s="1"/>
      <c r="G1667" s="1" t="str">
        <f>IFERROR(__xludf.DUMMYFUNCTION("""COMPUTED_VALUE"""),"-")</f>
        <v>-</v>
      </c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1"/>
      <c r="B1668" s="1"/>
      <c r="C1668" s="1"/>
      <c r="D1668" s="1"/>
      <c r="E1668" s="1" t="str">
        <f>IFERROR(__xludf.DUMMYFUNCTION("""COMPUTED_VALUE"""),"-")</f>
        <v>-</v>
      </c>
      <c r="F1668" s="1"/>
      <c r="G1668" s="1" t="str">
        <f>IFERROR(__xludf.DUMMYFUNCTION("""COMPUTED_VALUE"""),"-")</f>
        <v>-</v>
      </c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1"/>
      <c r="B1669" s="1"/>
      <c r="C1669" s="1"/>
      <c r="D1669" s="1"/>
      <c r="E1669" s="1" t="str">
        <f>IFERROR(__xludf.DUMMYFUNCTION("""COMPUTED_VALUE"""),"-")</f>
        <v>-</v>
      </c>
      <c r="F1669" s="1"/>
      <c r="G1669" s="1" t="str">
        <f>IFERROR(__xludf.DUMMYFUNCTION("""COMPUTED_VALUE"""),"-")</f>
        <v>-</v>
      </c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1"/>
      <c r="B1670" s="1"/>
      <c r="C1670" s="1"/>
      <c r="D1670" s="1"/>
      <c r="E1670" s="1" t="str">
        <f>IFERROR(__xludf.DUMMYFUNCTION("""COMPUTED_VALUE"""),"-")</f>
        <v>-</v>
      </c>
      <c r="F1670" s="1"/>
      <c r="G1670" s="1" t="str">
        <f>IFERROR(__xludf.DUMMYFUNCTION("""COMPUTED_VALUE"""),"-")</f>
        <v>-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1"/>
      <c r="B1671" s="1"/>
      <c r="C1671" s="1"/>
      <c r="D1671" s="1"/>
      <c r="E1671" s="1" t="str">
        <f>IFERROR(__xludf.DUMMYFUNCTION("""COMPUTED_VALUE"""),"-")</f>
        <v>-</v>
      </c>
      <c r="F1671" s="1"/>
      <c r="G1671" s="1" t="str">
        <f>IFERROR(__xludf.DUMMYFUNCTION("""COMPUTED_VALUE"""),"-")</f>
        <v>-</v>
      </c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1"/>
      <c r="B1672" s="1"/>
      <c r="C1672" s="1"/>
      <c r="D1672" s="1"/>
      <c r="E1672" s="1" t="str">
        <f>IFERROR(__xludf.DUMMYFUNCTION("""COMPUTED_VALUE"""),"-")</f>
        <v>-</v>
      </c>
      <c r="F1672" s="1"/>
      <c r="G1672" s="1" t="str">
        <f>IFERROR(__xludf.DUMMYFUNCTION("""COMPUTED_VALUE"""),"-")</f>
        <v>-</v>
      </c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1"/>
      <c r="B1673" s="1"/>
      <c r="C1673" s="1"/>
      <c r="D1673" s="1"/>
      <c r="E1673" s="1" t="str">
        <f>IFERROR(__xludf.DUMMYFUNCTION("""COMPUTED_VALUE"""),"-")</f>
        <v>-</v>
      </c>
      <c r="F1673" s="1"/>
      <c r="G1673" s="1" t="str">
        <f>IFERROR(__xludf.DUMMYFUNCTION("""COMPUTED_VALUE"""),"-")</f>
        <v>-</v>
      </c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1"/>
      <c r="B1674" s="1"/>
      <c r="C1674" s="1"/>
      <c r="D1674" s="1"/>
      <c r="E1674" s="1" t="str">
        <f>IFERROR(__xludf.DUMMYFUNCTION("""COMPUTED_VALUE"""),"-")</f>
        <v>-</v>
      </c>
      <c r="F1674" s="1"/>
      <c r="G1674" s="1" t="str">
        <f>IFERROR(__xludf.DUMMYFUNCTION("""COMPUTED_VALUE"""),"-")</f>
        <v>-</v>
      </c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1"/>
      <c r="B1675" s="1"/>
      <c r="C1675" s="1"/>
      <c r="D1675" s="1"/>
      <c r="E1675" s="1" t="str">
        <f>IFERROR(__xludf.DUMMYFUNCTION("""COMPUTED_VALUE"""),"-")</f>
        <v>-</v>
      </c>
      <c r="F1675" s="1"/>
      <c r="G1675" s="1" t="str">
        <f>IFERROR(__xludf.DUMMYFUNCTION("""COMPUTED_VALUE"""),"-")</f>
        <v>-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1"/>
      <c r="B1676" s="1"/>
      <c r="C1676" s="1"/>
      <c r="D1676" s="1"/>
      <c r="E1676" s="1" t="str">
        <f>IFERROR(__xludf.DUMMYFUNCTION("""COMPUTED_VALUE"""),"-")</f>
        <v>-</v>
      </c>
      <c r="F1676" s="1"/>
      <c r="G1676" s="1" t="str">
        <f>IFERROR(__xludf.DUMMYFUNCTION("""COMPUTED_VALUE"""),"-")</f>
        <v>-</v>
      </c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1"/>
      <c r="B1677" s="1"/>
      <c r="C1677" s="1"/>
      <c r="D1677" s="1"/>
      <c r="E1677" s="1" t="str">
        <f>IFERROR(__xludf.DUMMYFUNCTION("""COMPUTED_VALUE"""),"-")</f>
        <v>-</v>
      </c>
      <c r="F1677" s="1"/>
      <c r="G1677" s="1" t="str">
        <f>IFERROR(__xludf.DUMMYFUNCTION("""COMPUTED_VALUE"""),"-")</f>
        <v>-</v>
      </c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1"/>
      <c r="B1678" s="1"/>
      <c r="C1678" s="1"/>
      <c r="D1678" s="1"/>
      <c r="E1678" s="1" t="str">
        <f>IFERROR(__xludf.DUMMYFUNCTION("""COMPUTED_VALUE"""),"-")</f>
        <v>-</v>
      </c>
      <c r="F1678" s="1"/>
      <c r="G1678" s="1" t="str">
        <f>IFERROR(__xludf.DUMMYFUNCTION("""COMPUTED_VALUE"""),"-")</f>
        <v>-</v>
      </c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1"/>
      <c r="B1679" s="1"/>
      <c r="C1679" s="1"/>
      <c r="D1679" s="1"/>
      <c r="E1679" s="1" t="str">
        <f>IFERROR(__xludf.DUMMYFUNCTION("""COMPUTED_VALUE"""),"-")</f>
        <v>-</v>
      </c>
      <c r="F1679" s="1"/>
      <c r="G1679" s="1" t="str">
        <f>IFERROR(__xludf.DUMMYFUNCTION("""COMPUTED_VALUE"""),"-")</f>
        <v>-</v>
      </c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1"/>
      <c r="B1680" s="1"/>
      <c r="C1680" s="1"/>
      <c r="D1680" s="1"/>
      <c r="E1680" s="1" t="str">
        <f>IFERROR(__xludf.DUMMYFUNCTION("""COMPUTED_VALUE"""),"-")</f>
        <v>-</v>
      </c>
      <c r="F1680" s="1"/>
      <c r="G1680" s="1" t="str">
        <f>IFERROR(__xludf.DUMMYFUNCTION("""COMPUTED_VALUE"""),"-")</f>
        <v>-</v>
      </c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1"/>
      <c r="B1681" s="1"/>
      <c r="C1681" s="1"/>
      <c r="D1681" s="1"/>
      <c r="E1681" s="1" t="str">
        <f>IFERROR(__xludf.DUMMYFUNCTION("""COMPUTED_VALUE"""),"-")</f>
        <v>-</v>
      </c>
      <c r="F1681" s="1"/>
      <c r="G1681" s="1" t="str">
        <f>IFERROR(__xludf.DUMMYFUNCTION("""COMPUTED_VALUE"""),"-")</f>
        <v>-</v>
      </c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1"/>
      <c r="B1682" s="1"/>
      <c r="C1682" s="1"/>
      <c r="D1682" s="1"/>
      <c r="E1682" s="1" t="str">
        <f>IFERROR(__xludf.DUMMYFUNCTION("""COMPUTED_VALUE"""),"-")</f>
        <v>-</v>
      </c>
      <c r="F1682" s="1"/>
      <c r="G1682" s="1" t="str">
        <f>IFERROR(__xludf.DUMMYFUNCTION("""COMPUTED_VALUE"""),"-")</f>
        <v>-</v>
      </c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1"/>
      <c r="B1683" s="1"/>
      <c r="C1683" s="1"/>
      <c r="D1683" s="1"/>
      <c r="E1683" s="1" t="str">
        <f>IFERROR(__xludf.DUMMYFUNCTION("""COMPUTED_VALUE"""),"-")</f>
        <v>-</v>
      </c>
      <c r="F1683" s="1"/>
      <c r="G1683" s="1" t="str">
        <f>IFERROR(__xludf.DUMMYFUNCTION("""COMPUTED_VALUE"""),"-")</f>
        <v>-</v>
      </c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1"/>
      <c r="B1684" s="1"/>
      <c r="C1684" s="1"/>
      <c r="D1684" s="1"/>
      <c r="E1684" s="1" t="str">
        <f>IFERROR(__xludf.DUMMYFUNCTION("""COMPUTED_VALUE"""),"-")</f>
        <v>-</v>
      </c>
      <c r="F1684" s="1"/>
      <c r="G1684" s="1" t="str">
        <f>IFERROR(__xludf.DUMMYFUNCTION("""COMPUTED_VALUE"""),"-")</f>
        <v>-</v>
      </c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1"/>
      <c r="B1685" s="1"/>
      <c r="C1685" s="1"/>
      <c r="D1685" s="1"/>
      <c r="E1685" s="1" t="str">
        <f>IFERROR(__xludf.DUMMYFUNCTION("""COMPUTED_VALUE"""),"-")</f>
        <v>-</v>
      </c>
      <c r="F1685" s="1"/>
      <c r="G1685" s="1" t="str">
        <f>IFERROR(__xludf.DUMMYFUNCTION("""COMPUTED_VALUE"""),"-")</f>
        <v>-</v>
      </c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1"/>
      <c r="B1686" s="1"/>
      <c r="C1686" s="1"/>
      <c r="D1686" s="1"/>
      <c r="E1686" s="1" t="str">
        <f>IFERROR(__xludf.DUMMYFUNCTION("""COMPUTED_VALUE"""),"-")</f>
        <v>-</v>
      </c>
      <c r="F1686" s="1"/>
      <c r="G1686" s="1" t="str">
        <f>IFERROR(__xludf.DUMMYFUNCTION("""COMPUTED_VALUE"""),"-")</f>
        <v>-</v>
      </c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1"/>
      <c r="B1687" s="1"/>
      <c r="C1687" s="1"/>
      <c r="D1687" s="1"/>
      <c r="E1687" s="1" t="str">
        <f>IFERROR(__xludf.DUMMYFUNCTION("""COMPUTED_VALUE"""),"-")</f>
        <v>-</v>
      </c>
      <c r="F1687" s="1"/>
      <c r="G1687" s="1" t="str">
        <f>IFERROR(__xludf.DUMMYFUNCTION("""COMPUTED_VALUE"""),"-")</f>
        <v>-</v>
      </c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1"/>
      <c r="B1688" s="1"/>
      <c r="C1688" s="1"/>
      <c r="D1688" s="1"/>
      <c r="E1688" s="1" t="str">
        <f>IFERROR(__xludf.DUMMYFUNCTION("""COMPUTED_VALUE"""),"-")</f>
        <v>-</v>
      </c>
      <c r="F1688" s="1"/>
      <c r="G1688" s="1" t="str">
        <f>IFERROR(__xludf.DUMMYFUNCTION("""COMPUTED_VALUE"""),"-")</f>
        <v>-</v>
      </c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1"/>
      <c r="B1689" s="1"/>
      <c r="C1689" s="1"/>
      <c r="D1689" s="1"/>
      <c r="E1689" s="1" t="str">
        <f>IFERROR(__xludf.DUMMYFUNCTION("""COMPUTED_VALUE"""),"-")</f>
        <v>-</v>
      </c>
      <c r="F1689" s="1"/>
      <c r="G1689" s="1" t="str">
        <f>IFERROR(__xludf.DUMMYFUNCTION("""COMPUTED_VALUE"""),"-")</f>
        <v>-</v>
      </c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1"/>
      <c r="B1690" s="1"/>
      <c r="C1690" s="1"/>
      <c r="D1690" s="1"/>
      <c r="E1690" s="1" t="str">
        <f>IFERROR(__xludf.DUMMYFUNCTION("""COMPUTED_VALUE"""),"-")</f>
        <v>-</v>
      </c>
      <c r="F1690" s="1"/>
      <c r="G1690" s="1" t="str">
        <f>IFERROR(__xludf.DUMMYFUNCTION("""COMPUTED_VALUE"""),"-")</f>
        <v>-</v>
      </c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1"/>
      <c r="B1691" s="1"/>
      <c r="C1691" s="1"/>
      <c r="D1691" s="1"/>
      <c r="E1691" s="1" t="str">
        <f>IFERROR(__xludf.DUMMYFUNCTION("""COMPUTED_VALUE"""),"-")</f>
        <v>-</v>
      </c>
      <c r="F1691" s="1"/>
      <c r="G1691" s="1" t="str">
        <f>IFERROR(__xludf.DUMMYFUNCTION("""COMPUTED_VALUE"""),"-")</f>
        <v>-</v>
      </c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1"/>
      <c r="B1692" s="1"/>
      <c r="C1692" s="1"/>
      <c r="D1692" s="1"/>
      <c r="E1692" s="1" t="str">
        <f>IFERROR(__xludf.DUMMYFUNCTION("""COMPUTED_VALUE"""),"-")</f>
        <v>-</v>
      </c>
      <c r="F1692" s="1"/>
      <c r="G1692" s="1" t="str">
        <f>IFERROR(__xludf.DUMMYFUNCTION("""COMPUTED_VALUE"""),"-")</f>
        <v>-</v>
      </c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1"/>
      <c r="B1693" s="1"/>
      <c r="C1693" s="1"/>
      <c r="D1693" s="1"/>
      <c r="E1693" s="1" t="str">
        <f>IFERROR(__xludf.DUMMYFUNCTION("""COMPUTED_VALUE"""),"-")</f>
        <v>-</v>
      </c>
      <c r="F1693" s="1"/>
      <c r="G1693" s="1" t="str">
        <f>IFERROR(__xludf.DUMMYFUNCTION("""COMPUTED_VALUE"""),"-")</f>
        <v>-</v>
      </c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1"/>
      <c r="B1694" s="1"/>
      <c r="C1694" s="1"/>
      <c r="D1694" s="1"/>
      <c r="E1694" s="1" t="str">
        <f>IFERROR(__xludf.DUMMYFUNCTION("""COMPUTED_VALUE"""),"-")</f>
        <v>-</v>
      </c>
      <c r="F1694" s="1"/>
      <c r="G1694" s="1" t="str">
        <f>IFERROR(__xludf.DUMMYFUNCTION("""COMPUTED_VALUE"""),"-")</f>
        <v>-</v>
      </c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1"/>
      <c r="B1695" s="1"/>
      <c r="C1695" s="1"/>
      <c r="D1695" s="1"/>
      <c r="E1695" s="1" t="str">
        <f>IFERROR(__xludf.DUMMYFUNCTION("""COMPUTED_VALUE"""),"-")</f>
        <v>-</v>
      </c>
      <c r="F1695" s="1"/>
      <c r="G1695" s="1" t="str">
        <f>IFERROR(__xludf.DUMMYFUNCTION("""COMPUTED_VALUE"""),"-")</f>
        <v>-</v>
      </c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1"/>
      <c r="B1696" s="1"/>
      <c r="C1696" s="1"/>
      <c r="D1696" s="1"/>
      <c r="E1696" s="1" t="str">
        <f>IFERROR(__xludf.DUMMYFUNCTION("""COMPUTED_VALUE"""),"-")</f>
        <v>-</v>
      </c>
      <c r="F1696" s="1"/>
      <c r="G1696" s="1" t="str">
        <f>IFERROR(__xludf.DUMMYFUNCTION("""COMPUTED_VALUE"""),"-")</f>
        <v>-</v>
      </c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1"/>
      <c r="B1697" s="1"/>
      <c r="C1697" s="1"/>
      <c r="D1697" s="1"/>
      <c r="E1697" s="1" t="str">
        <f>IFERROR(__xludf.DUMMYFUNCTION("""COMPUTED_VALUE"""),"-")</f>
        <v>-</v>
      </c>
      <c r="F1697" s="1"/>
      <c r="G1697" s="1" t="str">
        <f>IFERROR(__xludf.DUMMYFUNCTION("""COMPUTED_VALUE"""),"-")</f>
        <v>-</v>
      </c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1"/>
      <c r="B1698" s="1"/>
      <c r="C1698" s="1"/>
      <c r="D1698" s="1"/>
      <c r="E1698" s="1" t="str">
        <f>IFERROR(__xludf.DUMMYFUNCTION("""COMPUTED_VALUE"""),"-")</f>
        <v>-</v>
      </c>
      <c r="F1698" s="1"/>
      <c r="G1698" s="1" t="str">
        <f>IFERROR(__xludf.DUMMYFUNCTION("""COMPUTED_VALUE"""),"-")</f>
        <v>-</v>
      </c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1"/>
      <c r="B1699" s="1"/>
      <c r="C1699" s="1"/>
      <c r="D1699" s="1"/>
      <c r="E1699" s="1" t="str">
        <f>IFERROR(__xludf.DUMMYFUNCTION("""COMPUTED_VALUE"""),"-")</f>
        <v>-</v>
      </c>
      <c r="F1699" s="1"/>
      <c r="G1699" s="1" t="str">
        <f>IFERROR(__xludf.DUMMYFUNCTION("""COMPUTED_VALUE"""),"-")</f>
        <v>-</v>
      </c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1"/>
      <c r="B1700" s="1"/>
      <c r="C1700" s="1"/>
      <c r="D1700" s="1"/>
      <c r="E1700" s="1" t="str">
        <f>IFERROR(__xludf.DUMMYFUNCTION("""COMPUTED_VALUE"""),"-")</f>
        <v>-</v>
      </c>
      <c r="F1700" s="1"/>
      <c r="G1700" s="1" t="str">
        <f>IFERROR(__xludf.DUMMYFUNCTION("""COMPUTED_VALUE"""),"-")</f>
        <v>-</v>
      </c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1"/>
      <c r="B1701" s="1"/>
      <c r="C1701" s="1"/>
      <c r="D1701" s="1"/>
      <c r="E1701" s="1" t="str">
        <f>IFERROR(__xludf.DUMMYFUNCTION("""COMPUTED_VALUE"""),"-")</f>
        <v>-</v>
      </c>
      <c r="F1701" s="1"/>
      <c r="G1701" s="1" t="str">
        <f>IFERROR(__xludf.DUMMYFUNCTION("""COMPUTED_VALUE"""),"-")</f>
        <v>-</v>
      </c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1"/>
      <c r="B1702" s="1"/>
      <c r="C1702" s="1"/>
      <c r="D1702" s="1"/>
      <c r="E1702" s="1" t="str">
        <f>IFERROR(__xludf.DUMMYFUNCTION("""COMPUTED_VALUE"""),"-")</f>
        <v>-</v>
      </c>
      <c r="F1702" s="1"/>
      <c r="G1702" s="1" t="str">
        <f>IFERROR(__xludf.DUMMYFUNCTION("""COMPUTED_VALUE"""),"-")</f>
        <v>-</v>
      </c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1"/>
      <c r="B1703" s="1"/>
      <c r="C1703" s="1"/>
      <c r="D1703" s="1"/>
      <c r="E1703" s="1" t="str">
        <f>IFERROR(__xludf.DUMMYFUNCTION("""COMPUTED_VALUE"""),"-")</f>
        <v>-</v>
      </c>
      <c r="F1703" s="1"/>
      <c r="G1703" s="1" t="str">
        <f>IFERROR(__xludf.DUMMYFUNCTION("""COMPUTED_VALUE"""),"-")</f>
        <v>-</v>
      </c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1"/>
      <c r="B1704" s="1"/>
      <c r="C1704" s="1"/>
      <c r="D1704" s="1"/>
      <c r="E1704" s="1" t="str">
        <f>IFERROR(__xludf.DUMMYFUNCTION("""COMPUTED_VALUE"""),"-")</f>
        <v>-</v>
      </c>
      <c r="F1704" s="1"/>
      <c r="G1704" s="1" t="str">
        <f>IFERROR(__xludf.DUMMYFUNCTION("""COMPUTED_VALUE"""),"-")</f>
        <v>-</v>
      </c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1"/>
      <c r="B1705" s="1"/>
      <c r="C1705" s="1"/>
      <c r="D1705" s="1"/>
      <c r="E1705" s="1" t="str">
        <f>IFERROR(__xludf.DUMMYFUNCTION("""COMPUTED_VALUE"""),"-")</f>
        <v>-</v>
      </c>
      <c r="F1705" s="1"/>
      <c r="G1705" s="1" t="str">
        <f>IFERROR(__xludf.DUMMYFUNCTION("""COMPUTED_VALUE"""),"-")</f>
        <v>-</v>
      </c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1"/>
      <c r="B1706" s="1"/>
      <c r="C1706" s="1"/>
      <c r="D1706" s="1"/>
      <c r="E1706" s="1" t="str">
        <f>IFERROR(__xludf.DUMMYFUNCTION("""COMPUTED_VALUE"""),"-")</f>
        <v>-</v>
      </c>
      <c r="F1706" s="1"/>
      <c r="G1706" s="1" t="str">
        <f>IFERROR(__xludf.DUMMYFUNCTION("""COMPUTED_VALUE"""),"-")</f>
        <v>-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1"/>
      <c r="B1707" s="1"/>
      <c r="C1707" s="1"/>
      <c r="D1707" s="1"/>
      <c r="E1707" s="1" t="str">
        <f>IFERROR(__xludf.DUMMYFUNCTION("""COMPUTED_VALUE"""),"-")</f>
        <v>-</v>
      </c>
      <c r="F1707" s="1"/>
      <c r="G1707" s="1" t="str">
        <f>IFERROR(__xludf.DUMMYFUNCTION("""COMPUTED_VALUE"""),"-")</f>
        <v>-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1"/>
      <c r="B1708" s="1"/>
      <c r="C1708" s="1"/>
      <c r="D1708" s="1"/>
      <c r="E1708" s="1" t="str">
        <f>IFERROR(__xludf.DUMMYFUNCTION("""COMPUTED_VALUE"""),"-")</f>
        <v>-</v>
      </c>
      <c r="F1708" s="1"/>
      <c r="G1708" s="1" t="str">
        <f>IFERROR(__xludf.DUMMYFUNCTION("""COMPUTED_VALUE"""),"-")</f>
        <v>-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1"/>
      <c r="B1709" s="1"/>
      <c r="C1709" s="1"/>
      <c r="D1709" s="1"/>
      <c r="E1709" s="1" t="str">
        <f>IFERROR(__xludf.DUMMYFUNCTION("""COMPUTED_VALUE"""),"-")</f>
        <v>-</v>
      </c>
      <c r="F1709" s="1"/>
      <c r="G1709" s="1" t="str">
        <f>IFERROR(__xludf.DUMMYFUNCTION("""COMPUTED_VALUE"""),"-")</f>
        <v>-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1"/>
      <c r="B1710" s="1"/>
      <c r="C1710" s="1"/>
      <c r="D1710" s="1"/>
      <c r="E1710" s="1" t="str">
        <f>IFERROR(__xludf.DUMMYFUNCTION("""COMPUTED_VALUE"""),"-")</f>
        <v>-</v>
      </c>
      <c r="F1710" s="1"/>
      <c r="G1710" s="1" t="str">
        <f>IFERROR(__xludf.DUMMYFUNCTION("""COMPUTED_VALUE"""),"-")</f>
        <v>-</v>
      </c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1"/>
      <c r="B1711" s="1"/>
      <c r="C1711" s="1"/>
      <c r="D1711" s="1"/>
      <c r="E1711" s="1" t="str">
        <f>IFERROR(__xludf.DUMMYFUNCTION("""COMPUTED_VALUE"""),"-")</f>
        <v>-</v>
      </c>
      <c r="F1711" s="1"/>
      <c r="G1711" s="1" t="str">
        <f>IFERROR(__xludf.DUMMYFUNCTION("""COMPUTED_VALUE"""),"-")</f>
        <v>-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1"/>
      <c r="B1712" s="1"/>
      <c r="C1712" s="1"/>
      <c r="D1712" s="1"/>
      <c r="E1712" s="1" t="str">
        <f>IFERROR(__xludf.DUMMYFUNCTION("""COMPUTED_VALUE"""),"-")</f>
        <v>-</v>
      </c>
      <c r="F1712" s="1"/>
      <c r="G1712" s="1" t="str">
        <f>IFERROR(__xludf.DUMMYFUNCTION("""COMPUTED_VALUE"""),"-")</f>
        <v>-</v>
      </c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1"/>
      <c r="B1713" s="1"/>
      <c r="C1713" s="1"/>
      <c r="D1713" s="1"/>
      <c r="E1713" s="1" t="str">
        <f>IFERROR(__xludf.DUMMYFUNCTION("""COMPUTED_VALUE"""),"-")</f>
        <v>-</v>
      </c>
      <c r="F1713" s="1"/>
      <c r="G1713" s="1" t="str">
        <f>IFERROR(__xludf.DUMMYFUNCTION("""COMPUTED_VALUE"""),"-")</f>
        <v>-</v>
      </c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"/>
      <c r="B1714" s="1"/>
      <c r="C1714" s="1"/>
      <c r="D1714" s="1"/>
      <c r="E1714" s="1" t="str">
        <f>IFERROR(__xludf.DUMMYFUNCTION("""COMPUTED_VALUE"""),"-")</f>
        <v>-</v>
      </c>
      <c r="F1714" s="1"/>
      <c r="G1714" s="1" t="str">
        <f>IFERROR(__xludf.DUMMYFUNCTION("""COMPUTED_VALUE"""),"-")</f>
        <v>-</v>
      </c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1"/>
      <c r="B1715" s="1"/>
      <c r="C1715" s="1"/>
      <c r="D1715" s="1"/>
      <c r="E1715" s="1" t="str">
        <f>IFERROR(__xludf.DUMMYFUNCTION("""COMPUTED_VALUE"""),"-")</f>
        <v>-</v>
      </c>
      <c r="F1715" s="1"/>
      <c r="G1715" s="1" t="str">
        <f>IFERROR(__xludf.DUMMYFUNCTION("""COMPUTED_VALUE"""),"-")</f>
        <v>-</v>
      </c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1"/>
      <c r="B1716" s="1"/>
      <c r="C1716" s="1"/>
      <c r="D1716" s="1"/>
      <c r="E1716" s="1" t="str">
        <f>IFERROR(__xludf.DUMMYFUNCTION("""COMPUTED_VALUE"""),"-")</f>
        <v>-</v>
      </c>
      <c r="F1716" s="1"/>
      <c r="G1716" s="1" t="str">
        <f>IFERROR(__xludf.DUMMYFUNCTION("""COMPUTED_VALUE"""),"-")</f>
        <v>-</v>
      </c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1"/>
      <c r="B1717" s="1"/>
      <c r="C1717" s="1"/>
      <c r="D1717" s="1"/>
      <c r="E1717" s="1" t="str">
        <f>IFERROR(__xludf.DUMMYFUNCTION("""COMPUTED_VALUE"""),"-")</f>
        <v>-</v>
      </c>
      <c r="F1717" s="1"/>
      <c r="G1717" s="1" t="str">
        <f>IFERROR(__xludf.DUMMYFUNCTION("""COMPUTED_VALUE"""),"-")</f>
        <v>-</v>
      </c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1"/>
      <c r="B1718" s="1"/>
      <c r="C1718" s="1"/>
      <c r="D1718" s="1"/>
      <c r="E1718" s="1" t="str">
        <f>IFERROR(__xludf.DUMMYFUNCTION("""COMPUTED_VALUE"""),"-")</f>
        <v>-</v>
      </c>
      <c r="F1718" s="1"/>
      <c r="G1718" s="1" t="str">
        <f>IFERROR(__xludf.DUMMYFUNCTION("""COMPUTED_VALUE"""),"-")</f>
        <v>-</v>
      </c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1"/>
      <c r="B1719" s="1"/>
      <c r="C1719" s="1"/>
      <c r="D1719" s="1"/>
      <c r="E1719" s="1" t="str">
        <f>IFERROR(__xludf.DUMMYFUNCTION("""COMPUTED_VALUE"""),"-")</f>
        <v>-</v>
      </c>
      <c r="F1719" s="1"/>
      <c r="G1719" s="1" t="str">
        <f>IFERROR(__xludf.DUMMYFUNCTION("""COMPUTED_VALUE"""),"-")</f>
        <v>-</v>
      </c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1"/>
      <c r="B1720" s="1"/>
      <c r="C1720" s="1"/>
      <c r="D1720" s="1"/>
      <c r="E1720" s="1" t="str">
        <f>IFERROR(__xludf.DUMMYFUNCTION("""COMPUTED_VALUE"""),"-")</f>
        <v>-</v>
      </c>
      <c r="F1720" s="1"/>
      <c r="G1720" s="1" t="str">
        <f>IFERROR(__xludf.DUMMYFUNCTION("""COMPUTED_VALUE"""),"-")</f>
        <v>-</v>
      </c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1"/>
      <c r="B1721" s="1"/>
      <c r="C1721" s="1"/>
      <c r="D1721" s="1"/>
      <c r="E1721" s="1" t="str">
        <f>IFERROR(__xludf.DUMMYFUNCTION("""COMPUTED_VALUE"""),"-")</f>
        <v>-</v>
      </c>
      <c r="F1721" s="1"/>
      <c r="G1721" s="1" t="str">
        <f>IFERROR(__xludf.DUMMYFUNCTION("""COMPUTED_VALUE"""),"-")</f>
        <v>-</v>
      </c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1"/>
      <c r="B1722" s="1"/>
      <c r="C1722" s="1"/>
      <c r="D1722" s="1"/>
      <c r="E1722" s="1" t="str">
        <f>IFERROR(__xludf.DUMMYFUNCTION("""COMPUTED_VALUE"""),"-")</f>
        <v>-</v>
      </c>
      <c r="F1722" s="1"/>
      <c r="G1722" s="1" t="str">
        <f>IFERROR(__xludf.DUMMYFUNCTION("""COMPUTED_VALUE"""),"-")</f>
        <v>-</v>
      </c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1"/>
      <c r="B1723" s="1"/>
      <c r="C1723" s="1"/>
      <c r="D1723" s="1"/>
      <c r="E1723" s="1" t="str">
        <f>IFERROR(__xludf.DUMMYFUNCTION("""COMPUTED_VALUE"""),"-")</f>
        <v>-</v>
      </c>
      <c r="F1723" s="1"/>
      <c r="G1723" s="1" t="str">
        <f>IFERROR(__xludf.DUMMYFUNCTION("""COMPUTED_VALUE"""),"-")</f>
        <v>-</v>
      </c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1"/>
      <c r="B1724" s="1"/>
      <c r="C1724" s="1"/>
      <c r="D1724" s="1"/>
      <c r="E1724" s="1" t="str">
        <f>IFERROR(__xludf.DUMMYFUNCTION("""COMPUTED_VALUE"""),"-")</f>
        <v>-</v>
      </c>
      <c r="F1724" s="1"/>
      <c r="G1724" s="1" t="str">
        <f>IFERROR(__xludf.DUMMYFUNCTION("""COMPUTED_VALUE"""),"-")</f>
        <v>-</v>
      </c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1"/>
      <c r="B1725" s="1"/>
      <c r="C1725" s="1"/>
      <c r="D1725" s="1"/>
      <c r="E1725" s="1" t="str">
        <f>IFERROR(__xludf.DUMMYFUNCTION("""COMPUTED_VALUE"""),"-")</f>
        <v>-</v>
      </c>
      <c r="F1725" s="1"/>
      <c r="G1725" s="1" t="str">
        <f>IFERROR(__xludf.DUMMYFUNCTION("""COMPUTED_VALUE"""),"-")</f>
        <v>-</v>
      </c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1"/>
      <c r="B1726" s="1"/>
      <c r="C1726" s="1"/>
      <c r="D1726" s="1"/>
      <c r="E1726" s="1" t="str">
        <f>IFERROR(__xludf.DUMMYFUNCTION("""COMPUTED_VALUE"""),"-")</f>
        <v>-</v>
      </c>
      <c r="F1726" s="1"/>
      <c r="G1726" s="1" t="str">
        <f>IFERROR(__xludf.DUMMYFUNCTION("""COMPUTED_VALUE"""),"-")</f>
        <v>-</v>
      </c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1"/>
      <c r="B1727" s="1"/>
      <c r="C1727" s="1"/>
      <c r="D1727" s="1"/>
      <c r="E1727" s="1" t="str">
        <f>IFERROR(__xludf.DUMMYFUNCTION("""COMPUTED_VALUE"""),"-")</f>
        <v>-</v>
      </c>
      <c r="F1727" s="1"/>
      <c r="G1727" s="1" t="str">
        <f>IFERROR(__xludf.DUMMYFUNCTION("""COMPUTED_VALUE"""),"-")</f>
        <v>-</v>
      </c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1"/>
      <c r="B1728" s="1"/>
      <c r="C1728" s="1"/>
      <c r="D1728" s="1"/>
      <c r="E1728" s="1" t="str">
        <f>IFERROR(__xludf.DUMMYFUNCTION("""COMPUTED_VALUE"""),"-")</f>
        <v>-</v>
      </c>
      <c r="F1728" s="1"/>
      <c r="G1728" s="1" t="str">
        <f>IFERROR(__xludf.DUMMYFUNCTION("""COMPUTED_VALUE"""),"-")</f>
        <v>-</v>
      </c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1"/>
      <c r="B1729" s="1"/>
      <c r="C1729" s="1"/>
      <c r="D1729" s="1"/>
      <c r="E1729" s="1" t="str">
        <f>IFERROR(__xludf.DUMMYFUNCTION("""COMPUTED_VALUE"""),"-")</f>
        <v>-</v>
      </c>
      <c r="F1729" s="1"/>
      <c r="G1729" s="1" t="str">
        <f>IFERROR(__xludf.DUMMYFUNCTION("""COMPUTED_VALUE"""),"-")</f>
        <v>-</v>
      </c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1"/>
      <c r="B1730" s="1"/>
      <c r="C1730" s="1"/>
      <c r="D1730" s="1"/>
      <c r="E1730" s="1" t="str">
        <f>IFERROR(__xludf.DUMMYFUNCTION("""COMPUTED_VALUE"""),"-")</f>
        <v>-</v>
      </c>
      <c r="F1730" s="1"/>
      <c r="G1730" s="1" t="str">
        <f>IFERROR(__xludf.DUMMYFUNCTION("""COMPUTED_VALUE"""),"-")</f>
        <v>-</v>
      </c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1"/>
      <c r="B1731" s="1"/>
      <c r="C1731" s="1"/>
      <c r="D1731" s="1"/>
      <c r="E1731" s="1" t="str">
        <f>IFERROR(__xludf.DUMMYFUNCTION("""COMPUTED_VALUE"""),"-")</f>
        <v>-</v>
      </c>
      <c r="F1731" s="1"/>
      <c r="G1731" s="1" t="str">
        <f>IFERROR(__xludf.DUMMYFUNCTION("""COMPUTED_VALUE"""),"-")</f>
        <v>-</v>
      </c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1"/>
      <c r="B1732" s="1"/>
      <c r="C1732" s="1"/>
      <c r="D1732" s="1"/>
      <c r="E1732" s="1" t="str">
        <f>IFERROR(__xludf.DUMMYFUNCTION("""COMPUTED_VALUE"""),"-")</f>
        <v>-</v>
      </c>
      <c r="F1732" s="1"/>
      <c r="G1732" s="1" t="str">
        <f>IFERROR(__xludf.DUMMYFUNCTION("""COMPUTED_VALUE"""),"-")</f>
        <v>-</v>
      </c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1"/>
      <c r="B1733" s="1"/>
      <c r="C1733" s="1"/>
      <c r="D1733" s="1"/>
      <c r="E1733" s="1" t="str">
        <f>IFERROR(__xludf.DUMMYFUNCTION("""COMPUTED_VALUE"""),"-")</f>
        <v>-</v>
      </c>
      <c r="F1733" s="1"/>
      <c r="G1733" s="1" t="str">
        <f>IFERROR(__xludf.DUMMYFUNCTION("""COMPUTED_VALUE"""),"-")</f>
        <v>-</v>
      </c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1"/>
      <c r="B1734" s="1"/>
      <c r="C1734" s="1"/>
      <c r="D1734" s="1"/>
      <c r="E1734" s="1" t="str">
        <f>IFERROR(__xludf.DUMMYFUNCTION("""COMPUTED_VALUE"""),"-")</f>
        <v>-</v>
      </c>
      <c r="F1734" s="1"/>
      <c r="G1734" s="1" t="str">
        <f>IFERROR(__xludf.DUMMYFUNCTION("""COMPUTED_VALUE"""),"-")</f>
        <v>-</v>
      </c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1"/>
      <c r="B1735" s="1"/>
      <c r="C1735" s="1"/>
      <c r="D1735" s="1"/>
      <c r="E1735" s="1" t="str">
        <f>IFERROR(__xludf.DUMMYFUNCTION("""COMPUTED_VALUE"""),"-")</f>
        <v>-</v>
      </c>
      <c r="F1735" s="1"/>
      <c r="G1735" s="1" t="str">
        <f>IFERROR(__xludf.DUMMYFUNCTION("""COMPUTED_VALUE"""),"-")</f>
        <v>-</v>
      </c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1"/>
      <c r="B1736" s="1"/>
      <c r="C1736" s="1"/>
      <c r="D1736" s="1"/>
      <c r="E1736" s="1" t="str">
        <f>IFERROR(__xludf.DUMMYFUNCTION("""COMPUTED_VALUE"""),"-")</f>
        <v>-</v>
      </c>
      <c r="F1736" s="1"/>
      <c r="G1736" s="1" t="str">
        <f>IFERROR(__xludf.DUMMYFUNCTION("""COMPUTED_VALUE"""),"-")</f>
        <v>-</v>
      </c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1"/>
      <c r="B1737" s="1"/>
      <c r="C1737" s="1"/>
      <c r="D1737" s="1"/>
      <c r="E1737" s="1" t="str">
        <f>IFERROR(__xludf.DUMMYFUNCTION("""COMPUTED_VALUE"""),"-")</f>
        <v>-</v>
      </c>
      <c r="F1737" s="1"/>
      <c r="G1737" s="1" t="str">
        <f>IFERROR(__xludf.DUMMYFUNCTION("""COMPUTED_VALUE"""),"-")</f>
        <v>-</v>
      </c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1"/>
      <c r="B1738" s="1"/>
      <c r="C1738" s="1"/>
      <c r="D1738" s="1"/>
      <c r="E1738" s="1" t="str">
        <f>IFERROR(__xludf.DUMMYFUNCTION("""COMPUTED_VALUE"""),"-")</f>
        <v>-</v>
      </c>
      <c r="F1738" s="1"/>
      <c r="G1738" s="1" t="str">
        <f>IFERROR(__xludf.DUMMYFUNCTION("""COMPUTED_VALUE"""),"-")</f>
        <v>-</v>
      </c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1"/>
      <c r="B1739" s="1"/>
      <c r="C1739" s="1"/>
      <c r="D1739" s="1"/>
      <c r="E1739" s="1" t="str">
        <f>IFERROR(__xludf.DUMMYFUNCTION("""COMPUTED_VALUE"""),"-")</f>
        <v>-</v>
      </c>
      <c r="F1739" s="1"/>
      <c r="G1739" s="1" t="str">
        <f>IFERROR(__xludf.DUMMYFUNCTION("""COMPUTED_VALUE"""),"-")</f>
        <v>-</v>
      </c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1"/>
      <c r="B1740" s="1"/>
      <c r="C1740" s="1"/>
      <c r="D1740" s="1"/>
      <c r="E1740" s="1" t="str">
        <f>IFERROR(__xludf.DUMMYFUNCTION("""COMPUTED_VALUE"""),"-")</f>
        <v>-</v>
      </c>
      <c r="F1740" s="1"/>
      <c r="G1740" s="1" t="str">
        <f>IFERROR(__xludf.DUMMYFUNCTION("""COMPUTED_VALUE"""),"-")</f>
        <v>-</v>
      </c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1"/>
      <c r="B1741" s="1"/>
      <c r="C1741" s="1"/>
      <c r="D1741" s="1"/>
      <c r="E1741" s="1" t="str">
        <f>IFERROR(__xludf.DUMMYFUNCTION("""COMPUTED_VALUE"""),"-")</f>
        <v>-</v>
      </c>
      <c r="F1741" s="1"/>
      <c r="G1741" s="1" t="str">
        <f>IFERROR(__xludf.DUMMYFUNCTION("""COMPUTED_VALUE"""),"-")</f>
        <v>-</v>
      </c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"/>
      <c r="B1742" s="1"/>
      <c r="C1742" s="1"/>
      <c r="D1742" s="1"/>
      <c r="E1742" s="1" t="str">
        <f>IFERROR(__xludf.DUMMYFUNCTION("""COMPUTED_VALUE"""),"-")</f>
        <v>-</v>
      </c>
      <c r="F1742" s="1"/>
      <c r="G1742" s="1" t="str">
        <f>IFERROR(__xludf.DUMMYFUNCTION("""COMPUTED_VALUE"""),"-")</f>
        <v>-</v>
      </c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1"/>
      <c r="B1743" s="1"/>
      <c r="C1743" s="1"/>
      <c r="D1743" s="1"/>
      <c r="E1743" s="1" t="str">
        <f>IFERROR(__xludf.DUMMYFUNCTION("""COMPUTED_VALUE"""),"-")</f>
        <v>-</v>
      </c>
      <c r="F1743" s="1"/>
      <c r="G1743" s="1" t="str">
        <f>IFERROR(__xludf.DUMMYFUNCTION("""COMPUTED_VALUE"""),"-")</f>
        <v>-</v>
      </c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1"/>
      <c r="B1744" s="1"/>
      <c r="C1744" s="1"/>
      <c r="D1744" s="1"/>
      <c r="E1744" s="1" t="str">
        <f>IFERROR(__xludf.DUMMYFUNCTION("""COMPUTED_VALUE"""),"-")</f>
        <v>-</v>
      </c>
      <c r="F1744" s="1"/>
      <c r="G1744" s="1" t="str">
        <f>IFERROR(__xludf.DUMMYFUNCTION("""COMPUTED_VALUE"""),"-")</f>
        <v>-</v>
      </c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1"/>
      <c r="B1745" s="1"/>
      <c r="C1745" s="1"/>
      <c r="D1745" s="1"/>
      <c r="E1745" s="1" t="str">
        <f>IFERROR(__xludf.DUMMYFUNCTION("""COMPUTED_VALUE"""),"-")</f>
        <v>-</v>
      </c>
      <c r="F1745" s="1"/>
      <c r="G1745" s="1" t="str">
        <f>IFERROR(__xludf.DUMMYFUNCTION("""COMPUTED_VALUE"""),"-")</f>
        <v>-</v>
      </c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1"/>
      <c r="B1746" s="1"/>
      <c r="C1746" s="1"/>
      <c r="D1746" s="1"/>
      <c r="E1746" s="1" t="str">
        <f>IFERROR(__xludf.DUMMYFUNCTION("""COMPUTED_VALUE"""),"-")</f>
        <v>-</v>
      </c>
      <c r="F1746" s="1"/>
      <c r="G1746" s="1" t="str">
        <f>IFERROR(__xludf.DUMMYFUNCTION("""COMPUTED_VALUE"""),"-")</f>
        <v>-</v>
      </c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1"/>
      <c r="B1747" s="1"/>
      <c r="C1747" s="1"/>
      <c r="D1747" s="1"/>
      <c r="E1747" s="1" t="str">
        <f>IFERROR(__xludf.DUMMYFUNCTION("""COMPUTED_VALUE"""),"-")</f>
        <v>-</v>
      </c>
      <c r="F1747" s="1"/>
      <c r="G1747" s="1" t="str">
        <f>IFERROR(__xludf.DUMMYFUNCTION("""COMPUTED_VALUE"""),"-")</f>
        <v>-</v>
      </c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1"/>
      <c r="B1748" s="1"/>
      <c r="C1748" s="1"/>
      <c r="D1748" s="1"/>
      <c r="E1748" s="1" t="str">
        <f>IFERROR(__xludf.DUMMYFUNCTION("""COMPUTED_VALUE"""),"-")</f>
        <v>-</v>
      </c>
      <c r="F1748" s="1"/>
      <c r="G1748" s="1" t="str">
        <f>IFERROR(__xludf.DUMMYFUNCTION("""COMPUTED_VALUE"""),"-")</f>
        <v>-</v>
      </c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1"/>
      <c r="B1749" s="1"/>
      <c r="C1749" s="1"/>
      <c r="D1749" s="1"/>
      <c r="E1749" s="1" t="str">
        <f>IFERROR(__xludf.DUMMYFUNCTION("""COMPUTED_VALUE"""),"-")</f>
        <v>-</v>
      </c>
      <c r="F1749" s="1"/>
      <c r="G1749" s="1" t="str">
        <f>IFERROR(__xludf.DUMMYFUNCTION("""COMPUTED_VALUE"""),"-")</f>
        <v>-</v>
      </c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1"/>
      <c r="B1750" s="1"/>
      <c r="C1750" s="1"/>
      <c r="D1750" s="1"/>
      <c r="E1750" s="1" t="str">
        <f>IFERROR(__xludf.DUMMYFUNCTION("""COMPUTED_VALUE"""),"-")</f>
        <v>-</v>
      </c>
      <c r="F1750" s="1"/>
      <c r="G1750" s="1" t="str">
        <f>IFERROR(__xludf.DUMMYFUNCTION("""COMPUTED_VALUE"""),"-")</f>
        <v>-</v>
      </c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1"/>
      <c r="B1751" s="1"/>
      <c r="C1751" s="1"/>
      <c r="D1751" s="1"/>
      <c r="E1751" s="1" t="str">
        <f>IFERROR(__xludf.DUMMYFUNCTION("""COMPUTED_VALUE"""),"-")</f>
        <v>-</v>
      </c>
      <c r="F1751" s="1"/>
      <c r="G1751" s="1" t="str">
        <f>IFERROR(__xludf.DUMMYFUNCTION("""COMPUTED_VALUE"""),"-")</f>
        <v>-</v>
      </c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1"/>
      <c r="B1752" s="1"/>
      <c r="C1752" s="1"/>
      <c r="D1752" s="1"/>
      <c r="E1752" s="1" t="str">
        <f>IFERROR(__xludf.DUMMYFUNCTION("""COMPUTED_VALUE"""),"-")</f>
        <v>-</v>
      </c>
      <c r="F1752" s="1"/>
      <c r="G1752" s="1" t="str">
        <f>IFERROR(__xludf.DUMMYFUNCTION("""COMPUTED_VALUE"""),"-")</f>
        <v>-</v>
      </c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1"/>
      <c r="B1753" s="1"/>
      <c r="C1753" s="1"/>
      <c r="D1753" s="1"/>
      <c r="E1753" s="1" t="str">
        <f>IFERROR(__xludf.DUMMYFUNCTION("""COMPUTED_VALUE"""),"-")</f>
        <v>-</v>
      </c>
      <c r="F1753" s="1"/>
      <c r="G1753" s="1" t="str">
        <f>IFERROR(__xludf.DUMMYFUNCTION("""COMPUTED_VALUE"""),"-")</f>
        <v>-</v>
      </c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1"/>
      <c r="B1754" s="1"/>
      <c r="C1754" s="1"/>
      <c r="D1754" s="1"/>
      <c r="E1754" s="1" t="str">
        <f>IFERROR(__xludf.DUMMYFUNCTION("""COMPUTED_VALUE"""),"-")</f>
        <v>-</v>
      </c>
      <c r="F1754" s="1"/>
      <c r="G1754" s="1" t="str">
        <f>IFERROR(__xludf.DUMMYFUNCTION("""COMPUTED_VALUE"""),"-")</f>
        <v>-</v>
      </c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1"/>
      <c r="B1755" s="1"/>
      <c r="C1755" s="1"/>
      <c r="D1755" s="1"/>
      <c r="E1755" s="1" t="str">
        <f>IFERROR(__xludf.DUMMYFUNCTION("""COMPUTED_VALUE"""),"-")</f>
        <v>-</v>
      </c>
      <c r="F1755" s="1"/>
      <c r="G1755" s="1" t="str">
        <f>IFERROR(__xludf.DUMMYFUNCTION("""COMPUTED_VALUE"""),"-")</f>
        <v>-</v>
      </c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1"/>
      <c r="B1756" s="1"/>
      <c r="C1756" s="1"/>
      <c r="D1756" s="1"/>
      <c r="E1756" s="1" t="str">
        <f>IFERROR(__xludf.DUMMYFUNCTION("""COMPUTED_VALUE"""),"-")</f>
        <v>-</v>
      </c>
      <c r="F1756" s="1"/>
      <c r="G1756" s="1" t="str">
        <f>IFERROR(__xludf.DUMMYFUNCTION("""COMPUTED_VALUE"""),"-")</f>
        <v>-</v>
      </c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1"/>
      <c r="B1757" s="1"/>
      <c r="C1757" s="1"/>
      <c r="D1757" s="1"/>
      <c r="E1757" s="1" t="str">
        <f>IFERROR(__xludf.DUMMYFUNCTION("""COMPUTED_VALUE"""),"-")</f>
        <v>-</v>
      </c>
      <c r="F1757" s="1"/>
      <c r="G1757" s="1" t="str">
        <f>IFERROR(__xludf.DUMMYFUNCTION("""COMPUTED_VALUE"""),"-")</f>
        <v>-</v>
      </c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1"/>
      <c r="B1758" s="1"/>
      <c r="C1758" s="1"/>
      <c r="D1758" s="1"/>
      <c r="E1758" s="1" t="str">
        <f>IFERROR(__xludf.DUMMYFUNCTION("""COMPUTED_VALUE"""),"-")</f>
        <v>-</v>
      </c>
      <c r="F1758" s="1"/>
      <c r="G1758" s="1" t="str">
        <f>IFERROR(__xludf.DUMMYFUNCTION("""COMPUTED_VALUE"""),"-")</f>
        <v>-</v>
      </c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1"/>
      <c r="B1759" s="1"/>
      <c r="C1759" s="1"/>
      <c r="D1759" s="1"/>
      <c r="E1759" s="1" t="str">
        <f>IFERROR(__xludf.DUMMYFUNCTION("""COMPUTED_VALUE"""),"-")</f>
        <v>-</v>
      </c>
      <c r="F1759" s="1"/>
      <c r="G1759" s="1" t="str">
        <f>IFERROR(__xludf.DUMMYFUNCTION("""COMPUTED_VALUE"""),"-")</f>
        <v>-</v>
      </c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1"/>
      <c r="B1760" s="1"/>
      <c r="C1760" s="1"/>
      <c r="D1760" s="1"/>
      <c r="E1760" s="1" t="str">
        <f>IFERROR(__xludf.DUMMYFUNCTION("""COMPUTED_VALUE"""),"-")</f>
        <v>-</v>
      </c>
      <c r="F1760" s="1"/>
      <c r="G1760" s="1" t="str">
        <f>IFERROR(__xludf.DUMMYFUNCTION("""COMPUTED_VALUE"""),"-")</f>
        <v>-</v>
      </c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1"/>
      <c r="B1761" s="1"/>
      <c r="C1761" s="1"/>
      <c r="D1761" s="1"/>
      <c r="E1761" s="1" t="str">
        <f>IFERROR(__xludf.DUMMYFUNCTION("""COMPUTED_VALUE"""),"-")</f>
        <v>-</v>
      </c>
      <c r="F1761" s="1"/>
      <c r="G1761" s="1" t="str">
        <f>IFERROR(__xludf.DUMMYFUNCTION("""COMPUTED_VALUE"""),"-")</f>
        <v>-</v>
      </c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"/>
      <c r="B1762" s="1"/>
      <c r="C1762" s="1"/>
      <c r="D1762" s="1"/>
      <c r="E1762" s="1" t="str">
        <f>IFERROR(__xludf.DUMMYFUNCTION("""COMPUTED_VALUE"""),"-")</f>
        <v>-</v>
      </c>
      <c r="F1762" s="1"/>
      <c r="G1762" s="1" t="str">
        <f>IFERROR(__xludf.DUMMYFUNCTION("""COMPUTED_VALUE"""),"-")</f>
        <v>-</v>
      </c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"/>
      <c r="B1763" s="1"/>
      <c r="C1763" s="1"/>
      <c r="D1763" s="1"/>
      <c r="E1763" s="1" t="str">
        <f>IFERROR(__xludf.DUMMYFUNCTION("""COMPUTED_VALUE"""),"-")</f>
        <v>-</v>
      </c>
      <c r="F1763" s="1"/>
      <c r="G1763" s="1" t="str">
        <f>IFERROR(__xludf.DUMMYFUNCTION("""COMPUTED_VALUE"""),"-")</f>
        <v>-</v>
      </c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"/>
      <c r="B1764" s="1"/>
      <c r="C1764" s="1"/>
      <c r="D1764" s="1"/>
      <c r="E1764" s="1" t="str">
        <f>IFERROR(__xludf.DUMMYFUNCTION("""COMPUTED_VALUE"""),"-")</f>
        <v>-</v>
      </c>
      <c r="F1764" s="1"/>
      <c r="G1764" s="1" t="str">
        <f>IFERROR(__xludf.DUMMYFUNCTION("""COMPUTED_VALUE"""),"-")</f>
        <v>-</v>
      </c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1"/>
      <c r="B1765" s="1"/>
      <c r="C1765" s="1"/>
      <c r="D1765" s="1"/>
      <c r="E1765" s="1" t="str">
        <f>IFERROR(__xludf.DUMMYFUNCTION("""COMPUTED_VALUE"""),"-")</f>
        <v>-</v>
      </c>
      <c r="F1765" s="1"/>
      <c r="G1765" s="1" t="str">
        <f>IFERROR(__xludf.DUMMYFUNCTION("""COMPUTED_VALUE"""),"-")</f>
        <v>-</v>
      </c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1"/>
      <c r="B1766" s="1"/>
      <c r="C1766" s="1"/>
      <c r="D1766" s="1"/>
      <c r="E1766" s="1" t="str">
        <f>IFERROR(__xludf.DUMMYFUNCTION("""COMPUTED_VALUE"""),"-")</f>
        <v>-</v>
      </c>
      <c r="F1766" s="1"/>
      <c r="G1766" s="1" t="str">
        <f>IFERROR(__xludf.DUMMYFUNCTION("""COMPUTED_VALUE"""),"-")</f>
        <v>-</v>
      </c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1"/>
      <c r="B1767" s="1"/>
      <c r="C1767" s="1"/>
      <c r="D1767" s="1"/>
      <c r="E1767" s="1" t="str">
        <f>IFERROR(__xludf.DUMMYFUNCTION("""COMPUTED_VALUE"""),"-")</f>
        <v>-</v>
      </c>
      <c r="F1767" s="1"/>
      <c r="G1767" s="1" t="str">
        <f>IFERROR(__xludf.DUMMYFUNCTION("""COMPUTED_VALUE"""),"-")</f>
        <v>-</v>
      </c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1"/>
      <c r="B1768" s="1"/>
      <c r="C1768" s="1"/>
      <c r="D1768" s="1"/>
      <c r="E1768" s="1" t="str">
        <f>IFERROR(__xludf.DUMMYFUNCTION("""COMPUTED_VALUE"""),"-")</f>
        <v>-</v>
      </c>
      <c r="F1768" s="1"/>
      <c r="G1768" s="1" t="str">
        <f>IFERROR(__xludf.DUMMYFUNCTION("""COMPUTED_VALUE"""),"-")</f>
        <v>-</v>
      </c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1"/>
      <c r="B1769" s="1"/>
      <c r="C1769" s="1"/>
      <c r="D1769" s="1"/>
      <c r="E1769" s="1" t="str">
        <f>IFERROR(__xludf.DUMMYFUNCTION("""COMPUTED_VALUE"""),"-")</f>
        <v>-</v>
      </c>
      <c r="F1769" s="1"/>
      <c r="G1769" s="1" t="str">
        <f>IFERROR(__xludf.DUMMYFUNCTION("""COMPUTED_VALUE"""),"-")</f>
        <v>-</v>
      </c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1"/>
      <c r="B1770" s="1"/>
      <c r="C1770" s="1"/>
      <c r="D1770" s="1"/>
      <c r="E1770" s="1" t="str">
        <f>IFERROR(__xludf.DUMMYFUNCTION("""COMPUTED_VALUE"""),"-")</f>
        <v>-</v>
      </c>
      <c r="F1770" s="1"/>
      <c r="G1770" s="1" t="str">
        <f>IFERROR(__xludf.DUMMYFUNCTION("""COMPUTED_VALUE"""),"-")</f>
        <v>-</v>
      </c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1"/>
      <c r="B1771" s="1"/>
      <c r="C1771" s="1"/>
      <c r="D1771" s="1"/>
      <c r="E1771" s="1" t="str">
        <f>IFERROR(__xludf.DUMMYFUNCTION("""COMPUTED_VALUE"""),"-")</f>
        <v>-</v>
      </c>
      <c r="F1771" s="1"/>
      <c r="G1771" s="1" t="str">
        <f>IFERROR(__xludf.DUMMYFUNCTION("""COMPUTED_VALUE"""),"-")</f>
        <v>-</v>
      </c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1"/>
      <c r="B1772" s="1"/>
      <c r="C1772" s="1"/>
      <c r="D1772" s="1"/>
      <c r="E1772" s="1" t="str">
        <f>IFERROR(__xludf.DUMMYFUNCTION("""COMPUTED_VALUE"""),"-")</f>
        <v>-</v>
      </c>
      <c r="F1772" s="1"/>
      <c r="G1772" s="1" t="str">
        <f>IFERROR(__xludf.DUMMYFUNCTION("""COMPUTED_VALUE"""),"-")</f>
        <v>-</v>
      </c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1"/>
      <c r="B1773" s="1"/>
      <c r="C1773" s="1"/>
      <c r="D1773" s="1"/>
      <c r="E1773" s="1" t="str">
        <f>IFERROR(__xludf.DUMMYFUNCTION("""COMPUTED_VALUE"""),"-")</f>
        <v>-</v>
      </c>
      <c r="F1773" s="1"/>
      <c r="G1773" s="1" t="str">
        <f>IFERROR(__xludf.DUMMYFUNCTION("""COMPUTED_VALUE"""),"-")</f>
        <v>-</v>
      </c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1"/>
      <c r="B1774" s="1"/>
      <c r="C1774" s="1"/>
      <c r="D1774" s="1"/>
      <c r="E1774" s="1" t="str">
        <f>IFERROR(__xludf.DUMMYFUNCTION("""COMPUTED_VALUE"""),"-")</f>
        <v>-</v>
      </c>
      <c r="F1774" s="1"/>
      <c r="G1774" s="1" t="str">
        <f>IFERROR(__xludf.DUMMYFUNCTION("""COMPUTED_VALUE"""),"-")</f>
        <v>-</v>
      </c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1"/>
      <c r="B1775" s="1"/>
      <c r="C1775" s="1"/>
      <c r="D1775" s="1"/>
      <c r="E1775" s="1" t="str">
        <f>IFERROR(__xludf.DUMMYFUNCTION("""COMPUTED_VALUE"""),"-")</f>
        <v>-</v>
      </c>
      <c r="F1775" s="1"/>
      <c r="G1775" s="1" t="str">
        <f>IFERROR(__xludf.DUMMYFUNCTION("""COMPUTED_VALUE"""),"-")</f>
        <v>-</v>
      </c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1"/>
      <c r="B1776" s="1"/>
      <c r="C1776" s="1"/>
      <c r="D1776" s="1"/>
      <c r="E1776" s="1" t="str">
        <f>IFERROR(__xludf.DUMMYFUNCTION("""COMPUTED_VALUE"""),"-")</f>
        <v>-</v>
      </c>
      <c r="F1776" s="1"/>
      <c r="G1776" s="1" t="str">
        <f>IFERROR(__xludf.DUMMYFUNCTION("""COMPUTED_VALUE"""),"-")</f>
        <v>-</v>
      </c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1"/>
      <c r="B1777" s="1"/>
      <c r="C1777" s="1"/>
      <c r="D1777" s="1"/>
      <c r="E1777" s="1" t="str">
        <f>IFERROR(__xludf.DUMMYFUNCTION("""COMPUTED_VALUE"""),"-")</f>
        <v>-</v>
      </c>
      <c r="F1777" s="1"/>
      <c r="G1777" s="1" t="str">
        <f>IFERROR(__xludf.DUMMYFUNCTION("""COMPUTED_VALUE"""),"-")</f>
        <v>-</v>
      </c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1"/>
      <c r="B1778" s="1"/>
      <c r="C1778" s="1"/>
      <c r="D1778" s="1"/>
      <c r="E1778" s="1" t="str">
        <f>IFERROR(__xludf.DUMMYFUNCTION("""COMPUTED_VALUE"""),"-")</f>
        <v>-</v>
      </c>
      <c r="F1778" s="1"/>
      <c r="G1778" s="1" t="str">
        <f>IFERROR(__xludf.DUMMYFUNCTION("""COMPUTED_VALUE"""),"-")</f>
        <v>-</v>
      </c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1"/>
      <c r="B1779" s="1"/>
      <c r="C1779" s="1"/>
      <c r="D1779" s="1"/>
      <c r="E1779" s="1" t="str">
        <f>IFERROR(__xludf.DUMMYFUNCTION("""COMPUTED_VALUE"""),"-")</f>
        <v>-</v>
      </c>
      <c r="F1779" s="1"/>
      <c r="G1779" s="1" t="str">
        <f>IFERROR(__xludf.DUMMYFUNCTION("""COMPUTED_VALUE"""),"-")</f>
        <v>-</v>
      </c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1"/>
      <c r="B1780" s="1"/>
      <c r="C1780" s="1"/>
      <c r="D1780" s="1"/>
      <c r="E1780" s="1" t="str">
        <f>IFERROR(__xludf.DUMMYFUNCTION("""COMPUTED_VALUE"""),"-")</f>
        <v>-</v>
      </c>
      <c r="F1780" s="1"/>
      <c r="G1780" s="1" t="str">
        <f>IFERROR(__xludf.DUMMYFUNCTION("""COMPUTED_VALUE"""),"-")</f>
        <v>-</v>
      </c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1"/>
      <c r="B1781" s="1"/>
      <c r="C1781" s="1"/>
      <c r="D1781" s="1"/>
      <c r="E1781" s="1" t="str">
        <f>IFERROR(__xludf.DUMMYFUNCTION("""COMPUTED_VALUE"""),"-")</f>
        <v>-</v>
      </c>
      <c r="F1781" s="1"/>
      <c r="G1781" s="1" t="str">
        <f>IFERROR(__xludf.DUMMYFUNCTION("""COMPUTED_VALUE"""),"-")</f>
        <v>-</v>
      </c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1"/>
      <c r="B1782" s="1"/>
      <c r="C1782" s="1"/>
      <c r="D1782" s="1"/>
      <c r="E1782" s="1" t="str">
        <f>IFERROR(__xludf.DUMMYFUNCTION("""COMPUTED_VALUE"""),"-")</f>
        <v>-</v>
      </c>
      <c r="F1782" s="1"/>
      <c r="G1782" s="1" t="str">
        <f>IFERROR(__xludf.DUMMYFUNCTION("""COMPUTED_VALUE"""),"-")</f>
        <v>-</v>
      </c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1"/>
      <c r="B1783" s="1"/>
      <c r="C1783" s="1"/>
      <c r="D1783" s="1"/>
      <c r="E1783" s="1" t="str">
        <f>IFERROR(__xludf.DUMMYFUNCTION("""COMPUTED_VALUE"""),"-")</f>
        <v>-</v>
      </c>
      <c r="F1783" s="1"/>
      <c r="G1783" s="1" t="str">
        <f>IFERROR(__xludf.DUMMYFUNCTION("""COMPUTED_VALUE"""),"-")</f>
        <v>-</v>
      </c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1"/>
      <c r="B1784" s="1"/>
      <c r="C1784" s="1"/>
      <c r="D1784" s="1"/>
      <c r="E1784" s="1" t="str">
        <f>IFERROR(__xludf.DUMMYFUNCTION("""COMPUTED_VALUE"""),"-")</f>
        <v>-</v>
      </c>
      <c r="F1784" s="1"/>
      <c r="G1784" s="1" t="str">
        <f>IFERROR(__xludf.DUMMYFUNCTION("""COMPUTED_VALUE"""),"-")</f>
        <v>-</v>
      </c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1"/>
      <c r="B1785" s="1"/>
      <c r="C1785" s="1"/>
      <c r="D1785" s="1"/>
      <c r="E1785" s="1" t="str">
        <f>IFERROR(__xludf.DUMMYFUNCTION("""COMPUTED_VALUE"""),"-")</f>
        <v>-</v>
      </c>
      <c r="F1785" s="1"/>
      <c r="G1785" s="1" t="str">
        <f>IFERROR(__xludf.DUMMYFUNCTION("""COMPUTED_VALUE"""),"-")</f>
        <v>-</v>
      </c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1"/>
      <c r="B1786" s="1"/>
      <c r="C1786" s="1"/>
      <c r="D1786" s="1"/>
      <c r="E1786" s="1" t="str">
        <f>IFERROR(__xludf.DUMMYFUNCTION("""COMPUTED_VALUE"""),"-")</f>
        <v>-</v>
      </c>
      <c r="F1786" s="1"/>
      <c r="G1786" s="1" t="str">
        <f>IFERROR(__xludf.DUMMYFUNCTION("""COMPUTED_VALUE"""),"-")</f>
        <v>-</v>
      </c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1"/>
      <c r="B1787" s="1"/>
      <c r="C1787" s="1"/>
      <c r="D1787" s="1"/>
      <c r="E1787" s="1" t="str">
        <f>IFERROR(__xludf.DUMMYFUNCTION("""COMPUTED_VALUE"""),"-")</f>
        <v>-</v>
      </c>
      <c r="F1787" s="1"/>
      <c r="G1787" s="1" t="str">
        <f>IFERROR(__xludf.DUMMYFUNCTION("""COMPUTED_VALUE"""),"-")</f>
        <v>-</v>
      </c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1"/>
      <c r="B1788" s="1"/>
      <c r="C1788" s="1"/>
      <c r="D1788" s="1"/>
      <c r="E1788" s="1" t="str">
        <f>IFERROR(__xludf.DUMMYFUNCTION("""COMPUTED_VALUE"""),"-")</f>
        <v>-</v>
      </c>
      <c r="F1788" s="1"/>
      <c r="G1788" s="1" t="str">
        <f>IFERROR(__xludf.DUMMYFUNCTION("""COMPUTED_VALUE"""),"-")</f>
        <v>-</v>
      </c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1"/>
      <c r="B1789" s="1"/>
      <c r="C1789" s="1"/>
      <c r="D1789" s="1"/>
      <c r="E1789" s="1" t="str">
        <f>IFERROR(__xludf.DUMMYFUNCTION("""COMPUTED_VALUE"""),"-")</f>
        <v>-</v>
      </c>
      <c r="F1789" s="1"/>
      <c r="G1789" s="1" t="str">
        <f>IFERROR(__xludf.DUMMYFUNCTION("""COMPUTED_VALUE"""),"-")</f>
        <v>-</v>
      </c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1"/>
      <c r="B1790" s="1"/>
      <c r="C1790" s="1"/>
      <c r="D1790" s="1"/>
      <c r="E1790" s="1" t="str">
        <f>IFERROR(__xludf.DUMMYFUNCTION("""COMPUTED_VALUE"""),"-")</f>
        <v>-</v>
      </c>
      <c r="F1790" s="1"/>
      <c r="G1790" s="1" t="str">
        <f>IFERROR(__xludf.DUMMYFUNCTION("""COMPUTED_VALUE"""),"-")</f>
        <v>-</v>
      </c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1"/>
      <c r="B1791" s="1"/>
      <c r="C1791" s="1"/>
      <c r="D1791" s="1"/>
      <c r="E1791" s="1" t="str">
        <f>IFERROR(__xludf.DUMMYFUNCTION("""COMPUTED_VALUE"""),"-")</f>
        <v>-</v>
      </c>
      <c r="F1791" s="1"/>
      <c r="G1791" s="1" t="str">
        <f>IFERROR(__xludf.DUMMYFUNCTION("""COMPUTED_VALUE"""),"-")</f>
        <v>-</v>
      </c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1"/>
      <c r="B1792" s="1"/>
      <c r="C1792" s="1"/>
      <c r="D1792" s="1"/>
      <c r="E1792" s="1" t="str">
        <f>IFERROR(__xludf.DUMMYFUNCTION("""COMPUTED_VALUE"""),"-")</f>
        <v>-</v>
      </c>
      <c r="F1792" s="1"/>
      <c r="G1792" s="1" t="str">
        <f>IFERROR(__xludf.DUMMYFUNCTION("""COMPUTED_VALUE"""),"-")</f>
        <v>-</v>
      </c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1"/>
      <c r="B1793" s="1"/>
      <c r="C1793" s="1"/>
      <c r="D1793" s="1"/>
      <c r="E1793" s="1" t="str">
        <f>IFERROR(__xludf.DUMMYFUNCTION("""COMPUTED_VALUE"""),"-")</f>
        <v>-</v>
      </c>
      <c r="F1793" s="1"/>
      <c r="G1793" s="1" t="str">
        <f>IFERROR(__xludf.DUMMYFUNCTION("""COMPUTED_VALUE"""),"-")</f>
        <v>-</v>
      </c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1"/>
      <c r="B1794" s="1"/>
      <c r="C1794" s="1"/>
      <c r="D1794" s="1"/>
      <c r="E1794" s="1" t="str">
        <f>IFERROR(__xludf.DUMMYFUNCTION("""COMPUTED_VALUE"""),"-")</f>
        <v>-</v>
      </c>
      <c r="F1794" s="1"/>
      <c r="G1794" s="1" t="str">
        <f>IFERROR(__xludf.DUMMYFUNCTION("""COMPUTED_VALUE"""),"-")</f>
        <v>-</v>
      </c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1"/>
      <c r="B1795" s="1"/>
      <c r="C1795" s="1"/>
      <c r="D1795" s="1"/>
      <c r="E1795" s="1" t="str">
        <f>IFERROR(__xludf.DUMMYFUNCTION("""COMPUTED_VALUE"""),"-")</f>
        <v>-</v>
      </c>
      <c r="F1795" s="1"/>
      <c r="G1795" s="1" t="str">
        <f>IFERROR(__xludf.DUMMYFUNCTION("""COMPUTED_VALUE"""),"-")</f>
        <v>-</v>
      </c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1"/>
      <c r="B1796" s="1"/>
      <c r="C1796" s="1"/>
      <c r="D1796" s="1"/>
      <c r="E1796" s="1" t="str">
        <f>IFERROR(__xludf.DUMMYFUNCTION("""COMPUTED_VALUE"""),"-")</f>
        <v>-</v>
      </c>
      <c r="F1796" s="1"/>
      <c r="G1796" s="1" t="str">
        <f>IFERROR(__xludf.DUMMYFUNCTION("""COMPUTED_VALUE"""),"-")</f>
        <v>-</v>
      </c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1"/>
      <c r="B1797" s="1"/>
      <c r="C1797" s="1"/>
      <c r="D1797" s="1"/>
      <c r="E1797" s="1" t="str">
        <f>IFERROR(__xludf.DUMMYFUNCTION("""COMPUTED_VALUE"""),"-")</f>
        <v>-</v>
      </c>
      <c r="F1797" s="1"/>
      <c r="G1797" s="1" t="str">
        <f>IFERROR(__xludf.DUMMYFUNCTION("""COMPUTED_VALUE"""),"-")</f>
        <v>-</v>
      </c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1"/>
      <c r="B1798" s="1"/>
      <c r="C1798" s="1"/>
      <c r="D1798" s="1"/>
      <c r="E1798" s="1" t="str">
        <f>IFERROR(__xludf.DUMMYFUNCTION("""COMPUTED_VALUE"""),"-")</f>
        <v>-</v>
      </c>
      <c r="F1798" s="1"/>
      <c r="G1798" s="1" t="str">
        <f>IFERROR(__xludf.DUMMYFUNCTION("""COMPUTED_VALUE"""),"-")</f>
        <v>-</v>
      </c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1"/>
      <c r="B1799" s="1"/>
      <c r="C1799" s="1"/>
      <c r="D1799" s="1"/>
      <c r="E1799" s="1" t="str">
        <f>IFERROR(__xludf.DUMMYFUNCTION("""COMPUTED_VALUE"""),"-")</f>
        <v>-</v>
      </c>
      <c r="F1799" s="1"/>
      <c r="G1799" s="1" t="str">
        <f>IFERROR(__xludf.DUMMYFUNCTION("""COMPUTED_VALUE"""),"-")</f>
        <v>-</v>
      </c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1"/>
      <c r="B1800" s="1"/>
      <c r="C1800" s="1"/>
      <c r="D1800" s="1"/>
      <c r="E1800" s="1" t="str">
        <f>IFERROR(__xludf.DUMMYFUNCTION("""COMPUTED_VALUE"""),"-")</f>
        <v>-</v>
      </c>
      <c r="F1800" s="1"/>
      <c r="G1800" s="1" t="str">
        <f>IFERROR(__xludf.DUMMYFUNCTION("""COMPUTED_VALUE"""),"-")</f>
        <v>-</v>
      </c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1"/>
      <c r="B1801" s="1"/>
      <c r="C1801" s="1"/>
      <c r="D1801" s="1"/>
      <c r="E1801" s="1" t="str">
        <f>IFERROR(__xludf.DUMMYFUNCTION("""COMPUTED_VALUE"""),"-")</f>
        <v>-</v>
      </c>
      <c r="F1801" s="1"/>
      <c r="G1801" s="1" t="str">
        <f>IFERROR(__xludf.DUMMYFUNCTION("""COMPUTED_VALUE"""),"-")</f>
        <v>-</v>
      </c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1"/>
      <c r="B1802" s="1"/>
      <c r="C1802" s="1"/>
      <c r="D1802" s="1"/>
      <c r="E1802" s="1" t="str">
        <f>IFERROR(__xludf.DUMMYFUNCTION("""COMPUTED_VALUE"""),"-")</f>
        <v>-</v>
      </c>
      <c r="F1802" s="1"/>
      <c r="G1802" s="1" t="str">
        <f>IFERROR(__xludf.DUMMYFUNCTION("""COMPUTED_VALUE"""),"-")</f>
        <v>-</v>
      </c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1"/>
      <c r="B1803" s="1"/>
      <c r="C1803" s="1"/>
      <c r="D1803" s="1"/>
      <c r="E1803" s="1" t="str">
        <f>IFERROR(__xludf.DUMMYFUNCTION("""COMPUTED_VALUE"""),"-")</f>
        <v>-</v>
      </c>
      <c r="F1803" s="1"/>
      <c r="G1803" s="1" t="str">
        <f>IFERROR(__xludf.DUMMYFUNCTION("""COMPUTED_VALUE"""),"-")</f>
        <v>-</v>
      </c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1"/>
      <c r="B1804" s="1"/>
      <c r="C1804" s="1"/>
      <c r="D1804" s="1"/>
      <c r="E1804" s="1" t="str">
        <f>IFERROR(__xludf.DUMMYFUNCTION("""COMPUTED_VALUE"""),"-")</f>
        <v>-</v>
      </c>
      <c r="F1804" s="1"/>
      <c r="G1804" s="1" t="str">
        <f>IFERROR(__xludf.DUMMYFUNCTION("""COMPUTED_VALUE"""),"-")</f>
        <v>-</v>
      </c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1"/>
      <c r="B1805" s="1"/>
      <c r="C1805" s="1"/>
      <c r="D1805" s="1"/>
      <c r="E1805" s="1" t="str">
        <f>IFERROR(__xludf.DUMMYFUNCTION("""COMPUTED_VALUE"""),"-")</f>
        <v>-</v>
      </c>
      <c r="F1805" s="1"/>
      <c r="G1805" s="1" t="str">
        <f>IFERROR(__xludf.DUMMYFUNCTION("""COMPUTED_VALUE"""),"-")</f>
        <v>-</v>
      </c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1"/>
      <c r="B1806" s="1"/>
      <c r="C1806" s="1"/>
      <c r="D1806" s="1"/>
      <c r="E1806" s="1" t="str">
        <f>IFERROR(__xludf.DUMMYFUNCTION("""COMPUTED_VALUE"""),"-")</f>
        <v>-</v>
      </c>
      <c r="F1806" s="1"/>
      <c r="G1806" s="1" t="str">
        <f>IFERROR(__xludf.DUMMYFUNCTION("""COMPUTED_VALUE"""),"-")</f>
        <v>-</v>
      </c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1"/>
      <c r="B1807" s="1"/>
      <c r="C1807" s="1"/>
      <c r="D1807" s="1"/>
      <c r="E1807" s="1" t="str">
        <f>IFERROR(__xludf.DUMMYFUNCTION("""COMPUTED_VALUE"""),"-")</f>
        <v>-</v>
      </c>
      <c r="F1807" s="1"/>
      <c r="G1807" s="1" t="str">
        <f>IFERROR(__xludf.DUMMYFUNCTION("""COMPUTED_VALUE"""),"-")</f>
        <v>-</v>
      </c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1"/>
      <c r="B1808" s="1"/>
      <c r="C1808" s="1"/>
      <c r="D1808" s="1"/>
      <c r="E1808" s="1" t="str">
        <f>IFERROR(__xludf.DUMMYFUNCTION("""COMPUTED_VALUE"""),"-")</f>
        <v>-</v>
      </c>
      <c r="F1808" s="1"/>
      <c r="G1808" s="1" t="str">
        <f>IFERROR(__xludf.DUMMYFUNCTION("""COMPUTED_VALUE"""),"-")</f>
        <v>-</v>
      </c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1"/>
      <c r="B1809" s="1"/>
      <c r="C1809" s="1"/>
      <c r="D1809" s="1"/>
      <c r="E1809" s="1" t="str">
        <f>IFERROR(__xludf.DUMMYFUNCTION("""COMPUTED_VALUE"""),"-")</f>
        <v>-</v>
      </c>
      <c r="F1809" s="1"/>
      <c r="G1809" s="1" t="str">
        <f>IFERROR(__xludf.DUMMYFUNCTION("""COMPUTED_VALUE"""),"-")</f>
        <v>-</v>
      </c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1"/>
      <c r="B1810" s="1"/>
      <c r="C1810" s="1"/>
      <c r="D1810" s="1"/>
      <c r="E1810" s="1" t="str">
        <f>IFERROR(__xludf.DUMMYFUNCTION("""COMPUTED_VALUE"""),"-")</f>
        <v>-</v>
      </c>
      <c r="F1810" s="1"/>
      <c r="G1810" s="1" t="str">
        <f>IFERROR(__xludf.DUMMYFUNCTION("""COMPUTED_VALUE"""),"-")</f>
        <v>-</v>
      </c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1"/>
      <c r="B1811" s="1"/>
      <c r="C1811" s="1"/>
      <c r="D1811" s="1"/>
      <c r="E1811" s="1" t="str">
        <f>IFERROR(__xludf.DUMMYFUNCTION("""COMPUTED_VALUE"""),"-")</f>
        <v>-</v>
      </c>
      <c r="F1811" s="1"/>
      <c r="G1811" s="1" t="str">
        <f>IFERROR(__xludf.DUMMYFUNCTION("""COMPUTED_VALUE"""),"-")</f>
        <v>-</v>
      </c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1"/>
      <c r="B1812" s="1"/>
      <c r="C1812" s="1"/>
      <c r="D1812" s="1"/>
      <c r="E1812" s="1" t="str">
        <f>IFERROR(__xludf.DUMMYFUNCTION("""COMPUTED_VALUE"""),"-")</f>
        <v>-</v>
      </c>
      <c r="F1812" s="1"/>
      <c r="G1812" s="1" t="str">
        <f>IFERROR(__xludf.DUMMYFUNCTION("""COMPUTED_VALUE"""),"-")</f>
        <v>-</v>
      </c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1"/>
      <c r="B1813" s="1"/>
      <c r="C1813" s="1"/>
      <c r="D1813" s="1"/>
      <c r="E1813" s="1" t="str">
        <f>IFERROR(__xludf.DUMMYFUNCTION("""COMPUTED_VALUE"""),"-")</f>
        <v>-</v>
      </c>
      <c r="F1813" s="1"/>
      <c r="G1813" s="1" t="str">
        <f>IFERROR(__xludf.DUMMYFUNCTION("""COMPUTED_VALUE"""),"-")</f>
        <v>-</v>
      </c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1"/>
      <c r="B1814" s="1"/>
      <c r="C1814" s="1"/>
      <c r="D1814" s="1"/>
      <c r="E1814" s="1" t="str">
        <f>IFERROR(__xludf.DUMMYFUNCTION("""COMPUTED_VALUE"""),"-")</f>
        <v>-</v>
      </c>
      <c r="F1814" s="1"/>
      <c r="G1814" s="1" t="str">
        <f>IFERROR(__xludf.DUMMYFUNCTION("""COMPUTED_VALUE"""),"-")</f>
        <v>-</v>
      </c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1"/>
      <c r="B1815" s="1"/>
      <c r="C1815" s="1"/>
      <c r="D1815" s="1"/>
      <c r="E1815" s="1" t="str">
        <f>IFERROR(__xludf.DUMMYFUNCTION("""COMPUTED_VALUE"""),"-")</f>
        <v>-</v>
      </c>
      <c r="F1815" s="1"/>
      <c r="G1815" s="1" t="str">
        <f>IFERROR(__xludf.DUMMYFUNCTION("""COMPUTED_VALUE"""),"-")</f>
        <v>-</v>
      </c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1"/>
      <c r="B1816" s="1"/>
      <c r="C1816" s="1"/>
      <c r="D1816" s="1"/>
      <c r="E1816" s="1" t="str">
        <f>IFERROR(__xludf.DUMMYFUNCTION("""COMPUTED_VALUE"""),"-")</f>
        <v>-</v>
      </c>
      <c r="F1816" s="1"/>
      <c r="G1816" s="1" t="str">
        <f>IFERROR(__xludf.DUMMYFUNCTION("""COMPUTED_VALUE"""),"-")</f>
        <v>-</v>
      </c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1"/>
      <c r="B1817" s="1"/>
      <c r="C1817" s="1"/>
      <c r="D1817" s="1"/>
      <c r="E1817" s="1" t="str">
        <f>IFERROR(__xludf.DUMMYFUNCTION("""COMPUTED_VALUE"""),"-")</f>
        <v>-</v>
      </c>
      <c r="F1817" s="1"/>
      <c r="G1817" s="1" t="str">
        <f>IFERROR(__xludf.DUMMYFUNCTION("""COMPUTED_VALUE"""),"-")</f>
        <v>-</v>
      </c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1"/>
      <c r="B1818" s="1"/>
      <c r="C1818" s="1"/>
      <c r="D1818" s="1"/>
      <c r="E1818" s="1" t="str">
        <f>IFERROR(__xludf.DUMMYFUNCTION("""COMPUTED_VALUE"""),"-")</f>
        <v>-</v>
      </c>
      <c r="F1818" s="1"/>
      <c r="G1818" s="1" t="str">
        <f>IFERROR(__xludf.DUMMYFUNCTION("""COMPUTED_VALUE"""),"-")</f>
        <v>-</v>
      </c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1"/>
      <c r="B1819" s="1"/>
      <c r="C1819" s="1"/>
      <c r="D1819" s="1"/>
      <c r="E1819" s="1" t="str">
        <f>IFERROR(__xludf.DUMMYFUNCTION("""COMPUTED_VALUE"""),"-")</f>
        <v>-</v>
      </c>
      <c r="F1819" s="1"/>
      <c r="G1819" s="1" t="str">
        <f>IFERROR(__xludf.DUMMYFUNCTION("""COMPUTED_VALUE"""),"-")</f>
        <v>-</v>
      </c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1"/>
      <c r="B1820" s="1"/>
      <c r="C1820" s="1"/>
      <c r="D1820" s="1"/>
      <c r="E1820" s="1" t="str">
        <f>IFERROR(__xludf.DUMMYFUNCTION("""COMPUTED_VALUE"""),"-")</f>
        <v>-</v>
      </c>
      <c r="F1820" s="1"/>
      <c r="G1820" s="1" t="str">
        <f>IFERROR(__xludf.DUMMYFUNCTION("""COMPUTED_VALUE"""),"-")</f>
        <v>-</v>
      </c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1"/>
      <c r="B1821" s="1"/>
      <c r="C1821" s="1"/>
      <c r="D1821" s="1"/>
      <c r="E1821" s="1" t="str">
        <f>IFERROR(__xludf.DUMMYFUNCTION("""COMPUTED_VALUE"""),"-")</f>
        <v>-</v>
      </c>
      <c r="F1821" s="1"/>
      <c r="G1821" s="1" t="str">
        <f>IFERROR(__xludf.DUMMYFUNCTION("""COMPUTED_VALUE"""),"-")</f>
        <v>-</v>
      </c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1"/>
      <c r="B1822" s="1"/>
      <c r="C1822" s="1"/>
      <c r="D1822" s="1"/>
      <c r="E1822" s="1" t="str">
        <f>IFERROR(__xludf.DUMMYFUNCTION("""COMPUTED_VALUE"""),"-")</f>
        <v>-</v>
      </c>
      <c r="F1822" s="1"/>
      <c r="G1822" s="1" t="str">
        <f>IFERROR(__xludf.DUMMYFUNCTION("""COMPUTED_VALUE"""),"-")</f>
        <v>-</v>
      </c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1"/>
      <c r="B1823" s="1"/>
      <c r="C1823" s="1"/>
      <c r="D1823" s="1"/>
      <c r="E1823" s="1" t="str">
        <f>IFERROR(__xludf.DUMMYFUNCTION("""COMPUTED_VALUE"""),"-")</f>
        <v>-</v>
      </c>
      <c r="F1823" s="1"/>
      <c r="G1823" s="1" t="str">
        <f>IFERROR(__xludf.DUMMYFUNCTION("""COMPUTED_VALUE"""),"-")</f>
        <v>-</v>
      </c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1"/>
      <c r="B1824" s="1"/>
      <c r="C1824" s="1"/>
      <c r="D1824" s="1"/>
      <c r="E1824" s="1" t="str">
        <f>IFERROR(__xludf.DUMMYFUNCTION("""COMPUTED_VALUE"""),"-")</f>
        <v>-</v>
      </c>
      <c r="F1824" s="1"/>
      <c r="G1824" s="1" t="str">
        <f>IFERROR(__xludf.DUMMYFUNCTION("""COMPUTED_VALUE"""),"-")</f>
        <v>-</v>
      </c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1"/>
      <c r="B1825" s="1"/>
      <c r="C1825" s="1"/>
      <c r="D1825" s="1"/>
      <c r="E1825" s="1" t="str">
        <f>IFERROR(__xludf.DUMMYFUNCTION("""COMPUTED_VALUE"""),"-")</f>
        <v>-</v>
      </c>
      <c r="F1825" s="1"/>
      <c r="G1825" s="1" t="str">
        <f>IFERROR(__xludf.DUMMYFUNCTION("""COMPUTED_VALUE"""),"-")</f>
        <v>-</v>
      </c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1"/>
      <c r="B1826" s="1"/>
      <c r="C1826" s="1"/>
      <c r="D1826" s="1"/>
      <c r="E1826" s="1" t="str">
        <f>IFERROR(__xludf.DUMMYFUNCTION("""COMPUTED_VALUE"""),"-")</f>
        <v>-</v>
      </c>
      <c r="F1826" s="1"/>
      <c r="G1826" s="1" t="str">
        <f>IFERROR(__xludf.DUMMYFUNCTION("""COMPUTED_VALUE"""),"-")</f>
        <v>-</v>
      </c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1"/>
      <c r="B1827" s="1"/>
      <c r="C1827" s="1"/>
      <c r="D1827" s="1"/>
      <c r="E1827" s="1" t="str">
        <f>IFERROR(__xludf.DUMMYFUNCTION("""COMPUTED_VALUE"""),"-")</f>
        <v>-</v>
      </c>
      <c r="F1827" s="1"/>
      <c r="G1827" s="1" t="str">
        <f>IFERROR(__xludf.DUMMYFUNCTION("""COMPUTED_VALUE"""),"-")</f>
        <v>-</v>
      </c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1"/>
      <c r="B1828" s="1"/>
      <c r="C1828" s="1"/>
      <c r="D1828" s="1"/>
      <c r="E1828" s="1" t="str">
        <f>IFERROR(__xludf.DUMMYFUNCTION("""COMPUTED_VALUE"""),"-")</f>
        <v>-</v>
      </c>
      <c r="F1828" s="1"/>
      <c r="G1828" s="1" t="str">
        <f>IFERROR(__xludf.DUMMYFUNCTION("""COMPUTED_VALUE"""),"-")</f>
        <v>-</v>
      </c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1"/>
      <c r="B1829" s="1"/>
      <c r="C1829" s="1"/>
      <c r="D1829" s="1"/>
      <c r="E1829" s="1" t="str">
        <f>IFERROR(__xludf.DUMMYFUNCTION("""COMPUTED_VALUE"""),"-")</f>
        <v>-</v>
      </c>
      <c r="F1829" s="1"/>
      <c r="G1829" s="1" t="str">
        <f>IFERROR(__xludf.DUMMYFUNCTION("""COMPUTED_VALUE"""),"-")</f>
        <v>-</v>
      </c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1"/>
      <c r="B1830" s="1"/>
      <c r="C1830" s="1"/>
      <c r="D1830" s="1"/>
      <c r="E1830" s="1" t="str">
        <f>IFERROR(__xludf.DUMMYFUNCTION("""COMPUTED_VALUE"""),"-")</f>
        <v>-</v>
      </c>
      <c r="F1830" s="1"/>
      <c r="G1830" s="1" t="str">
        <f>IFERROR(__xludf.DUMMYFUNCTION("""COMPUTED_VALUE"""),"-")</f>
        <v>-</v>
      </c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1"/>
      <c r="B1831" s="1"/>
      <c r="C1831" s="1"/>
      <c r="D1831" s="1"/>
      <c r="E1831" s="1" t="str">
        <f>IFERROR(__xludf.DUMMYFUNCTION("""COMPUTED_VALUE"""),"-")</f>
        <v>-</v>
      </c>
      <c r="F1831" s="1"/>
      <c r="G1831" s="1" t="str">
        <f>IFERROR(__xludf.DUMMYFUNCTION("""COMPUTED_VALUE"""),"-")</f>
        <v>-</v>
      </c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1"/>
      <c r="B1832" s="1"/>
      <c r="C1832" s="1"/>
      <c r="D1832" s="1"/>
      <c r="E1832" s="1" t="str">
        <f>IFERROR(__xludf.DUMMYFUNCTION("""COMPUTED_VALUE"""),"-")</f>
        <v>-</v>
      </c>
      <c r="F1832" s="1"/>
      <c r="G1832" s="1" t="str">
        <f>IFERROR(__xludf.DUMMYFUNCTION("""COMPUTED_VALUE"""),"-")</f>
        <v>-</v>
      </c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1"/>
      <c r="B1833" s="1"/>
      <c r="C1833" s="1"/>
      <c r="D1833" s="1"/>
      <c r="E1833" s="1" t="str">
        <f>IFERROR(__xludf.DUMMYFUNCTION("""COMPUTED_VALUE"""),"-")</f>
        <v>-</v>
      </c>
      <c r="F1833" s="1"/>
      <c r="G1833" s="1" t="str">
        <f>IFERROR(__xludf.DUMMYFUNCTION("""COMPUTED_VALUE"""),"-")</f>
        <v>-</v>
      </c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1"/>
      <c r="B1834" s="1"/>
      <c r="C1834" s="1"/>
      <c r="D1834" s="1"/>
      <c r="E1834" s="1" t="str">
        <f>IFERROR(__xludf.DUMMYFUNCTION("""COMPUTED_VALUE"""),"-")</f>
        <v>-</v>
      </c>
      <c r="F1834" s="1"/>
      <c r="G1834" s="1" t="str">
        <f>IFERROR(__xludf.DUMMYFUNCTION("""COMPUTED_VALUE"""),"-")</f>
        <v>-</v>
      </c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1"/>
      <c r="B1835" s="1"/>
      <c r="C1835" s="1"/>
      <c r="D1835" s="1"/>
      <c r="E1835" s="1" t="str">
        <f>IFERROR(__xludf.DUMMYFUNCTION("""COMPUTED_VALUE"""),"-")</f>
        <v>-</v>
      </c>
      <c r="F1835" s="1"/>
      <c r="G1835" s="1" t="str">
        <f>IFERROR(__xludf.DUMMYFUNCTION("""COMPUTED_VALUE"""),"-")</f>
        <v>-</v>
      </c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1"/>
      <c r="B1836" s="1"/>
      <c r="C1836" s="1"/>
      <c r="D1836" s="1"/>
      <c r="E1836" s="1" t="str">
        <f>IFERROR(__xludf.DUMMYFUNCTION("""COMPUTED_VALUE"""),"-")</f>
        <v>-</v>
      </c>
      <c r="F1836" s="1"/>
      <c r="G1836" s="1" t="str">
        <f>IFERROR(__xludf.DUMMYFUNCTION("""COMPUTED_VALUE"""),"-")</f>
        <v>-</v>
      </c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1"/>
      <c r="B1837" s="1"/>
      <c r="C1837" s="1"/>
      <c r="D1837" s="1"/>
      <c r="E1837" s="1" t="str">
        <f>IFERROR(__xludf.DUMMYFUNCTION("""COMPUTED_VALUE"""),"-")</f>
        <v>-</v>
      </c>
      <c r="F1837" s="1"/>
      <c r="G1837" s="1" t="str">
        <f>IFERROR(__xludf.DUMMYFUNCTION("""COMPUTED_VALUE"""),"-")</f>
        <v>-</v>
      </c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1"/>
      <c r="B1838" s="1"/>
      <c r="C1838" s="1"/>
      <c r="D1838" s="1"/>
      <c r="E1838" s="1" t="str">
        <f>IFERROR(__xludf.DUMMYFUNCTION("""COMPUTED_VALUE"""),"-")</f>
        <v>-</v>
      </c>
      <c r="F1838" s="1"/>
      <c r="G1838" s="1" t="str">
        <f>IFERROR(__xludf.DUMMYFUNCTION("""COMPUTED_VALUE"""),"-")</f>
        <v>-</v>
      </c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1"/>
      <c r="B1839" s="1"/>
      <c r="C1839" s="1"/>
      <c r="D1839" s="1"/>
      <c r="E1839" s="1" t="str">
        <f>IFERROR(__xludf.DUMMYFUNCTION("""COMPUTED_VALUE"""),"-")</f>
        <v>-</v>
      </c>
      <c r="F1839" s="1"/>
      <c r="G1839" s="1" t="str">
        <f>IFERROR(__xludf.DUMMYFUNCTION("""COMPUTED_VALUE"""),"-")</f>
        <v>-</v>
      </c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1"/>
      <c r="B1840" s="1"/>
      <c r="C1840" s="1"/>
      <c r="D1840" s="1"/>
      <c r="E1840" s="1" t="str">
        <f>IFERROR(__xludf.DUMMYFUNCTION("""COMPUTED_VALUE"""),"-")</f>
        <v>-</v>
      </c>
      <c r="F1840" s="1"/>
      <c r="G1840" s="1" t="str">
        <f>IFERROR(__xludf.DUMMYFUNCTION("""COMPUTED_VALUE"""),"-")</f>
        <v>-</v>
      </c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1"/>
      <c r="B1841" s="1"/>
      <c r="C1841" s="1"/>
      <c r="D1841" s="1"/>
      <c r="E1841" s="1" t="str">
        <f>IFERROR(__xludf.DUMMYFUNCTION("""COMPUTED_VALUE"""),"-")</f>
        <v>-</v>
      </c>
      <c r="F1841" s="1"/>
      <c r="G1841" s="1" t="str">
        <f>IFERROR(__xludf.DUMMYFUNCTION("""COMPUTED_VALUE"""),"-")</f>
        <v>-</v>
      </c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1"/>
      <c r="B1842" s="1"/>
      <c r="C1842" s="1"/>
      <c r="D1842" s="1"/>
      <c r="E1842" s="1" t="str">
        <f>IFERROR(__xludf.DUMMYFUNCTION("""COMPUTED_VALUE"""),"-")</f>
        <v>-</v>
      </c>
      <c r="F1842" s="1"/>
      <c r="G1842" s="1" t="str">
        <f>IFERROR(__xludf.DUMMYFUNCTION("""COMPUTED_VALUE"""),"-")</f>
        <v>-</v>
      </c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1"/>
      <c r="B1843" s="1"/>
      <c r="C1843" s="1"/>
      <c r="D1843" s="1"/>
      <c r="E1843" s="1" t="str">
        <f>IFERROR(__xludf.DUMMYFUNCTION("""COMPUTED_VALUE"""),"-")</f>
        <v>-</v>
      </c>
      <c r="F1843" s="1"/>
      <c r="G1843" s="1" t="str">
        <f>IFERROR(__xludf.DUMMYFUNCTION("""COMPUTED_VALUE"""),"-")</f>
        <v>-</v>
      </c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1"/>
      <c r="B1844" s="1"/>
      <c r="C1844" s="1"/>
      <c r="D1844" s="1"/>
      <c r="E1844" s="1" t="str">
        <f>IFERROR(__xludf.DUMMYFUNCTION("""COMPUTED_VALUE"""),"-")</f>
        <v>-</v>
      </c>
      <c r="F1844" s="1"/>
      <c r="G1844" s="1" t="str">
        <f>IFERROR(__xludf.DUMMYFUNCTION("""COMPUTED_VALUE"""),"-")</f>
        <v>-</v>
      </c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1"/>
      <c r="B1845" s="1"/>
      <c r="C1845" s="1"/>
      <c r="D1845" s="1"/>
      <c r="E1845" s="1" t="str">
        <f>IFERROR(__xludf.DUMMYFUNCTION("""COMPUTED_VALUE"""),"-")</f>
        <v>-</v>
      </c>
      <c r="F1845" s="1"/>
      <c r="G1845" s="1" t="str">
        <f>IFERROR(__xludf.DUMMYFUNCTION("""COMPUTED_VALUE"""),"-")</f>
        <v>-</v>
      </c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1"/>
      <c r="B1846" s="1"/>
      <c r="C1846" s="1"/>
      <c r="D1846" s="1"/>
      <c r="E1846" s="1" t="str">
        <f>IFERROR(__xludf.DUMMYFUNCTION("""COMPUTED_VALUE"""),"-")</f>
        <v>-</v>
      </c>
      <c r="F1846" s="1"/>
      <c r="G1846" s="1" t="str">
        <f>IFERROR(__xludf.DUMMYFUNCTION("""COMPUTED_VALUE"""),"-")</f>
        <v>-</v>
      </c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1"/>
      <c r="B1847" s="1"/>
      <c r="C1847" s="1"/>
      <c r="D1847" s="1"/>
      <c r="E1847" s="1" t="str">
        <f>IFERROR(__xludf.DUMMYFUNCTION("""COMPUTED_VALUE"""),"-")</f>
        <v>-</v>
      </c>
      <c r="F1847" s="1"/>
      <c r="G1847" s="1" t="str">
        <f>IFERROR(__xludf.DUMMYFUNCTION("""COMPUTED_VALUE"""),"-")</f>
        <v>-</v>
      </c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1"/>
      <c r="B1848" s="1"/>
      <c r="C1848" s="1"/>
      <c r="D1848" s="1"/>
      <c r="E1848" s="1" t="str">
        <f>IFERROR(__xludf.DUMMYFUNCTION("""COMPUTED_VALUE"""),"-")</f>
        <v>-</v>
      </c>
      <c r="F1848" s="1"/>
      <c r="G1848" s="1" t="str">
        <f>IFERROR(__xludf.DUMMYFUNCTION("""COMPUTED_VALUE"""),"-")</f>
        <v>-</v>
      </c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1"/>
      <c r="B1849" s="1"/>
      <c r="C1849" s="1"/>
      <c r="D1849" s="1"/>
      <c r="E1849" s="1" t="str">
        <f>IFERROR(__xludf.DUMMYFUNCTION("""COMPUTED_VALUE"""),"-")</f>
        <v>-</v>
      </c>
      <c r="F1849" s="1"/>
      <c r="G1849" s="1" t="str">
        <f>IFERROR(__xludf.DUMMYFUNCTION("""COMPUTED_VALUE"""),"-")</f>
        <v>-</v>
      </c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1"/>
      <c r="B1850" s="1"/>
      <c r="C1850" s="1"/>
      <c r="D1850" s="1"/>
      <c r="E1850" s="1" t="str">
        <f>IFERROR(__xludf.DUMMYFUNCTION("""COMPUTED_VALUE"""),"-")</f>
        <v>-</v>
      </c>
      <c r="F1850" s="1"/>
      <c r="G1850" s="1" t="str">
        <f>IFERROR(__xludf.DUMMYFUNCTION("""COMPUTED_VALUE"""),"-")</f>
        <v>-</v>
      </c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>
      <c r="A1851" s="1"/>
      <c r="B1851" s="1"/>
      <c r="C1851" s="1"/>
      <c r="D1851" s="1"/>
      <c r="E1851" s="1" t="str">
        <f>IFERROR(__xludf.DUMMYFUNCTION("""COMPUTED_VALUE"""),"-")</f>
        <v>-</v>
      </c>
      <c r="F1851" s="1"/>
      <c r="G1851" s="1" t="str">
        <f>IFERROR(__xludf.DUMMYFUNCTION("""COMPUTED_VALUE"""),"-")</f>
        <v>-</v>
      </c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>
      <c r="A1852" s="1"/>
      <c r="B1852" s="1"/>
      <c r="C1852" s="1"/>
      <c r="D1852" s="1"/>
      <c r="E1852" s="1" t="str">
        <f>IFERROR(__xludf.DUMMYFUNCTION("""COMPUTED_VALUE"""),"-")</f>
        <v>-</v>
      </c>
      <c r="F1852" s="1"/>
      <c r="G1852" s="1" t="str">
        <f>IFERROR(__xludf.DUMMYFUNCTION("""COMPUTED_VALUE"""),"-")</f>
        <v>-</v>
      </c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>
      <c r="A1853" s="1"/>
      <c r="B1853" s="1"/>
      <c r="C1853" s="1"/>
      <c r="D1853" s="1"/>
      <c r="E1853" s="1" t="str">
        <f>IFERROR(__xludf.DUMMYFUNCTION("""COMPUTED_VALUE"""),"-")</f>
        <v>-</v>
      </c>
      <c r="F1853" s="1"/>
      <c r="G1853" s="1" t="str">
        <f>IFERROR(__xludf.DUMMYFUNCTION("""COMPUTED_VALUE"""),"-")</f>
        <v>-</v>
      </c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>
      <c r="A1854" s="1"/>
      <c r="B1854" s="1"/>
      <c r="C1854" s="1"/>
      <c r="D1854" s="1"/>
      <c r="E1854" s="1" t="str">
        <f>IFERROR(__xludf.DUMMYFUNCTION("""COMPUTED_VALUE"""),"-")</f>
        <v>-</v>
      </c>
      <c r="F1854" s="1"/>
      <c r="G1854" s="1" t="str">
        <f>IFERROR(__xludf.DUMMYFUNCTION("""COMPUTED_VALUE"""),"-")</f>
        <v>-</v>
      </c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>
      <c r="A1855" s="1"/>
      <c r="B1855" s="1"/>
      <c r="C1855" s="1"/>
      <c r="D1855" s="1"/>
      <c r="E1855" s="1" t="str">
        <f>IFERROR(__xludf.DUMMYFUNCTION("""COMPUTED_VALUE"""),"-")</f>
        <v>-</v>
      </c>
      <c r="F1855" s="1"/>
      <c r="G1855" s="1" t="str">
        <f>IFERROR(__xludf.DUMMYFUNCTION("""COMPUTED_VALUE"""),"-")</f>
        <v>-</v>
      </c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>
      <c r="A1856" s="1"/>
      <c r="B1856" s="1"/>
      <c r="C1856" s="1"/>
      <c r="D1856" s="1"/>
      <c r="E1856" s="1" t="str">
        <f>IFERROR(__xludf.DUMMYFUNCTION("""COMPUTED_VALUE"""),"-")</f>
        <v>-</v>
      </c>
      <c r="F1856" s="1"/>
      <c r="G1856" s="1" t="str">
        <f>IFERROR(__xludf.DUMMYFUNCTION("""COMPUTED_VALUE"""),"-")</f>
        <v>-</v>
      </c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>
      <c r="A1857" s="1"/>
      <c r="B1857" s="1"/>
      <c r="C1857" s="1"/>
      <c r="D1857" s="1"/>
      <c r="E1857" s="1" t="str">
        <f>IFERROR(__xludf.DUMMYFUNCTION("""COMPUTED_VALUE"""),"-")</f>
        <v>-</v>
      </c>
      <c r="F1857" s="1"/>
      <c r="G1857" s="1" t="str">
        <f>IFERROR(__xludf.DUMMYFUNCTION("""COMPUTED_VALUE"""),"-")</f>
        <v>-</v>
      </c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>
      <c r="A1858" s="1"/>
      <c r="B1858" s="1"/>
      <c r="C1858" s="1"/>
      <c r="D1858" s="1"/>
      <c r="E1858" s="1" t="str">
        <f>IFERROR(__xludf.DUMMYFUNCTION("""COMPUTED_VALUE"""),"-")</f>
        <v>-</v>
      </c>
      <c r="F1858" s="1"/>
      <c r="G1858" s="1" t="str">
        <f>IFERROR(__xludf.DUMMYFUNCTION("""COMPUTED_VALUE"""),"-")</f>
        <v>-</v>
      </c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>
      <c r="A1859" s="1"/>
      <c r="B1859" s="1"/>
      <c r="C1859" s="1"/>
      <c r="D1859" s="1"/>
      <c r="E1859" s="1" t="str">
        <f>IFERROR(__xludf.DUMMYFUNCTION("""COMPUTED_VALUE"""),"-")</f>
        <v>-</v>
      </c>
      <c r="F1859" s="1"/>
      <c r="G1859" s="1" t="str">
        <f>IFERROR(__xludf.DUMMYFUNCTION("""COMPUTED_VALUE"""),"-")</f>
        <v>-</v>
      </c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>
      <c r="A1860" s="1"/>
      <c r="B1860" s="1"/>
      <c r="C1860" s="1"/>
      <c r="D1860" s="1"/>
      <c r="E1860" s="1" t="str">
        <f>IFERROR(__xludf.DUMMYFUNCTION("""COMPUTED_VALUE"""),"-")</f>
        <v>-</v>
      </c>
      <c r="F1860" s="1"/>
      <c r="G1860" s="1" t="str">
        <f>IFERROR(__xludf.DUMMYFUNCTION("""COMPUTED_VALUE"""),"-")</f>
        <v>-</v>
      </c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>
      <c r="A1861" s="1"/>
      <c r="B1861" s="1"/>
      <c r="C1861" s="1"/>
      <c r="D1861" s="1"/>
      <c r="E1861" s="1" t="str">
        <f>IFERROR(__xludf.DUMMYFUNCTION("""COMPUTED_VALUE"""),"-")</f>
        <v>-</v>
      </c>
      <c r="F1861" s="1"/>
      <c r="G1861" s="1" t="str">
        <f>IFERROR(__xludf.DUMMYFUNCTION("""COMPUTED_VALUE"""),"-")</f>
        <v>-</v>
      </c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>
      <c r="A1862" s="1"/>
      <c r="B1862" s="1"/>
      <c r="C1862" s="1"/>
      <c r="D1862" s="1"/>
      <c r="E1862" s="1" t="str">
        <f>IFERROR(__xludf.DUMMYFUNCTION("""COMPUTED_VALUE"""),"-")</f>
        <v>-</v>
      </c>
      <c r="F1862" s="1"/>
      <c r="G1862" s="1" t="str">
        <f>IFERROR(__xludf.DUMMYFUNCTION("""COMPUTED_VALUE"""),"-")</f>
        <v>-</v>
      </c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>
      <c r="A1863" s="1"/>
      <c r="B1863" s="1"/>
      <c r="C1863" s="1"/>
      <c r="D1863" s="1"/>
      <c r="E1863" s="1" t="str">
        <f>IFERROR(__xludf.DUMMYFUNCTION("""COMPUTED_VALUE"""),"-")</f>
        <v>-</v>
      </c>
      <c r="F1863" s="1"/>
      <c r="G1863" s="1" t="str">
        <f>IFERROR(__xludf.DUMMYFUNCTION("""COMPUTED_VALUE"""),"-")</f>
        <v>-</v>
      </c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>
      <c r="A1864" s="1"/>
      <c r="B1864" s="1"/>
      <c r="C1864" s="1"/>
      <c r="D1864" s="1"/>
      <c r="E1864" s="1" t="str">
        <f>IFERROR(__xludf.DUMMYFUNCTION("""COMPUTED_VALUE"""),"-")</f>
        <v>-</v>
      </c>
      <c r="F1864" s="1"/>
      <c r="G1864" s="1" t="str">
        <f>IFERROR(__xludf.DUMMYFUNCTION("""COMPUTED_VALUE"""),"-")</f>
        <v>-</v>
      </c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>
      <c r="A1865" s="1"/>
      <c r="B1865" s="1"/>
      <c r="C1865" s="1"/>
      <c r="D1865" s="1"/>
      <c r="E1865" s="1" t="str">
        <f>IFERROR(__xludf.DUMMYFUNCTION("""COMPUTED_VALUE"""),"-")</f>
        <v>-</v>
      </c>
      <c r="F1865" s="1"/>
      <c r="G1865" s="1" t="str">
        <f>IFERROR(__xludf.DUMMYFUNCTION("""COMPUTED_VALUE"""),"-")</f>
        <v>-</v>
      </c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>
      <c r="A1866" s="1"/>
      <c r="B1866" s="1"/>
      <c r="C1866" s="1"/>
      <c r="D1866" s="1"/>
      <c r="E1866" s="1" t="str">
        <f>IFERROR(__xludf.DUMMYFUNCTION("""COMPUTED_VALUE"""),"-")</f>
        <v>-</v>
      </c>
      <c r="F1866" s="1"/>
      <c r="G1866" s="1" t="str">
        <f>IFERROR(__xludf.DUMMYFUNCTION("""COMPUTED_VALUE"""),"-")</f>
        <v>-</v>
      </c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>
      <c r="A1867" s="1"/>
      <c r="B1867" s="1"/>
      <c r="C1867" s="1"/>
      <c r="D1867" s="1"/>
      <c r="E1867" s="1" t="str">
        <f>IFERROR(__xludf.DUMMYFUNCTION("""COMPUTED_VALUE"""),"-")</f>
        <v>-</v>
      </c>
      <c r="F1867" s="1"/>
      <c r="G1867" s="1" t="str">
        <f>IFERROR(__xludf.DUMMYFUNCTION("""COMPUTED_VALUE"""),"-")</f>
        <v>-</v>
      </c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>
      <c r="A1868" s="1"/>
      <c r="B1868" s="1"/>
      <c r="C1868" s="1"/>
      <c r="D1868" s="1"/>
      <c r="E1868" s="1" t="str">
        <f>IFERROR(__xludf.DUMMYFUNCTION("""COMPUTED_VALUE"""),"-")</f>
        <v>-</v>
      </c>
      <c r="F1868" s="1"/>
      <c r="G1868" s="1" t="str">
        <f>IFERROR(__xludf.DUMMYFUNCTION("""COMPUTED_VALUE"""),"-")</f>
        <v>-</v>
      </c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>
      <c r="A1869" s="1"/>
      <c r="B1869" s="1"/>
      <c r="C1869" s="1"/>
      <c r="D1869" s="1"/>
      <c r="E1869" s="1" t="str">
        <f>IFERROR(__xludf.DUMMYFUNCTION("""COMPUTED_VALUE"""),"-")</f>
        <v>-</v>
      </c>
      <c r="F1869" s="1"/>
      <c r="G1869" s="1" t="str">
        <f>IFERROR(__xludf.DUMMYFUNCTION("""COMPUTED_VALUE"""),"-")</f>
        <v>-</v>
      </c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>
      <c r="A1870" s="1"/>
      <c r="B1870" s="1"/>
      <c r="C1870" s="1"/>
      <c r="D1870" s="1"/>
      <c r="E1870" s="1" t="str">
        <f>IFERROR(__xludf.DUMMYFUNCTION("""COMPUTED_VALUE"""),"-")</f>
        <v>-</v>
      </c>
      <c r="F1870" s="1"/>
      <c r="G1870" s="1" t="str">
        <f>IFERROR(__xludf.DUMMYFUNCTION("""COMPUTED_VALUE"""),"-")</f>
        <v>-</v>
      </c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>
      <c r="A1871" s="1"/>
      <c r="B1871" s="1"/>
      <c r="C1871" s="1"/>
      <c r="D1871" s="1"/>
      <c r="E1871" s="1" t="str">
        <f>IFERROR(__xludf.DUMMYFUNCTION("""COMPUTED_VALUE"""),"-")</f>
        <v>-</v>
      </c>
      <c r="F1871" s="1"/>
      <c r="G1871" s="1" t="str">
        <f>IFERROR(__xludf.DUMMYFUNCTION("""COMPUTED_VALUE"""),"-")</f>
        <v>-</v>
      </c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>
      <c r="A1872" s="1"/>
      <c r="B1872" s="1"/>
      <c r="C1872" s="1"/>
      <c r="D1872" s="1"/>
      <c r="E1872" s="1" t="str">
        <f>IFERROR(__xludf.DUMMYFUNCTION("""COMPUTED_VALUE"""),"-")</f>
        <v>-</v>
      </c>
      <c r="F1872" s="1"/>
      <c r="G1872" s="1" t="str">
        <f>IFERROR(__xludf.DUMMYFUNCTION("""COMPUTED_VALUE"""),"-")</f>
        <v>-</v>
      </c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>
      <c r="A1873" s="1"/>
      <c r="B1873" s="1"/>
      <c r="C1873" s="1"/>
      <c r="D1873" s="1"/>
      <c r="E1873" s="1" t="str">
        <f>IFERROR(__xludf.DUMMYFUNCTION("""COMPUTED_VALUE"""),"-")</f>
        <v>-</v>
      </c>
      <c r="F1873" s="1"/>
      <c r="G1873" s="1" t="str">
        <f>IFERROR(__xludf.DUMMYFUNCTION("""COMPUTED_VALUE"""),"-")</f>
        <v>-</v>
      </c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>
      <c r="A1874" s="1"/>
      <c r="B1874" s="1"/>
      <c r="C1874" s="1"/>
      <c r="D1874" s="1"/>
      <c r="E1874" s="1" t="str">
        <f>IFERROR(__xludf.DUMMYFUNCTION("""COMPUTED_VALUE"""),"-")</f>
        <v>-</v>
      </c>
      <c r="F1874" s="1"/>
      <c r="G1874" s="1" t="str">
        <f>IFERROR(__xludf.DUMMYFUNCTION("""COMPUTED_VALUE"""),"-")</f>
        <v>-</v>
      </c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>
      <c r="A1875" s="1"/>
      <c r="B1875" s="1"/>
      <c r="C1875" s="1"/>
      <c r="D1875" s="1"/>
      <c r="E1875" s="1" t="str">
        <f>IFERROR(__xludf.DUMMYFUNCTION("""COMPUTED_VALUE"""),"-")</f>
        <v>-</v>
      </c>
      <c r="F1875" s="1"/>
      <c r="G1875" s="1" t="str">
        <f>IFERROR(__xludf.DUMMYFUNCTION("""COMPUTED_VALUE"""),"-")</f>
        <v>-</v>
      </c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>
      <c r="A1876" s="1"/>
      <c r="B1876" s="1"/>
      <c r="C1876" s="1"/>
      <c r="D1876" s="1"/>
      <c r="E1876" s="1" t="str">
        <f>IFERROR(__xludf.DUMMYFUNCTION("""COMPUTED_VALUE"""),"-")</f>
        <v>-</v>
      </c>
      <c r="F1876" s="1"/>
      <c r="G1876" s="1" t="str">
        <f>IFERROR(__xludf.DUMMYFUNCTION("""COMPUTED_VALUE"""),"-")</f>
        <v>-</v>
      </c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>
      <c r="A1877" s="1"/>
      <c r="B1877" s="1"/>
      <c r="C1877" s="1"/>
      <c r="D1877" s="1"/>
      <c r="E1877" s="1" t="str">
        <f>IFERROR(__xludf.DUMMYFUNCTION("""COMPUTED_VALUE"""),"-")</f>
        <v>-</v>
      </c>
      <c r="F1877" s="1"/>
      <c r="G1877" s="1" t="str">
        <f>IFERROR(__xludf.DUMMYFUNCTION("""COMPUTED_VALUE"""),"-")</f>
        <v>-</v>
      </c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>
      <c r="A1878" s="1"/>
      <c r="B1878" s="1"/>
      <c r="C1878" s="1"/>
      <c r="D1878" s="1"/>
      <c r="E1878" s="1" t="str">
        <f>IFERROR(__xludf.DUMMYFUNCTION("""COMPUTED_VALUE"""),"-")</f>
        <v>-</v>
      </c>
      <c r="F1878" s="1"/>
      <c r="G1878" s="1" t="str">
        <f>IFERROR(__xludf.DUMMYFUNCTION("""COMPUTED_VALUE"""),"-")</f>
        <v>-</v>
      </c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>
      <c r="A1879" s="1"/>
      <c r="B1879" s="1"/>
      <c r="C1879" s="1"/>
      <c r="D1879" s="1"/>
      <c r="E1879" s="1" t="str">
        <f>IFERROR(__xludf.DUMMYFUNCTION("""COMPUTED_VALUE"""),"-")</f>
        <v>-</v>
      </c>
      <c r="F1879" s="1"/>
      <c r="G1879" s="1" t="str">
        <f>IFERROR(__xludf.DUMMYFUNCTION("""COMPUTED_VALUE"""),"-")</f>
        <v>-</v>
      </c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>
      <c r="A1880" s="1"/>
      <c r="B1880" s="1"/>
      <c r="C1880" s="1"/>
      <c r="D1880" s="1"/>
      <c r="E1880" s="1" t="str">
        <f>IFERROR(__xludf.DUMMYFUNCTION("""COMPUTED_VALUE"""),"-")</f>
        <v>-</v>
      </c>
      <c r="F1880" s="1"/>
      <c r="G1880" s="1" t="str">
        <f>IFERROR(__xludf.DUMMYFUNCTION("""COMPUTED_VALUE"""),"-")</f>
        <v>-</v>
      </c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>
      <c r="A1881" s="1"/>
      <c r="B1881" s="1"/>
      <c r="C1881" s="1"/>
      <c r="D1881" s="1"/>
      <c r="E1881" s="1" t="str">
        <f>IFERROR(__xludf.DUMMYFUNCTION("""COMPUTED_VALUE"""),"-")</f>
        <v>-</v>
      </c>
      <c r="F1881" s="1"/>
      <c r="G1881" s="1" t="str">
        <f>IFERROR(__xludf.DUMMYFUNCTION("""COMPUTED_VALUE"""),"-")</f>
        <v>-</v>
      </c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>
      <c r="A1882" s="1"/>
      <c r="B1882" s="1"/>
      <c r="C1882" s="1"/>
      <c r="D1882" s="1"/>
      <c r="E1882" s="1" t="str">
        <f>IFERROR(__xludf.DUMMYFUNCTION("""COMPUTED_VALUE"""),"-")</f>
        <v>-</v>
      </c>
      <c r="F1882" s="1"/>
      <c r="G1882" s="1" t="str">
        <f>IFERROR(__xludf.DUMMYFUNCTION("""COMPUTED_VALUE"""),"-")</f>
        <v>-</v>
      </c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>
      <c r="A1883" s="1"/>
      <c r="B1883" s="1"/>
      <c r="C1883" s="1"/>
      <c r="D1883" s="1"/>
      <c r="E1883" s="1" t="str">
        <f>IFERROR(__xludf.DUMMYFUNCTION("""COMPUTED_VALUE"""),"-")</f>
        <v>-</v>
      </c>
      <c r="F1883" s="1"/>
      <c r="G1883" s="1" t="str">
        <f>IFERROR(__xludf.DUMMYFUNCTION("""COMPUTED_VALUE"""),"-")</f>
        <v>-</v>
      </c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>
      <c r="A1884" s="1"/>
      <c r="B1884" s="1"/>
      <c r="C1884" s="1"/>
      <c r="D1884" s="1"/>
      <c r="E1884" s="1" t="str">
        <f>IFERROR(__xludf.DUMMYFUNCTION("""COMPUTED_VALUE"""),"-")</f>
        <v>-</v>
      </c>
      <c r="F1884" s="1"/>
      <c r="G1884" s="1" t="str">
        <f>IFERROR(__xludf.DUMMYFUNCTION("""COMPUTED_VALUE"""),"-")</f>
        <v>-</v>
      </c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>
      <c r="A1885" s="1"/>
      <c r="B1885" s="1"/>
      <c r="C1885" s="1"/>
      <c r="D1885" s="1"/>
      <c r="E1885" s="1" t="str">
        <f>IFERROR(__xludf.DUMMYFUNCTION("""COMPUTED_VALUE"""),"-")</f>
        <v>-</v>
      </c>
      <c r="F1885" s="1"/>
      <c r="G1885" s="1" t="str">
        <f>IFERROR(__xludf.DUMMYFUNCTION("""COMPUTED_VALUE"""),"-")</f>
        <v>-</v>
      </c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>
      <c r="A1886" s="1"/>
      <c r="B1886" s="1"/>
      <c r="C1886" s="1"/>
      <c r="D1886" s="1"/>
      <c r="E1886" s="1" t="str">
        <f>IFERROR(__xludf.DUMMYFUNCTION("""COMPUTED_VALUE"""),"-")</f>
        <v>-</v>
      </c>
      <c r="F1886" s="1"/>
      <c r="G1886" s="1" t="str">
        <f>IFERROR(__xludf.DUMMYFUNCTION("""COMPUTED_VALUE"""),"-")</f>
        <v>-</v>
      </c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>
      <c r="A1887" s="1"/>
      <c r="B1887" s="1"/>
      <c r="C1887" s="1"/>
      <c r="D1887" s="1"/>
      <c r="E1887" s="1" t="str">
        <f>IFERROR(__xludf.DUMMYFUNCTION("""COMPUTED_VALUE"""),"-")</f>
        <v>-</v>
      </c>
      <c r="F1887" s="1"/>
      <c r="G1887" s="1" t="str">
        <f>IFERROR(__xludf.DUMMYFUNCTION("""COMPUTED_VALUE"""),"-")</f>
        <v>-</v>
      </c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>
      <c r="A1888" s="1"/>
      <c r="B1888" s="1"/>
      <c r="C1888" s="1"/>
      <c r="D1888" s="1"/>
      <c r="E1888" s="1" t="str">
        <f>IFERROR(__xludf.DUMMYFUNCTION("""COMPUTED_VALUE"""),"-")</f>
        <v>-</v>
      </c>
      <c r="F1888" s="1"/>
      <c r="G1888" s="1" t="str">
        <f>IFERROR(__xludf.DUMMYFUNCTION("""COMPUTED_VALUE"""),"-")</f>
        <v>-</v>
      </c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>
      <c r="A1889" s="1"/>
      <c r="B1889" s="1"/>
      <c r="C1889" s="1"/>
      <c r="D1889" s="1"/>
      <c r="E1889" s="1" t="str">
        <f>IFERROR(__xludf.DUMMYFUNCTION("""COMPUTED_VALUE"""),"-")</f>
        <v>-</v>
      </c>
      <c r="F1889" s="1"/>
      <c r="G1889" s="1" t="str">
        <f>IFERROR(__xludf.DUMMYFUNCTION("""COMPUTED_VALUE"""),"-")</f>
        <v>-</v>
      </c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>
      <c r="A1890" s="1"/>
      <c r="B1890" s="1"/>
      <c r="C1890" s="1"/>
      <c r="D1890" s="1"/>
      <c r="E1890" s="1" t="str">
        <f>IFERROR(__xludf.DUMMYFUNCTION("""COMPUTED_VALUE"""),"-")</f>
        <v>-</v>
      </c>
      <c r="F1890" s="1"/>
      <c r="G1890" s="1" t="str">
        <f>IFERROR(__xludf.DUMMYFUNCTION("""COMPUTED_VALUE"""),"-")</f>
        <v>-</v>
      </c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>
      <c r="A1891" s="1"/>
      <c r="B1891" s="1"/>
      <c r="C1891" s="1"/>
      <c r="D1891" s="1"/>
      <c r="E1891" s="1" t="str">
        <f>IFERROR(__xludf.DUMMYFUNCTION("""COMPUTED_VALUE"""),"-")</f>
        <v>-</v>
      </c>
      <c r="F1891" s="1"/>
      <c r="G1891" s="1" t="str">
        <f>IFERROR(__xludf.DUMMYFUNCTION("""COMPUTED_VALUE"""),"-")</f>
        <v>-</v>
      </c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>
      <c r="A1892" s="1"/>
      <c r="B1892" s="1"/>
      <c r="C1892" s="1"/>
      <c r="D1892" s="1"/>
      <c r="E1892" s="1" t="str">
        <f>IFERROR(__xludf.DUMMYFUNCTION("""COMPUTED_VALUE"""),"-")</f>
        <v>-</v>
      </c>
      <c r="F1892" s="1"/>
      <c r="G1892" s="1" t="str">
        <f>IFERROR(__xludf.DUMMYFUNCTION("""COMPUTED_VALUE"""),"-")</f>
        <v>-</v>
      </c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>
      <c r="A1893" s="1"/>
      <c r="B1893" s="1"/>
      <c r="C1893" s="1"/>
      <c r="D1893" s="1"/>
      <c r="E1893" s="1" t="str">
        <f>IFERROR(__xludf.DUMMYFUNCTION("""COMPUTED_VALUE"""),"-")</f>
        <v>-</v>
      </c>
      <c r="F1893" s="1"/>
      <c r="G1893" s="1" t="str">
        <f>IFERROR(__xludf.DUMMYFUNCTION("""COMPUTED_VALUE"""),"-")</f>
        <v>-</v>
      </c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>
      <c r="A1894" s="1"/>
      <c r="B1894" s="1"/>
      <c r="C1894" s="1"/>
      <c r="D1894" s="1"/>
      <c r="E1894" s="1" t="str">
        <f>IFERROR(__xludf.DUMMYFUNCTION("""COMPUTED_VALUE"""),"-")</f>
        <v>-</v>
      </c>
      <c r="F1894" s="1"/>
      <c r="G1894" s="1" t="str">
        <f>IFERROR(__xludf.DUMMYFUNCTION("""COMPUTED_VALUE"""),"-")</f>
        <v>-</v>
      </c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>
      <c r="A1895" s="1"/>
      <c r="B1895" s="1"/>
      <c r="C1895" s="1"/>
      <c r="D1895" s="1"/>
      <c r="E1895" s="1" t="str">
        <f>IFERROR(__xludf.DUMMYFUNCTION("""COMPUTED_VALUE"""),"-")</f>
        <v>-</v>
      </c>
      <c r="F1895" s="1"/>
      <c r="G1895" s="1" t="str">
        <f>IFERROR(__xludf.DUMMYFUNCTION("""COMPUTED_VALUE"""),"-")</f>
        <v>-</v>
      </c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>
      <c r="A1896" s="1"/>
      <c r="B1896" s="1"/>
      <c r="C1896" s="1"/>
      <c r="D1896" s="1"/>
      <c r="E1896" s="1" t="str">
        <f>IFERROR(__xludf.DUMMYFUNCTION("""COMPUTED_VALUE"""),"-")</f>
        <v>-</v>
      </c>
      <c r="F1896" s="1"/>
      <c r="G1896" s="1" t="str">
        <f>IFERROR(__xludf.DUMMYFUNCTION("""COMPUTED_VALUE"""),"-")</f>
        <v>-</v>
      </c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>
      <c r="A1897" s="1"/>
      <c r="B1897" s="1"/>
      <c r="C1897" s="1"/>
      <c r="D1897" s="1"/>
      <c r="E1897" s="1" t="str">
        <f>IFERROR(__xludf.DUMMYFUNCTION("""COMPUTED_VALUE"""),"-")</f>
        <v>-</v>
      </c>
      <c r="F1897" s="1"/>
      <c r="G1897" s="1" t="str">
        <f>IFERROR(__xludf.DUMMYFUNCTION("""COMPUTED_VALUE"""),"-")</f>
        <v>-</v>
      </c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>
      <c r="A1898" s="1"/>
      <c r="B1898" s="1"/>
      <c r="C1898" s="1"/>
      <c r="D1898" s="1"/>
      <c r="E1898" s="1" t="str">
        <f>IFERROR(__xludf.DUMMYFUNCTION("""COMPUTED_VALUE"""),"-")</f>
        <v>-</v>
      </c>
      <c r="F1898" s="1"/>
      <c r="G1898" s="1" t="str">
        <f>IFERROR(__xludf.DUMMYFUNCTION("""COMPUTED_VALUE"""),"-")</f>
        <v>-</v>
      </c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>
      <c r="A1899" s="1"/>
      <c r="B1899" s="1"/>
      <c r="C1899" s="1"/>
      <c r="D1899" s="1"/>
      <c r="E1899" s="1" t="str">
        <f>IFERROR(__xludf.DUMMYFUNCTION("""COMPUTED_VALUE"""),"-")</f>
        <v>-</v>
      </c>
      <c r="F1899" s="1"/>
      <c r="G1899" s="1" t="str">
        <f>IFERROR(__xludf.DUMMYFUNCTION("""COMPUTED_VALUE"""),"-")</f>
        <v>-</v>
      </c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>
      <c r="A1900" s="1"/>
      <c r="B1900" s="1"/>
      <c r="C1900" s="1"/>
      <c r="D1900" s="1"/>
      <c r="E1900" s="1" t="str">
        <f>IFERROR(__xludf.DUMMYFUNCTION("""COMPUTED_VALUE"""),"-")</f>
        <v>-</v>
      </c>
      <c r="F1900" s="1"/>
      <c r="G1900" s="1" t="str">
        <f>IFERROR(__xludf.DUMMYFUNCTION("""COMPUTED_VALUE"""),"-")</f>
        <v>-</v>
      </c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>
      <c r="A1901" s="1"/>
      <c r="B1901" s="1"/>
      <c r="C1901" s="1"/>
      <c r="D1901" s="1"/>
      <c r="E1901" s="1" t="str">
        <f>IFERROR(__xludf.DUMMYFUNCTION("""COMPUTED_VALUE"""),"-")</f>
        <v>-</v>
      </c>
      <c r="F1901" s="1"/>
      <c r="G1901" s="1" t="str">
        <f>IFERROR(__xludf.DUMMYFUNCTION("""COMPUTED_VALUE"""),"-")</f>
        <v>-</v>
      </c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>
      <c r="A1902" s="1"/>
      <c r="B1902" s="1"/>
      <c r="C1902" s="1"/>
      <c r="D1902" s="1"/>
      <c r="E1902" s="1" t="str">
        <f>IFERROR(__xludf.DUMMYFUNCTION("""COMPUTED_VALUE"""),"-")</f>
        <v>-</v>
      </c>
      <c r="F1902" s="1"/>
      <c r="G1902" s="1" t="str">
        <f>IFERROR(__xludf.DUMMYFUNCTION("""COMPUTED_VALUE"""),"-")</f>
        <v>-</v>
      </c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>
      <c r="A1903" s="1"/>
      <c r="B1903" s="1"/>
      <c r="C1903" s="1"/>
      <c r="D1903" s="1"/>
      <c r="E1903" s="1" t="str">
        <f>IFERROR(__xludf.DUMMYFUNCTION("""COMPUTED_VALUE"""),"-")</f>
        <v>-</v>
      </c>
      <c r="F1903" s="1"/>
      <c r="G1903" s="1" t="str">
        <f>IFERROR(__xludf.DUMMYFUNCTION("""COMPUTED_VALUE"""),"-")</f>
        <v>-</v>
      </c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>
      <c r="A1904" s="1"/>
      <c r="B1904" s="1"/>
      <c r="C1904" s="1"/>
      <c r="D1904" s="1"/>
      <c r="E1904" s="1" t="str">
        <f>IFERROR(__xludf.DUMMYFUNCTION("""COMPUTED_VALUE"""),"-")</f>
        <v>-</v>
      </c>
      <c r="F1904" s="1"/>
      <c r="G1904" s="1" t="str">
        <f>IFERROR(__xludf.DUMMYFUNCTION("""COMPUTED_VALUE"""),"-")</f>
        <v>-</v>
      </c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>
      <c r="A1905" s="1"/>
      <c r="B1905" s="1"/>
      <c r="C1905" s="1"/>
      <c r="D1905" s="1"/>
      <c r="E1905" s="1" t="str">
        <f>IFERROR(__xludf.DUMMYFUNCTION("""COMPUTED_VALUE"""),"-")</f>
        <v>-</v>
      </c>
      <c r="F1905" s="1"/>
      <c r="G1905" s="1" t="str">
        <f>IFERROR(__xludf.DUMMYFUNCTION("""COMPUTED_VALUE"""),"-")</f>
        <v>-</v>
      </c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>
      <c r="A1906" s="1"/>
      <c r="B1906" s="1"/>
      <c r="C1906" s="1"/>
      <c r="D1906" s="1"/>
      <c r="E1906" s="1" t="str">
        <f>IFERROR(__xludf.DUMMYFUNCTION("""COMPUTED_VALUE"""),"-")</f>
        <v>-</v>
      </c>
      <c r="F1906" s="1"/>
      <c r="G1906" s="1" t="str">
        <f>IFERROR(__xludf.DUMMYFUNCTION("""COMPUTED_VALUE"""),"-")</f>
        <v>-</v>
      </c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>
      <c r="A1907" s="1"/>
      <c r="B1907" s="1"/>
      <c r="C1907" s="1"/>
      <c r="D1907" s="1"/>
      <c r="E1907" s="1" t="str">
        <f>IFERROR(__xludf.DUMMYFUNCTION("""COMPUTED_VALUE"""),"-")</f>
        <v>-</v>
      </c>
      <c r="F1907" s="1"/>
      <c r="G1907" s="1" t="str">
        <f>IFERROR(__xludf.DUMMYFUNCTION("""COMPUTED_VALUE"""),"-")</f>
        <v>-</v>
      </c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>
      <c r="A1908" s="1"/>
      <c r="B1908" s="1"/>
      <c r="C1908" s="1"/>
      <c r="D1908" s="1"/>
      <c r="E1908" s="1" t="str">
        <f>IFERROR(__xludf.DUMMYFUNCTION("""COMPUTED_VALUE"""),"-")</f>
        <v>-</v>
      </c>
      <c r="F1908" s="1"/>
      <c r="G1908" s="1" t="str">
        <f>IFERROR(__xludf.DUMMYFUNCTION("""COMPUTED_VALUE"""),"-")</f>
        <v>-</v>
      </c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>
      <c r="A1909" s="1"/>
      <c r="B1909" s="1"/>
      <c r="C1909" s="1"/>
      <c r="D1909" s="1"/>
      <c r="E1909" s="1" t="str">
        <f>IFERROR(__xludf.DUMMYFUNCTION("""COMPUTED_VALUE"""),"-")</f>
        <v>-</v>
      </c>
      <c r="F1909" s="1"/>
      <c r="G1909" s="1" t="str">
        <f>IFERROR(__xludf.DUMMYFUNCTION("""COMPUTED_VALUE"""),"-")</f>
        <v>-</v>
      </c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>
      <c r="A1910" s="1"/>
      <c r="B1910" s="1"/>
      <c r="C1910" s="1"/>
      <c r="D1910" s="1"/>
      <c r="E1910" s="1" t="str">
        <f>IFERROR(__xludf.DUMMYFUNCTION("""COMPUTED_VALUE"""),"-")</f>
        <v>-</v>
      </c>
      <c r="F1910" s="1"/>
      <c r="G1910" s="1" t="str">
        <f>IFERROR(__xludf.DUMMYFUNCTION("""COMPUTED_VALUE"""),"-")</f>
        <v>-</v>
      </c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>
      <c r="A1911" s="1"/>
      <c r="B1911" s="1"/>
      <c r="C1911" s="1"/>
      <c r="D1911" s="1"/>
      <c r="E1911" s="1" t="str">
        <f>IFERROR(__xludf.DUMMYFUNCTION("""COMPUTED_VALUE"""),"-")</f>
        <v>-</v>
      </c>
      <c r="F1911" s="1"/>
      <c r="G1911" s="1" t="str">
        <f>IFERROR(__xludf.DUMMYFUNCTION("""COMPUTED_VALUE"""),"-")</f>
        <v>-</v>
      </c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1"/>
      <c r="B1912" s="1"/>
      <c r="C1912" s="1"/>
      <c r="D1912" s="1"/>
      <c r="E1912" s="1" t="str">
        <f>IFERROR(__xludf.DUMMYFUNCTION("""COMPUTED_VALUE"""),"-")</f>
        <v>-</v>
      </c>
      <c r="F1912" s="1"/>
      <c r="G1912" s="1" t="str">
        <f>IFERROR(__xludf.DUMMYFUNCTION("""COMPUTED_VALUE"""),"-")</f>
        <v>-</v>
      </c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>
      <c r="A1913" s="1"/>
      <c r="B1913" s="1"/>
      <c r="C1913" s="1"/>
      <c r="D1913" s="1"/>
      <c r="E1913" s="1" t="str">
        <f>IFERROR(__xludf.DUMMYFUNCTION("""COMPUTED_VALUE"""),"-")</f>
        <v>-</v>
      </c>
      <c r="F1913" s="1"/>
      <c r="G1913" s="1" t="str">
        <f>IFERROR(__xludf.DUMMYFUNCTION("""COMPUTED_VALUE"""),"-")</f>
        <v>-</v>
      </c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>
      <c r="A1914" s="1"/>
      <c r="B1914" s="1"/>
      <c r="C1914" s="1"/>
      <c r="D1914" s="1"/>
      <c r="E1914" s="1" t="str">
        <f>IFERROR(__xludf.DUMMYFUNCTION("""COMPUTED_VALUE"""),"-")</f>
        <v>-</v>
      </c>
      <c r="F1914" s="1"/>
      <c r="G1914" s="1" t="str">
        <f>IFERROR(__xludf.DUMMYFUNCTION("""COMPUTED_VALUE"""),"-")</f>
        <v>-</v>
      </c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>
      <c r="A1915" s="1"/>
      <c r="B1915" s="1"/>
      <c r="C1915" s="1"/>
      <c r="D1915" s="1"/>
      <c r="E1915" s="1" t="str">
        <f>IFERROR(__xludf.DUMMYFUNCTION("""COMPUTED_VALUE"""),"-")</f>
        <v>-</v>
      </c>
      <c r="F1915" s="1"/>
      <c r="G1915" s="1" t="str">
        <f>IFERROR(__xludf.DUMMYFUNCTION("""COMPUTED_VALUE"""),"-")</f>
        <v>-</v>
      </c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>
      <c r="A1916" s="1"/>
      <c r="B1916" s="1"/>
      <c r="C1916" s="1"/>
      <c r="D1916" s="1"/>
      <c r="E1916" s="1" t="str">
        <f>IFERROR(__xludf.DUMMYFUNCTION("""COMPUTED_VALUE"""),"-")</f>
        <v>-</v>
      </c>
      <c r="F1916" s="1"/>
      <c r="G1916" s="1" t="str">
        <f>IFERROR(__xludf.DUMMYFUNCTION("""COMPUTED_VALUE"""),"-")</f>
        <v>-</v>
      </c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>
      <c r="A1917" s="1"/>
      <c r="B1917" s="1"/>
      <c r="C1917" s="1"/>
      <c r="D1917" s="1"/>
      <c r="E1917" s="1" t="str">
        <f>IFERROR(__xludf.DUMMYFUNCTION("""COMPUTED_VALUE"""),"-")</f>
        <v>-</v>
      </c>
      <c r="F1917" s="1"/>
      <c r="G1917" s="1" t="str">
        <f>IFERROR(__xludf.DUMMYFUNCTION("""COMPUTED_VALUE"""),"-")</f>
        <v>-</v>
      </c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>
      <c r="A1918" s="1"/>
      <c r="B1918" s="1"/>
      <c r="C1918" s="1"/>
      <c r="D1918" s="1"/>
      <c r="E1918" s="1" t="str">
        <f>IFERROR(__xludf.DUMMYFUNCTION("""COMPUTED_VALUE"""),"-")</f>
        <v>-</v>
      </c>
      <c r="F1918" s="1"/>
      <c r="G1918" s="1" t="str">
        <f>IFERROR(__xludf.DUMMYFUNCTION("""COMPUTED_VALUE"""),"-")</f>
        <v>-</v>
      </c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>
      <c r="A1919" s="1"/>
      <c r="B1919" s="1"/>
      <c r="C1919" s="1"/>
      <c r="D1919" s="1"/>
      <c r="E1919" s="1" t="str">
        <f>IFERROR(__xludf.DUMMYFUNCTION("""COMPUTED_VALUE"""),"-")</f>
        <v>-</v>
      </c>
      <c r="F1919" s="1"/>
      <c r="G1919" s="1" t="str">
        <f>IFERROR(__xludf.DUMMYFUNCTION("""COMPUTED_VALUE"""),"-")</f>
        <v>-</v>
      </c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>
      <c r="A1920" s="1"/>
      <c r="B1920" s="1"/>
      <c r="C1920" s="1"/>
      <c r="D1920" s="1"/>
      <c r="E1920" s="1" t="str">
        <f>IFERROR(__xludf.DUMMYFUNCTION("""COMPUTED_VALUE"""),"-")</f>
        <v>-</v>
      </c>
      <c r="F1920" s="1"/>
      <c r="G1920" s="1" t="str">
        <f>IFERROR(__xludf.DUMMYFUNCTION("""COMPUTED_VALUE"""),"-")</f>
        <v>-</v>
      </c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>
      <c r="A1921" s="1"/>
      <c r="B1921" s="1"/>
      <c r="C1921" s="1"/>
      <c r="D1921" s="1"/>
      <c r="E1921" s="1" t="str">
        <f>IFERROR(__xludf.DUMMYFUNCTION("""COMPUTED_VALUE"""),"-")</f>
        <v>-</v>
      </c>
      <c r="F1921" s="1"/>
      <c r="G1921" s="1" t="str">
        <f>IFERROR(__xludf.DUMMYFUNCTION("""COMPUTED_VALUE"""),"-")</f>
        <v>-</v>
      </c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>
      <c r="A1922" s="1"/>
      <c r="B1922" s="1"/>
      <c r="C1922" s="1"/>
      <c r="D1922" s="1"/>
      <c r="E1922" s="1" t="str">
        <f>IFERROR(__xludf.DUMMYFUNCTION("""COMPUTED_VALUE"""),"-")</f>
        <v>-</v>
      </c>
      <c r="F1922" s="1"/>
      <c r="G1922" s="1" t="str">
        <f>IFERROR(__xludf.DUMMYFUNCTION("""COMPUTED_VALUE"""),"-")</f>
        <v>-</v>
      </c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>
      <c r="A1923" s="1"/>
      <c r="B1923" s="1"/>
      <c r="C1923" s="1"/>
      <c r="D1923" s="1"/>
      <c r="E1923" s="1" t="str">
        <f>IFERROR(__xludf.DUMMYFUNCTION("""COMPUTED_VALUE"""),"-")</f>
        <v>-</v>
      </c>
      <c r="F1923" s="1"/>
      <c r="G1923" s="1" t="str">
        <f>IFERROR(__xludf.DUMMYFUNCTION("""COMPUTED_VALUE"""),"-")</f>
        <v>-</v>
      </c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>
      <c r="A1924" s="1"/>
      <c r="B1924" s="1"/>
      <c r="C1924" s="1"/>
      <c r="D1924" s="1"/>
      <c r="E1924" s="1" t="str">
        <f>IFERROR(__xludf.DUMMYFUNCTION("""COMPUTED_VALUE"""),"-")</f>
        <v>-</v>
      </c>
      <c r="F1924" s="1"/>
      <c r="G1924" s="1" t="str">
        <f>IFERROR(__xludf.DUMMYFUNCTION("""COMPUTED_VALUE"""),"-")</f>
        <v>-</v>
      </c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>
      <c r="A1925" s="1"/>
      <c r="B1925" s="1"/>
      <c r="C1925" s="1"/>
      <c r="D1925" s="1"/>
      <c r="E1925" s="1" t="str">
        <f>IFERROR(__xludf.DUMMYFUNCTION("""COMPUTED_VALUE"""),"-")</f>
        <v>-</v>
      </c>
      <c r="F1925" s="1"/>
      <c r="G1925" s="1" t="str">
        <f>IFERROR(__xludf.DUMMYFUNCTION("""COMPUTED_VALUE"""),"-")</f>
        <v>-</v>
      </c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>
      <c r="A1926" s="1"/>
      <c r="B1926" s="1"/>
      <c r="C1926" s="1"/>
      <c r="D1926" s="1"/>
      <c r="E1926" s="1" t="str">
        <f>IFERROR(__xludf.DUMMYFUNCTION("""COMPUTED_VALUE"""),"-")</f>
        <v>-</v>
      </c>
      <c r="F1926" s="1"/>
      <c r="G1926" s="1" t="str">
        <f>IFERROR(__xludf.DUMMYFUNCTION("""COMPUTED_VALUE"""),"-")</f>
        <v>-</v>
      </c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>
      <c r="A1927" s="1"/>
      <c r="B1927" s="1"/>
      <c r="C1927" s="1"/>
      <c r="D1927" s="1"/>
      <c r="E1927" s="1" t="str">
        <f>IFERROR(__xludf.DUMMYFUNCTION("""COMPUTED_VALUE"""),"-")</f>
        <v>-</v>
      </c>
      <c r="F1927" s="1"/>
      <c r="G1927" s="1" t="str">
        <f>IFERROR(__xludf.DUMMYFUNCTION("""COMPUTED_VALUE"""),"-")</f>
        <v>-</v>
      </c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>
      <c r="A1928" s="1"/>
      <c r="B1928" s="1"/>
      <c r="C1928" s="1"/>
      <c r="D1928" s="1"/>
      <c r="E1928" s="1" t="str">
        <f>IFERROR(__xludf.DUMMYFUNCTION("""COMPUTED_VALUE"""),"-")</f>
        <v>-</v>
      </c>
      <c r="F1928" s="1"/>
      <c r="G1928" s="1" t="str">
        <f>IFERROR(__xludf.DUMMYFUNCTION("""COMPUTED_VALUE"""),"-")</f>
        <v>-</v>
      </c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>
      <c r="A1929" s="1"/>
      <c r="B1929" s="1"/>
      <c r="C1929" s="1"/>
      <c r="D1929" s="1"/>
      <c r="E1929" s="1" t="str">
        <f>IFERROR(__xludf.DUMMYFUNCTION("""COMPUTED_VALUE"""),"-")</f>
        <v>-</v>
      </c>
      <c r="F1929" s="1"/>
      <c r="G1929" s="1" t="str">
        <f>IFERROR(__xludf.DUMMYFUNCTION("""COMPUTED_VALUE"""),"-")</f>
        <v>-</v>
      </c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>
      <c r="A1930" s="1"/>
      <c r="B1930" s="1"/>
      <c r="C1930" s="1"/>
      <c r="D1930" s="1"/>
      <c r="E1930" s="1" t="str">
        <f>IFERROR(__xludf.DUMMYFUNCTION("""COMPUTED_VALUE"""),"-")</f>
        <v>-</v>
      </c>
      <c r="F1930" s="1"/>
      <c r="G1930" s="1" t="str">
        <f>IFERROR(__xludf.DUMMYFUNCTION("""COMPUTED_VALUE"""),"-")</f>
        <v>-</v>
      </c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>
      <c r="A1931" s="1"/>
      <c r="B1931" s="1"/>
      <c r="C1931" s="1"/>
      <c r="D1931" s="1"/>
      <c r="E1931" s="1" t="str">
        <f>IFERROR(__xludf.DUMMYFUNCTION("""COMPUTED_VALUE"""),"-")</f>
        <v>-</v>
      </c>
      <c r="F1931" s="1"/>
      <c r="G1931" s="1" t="str">
        <f>IFERROR(__xludf.DUMMYFUNCTION("""COMPUTED_VALUE"""),"-")</f>
        <v>-</v>
      </c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>
      <c r="A1932" s="1"/>
      <c r="B1932" s="1"/>
      <c r="C1932" s="1"/>
      <c r="D1932" s="1"/>
      <c r="E1932" s="1" t="str">
        <f>IFERROR(__xludf.DUMMYFUNCTION("""COMPUTED_VALUE"""),"-")</f>
        <v>-</v>
      </c>
      <c r="F1932" s="1"/>
      <c r="G1932" s="1" t="str">
        <f>IFERROR(__xludf.DUMMYFUNCTION("""COMPUTED_VALUE"""),"-")</f>
        <v>-</v>
      </c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>
      <c r="A1933" s="1"/>
      <c r="B1933" s="1"/>
      <c r="C1933" s="1"/>
      <c r="D1933" s="1"/>
      <c r="E1933" s="1" t="str">
        <f>IFERROR(__xludf.DUMMYFUNCTION("""COMPUTED_VALUE"""),"-")</f>
        <v>-</v>
      </c>
      <c r="F1933" s="1"/>
      <c r="G1933" s="1" t="str">
        <f>IFERROR(__xludf.DUMMYFUNCTION("""COMPUTED_VALUE"""),"-")</f>
        <v>-</v>
      </c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>
      <c r="A1934" s="1"/>
      <c r="B1934" s="1"/>
      <c r="C1934" s="1"/>
      <c r="D1934" s="1"/>
      <c r="E1934" s="1" t="str">
        <f>IFERROR(__xludf.DUMMYFUNCTION("""COMPUTED_VALUE"""),"-")</f>
        <v>-</v>
      </c>
      <c r="F1934" s="1"/>
      <c r="G1934" s="1" t="str">
        <f>IFERROR(__xludf.DUMMYFUNCTION("""COMPUTED_VALUE"""),"-")</f>
        <v>-</v>
      </c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>
      <c r="A1935" s="1"/>
      <c r="B1935" s="1"/>
      <c r="C1935" s="1"/>
      <c r="D1935" s="1"/>
      <c r="E1935" s="1" t="str">
        <f>IFERROR(__xludf.DUMMYFUNCTION("""COMPUTED_VALUE"""),"-")</f>
        <v>-</v>
      </c>
      <c r="F1935" s="1"/>
      <c r="G1935" s="1" t="str">
        <f>IFERROR(__xludf.DUMMYFUNCTION("""COMPUTED_VALUE"""),"-")</f>
        <v>-</v>
      </c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>
      <c r="A1936" s="1"/>
      <c r="B1936" s="1"/>
      <c r="C1936" s="1"/>
      <c r="D1936" s="1"/>
      <c r="E1936" s="1" t="str">
        <f>IFERROR(__xludf.DUMMYFUNCTION("""COMPUTED_VALUE"""),"-")</f>
        <v>-</v>
      </c>
      <c r="F1936" s="1"/>
      <c r="G1936" s="1" t="str">
        <f>IFERROR(__xludf.DUMMYFUNCTION("""COMPUTED_VALUE"""),"-")</f>
        <v>-</v>
      </c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>
      <c r="A1937" s="1"/>
      <c r="B1937" s="1"/>
      <c r="C1937" s="1"/>
      <c r="D1937" s="1"/>
      <c r="E1937" s="1" t="str">
        <f>IFERROR(__xludf.DUMMYFUNCTION("""COMPUTED_VALUE"""),"-")</f>
        <v>-</v>
      </c>
      <c r="F1937" s="1"/>
      <c r="G1937" s="1" t="str">
        <f>IFERROR(__xludf.DUMMYFUNCTION("""COMPUTED_VALUE"""),"-")</f>
        <v>-</v>
      </c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>
      <c r="A1938" s="1"/>
      <c r="B1938" s="1"/>
      <c r="C1938" s="1"/>
      <c r="D1938" s="1"/>
      <c r="E1938" s="1" t="str">
        <f>IFERROR(__xludf.DUMMYFUNCTION("""COMPUTED_VALUE"""),"-")</f>
        <v>-</v>
      </c>
      <c r="F1938" s="1"/>
      <c r="G1938" s="1" t="str">
        <f>IFERROR(__xludf.DUMMYFUNCTION("""COMPUTED_VALUE"""),"-")</f>
        <v>-</v>
      </c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>
      <c r="A1939" s="1"/>
      <c r="B1939" s="1"/>
      <c r="C1939" s="1"/>
      <c r="D1939" s="1"/>
      <c r="E1939" s="1" t="str">
        <f>IFERROR(__xludf.DUMMYFUNCTION("""COMPUTED_VALUE"""),"-")</f>
        <v>-</v>
      </c>
      <c r="F1939" s="1"/>
      <c r="G1939" s="1" t="str">
        <f>IFERROR(__xludf.DUMMYFUNCTION("""COMPUTED_VALUE"""),"-")</f>
        <v>-</v>
      </c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>
      <c r="A1940" s="1"/>
      <c r="B1940" s="1"/>
      <c r="C1940" s="1"/>
      <c r="D1940" s="1"/>
      <c r="E1940" s="1" t="str">
        <f>IFERROR(__xludf.DUMMYFUNCTION("""COMPUTED_VALUE"""),"-")</f>
        <v>-</v>
      </c>
      <c r="F1940" s="1"/>
      <c r="G1940" s="1" t="str">
        <f>IFERROR(__xludf.DUMMYFUNCTION("""COMPUTED_VALUE"""),"-")</f>
        <v>-</v>
      </c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>
      <c r="A1941" s="1"/>
      <c r="B1941" s="1"/>
      <c r="C1941" s="1"/>
      <c r="D1941" s="1"/>
      <c r="E1941" s="1" t="str">
        <f>IFERROR(__xludf.DUMMYFUNCTION("""COMPUTED_VALUE"""),"-")</f>
        <v>-</v>
      </c>
      <c r="F1941" s="1"/>
      <c r="G1941" s="1" t="str">
        <f>IFERROR(__xludf.DUMMYFUNCTION("""COMPUTED_VALUE"""),"-")</f>
        <v>-</v>
      </c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>
      <c r="A1942" s="1"/>
      <c r="B1942" s="1"/>
      <c r="C1942" s="1"/>
      <c r="D1942" s="1"/>
      <c r="E1942" s="1" t="str">
        <f>IFERROR(__xludf.DUMMYFUNCTION("""COMPUTED_VALUE"""),"-")</f>
        <v>-</v>
      </c>
      <c r="F1942" s="1"/>
      <c r="G1942" s="1" t="str">
        <f>IFERROR(__xludf.DUMMYFUNCTION("""COMPUTED_VALUE"""),"-")</f>
        <v>-</v>
      </c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>
      <c r="A1943" s="1"/>
      <c r="B1943" s="1"/>
      <c r="C1943" s="1"/>
      <c r="D1943" s="1"/>
      <c r="E1943" s="1" t="str">
        <f>IFERROR(__xludf.DUMMYFUNCTION("""COMPUTED_VALUE"""),"-")</f>
        <v>-</v>
      </c>
      <c r="F1943" s="1"/>
      <c r="G1943" s="1" t="str">
        <f>IFERROR(__xludf.DUMMYFUNCTION("""COMPUTED_VALUE"""),"-")</f>
        <v>-</v>
      </c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>
      <c r="A1944" s="1"/>
      <c r="B1944" s="1"/>
      <c r="C1944" s="1"/>
      <c r="D1944" s="1"/>
      <c r="E1944" s="1" t="str">
        <f>IFERROR(__xludf.DUMMYFUNCTION("""COMPUTED_VALUE"""),"-")</f>
        <v>-</v>
      </c>
      <c r="F1944" s="1"/>
      <c r="G1944" s="1" t="str">
        <f>IFERROR(__xludf.DUMMYFUNCTION("""COMPUTED_VALUE"""),"-")</f>
        <v>-</v>
      </c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>
      <c r="A1945" s="1"/>
      <c r="B1945" s="1"/>
      <c r="C1945" s="1"/>
      <c r="D1945" s="1"/>
      <c r="E1945" s="1" t="str">
        <f>IFERROR(__xludf.DUMMYFUNCTION("""COMPUTED_VALUE"""),"-")</f>
        <v>-</v>
      </c>
      <c r="F1945" s="1"/>
      <c r="G1945" s="1" t="str">
        <f>IFERROR(__xludf.DUMMYFUNCTION("""COMPUTED_VALUE"""),"-")</f>
        <v>-</v>
      </c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>
      <c r="A1946" s="1"/>
      <c r="B1946" s="1"/>
      <c r="C1946" s="1"/>
      <c r="D1946" s="1"/>
      <c r="E1946" s="1" t="str">
        <f>IFERROR(__xludf.DUMMYFUNCTION("""COMPUTED_VALUE"""),"-")</f>
        <v>-</v>
      </c>
      <c r="F1946" s="1"/>
      <c r="G1946" s="1" t="str">
        <f>IFERROR(__xludf.DUMMYFUNCTION("""COMPUTED_VALUE"""),"-")</f>
        <v>-</v>
      </c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>
      <c r="A1947" s="1"/>
      <c r="B1947" s="1"/>
      <c r="C1947" s="1"/>
      <c r="D1947" s="1"/>
      <c r="E1947" s="1" t="str">
        <f>IFERROR(__xludf.DUMMYFUNCTION("""COMPUTED_VALUE"""),"-")</f>
        <v>-</v>
      </c>
      <c r="F1947" s="1"/>
      <c r="G1947" s="1" t="str">
        <f>IFERROR(__xludf.DUMMYFUNCTION("""COMPUTED_VALUE"""),"-")</f>
        <v>-</v>
      </c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>
      <c r="A1948" s="1"/>
      <c r="B1948" s="1"/>
      <c r="C1948" s="1"/>
      <c r="D1948" s="1"/>
      <c r="E1948" s="1" t="str">
        <f>IFERROR(__xludf.DUMMYFUNCTION("""COMPUTED_VALUE"""),"-")</f>
        <v>-</v>
      </c>
      <c r="F1948" s="1"/>
      <c r="G1948" s="1" t="str">
        <f>IFERROR(__xludf.DUMMYFUNCTION("""COMPUTED_VALUE"""),"-")</f>
        <v>-</v>
      </c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>
      <c r="A1949" s="1"/>
      <c r="B1949" s="1"/>
      <c r="C1949" s="1"/>
      <c r="D1949" s="1"/>
      <c r="E1949" s="1" t="str">
        <f>IFERROR(__xludf.DUMMYFUNCTION("""COMPUTED_VALUE"""),"-")</f>
        <v>-</v>
      </c>
      <c r="F1949" s="1"/>
      <c r="G1949" s="1" t="str">
        <f>IFERROR(__xludf.DUMMYFUNCTION("""COMPUTED_VALUE"""),"-")</f>
        <v>-</v>
      </c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>
      <c r="A1950" s="1"/>
      <c r="B1950" s="1"/>
      <c r="C1950" s="1"/>
      <c r="D1950" s="1"/>
      <c r="E1950" s="1" t="str">
        <f>IFERROR(__xludf.DUMMYFUNCTION("""COMPUTED_VALUE"""),"-")</f>
        <v>-</v>
      </c>
      <c r="F1950" s="1"/>
      <c r="G1950" s="1" t="str">
        <f>IFERROR(__xludf.DUMMYFUNCTION("""COMPUTED_VALUE"""),"-")</f>
        <v>-</v>
      </c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>
      <c r="A1951" s="1"/>
      <c r="B1951" s="1"/>
      <c r="C1951" s="1"/>
      <c r="D1951" s="1"/>
      <c r="E1951" s="1" t="str">
        <f>IFERROR(__xludf.DUMMYFUNCTION("""COMPUTED_VALUE"""),"-")</f>
        <v>-</v>
      </c>
      <c r="F1951" s="1"/>
      <c r="G1951" s="1" t="str">
        <f>IFERROR(__xludf.DUMMYFUNCTION("""COMPUTED_VALUE"""),"-")</f>
        <v>-</v>
      </c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>
      <c r="A1952" s="1"/>
      <c r="B1952" s="1"/>
      <c r="C1952" s="1"/>
      <c r="D1952" s="1"/>
      <c r="E1952" s="1" t="str">
        <f>IFERROR(__xludf.DUMMYFUNCTION("""COMPUTED_VALUE"""),"-")</f>
        <v>-</v>
      </c>
      <c r="F1952" s="1"/>
      <c r="G1952" s="1" t="str">
        <f>IFERROR(__xludf.DUMMYFUNCTION("""COMPUTED_VALUE"""),"-")</f>
        <v>-</v>
      </c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>
      <c r="A1953" s="1"/>
      <c r="B1953" s="1"/>
      <c r="C1953" s="1"/>
      <c r="D1953" s="1"/>
      <c r="E1953" s="1" t="str">
        <f>IFERROR(__xludf.DUMMYFUNCTION("""COMPUTED_VALUE"""),"-")</f>
        <v>-</v>
      </c>
      <c r="F1953" s="1"/>
      <c r="G1953" s="1" t="str">
        <f>IFERROR(__xludf.DUMMYFUNCTION("""COMPUTED_VALUE"""),"-")</f>
        <v>-</v>
      </c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>
      <c r="A1954" s="1"/>
      <c r="B1954" s="1"/>
      <c r="C1954" s="1"/>
      <c r="D1954" s="1"/>
      <c r="E1954" s="1" t="str">
        <f>IFERROR(__xludf.DUMMYFUNCTION("""COMPUTED_VALUE"""),"-")</f>
        <v>-</v>
      </c>
      <c r="F1954" s="1"/>
      <c r="G1954" s="1" t="str">
        <f>IFERROR(__xludf.DUMMYFUNCTION("""COMPUTED_VALUE"""),"-")</f>
        <v>-</v>
      </c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>
      <c r="A1955" s="1"/>
      <c r="B1955" s="1"/>
      <c r="C1955" s="1"/>
      <c r="D1955" s="1"/>
      <c r="E1955" s="1" t="str">
        <f>IFERROR(__xludf.DUMMYFUNCTION("""COMPUTED_VALUE"""),"-")</f>
        <v>-</v>
      </c>
      <c r="F1955" s="1"/>
      <c r="G1955" s="1" t="str">
        <f>IFERROR(__xludf.DUMMYFUNCTION("""COMPUTED_VALUE"""),"-")</f>
        <v>-</v>
      </c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>
      <c r="A1956" s="1"/>
      <c r="B1956" s="1"/>
      <c r="C1956" s="1"/>
      <c r="D1956" s="1"/>
      <c r="E1956" s="1" t="str">
        <f>IFERROR(__xludf.DUMMYFUNCTION("""COMPUTED_VALUE"""),"-")</f>
        <v>-</v>
      </c>
      <c r="F1956" s="1"/>
      <c r="G1956" s="1" t="str">
        <f>IFERROR(__xludf.DUMMYFUNCTION("""COMPUTED_VALUE"""),"-")</f>
        <v>-</v>
      </c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>
      <c r="A1957" s="1"/>
      <c r="B1957" s="1"/>
      <c r="C1957" s="1"/>
      <c r="D1957" s="1"/>
      <c r="E1957" s="1" t="str">
        <f>IFERROR(__xludf.DUMMYFUNCTION("""COMPUTED_VALUE"""),"-")</f>
        <v>-</v>
      </c>
      <c r="F1957" s="1"/>
      <c r="G1957" s="1" t="str">
        <f>IFERROR(__xludf.DUMMYFUNCTION("""COMPUTED_VALUE"""),"-")</f>
        <v>-</v>
      </c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>
      <c r="A1958" s="1"/>
      <c r="B1958" s="1"/>
      <c r="C1958" s="1"/>
      <c r="D1958" s="1"/>
      <c r="E1958" s="1" t="str">
        <f>IFERROR(__xludf.DUMMYFUNCTION("""COMPUTED_VALUE"""),"-")</f>
        <v>-</v>
      </c>
      <c r="F1958" s="1"/>
      <c r="G1958" s="1" t="str">
        <f>IFERROR(__xludf.DUMMYFUNCTION("""COMPUTED_VALUE"""),"-")</f>
        <v>-</v>
      </c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>
      <c r="A1959" s="1"/>
      <c r="B1959" s="1"/>
      <c r="C1959" s="1"/>
      <c r="D1959" s="1"/>
      <c r="E1959" s="1" t="str">
        <f>IFERROR(__xludf.DUMMYFUNCTION("""COMPUTED_VALUE"""),"-")</f>
        <v>-</v>
      </c>
      <c r="F1959" s="1"/>
      <c r="G1959" s="1" t="str">
        <f>IFERROR(__xludf.DUMMYFUNCTION("""COMPUTED_VALUE"""),"-")</f>
        <v>-</v>
      </c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>
      <c r="A1960" s="1"/>
      <c r="B1960" s="1"/>
      <c r="C1960" s="1"/>
      <c r="D1960" s="1"/>
      <c r="E1960" s="1" t="str">
        <f>IFERROR(__xludf.DUMMYFUNCTION("""COMPUTED_VALUE"""),"-")</f>
        <v>-</v>
      </c>
      <c r="F1960" s="1"/>
      <c r="G1960" s="1" t="str">
        <f>IFERROR(__xludf.DUMMYFUNCTION("""COMPUTED_VALUE"""),"-")</f>
        <v>-</v>
      </c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>
      <c r="A1961" s="1"/>
      <c r="B1961" s="1"/>
      <c r="C1961" s="1"/>
      <c r="D1961" s="1"/>
      <c r="E1961" s="1" t="str">
        <f>IFERROR(__xludf.DUMMYFUNCTION("""COMPUTED_VALUE"""),"-")</f>
        <v>-</v>
      </c>
      <c r="F1961" s="1"/>
      <c r="G1961" s="1" t="str">
        <f>IFERROR(__xludf.DUMMYFUNCTION("""COMPUTED_VALUE"""),"-")</f>
        <v>-</v>
      </c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>
      <c r="A1962" s="1"/>
      <c r="B1962" s="1"/>
      <c r="C1962" s="1"/>
      <c r="D1962" s="1"/>
      <c r="E1962" s="1" t="str">
        <f>IFERROR(__xludf.DUMMYFUNCTION("""COMPUTED_VALUE"""),"-")</f>
        <v>-</v>
      </c>
      <c r="F1962" s="1"/>
      <c r="G1962" s="1" t="str">
        <f>IFERROR(__xludf.DUMMYFUNCTION("""COMPUTED_VALUE"""),"-")</f>
        <v>-</v>
      </c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>
      <c r="A1963" s="1"/>
      <c r="B1963" s="1"/>
      <c r="C1963" s="1"/>
      <c r="D1963" s="1"/>
      <c r="E1963" s="1" t="str">
        <f>IFERROR(__xludf.DUMMYFUNCTION("""COMPUTED_VALUE"""),"-")</f>
        <v>-</v>
      </c>
      <c r="F1963" s="1"/>
      <c r="G1963" s="1" t="str">
        <f>IFERROR(__xludf.DUMMYFUNCTION("""COMPUTED_VALUE"""),"-")</f>
        <v>-</v>
      </c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>
      <c r="A1964" s="1"/>
      <c r="B1964" s="1"/>
      <c r="C1964" s="1"/>
      <c r="D1964" s="1"/>
      <c r="E1964" s="1" t="str">
        <f>IFERROR(__xludf.DUMMYFUNCTION("""COMPUTED_VALUE"""),"-")</f>
        <v>-</v>
      </c>
      <c r="F1964" s="1"/>
      <c r="G1964" s="1" t="str">
        <f>IFERROR(__xludf.DUMMYFUNCTION("""COMPUTED_VALUE"""),"-")</f>
        <v>-</v>
      </c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>
      <c r="A1965" s="1"/>
      <c r="B1965" s="1"/>
      <c r="C1965" s="1"/>
      <c r="D1965" s="1"/>
      <c r="E1965" s="1" t="str">
        <f>IFERROR(__xludf.DUMMYFUNCTION("""COMPUTED_VALUE"""),"-")</f>
        <v>-</v>
      </c>
      <c r="F1965" s="1"/>
      <c r="G1965" s="1" t="str">
        <f>IFERROR(__xludf.DUMMYFUNCTION("""COMPUTED_VALUE"""),"-")</f>
        <v>-</v>
      </c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>
      <c r="A1966" s="1"/>
      <c r="B1966" s="1"/>
      <c r="C1966" s="1"/>
      <c r="D1966" s="1"/>
      <c r="E1966" s="1" t="str">
        <f>IFERROR(__xludf.DUMMYFUNCTION("""COMPUTED_VALUE"""),"-")</f>
        <v>-</v>
      </c>
      <c r="F1966" s="1"/>
      <c r="G1966" s="1" t="str">
        <f>IFERROR(__xludf.DUMMYFUNCTION("""COMPUTED_VALUE"""),"-")</f>
        <v>-</v>
      </c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>
      <c r="A1967" s="1"/>
      <c r="B1967" s="1"/>
      <c r="C1967" s="1"/>
      <c r="D1967" s="1"/>
      <c r="E1967" s="1" t="str">
        <f>IFERROR(__xludf.DUMMYFUNCTION("""COMPUTED_VALUE"""),"-")</f>
        <v>-</v>
      </c>
      <c r="F1967" s="1"/>
      <c r="G1967" s="1" t="str">
        <f>IFERROR(__xludf.DUMMYFUNCTION("""COMPUTED_VALUE"""),"-")</f>
        <v>-</v>
      </c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>
      <c r="A1968" s="1"/>
      <c r="B1968" s="1"/>
      <c r="C1968" s="1"/>
      <c r="D1968" s="1"/>
      <c r="E1968" s="1" t="str">
        <f>IFERROR(__xludf.DUMMYFUNCTION("""COMPUTED_VALUE"""),"-")</f>
        <v>-</v>
      </c>
      <c r="F1968" s="1"/>
      <c r="G1968" s="1" t="str">
        <f>IFERROR(__xludf.DUMMYFUNCTION("""COMPUTED_VALUE"""),"-")</f>
        <v>-</v>
      </c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>
      <c r="A1969" s="1"/>
      <c r="B1969" s="1"/>
      <c r="C1969" s="1"/>
      <c r="D1969" s="1"/>
      <c r="E1969" s="1" t="str">
        <f>IFERROR(__xludf.DUMMYFUNCTION("""COMPUTED_VALUE"""),"-")</f>
        <v>-</v>
      </c>
      <c r="F1969" s="1"/>
      <c r="G1969" s="1" t="str">
        <f>IFERROR(__xludf.DUMMYFUNCTION("""COMPUTED_VALUE"""),"-")</f>
        <v>-</v>
      </c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>
      <c r="A1970" s="1"/>
      <c r="B1970" s="1"/>
      <c r="C1970" s="1"/>
      <c r="D1970" s="1"/>
      <c r="E1970" s="1" t="str">
        <f>IFERROR(__xludf.DUMMYFUNCTION("""COMPUTED_VALUE"""),"-")</f>
        <v>-</v>
      </c>
      <c r="F1970" s="1"/>
      <c r="G1970" s="1" t="str">
        <f>IFERROR(__xludf.DUMMYFUNCTION("""COMPUTED_VALUE"""),"-")</f>
        <v>-</v>
      </c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>
      <c r="A1971" s="1"/>
      <c r="B1971" s="1"/>
      <c r="C1971" s="1"/>
      <c r="D1971" s="1"/>
      <c r="E1971" s="1" t="str">
        <f>IFERROR(__xludf.DUMMYFUNCTION("""COMPUTED_VALUE"""),"-")</f>
        <v>-</v>
      </c>
      <c r="F1971" s="1"/>
      <c r="G1971" s="1" t="str">
        <f>IFERROR(__xludf.DUMMYFUNCTION("""COMPUTED_VALUE"""),"-")</f>
        <v>-</v>
      </c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>
      <c r="A1972" s="1"/>
      <c r="B1972" s="1"/>
      <c r="C1972" s="1"/>
      <c r="D1972" s="1"/>
      <c r="E1972" s="1" t="str">
        <f>IFERROR(__xludf.DUMMYFUNCTION("""COMPUTED_VALUE"""),"-")</f>
        <v>-</v>
      </c>
      <c r="F1972" s="1"/>
      <c r="G1972" s="1" t="str">
        <f>IFERROR(__xludf.DUMMYFUNCTION("""COMPUTED_VALUE"""),"-")</f>
        <v>-</v>
      </c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>
      <c r="A1973" s="1"/>
      <c r="B1973" s="1"/>
      <c r="C1973" s="1"/>
      <c r="D1973" s="1"/>
      <c r="E1973" s="1" t="str">
        <f>IFERROR(__xludf.DUMMYFUNCTION("""COMPUTED_VALUE"""),"-")</f>
        <v>-</v>
      </c>
      <c r="F1973" s="1"/>
      <c r="G1973" s="1" t="str">
        <f>IFERROR(__xludf.DUMMYFUNCTION("""COMPUTED_VALUE"""),"-")</f>
        <v>-</v>
      </c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>
      <c r="A1974" s="1"/>
      <c r="B1974" s="1"/>
      <c r="C1974" s="1"/>
      <c r="D1974" s="1"/>
      <c r="E1974" s="1" t="str">
        <f>IFERROR(__xludf.DUMMYFUNCTION("""COMPUTED_VALUE"""),"-")</f>
        <v>-</v>
      </c>
      <c r="F1974" s="1"/>
      <c r="G1974" s="1" t="str">
        <f>IFERROR(__xludf.DUMMYFUNCTION("""COMPUTED_VALUE"""),"-")</f>
        <v>-</v>
      </c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>
      <c r="A1975" s="1"/>
      <c r="B1975" s="1"/>
      <c r="C1975" s="1"/>
      <c r="D1975" s="1"/>
      <c r="E1975" s="1" t="str">
        <f>IFERROR(__xludf.DUMMYFUNCTION("""COMPUTED_VALUE"""),"-")</f>
        <v>-</v>
      </c>
      <c r="F1975" s="1"/>
      <c r="G1975" s="1" t="str">
        <f>IFERROR(__xludf.DUMMYFUNCTION("""COMPUTED_VALUE"""),"-")</f>
        <v>-</v>
      </c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>
      <c r="A1976" s="1"/>
      <c r="B1976" s="1"/>
      <c r="C1976" s="1"/>
      <c r="D1976" s="1"/>
      <c r="E1976" s="1" t="str">
        <f>IFERROR(__xludf.DUMMYFUNCTION("""COMPUTED_VALUE"""),"-")</f>
        <v>-</v>
      </c>
      <c r="F1976" s="1"/>
      <c r="G1976" s="1" t="str">
        <f>IFERROR(__xludf.DUMMYFUNCTION("""COMPUTED_VALUE"""),"-")</f>
        <v>-</v>
      </c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>
      <c r="A1977" s="1"/>
      <c r="B1977" s="1"/>
      <c r="C1977" s="1"/>
      <c r="D1977" s="1"/>
      <c r="E1977" s="1" t="str">
        <f>IFERROR(__xludf.DUMMYFUNCTION("""COMPUTED_VALUE"""),"-")</f>
        <v>-</v>
      </c>
      <c r="F1977" s="1"/>
      <c r="G1977" s="1" t="str">
        <f>IFERROR(__xludf.DUMMYFUNCTION("""COMPUTED_VALUE"""),"-")</f>
        <v>-</v>
      </c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>
      <c r="A1978" s="1"/>
      <c r="B1978" s="1"/>
      <c r="C1978" s="1"/>
      <c r="D1978" s="1"/>
      <c r="E1978" s="1" t="str">
        <f>IFERROR(__xludf.DUMMYFUNCTION("""COMPUTED_VALUE"""),"-")</f>
        <v>-</v>
      </c>
      <c r="F1978" s="1"/>
      <c r="G1978" s="1" t="str">
        <f>IFERROR(__xludf.DUMMYFUNCTION("""COMPUTED_VALUE"""),"-")</f>
        <v>-</v>
      </c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>
      <c r="A1979" s="1"/>
      <c r="B1979" s="1"/>
      <c r="C1979" s="1"/>
      <c r="D1979" s="1"/>
      <c r="E1979" s="1" t="str">
        <f>IFERROR(__xludf.DUMMYFUNCTION("""COMPUTED_VALUE"""),"-")</f>
        <v>-</v>
      </c>
      <c r="F1979" s="1"/>
      <c r="G1979" s="1" t="str">
        <f>IFERROR(__xludf.DUMMYFUNCTION("""COMPUTED_VALUE"""),"-")</f>
        <v>-</v>
      </c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>
      <c r="A1980" s="1"/>
      <c r="B1980" s="1"/>
      <c r="C1980" s="1"/>
      <c r="D1980" s="1"/>
      <c r="E1980" s="1" t="str">
        <f>IFERROR(__xludf.DUMMYFUNCTION("""COMPUTED_VALUE"""),"-")</f>
        <v>-</v>
      </c>
      <c r="F1980" s="1"/>
      <c r="G1980" s="1" t="str">
        <f>IFERROR(__xludf.DUMMYFUNCTION("""COMPUTED_VALUE"""),"-")</f>
        <v>-</v>
      </c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>
      <c r="A1981" s="1"/>
      <c r="B1981" s="1"/>
      <c r="C1981" s="1"/>
      <c r="D1981" s="1"/>
      <c r="E1981" s="1" t="str">
        <f>IFERROR(__xludf.DUMMYFUNCTION("""COMPUTED_VALUE"""),"-")</f>
        <v>-</v>
      </c>
      <c r="F1981" s="1"/>
      <c r="G1981" s="1" t="str">
        <f>IFERROR(__xludf.DUMMYFUNCTION("""COMPUTED_VALUE"""),"-")</f>
        <v>-</v>
      </c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>
      <c r="A1982" s="1"/>
      <c r="B1982" s="1"/>
      <c r="C1982" s="1"/>
      <c r="D1982" s="1"/>
      <c r="E1982" s="1" t="str">
        <f>IFERROR(__xludf.DUMMYFUNCTION("""COMPUTED_VALUE"""),"-")</f>
        <v>-</v>
      </c>
      <c r="F1982" s="1"/>
      <c r="G1982" s="1" t="str">
        <f>IFERROR(__xludf.DUMMYFUNCTION("""COMPUTED_VALUE"""),"-")</f>
        <v>-</v>
      </c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>
      <c r="A1983" s="1"/>
      <c r="B1983" s="1"/>
      <c r="C1983" s="1"/>
      <c r="D1983" s="1"/>
      <c r="E1983" s="1" t="str">
        <f>IFERROR(__xludf.DUMMYFUNCTION("""COMPUTED_VALUE"""),"-")</f>
        <v>-</v>
      </c>
      <c r="F1983" s="1"/>
      <c r="G1983" s="1" t="str">
        <f>IFERROR(__xludf.DUMMYFUNCTION("""COMPUTED_VALUE"""),"-")</f>
        <v>-</v>
      </c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>
      <c r="A1984" s="1"/>
      <c r="B1984" s="1"/>
      <c r="C1984" s="1"/>
      <c r="D1984" s="1"/>
      <c r="E1984" s="1" t="str">
        <f>IFERROR(__xludf.DUMMYFUNCTION("""COMPUTED_VALUE"""),"-")</f>
        <v>-</v>
      </c>
      <c r="F1984" s="1"/>
      <c r="G1984" s="1" t="str">
        <f>IFERROR(__xludf.DUMMYFUNCTION("""COMPUTED_VALUE"""),"-")</f>
        <v>-</v>
      </c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>
      <c r="A1985" s="1"/>
      <c r="B1985" s="1"/>
      <c r="C1985" s="1"/>
      <c r="D1985" s="1"/>
      <c r="E1985" s="1" t="str">
        <f>IFERROR(__xludf.DUMMYFUNCTION("""COMPUTED_VALUE"""),"-")</f>
        <v>-</v>
      </c>
      <c r="F1985" s="1"/>
      <c r="G1985" s="1" t="str">
        <f>IFERROR(__xludf.DUMMYFUNCTION("""COMPUTED_VALUE"""),"-")</f>
        <v>-</v>
      </c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>
      <c r="A1986" s="1"/>
      <c r="B1986" s="1"/>
      <c r="C1986" s="1"/>
      <c r="D1986" s="1"/>
      <c r="E1986" s="1" t="str">
        <f>IFERROR(__xludf.DUMMYFUNCTION("""COMPUTED_VALUE"""),"-")</f>
        <v>-</v>
      </c>
      <c r="F1986" s="1"/>
      <c r="G1986" s="1" t="str">
        <f>IFERROR(__xludf.DUMMYFUNCTION("""COMPUTED_VALUE"""),"-")</f>
        <v>-</v>
      </c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>
      <c r="A1987" s="1"/>
      <c r="B1987" s="1"/>
      <c r="C1987" s="1"/>
      <c r="D1987" s="1"/>
      <c r="E1987" s="1" t="str">
        <f>IFERROR(__xludf.DUMMYFUNCTION("""COMPUTED_VALUE"""),"-")</f>
        <v>-</v>
      </c>
      <c r="F1987" s="1"/>
      <c r="G1987" s="1" t="str">
        <f>IFERROR(__xludf.DUMMYFUNCTION("""COMPUTED_VALUE"""),"-")</f>
        <v>-</v>
      </c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>
      <c r="A1988" s="1"/>
      <c r="B1988" s="1"/>
      <c r="C1988" s="1"/>
      <c r="D1988" s="1"/>
      <c r="E1988" s="1" t="str">
        <f>IFERROR(__xludf.DUMMYFUNCTION("""COMPUTED_VALUE"""),"-")</f>
        <v>-</v>
      </c>
      <c r="F1988" s="1"/>
      <c r="G1988" s="1" t="str">
        <f>IFERROR(__xludf.DUMMYFUNCTION("""COMPUTED_VALUE"""),"-")</f>
        <v>-</v>
      </c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>
      <c r="A1989" s="1"/>
      <c r="B1989" s="1"/>
      <c r="C1989" s="1"/>
      <c r="D1989" s="1"/>
      <c r="E1989" s="1" t="str">
        <f>IFERROR(__xludf.DUMMYFUNCTION("""COMPUTED_VALUE"""),"-")</f>
        <v>-</v>
      </c>
      <c r="F1989" s="1"/>
      <c r="G1989" s="1" t="str">
        <f>IFERROR(__xludf.DUMMYFUNCTION("""COMPUTED_VALUE"""),"-")</f>
        <v>-</v>
      </c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>
      <c r="A1990" s="1"/>
      <c r="B1990" s="1"/>
      <c r="C1990" s="1"/>
      <c r="D1990" s="1"/>
      <c r="E1990" s="1" t="str">
        <f>IFERROR(__xludf.DUMMYFUNCTION("""COMPUTED_VALUE"""),"-")</f>
        <v>-</v>
      </c>
      <c r="F1990" s="1"/>
      <c r="G1990" s="1" t="str">
        <f>IFERROR(__xludf.DUMMYFUNCTION("""COMPUTED_VALUE"""),"-")</f>
        <v>-</v>
      </c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>
      <c r="A1991" s="1"/>
      <c r="B1991" s="1"/>
      <c r="C1991" s="1"/>
      <c r="D1991" s="1"/>
      <c r="E1991" s="1" t="str">
        <f>IFERROR(__xludf.DUMMYFUNCTION("""COMPUTED_VALUE"""),"-")</f>
        <v>-</v>
      </c>
      <c r="F1991" s="1"/>
      <c r="G1991" s="1" t="str">
        <f>IFERROR(__xludf.DUMMYFUNCTION("""COMPUTED_VALUE"""),"-")</f>
        <v>-</v>
      </c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>
      <c r="A1992" s="1"/>
      <c r="B1992" s="1"/>
      <c r="C1992" s="1"/>
      <c r="D1992" s="1"/>
      <c r="E1992" s="1" t="str">
        <f>IFERROR(__xludf.DUMMYFUNCTION("""COMPUTED_VALUE"""),"-")</f>
        <v>-</v>
      </c>
      <c r="F1992" s="1"/>
      <c r="G1992" s="1" t="str">
        <f>IFERROR(__xludf.DUMMYFUNCTION("""COMPUTED_VALUE"""),"-")</f>
        <v>-</v>
      </c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>
      <c r="A1993" s="1"/>
      <c r="B1993" s="1"/>
      <c r="C1993" s="1"/>
      <c r="D1993" s="1"/>
      <c r="E1993" s="1" t="str">
        <f>IFERROR(__xludf.DUMMYFUNCTION("""COMPUTED_VALUE"""),"-")</f>
        <v>-</v>
      </c>
      <c r="F1993" s="1"/>
      <c r="G1993" s="1" t="str">
        <f>IFERROR(__xludf.DUMMYFUNCTION("""COMPUTED_VALUE"""),"-")</f>
        <v>-</v>
      </c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>
      <c r="A1994" s="1"/>
      <c r="B1994" s="1"/>
      <c r="C1994" s="1"/>
      <c r="D1994" s="1"/>
      <c r="E1994" s="1" t="str">
        <f>IFERROR(__xludf.DUMMYFUNCTION("""COMPUTED_VALUE"""),"-")</f>
        <v>-</v>
      </c>
      <c r="F1994" s="1"/>
      <c r="G1994" s="1" t="str">
        <f>IFERROR(__xludf.DUMMYFUNCTION("""COMPUTED_VALUE"""),"-")</f>
        <v>-</v>
      </c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>
      <c r="A1995" s="1"/>
      <c r="B1995" s="1"/>
      <c r="C1995" s="1"/>
      <c r="D1995" s="1"/>
      <c r="E1995" s="1" t="str">
        <f>IFERROR(__xludf.DUMMYFUNCTION("""COMPUTED_VALUE"""),"-")</f>
        <v>-</v>
      </c>
      <c r="F1995" s="1"/>
      <c r="G1995" s="1" t="str">
        <f>IFERROR(__xludf.DUMMYFUNCTION("""COMPUTED_VALUE"""),"-")</f>
        <v>-</v>
      </c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>
      <c r="A1996" s="1"/>
      <c r="B1996" s="1"/>
      <c r="C1996" s="1"/>
      <c r="D1996" s="1"/>
      <c r="E1996" s="1" t="str">
        <f>IFERROR(__xludf.DUMMYFUNCTION("""COMPUTED_VALUE"""),"-")</f>
        <v>-</v>
      </c>
      <c r="F1996" s="1"/>
      <c r="G1996" s="1" t="str">
        <f>IFERROR(__xludf.DUMMYFUNCTION("""COMPUTED_VALUE"""),"-")</f>
        <v>-</v>
      </c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>
      <c r="A1997" s="1"/>
      <c r="B1997" s="1"/>
      <c r="C1997" s="1"/>
      <c r="D1997" s="1"/>
      <c r="E1997" s="1" t="str">
        <f>IFERROR(__xludf.DUMMYFUNCTION("""COMPUTED_VALUE"""),"-")</f>
        <v>-</v>
      </c>
      <c r="F1997" s="1"/>
      <c r="G1997" s="1" t="str">
        <f>IFERROR(__xludf.DUMMYFUNCTION("""COMPUTED_VALUE"""),"-")</f>
        <v>-</v>
      </c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>
      <c r="A1998" s="1"/>
      <c r="B1998" s="1"/>
      <c r="C1998" s="1"/>
      <c r="D1998" s="1"/>
      <c r="E1998" s="1" t="str">
        <f>IFERROR(__xludf.DUMMYFUNCTION("""COMPUTED_VALUE"""),"-")</f>
        <v>-</v>
      </c>
      <c r="F1998" s="1"/>
      <c r="G1998" s="1" t="str">
        <f>IFERROR(__xludf.DUMMYFUNCTION("""COMPUTED_VALUE"""),"-")</f>
        <v>-</v>
      </c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>
      <c r="A1999" s="1"/>
      <c r="B1999" s="1"/>
      <c r="C1999" s="1"/>
      <c r="D1999" s="1"/>
      <c r="E1999" s="1" t="str">
        <f>IFERROR(__xludf.DUMMYFUNCTION("""COMPUTED_VALUE"""),"-")</f>
        <v>-</v>
      </c>
      <c r="F1999" s="1"/>
      <c r="G1999" s="1" t="str">
        <f>IFERROR(__xludf.DUMMYFUNCTION("""COMPUTED_VALUE"""),"-")</f>
        <v>-</v>
      </c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>
      <c r="A2000" s="1"/>
      <c r="B2000" s="1"/>
      <c r="C2000" s="1"/>
      <c r="D2000" s="1"/>
      <c r="E2000" s="1" t="str">
        <f>IFERROR(__xludf.DUMMYFUNCTION("""COMPUTED_VALUE"""),"-")</f>
        <v>-</v>
      </c>
      <c r="F2000" s="1"/>
      <c r="G2000" s="1" t="str">
        <f>IFERROR(__xludf.DUMMYFUNCTION("""COMPUTED_VALUE"""),"-")</f>
        <v>-</v>
      </c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>
      <c r="A2001" s="1"/>
      <c r="B2001" s="1"/>
      <c r="C2001" s="1"/>
      <c r="D2001" s="1"/>
      <c r="E2001" s="1" t="str">
        <f>IFERROR(__xludf.DUMMYFUNCTION("""COMPUTED_VALUE"""),"-")</f>
        <v>-</v>
      </c>
      <c r="F2001" s="1"/>
      <c r="G2001" s="1" t="str">
        <f>IFERROR(__xludf.DUMMYFUNCTION("""COMPUTED_VALUE"""),"-")</f>
        <v>-</v>
      </c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>
      <c r="A2002" s="1"/>
      <c r="B2002" s="1"/>
      <c r="C2002" s="1"/>
      <c r="D2002" s="1"/>
      <c r="E2002" s="1" t="str">
        <f>IFERROR(__xludf.DUMMYFUNCTION("""COMPUTED_VALUE"""),"-")</f>
        <v>-</v>
      </c>
      <c r="F2002" s="1"/>
      <c r="G2002" s="1" t="str">
        <f>IFERROR(__xludf.DUMMYFUNCTION("""COMPUTED_VALUE"""),"-")</f>
        <v>-</v>
      </c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>
      <c r="A2003" s="1"/>
      <c r="B2003" s="1"/>
      <c r="C2003" s="1"/>
      <c r="D2003" s="1"/>
      <c r="E2003" s="1" t="str">
        <f>IFERROR(__xludf.DUMMYFUNCTION("""COMPUTED_VALUE"""),"-")</f>
        <v>-</v>
      </c>
      <c r="F2003" s="1"/>
      <c r="G2003" s="1" t="str">
        <f>IFERROR(__xludf.DUMMYFUNCTION("""COMPUTED_VALUE"""),"-")</f>
        <v>-</v>
      </c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>
      <c r="A2004" s="1"/>
      <c r="B2004" s="1"/>
      <c r="C2004" s="1"/>
      <c r="D2004" s="1"/>
      <c r="E2004" s="1" t="str">
        <f>IFERROR(__xludf.DUMMYFUNCTION("""COMPUTED_VALUE"""),"-")</f>
        <v>-</v>
      </c>
      <c r="F2004" s="1"/>
      <c r="G2004" s="1" t="str">
        <f>IFERROR(__xludf.DUMMYFUNCTION("""COMPUTED_VALUE"""),"-")</f>
        <v>-</v>
      </c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>
      <c r="A2005" s="1"/>
      <c r="B2005" s="1"/>
      <c r="C2005" s="1"/>
      <c r="D2005" s="1"/>
      <c r="E2005" s="1" t="str">
        <f>IFERROR(__xludf.DUMMYFUNCTION("""COMPUTED_VALUE"""),"-")</f>
        <v>-</v>
      </c>
      <c r="F2005" s="1"/>
      <c r="G2005" s="1" t="str">
        <f>IFERROR(__xludf.DUMMYFUNCTION("""COMPUTED_VALUE"""),"-")</f>
        <v>-</v>
      </c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>
      <c r="A2006" s="1"/>
      <c r="B2006" s="1"/>
      <c r="C2006" s="1"/>
      <c r="D2006" s="1"/>
      <c r="E2006" s="1" t="str">
        <f>IFERROR(__xludf.DUMMYFUNCTION("""COMPUTED_VALUE"""),"-")</f>
        <v>-</v>
      </c>
      <c r="F2006" s="1"/>
      <c r="G2006" s="1" t="str">
        <f>IFERROR(__xludf.DUMMYFUNCTION("""COMPUTED_VALUE"""),"-")</f>
        <v>-</v>
      </c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>
      <c r="A2007" s="1"/>
      <c r="B2007" s="1"/>
      <c r="C2007" s="1"/>
      <c r="D2007" s="1"/>
      <c r="E2007" s="1" t="str">
        <f>IFERROR(__xludf.DUMMYFUNCTION("""COMPUTED_VALUE"""),"-")</f>
        <v>-</v>
      </c>
      <c r="F2007" s="1"/>
      <c r="G2007" s="1" t="str">
        <f>IFERROR(__xludf.DUMMYFUNCTION("""COMPUTED_VALUE"""),"-")</f>
        <v>-</v>
      </c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>
      <c r="A2008" s="1"/>
      <c r="B2008" s="1"/>
      <c r="C2008" s="1"/>
      <c r="D2008" s="1"/>
      <c r="E2008" s="1" t="str">
        <f>IFERROR(__xludf.DUMMYFUNCTION("""COMPUTED_VALUE"""),"-")</f>
        <v>-</v>
      </c>
      <c r="F2008" s="1"/>
      <c r="G2008" s="1" t="str">
        <f>IFERROR(__xludf.DUMMYFUNCTION("""COMPUTED_VALUE"""),"-")</f>
        <v>-</v>
      </c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>
      <c r="A2009" s="1"/>
      <c r="B2009" s="1"/>
      <c r="C2009" s="1"/>
      <c r="D2009" s="1"/>
      <c r="E2009" s="1" t="str">
        <f>IFERROR(__xludf.DUMMYFUNCTION("""COMPUTED_VALUE"""),"-")</f>
        <v>-</v>
      </c>
      <c r="F2009" s="1"/>
      <c r="G2009" s="1" t="str">
        <f>IFERROR(__xludf.DUMMYFUNCTION("""COMPUTED_VALUE"""),"-")</f>
        <v>-</v>
      </c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>
      <c r="A2010" s="1"/>
      <c r="B2010" s="1"/>
      <c r="C2010" s="1"/>
      <c r="D2010" s="1"/>
      <c r="E2010" s="1" t="str">
        <f>IFERROR(__xludf.DUMMYFUNCTION("""COMPUTED_VALUE"""),"-")</f>
        <v>-</v>
      </c>
      <c r="F2010" s="1"/>
      <c r="G2010" s="1" t="str">
        <f>IFERROR(__xludf.DUMMYFUNCTION("""COMPUTED_VALUE"""),"-")</f>
        <v>-</v>
      </c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>
      <c r="A2011" s="1"/>
      <c r="B2011" s="1"/>
      <c r="C2011" s="1"/>
      <c r="D2011" s="1"/>
      <c r="E2011" s="1" t="str">
        <f>IFERROR(__xludf.DUMMYFUNCTION("""COMPUTED_VALUE"""),"-")</f>
        <v>-</v>
      </c>
      <c r="F2011" s="1"/>
      <c r="G2011" s="1" t="str">
        <f>IFERROR(__xludf.DUMMYFUNCTION("""COMPUTED_VALUE"""),"-")</f>
        <v>-</v>
      </c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>
      <c r="A2012" s="1"/>
      <c r="B2012" s="1"/>
      <c r="C2012" s="1"/>
      <c r="D2012" s="1"/>
      <c r="E2012" s="1" t="str">
        <f>IFERROR(__xludf.DUMMYFUNCTION("""COMPUTED_VALUE"""),"-")</f>
        <v>-</v>
      </c>
      <c r="F2012" s="1"/>
      <c r="G2012" s="1" t="str">
        <f>IFERROR(__xludf.DUMMYFUNCTION("""COMPUTED_VALUE"""),"-")</f>
        <v>-</v>
      </c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>
      <c r="A2013" s="1"/>
      <c r="B2013" s="1"/>
      <c r="C2013" s="1"/>
      <c r="D2013" s="1"/>
      <c r="E2013" s="1" t="str">
        <f>IFERROR(__xludf.DUMMYFUNCTION("""COMPUTED_VALUE"""),"-")</f>
        <v>-</v>
      </c>
      <c r="F2013" s="1"/>
      <c r="G2013" s="1" t="str">
        <f>IFERROR(__xludf.DUMMYFUNCTION("""COMPUTED_VALUE"""),"-")</f>
        <v>-</v>
      </c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>
      <c r="A2014" s="1"/>
      <c r="B2014" s="1"/>
      <c r="C2014" s="1"/>
      <c r="D2014" s="1"/>
      <c r="E2014" s="1" t="str">
        <f>IFERROR(__xludf.DUMMYFUNCTION("""COMPUTED_VALUE"""),"-")</f>
        <v>-</v>
      </c>
      <c r="F2014" s="1"/>
      <c r="G2014" s="1" t="str">
        <f>IFERROR(__xludf.DUMMYFUNCTION("""COMPUTED_VALUE"""),"-")</f>
        <v>-</v>
      </c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>
      <c r="A2015" s="1"/>
      <c r="B2015" s="1"/>
      <c r="C2015" s="1"/>
      <c r="D2015" s="1"/>
      <c r="E2015" s="1" t="str">
        <f>IFERROR(__xludf.DUMMYFUNCTION("""COMPUTED_VALUE"""),"-")</f>
        <v>-</v>
      </c>
      <c r="F2015" s="1"/>
      <c r="G2015" s="1" t="str">
        <f>IFERROR(__xludf.DUMMYFUNCTION("""COMPUTED_VALUE"""),"-")</f>
        <v>-</v>
      </c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>
      <c r="A2016" s="1"/>
      <c r="B2016" s="1"/>
      <c r="C2016" s="1"/>
      <c r="D2016" s="1"/>
      <c r="E2016" s="1" t="str">
        <f>IFERROR(__xludf.DUMMYFUNCTION("""COMPUTED_VALUE"""),"-")</f>
        <v>-</v>
      </c>
      <c r="F2016" s="1"/>
      <c r="G2016" s="1" t="str">
        <f>IFERROR(__xludf.DUMMYFUNCTION("""COMPUTED_VALUE"""),"-")</f>
        <v>-</v>
      </c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>
      <c r="A2017" s="1"/>
      <c r="B2017" s="1"/>
      <c r="C2017" s="1"/>
      <c r="D2017" s="1"/>
      <c r="E2017" s="1" t="str">
        <f>IFERROR(__xludf.DUMMYFUNCTION("""COMPUTED_VALUE"""),"-")</f>
        <v>-</v>
      </c>
      <c r="F2017" s="1"/>
      <c r="G2017" s="1" t="str">
        <f>IFERROR(__xludf.DUMMYFUNCTION("""COMPUTED_VALUE"""),"-")</f>
        <v>-</v>
      </c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>
      <c r="A2018" s="1"/>
      <c r="B2018" s="1"/>
      <c r="C2018" s="1"/>
      <c r="D2018" s="1"/>
      <c r="E2018" s="1" t="str">
        <f>IFERROR(__xludf.DUMMYFUNCTION("""COMPUTED_VALUE"""),"-")</f>
        <v>-</v>
      </c>
      <c r="F2018" s="1"/>
      <c r="G2018" s="1" t="str">
        <f>IFERROR(__xludf.DUMMYFUNCTION("""COMPUTED_VALUE"""),"-")</f>
        <v>-</v>
      </c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>
      <c r="A2019" s="1"/>
      <c r="B2019" s="1"/>
      <c r="C2019" s="1"/>
      <c r="D2019" s="1"/>
      <c r="E2019" s="1" t="str">
        <f>IFERROR(__xludf.DUMMYFUNCTION("""COMPUTED_VALUE"""),"-")</f>
        <v>-</v>
      </c>
      <c r="F2019" s="1"/>
      <c r="G2019" s="1" t="str">
        <f>IFERROR(__xludf.DUMMYFUNCTION("""COMPUTED_VALUE"""),"-")</f>
        <v>-</v>
      </c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>
      <c r="A2020" s="1"/>
      <c r="B2020" s="1"/>
      <c r="C2020" s="1"/>
      <c r="D2020" s="1"/>
      <c r="E2020" s="1" t="str">
        <f>IFERROR(__xludf.DUMMYFUNCTION("""COMPUTED_VALUE"""),"-")</f>
        <v>-</v>
      </c>
      <c r="F2020" s="1"/>
      <c r="G2020" s="1" t="str">
        <f>IFERROR(__xludf.DUMMYFUNCTION("""COMPUTED_VALUE"""),"-")</f>
        <v>-</v>
      </c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>
      <c r="A2021" s="1"/>
      <c r="B2021" s="1"/>
      <c r="C2021" s="1"/>
      <c r="D2021" s="1"/>
      <c r="E2021" s="1" t="str">
        <f>IFERROR(__xludf.DUMMYFUNCTION("""COMPUTED_VALUE"""),"-")</f>
        <v>-</v>
      </c>
      <c r="F2021" s="1"/>
      <c r="G2021" s="1" t="str">
        <f>IFERROR(__xludf.DUMMYFUNCTION("""COMPUTED_VALUE"""),"-")</f>
        <v>-</v>
      </c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>
      <c r="A2022" s="1"/>
      <c r="B2022" s="1"/>
      <c r="C2022" s="1"/>
      <c r="D2022" s="1"/>
      <c r="E2022" s="1" t="str">
        <f>IFERROR(__xludf.DUMMYFUNCTION("""COMPUTED_VALUE"""),"-")</f>
        <v>-</v>
      </c>
      <c r="F2022" s="1"/>
      <c r="G2022" s="1" t="str">
        <f>IFERROR(__xludf.DUMMYFUNCTION("""COMPUTED_VALUE"""),"-")</f>
        <v>-</v>
      </c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>
      <c r="A2023" s="1"/>
      <c r="B2023" s="1"/>
      <c r="C2023" s="1"/>
      <c r="D2023" s="1"/>
      <c r="E2023" s="1" t="str">
        <f>IFERROR(__xludf.DUMMYFUNCTION("""COMPUTED_VALUE"""),"-")</f>
        <v>-</v>
      </c>
      <c r="F2023" s="1"/>
      <c r="G2023" s="1" t="str">
        <f>IFERROR(__xludf.DUMMYFUNCTION("""COMPUTED_VALUE"""),"-")</f>
        <v>-</v>
      </c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>
      <c r="A2024" s="1"/>
      <c r="B2024" s="1"/>
      <c r="C2024" s="1"/>
      <c r="D2024" s="1"/>
      <c r="E2024" s="1" t="str">
        <f>IFERROR(__xludf.DUMMYFUNCTION("""COMPUTED_VALUE"""),"-")</f>
        <v>-</v>
      </c>
      <c r="F2024" s="1"/>
      <c r="G2024" s="1" t="str">
        <f>IFERROR(__xludf.DUMMYFUNCTION("""COMPUTED_VALUE"""),"-")</f>
        <v>-</v>
      </c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>
      <c r="A2025" s="1"/>
      <c r="B2025" s="1"/>
      <c r="C2025" s="1"/>
      <c r="D2025" s="1"/>
      <c r="E2025" s="1" t="str">
        <f>IFERROR(__xludf.DUMMYFUNCTION("""COMPUTED_VALUE"""),"-")</f>
        <v>-</v>
      </c>
      <c r="F2025" s="1"/>
      <c r="G2025" s="1" t="str">
        <f>IFERROR(__xludf.DUMMYFUNCTION("""COMPUTED_VALUE"""),"-")</f>
        <v>-</v>
      </c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>
      <c r="A2026" s="1"/>
      <c r="B2026" s="1"/>
      <c r="C2026" s="1"/>
      <c r="D2026" s="1"/>
      <c r="E2026" s="1" t="str">
        <f>IFERROR(__xludf.DUMMYFUNCTION("""COMPUTED_VALUE"""),"-")</f>
        <v>-</v>
      </c>
      <c r="F2026" s="1"/>
      <c r="G2026" s="1" t="str">
        <f>IFERROR(__xludf.DUMMYFUNCTION("""COMPUTED_VALUE"""),"-")</f>
        <v>-</v>
      </c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>
      <c r="A2027" s="1"/>
      <c r="B2027" s="1"/>
      <c r="C2027" s="1"/>
      <c r="D2027" s="1"/>
      <c r="E2027" s="1" t="str">
        <f>IFERROR(__xludf.DUMMYFUNCTION("""COMPUTED_VALUE"""),"-")</f>
        <v>-</v>
      </c>
      <c r="F2027" s="1"/>
      <c r="G2027" s="1" t="str">
        <f>IFERROR(__xludf.DUMMYFUNCTION("""COMPUTED_VALUE"""),"-")</f>
        <v>-</v>
      </c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>
      <c r="A2028" s="1"/>
      <c r="B2028" s="1"/>
      <c r="C2028" s="1"/>
      <c r="D2028" s="1"/>
      <c r="E2028" s="1" t="str">
        <f>IFERROR(__xludf.DUMMYFUNCTION("""COMPUTED_VALUE"""),"-")</f>
        <v>-</v>
      </c>
      <c r="F2028" s="1"/>
      <c r="G2028" s="1" t="str">
        <f>IFERROR(__xludf.DUMMYFUNCTION("""COMPUTED_VALUE"""),"-")</f>
        <v>-</v>
      </c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>
      <c r="A2029" s="1"/>
      <c r="B2029" s="1"/>
      <c r="C2029" s="1"/>
      <c r="D2029" s="1"/>
      <c r="E2029" s="1" t="str">
        <f>IFERROR(__xludf.DUMMYFUNCTION("""COMPUTED_VALUE"""),"-")</f>
        <v>-</v>
      </c>
      <c r="F2029" s="1"/>
      <c r="G2029" s="1" t="str">
        <f>IFERROR(__xludf.DUMMYFUNCTION("""COMPUTED_VALUE"""),"-")</f>
        <v>-</v>
      </c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>
      <c r="A2030" s="1"/>
      <c r="B2030" s="1"/>
      <c r="C2030" s="1"/>
      <c r="D2030" s="1"/>
      <c r="E2030" s="1" t="str">
        <f>IFERROR(__xludf.DUMMYFUNCTION("""COMPUTED_VALUE"""),"-")</f>
        <v>-</v>
      </c>
      <c r="F2030" s="1"/>
      <c r="G2030" s="1" t="str">
        <f>IFERROR(__xludf.DUMMYFUNCTION("""COMPUTED_VALUE"""),"-")</f>
        <v>-</v>
      </c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>
      <c r="A2031" s="1"/>
      <c r="B2031" s="1"/>
      <c r="C2031" s="1"/>
      <c r="D2031" s="1"/>
      <c r="E2031" s="1" t="str">
        <f>IFERROR(__xludf.DUMMYFUNCTION("""COMPUTED_VALUE"""),"-")</f>
        <v>-</v>
      </c>
      <c r="F2031" s="1"/>
      <c r="G2031" s="1" t="str">
        <f>IFERROR(__xludf.DUMMYFUNCTION("""COMPUTED_VALUE"""),"-")</f>
        <v>-</v>
      </c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>
      <c r="A2032" s="1"/>
      <c r="B2032" s="1"/>
      <c r="C2032" s="1"/>
      <c r="D2032" s="1"/>
      <c r="E2032" s="1" t="str">
        <f>IFERROR(__xludf.DUMMYFUNCTION("""COMPUTED_VALUE"""),"-")</f>
        <v>-</v>
      </c>
      <c r="F2032" s="1"/>
      <c r="G2032" s="1" t="str">
        <f>IFERROR(__xludf.DUMMYFUNCTION("""COMPUTED_VALUE"""),"-")</f>
        <v>-</v>
      </c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>
      <c r="A2033" s="1"/>
      <c r="B2033" s="1"/>
      <c r="C2033" s="1"/>
      <c r="D2033" s="1"/>
      <c r="E2033" s="1" t="str">
        <f>IFERROR(__xludf.DUMMYFUNCTION("""COMPUTED_VALUE"""),"-")</f>
        <v>-</v>
      </c>
      <c r="F2033" s="1"/>
      <c r="G2033" s="1" t="str">
        <f>IFERROR(__xludf.DUMMYFUNCTION("""COMPUTED_VALUE"""),"-")</f>
        <v>-</v>
      </c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>
      <c r="A2034" s="1"/>
      <c r="B2034" s="1"/>
      <c r="C2034" s="1"/>
      <c r="D2034" s="1"/>
      <c r="E2034" s="1" t="str">
        <f>IFERROR(__xludf.DUMMYFUNCTION("""COMPUTED_VALUE"""),"-")</f>
        <v>-</v>
      </c>
      <c r="F2034" s="1"/>
      <c r="G2034" s="1" t="str">
        <f>IFERROR(__xludf.DUMMYFUNCTION("""COMPUTED_VALUE"""),"-")</f>
        <v>-</v>
      </c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>
      <c r="A2035" s="1"/>
      <c r="B2035" s="1"/>
      <c r="C2035" s="1"/>
      <c r="D2035" s="1"/>
      <c r="E2035" s="1" t="str">
        <f>IFERROR(__xludf.DUMMYFUNCTION("""COMPUTED_VALUE"""),"-")</f>
        <v>-</v>
      </c>
      <c r="F2035" s="1"/>
      <c r="G2035" s="1" t="str">
        <f>IFERROR(__xludf.DUMMYFUNCTION("""COMPUTED_VALUE"""),"-")</f>
        <v>-</v>
      </c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>
      <c r="A2036" s="1"/>
      <c r="B2036" s="1"/>
      <c r="C2036" s="1"/>
      <c r="D2036" s="1"/>
      <c r="E2036" s="1" t="str">
        <f>IFERROR(__xludf.DUMMYFUNCTION("""COMPUTED_VALUE"""),"-")</f>
        <v>-</v>
      </c>
      <c r="F2036" s="1"/>
      <c r="G2036" s="1" t="str">
        <f>IFERROR(__xludf.DUMMYFUNCTION("""COMPUTED_VALUE"""),"-")</f>
        <v>-</v>
      </c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>
      <c r="A2037" s="1"/>
      <c r="B2037" s="1"/>
      <c r="C2037" s="1"/>
      <c r="D2037" s="1"/>
      <c r="E2037" s="1" t="str">
        <f>IFERROR(__xludf.DUMMYFUNCTION("""COMPUTED_VALUE"""),"-")</f>
        <v>-</v>
      </c>
      <c r="F2037" s="1"/>
      <c r="G2037" s="1" t="str">
        <f>IFERROR(__xludf.DUMMYFUNCTION("""COMPUTED_VALUE"""),"-")</f>
        <v>-</v>
      </c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>
      <c r="A2038" s="1"/>
      <c r="B2038" s="1"/>
      <c r="C2038" s="1"/>
      <c r="D2038" s="1"/>
      <c r="E2038" s="1" t="str">
        <f>IFERROR(__xludf.DUMMYFUNCTION("""COMPUTED_VALUE"""),"-")</f>
        <v>-</v>
      </c>
      <c r="F2038" s="1"/>
      <c r="G2038" s="1" t="str">
        <f>IFERROR(__xludf.DUMMYFUNCTION("""COMPUTED_VALUE"""),"-")</f>
        <v>-</v>
      </c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>
      <c r="A2039" s="1"/>
      <c r="B2039" s="1"/>
      <c r="C2039" s="1"/>
      <c r="D2039" s="1"/>
      <c r="E2039" s="1" t="str">
        <f>IFERROR(__xludf.DUMMYFUNCTION("""COMPUTED_VALUE"""),"-")</f>
        <v>-</v>
      </c>
      <c r="F2039" s="1"/>
      <c r="G2039" s="1" t="str">
        <f>IFERROR(__xludf.DUMMYFUNCTION("""COMPUTED_VALUE"""),"-")</f>
        <v>-</v>
      </c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>
      <c r="A2040" s="1"/>
      <c r="B2040" s="1"/>
      <c r="C2040" s="1"/>
      <c r="D2040" s="1"/>
      <c r="E2040" s="1" t="str">
        <f>IFERROR(__xludf.DUMMYFUNCTION("""COMPUTED_VALUE"""),"-")</f>
        <v>-</v>
      </c>
      <c r="F2040" s="1"/>
      <c r="G2040" s="1" t="str">
        <f>IFERROR(__xludf.DUMMYFUNCTION("""COMPUTED_VALUE"""),"-")</f>
        <v>-</v>
      </c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>
      <c r="A2041" s="1"/>
      <c r="B2041" s="1"/>
      <c r="C2041" s="1"/>
      <c r="D2041" s="1"/>
      <c r="E2041" s="1" t="str">
        <f>IFERROR(__xludf.DUMMYFUNCTION("""COMPUTED_VALUE"""),"-")</f>
        <v>-</v>
      </c>
      <c r="F2041" s="1"/>
      <c r="G2041" s="1" t="str">
        <f>IFERROR(__xludf.DUMMYFUNCTION("""COMPUTED_VALUE"""),"-")</f>
        <v>-</v>
      </c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>
      <c r="A2042" s="1"/>
      <c r="B2042" s="1"/>
      <c r="C2042" s="1"/>
      <c r="D2042" s="1"/>
      <c r="E2042" s="1" t="str">
        <f>IFERROR(__xludf.DUMMYFUNCTION("""COMPUTED_VALUE"""),"-")</f>
        <v>-</v>
      </c>
      <c r="F2042" s="1"/>
      <c r="G2042" s="1" t="str">
        <f>IFERROR(__xludf.DUMMYFUNCTION("""COMPUTED_VALUE"""),"-")</f>
        <v>-</v>
      </c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>
      <c r="A2043" s="1"/>
      <c r="B2043" s="1"/>
      <c r="C2043" s="1"/>
      <c r="D2043" s="1"/>
      <c r="E2043" s="1" t="str">
        <f>IFERROR(__xludf.DUMMYFUNCTION("""COMPUTED_VALUE"""),"-")</f>
        <v>-</v>
      </c>
      <c r="F2043" s="1"/>
      <c r="G2043" s="1" t="str">
        <f>IFERROR(__xludf.DUMMYFUNCTION("""COMPUTED_VALUE"""),"-")</f>
        <v>-</v>
      </c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>
      <c r="A2044" s="1"/>
      <c r="B2044" s="1"/>
      <c r="C2044" s="1"/>
      <c r="D2044" s="1"/>
      <c r="E2044" s="1" t="str">
        <f>IFERROR(__xludf.DUMMYFUNCTION("""COMPUTED_VALUE"""),"-")</f>
        <v>-</v>
      </c>
      <c r="F2044" s="1"/>
      <c r="G2044" s="1" t="str">
        <f>IFERROR(__xludf.DUMMYFUNCTION("""COMPUTED_VALUE"""),"-")</f>
        <v>-</v>
      </c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>
      <c r="A2045" s="1"/>
      <c r="B2045" s="1"/>
      <c r="C2045" s="1"/>
      <c r="D2045" s="1"/>
      <c r="E2045" s="1" t="str">
        <f>IFERROR(__xludf.DUMMYFUNCTION("""COMPUTED_VALUE"""),"-")</f>
        <v>-</v>
      </c>
      <c r="F2045" s="1"/>
      <c r="G2045" s="1" t="str">
        <f>IFERROR(__xludf.DUMMYFUNCTION("""COMPUTED_VALUE"""),"-")</f>
        <v>-</v>
      </c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>
      <c r="A2046" s="1"/>
      <c r="B2046" s="1"/>
      <c r="C2046" s="1"/>
      <c r="D2046" s="1"/>
      <c r="E2046" s="1" t="str">
        <f>IFERROR(__xludf.DUMMYFUNCTION("""COMPUTED_VALUE"""),"-")</f>
        <v>-</v>
      </c>
      <c r="F2046" s="1"/>
      <c r="G2046" s="1" t="str">
        <f>IFERROR(__xludf.DUMMYFUNCTION("""COMPUTED_VALUE"""),"-")</f>
        <v>-</v>
      </c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>
      <c r="A2047" s="1"/>
      <c r="B2047" s="1"/>
      <c r="C2047" s="1"/>
      <c r="D2047" s="1"/>
      <c r="E2047" s="1" t="str">
        <f>IFERROR(__xludf.DUMMYFUNCTION("""COMPUTED_VALUE"""),"-")</f>
        <v>-</v>
      </c>
      <c r="F2047" s="1"/>
      <c r="G2047" s="1" t="str">
        <f>IFERROR(__xludf.DUMMYFUNCTION("""COMPUTED_VALUE"""),"-")</f>
        <v>-</v>
      </c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>
      <c r="A2048" s="1"/>
      <c r="B2048" s="1"/>
      <c r="C2048" s="1"/>
      <c r="D2048" s="1"/>
      <c r="E2048" s="1" t="str">
        <f>IFERROR(__xludf.DUMMYFUNCTION("""COMPUTED_VALUE"""),"-")</f>
        <v>-</v>
      </c>
      <c r="F2048" s="1"/>
      <c r="G2048" s="1" t="str">
        <f>IFERROR(__xludf.DUMMYFUNCTION("""COMPUTED_VALUE"""),"-")</f>
        <v>-</v>
      </c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>
      <c r="A2049" s="1"/>
      <c r="B2049" s="1"/>
      <c r="C2049" s="1"/>
      <c r="D2049" s="1"/>
      <c r="E2049" s="1" t="str">
        <f>IFERROR(__xludf.DUMMYFUNCTION("""COMPUTED_VALUE"""),"-")</f>
        <v>-</v>
      </c>
      <c r="F2049" s="1"/>
      <c r="G2049" s="1" t="str">
        <f>IFERROR(__xludf.DUMMYFUNCTION("""COMPUTED_VALUE"""),"-")</f>
        <v>-</v>
      </c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5" width="8.75"/>
  </cols>
  <sheetData>
    <row r="1">
      <c r="A1" s="2" t="str">
        <f>IFERROR(__xludf.DUMMYFUNCTION("IMPORTRANGE(""https://docs.google.com/spreadsheets/d/1QEICpkTEbV1Z_LWeaMjl4KVDsEDLt2EDAtqOvRWsWng/edit?gid=171941716#gid=171941716"",""'Cartão'!A1:Z31"")"),"Despesa")</f>
        <v>Despesa</v>
      </c>
      <c r="B1" s="2" t="str">
        <f>IFERROR(__xludf.DUMMYFUNCTION("""COMPUTED_VALUE"""),"25-01")</f>
        <v>25-01</v>
      </c>
      <c r="C1" s="2" t="str">
        <f>IFERROR(__xludf.DUMMYFUNCTION("""COMPUTED_VALUE"""),"25-02")</f>
        <v>25-02</v>
      </c>
      <c r="D1" s="2" t="str">
        <f>IFERROR(__xludf.DUMMYFUNCTION("""COMPUTED_VALUE"""),"25-03")</f>
        <v>25-03</v>
      </c>
      <c r="E1" s="2" t="str">
        <f>IFERROR(__xludf.DUMMYFUNCTION("""COMPUTED_VALUE"""),"25-04")</f>
        <v>25-04</v>
      </c>
      <c r="F1" s="2" t="str">
        <f>IFERROR(__xludf.DUMMYFUNCTION("""COMPUTED_VALUE"""),"25-05")</f>
        <v>25-05</v>
      </c>
      <c r="G1" s="2" t="str">
        <f>IFERROR(__xludf.DUMMYFUNCTION("""COMPUTED_VALUE"""),"25-06")</f>
        <v>25-06</v>
      </c>
      <c r="H1" s="2" t="str">
        <f>IFERROR(__xludf.DUMMYFUNCTION("""COMPUTED_VALUE"""),"25-07")</f>
        <v>25-07</v>
      </c>
      <c r="I1" s="2" t="str">
        <f>IFERROR(__xludf.DUMMYFUNCTION("""COMPUTED_VALUE"""),"25-08")</f>
        <v>25-08</v>
      </c>
      <c r="J1" s="2" t="str">
        <f>IFERROR(__xludf.DUMMYFUNCTION("""COMPUTED_VALUE"""),"25-09")</f>
        <v>25-09</v>
      </c>
      <c r="K1" s="2" t="str">
        <f>IFERROR(__xludf.DUMMYFUNCTION("""COMPUTED_VALUE"""),"25-10")</f>
        <v>25-10</v>
      </c>
      <c r="L1" s="2" t="str">
        <f>IFERROR(__xludf.DUMMYFUNCTION("""COMPUTED_VALUE"""),"25-11")</f>
        <v>25-11</v>
      </c>
      <c r="M1" s="2" t="str">
        <f>IFERROR(__xludf.DUMMYFUNCTION("""COMPUTED_VALUE"""),"25-12")</f>
        <v>25-12</v>
      </c>
      <c r="N1" s="2" t="str">
        <f>IFERROR(__xludf.DUMMYFUNCTION("""COMPUTED_VALUE"""),"26-01")</f>
        <v>26-01</v>
      </c>
      <c r="O1" s="2" t="str">
        <f>IFERROR(__xludf.DUMMYFUNCTION("""COMPUTED_VALUE"""),"26-02")</f>
        <v>26-02</v>
      </c>
      <c r="P1" s="2" t="str">
        <f>IFERROR(__xludf.DUMMYFUNCTION("""COMPUTED_VALUE"""),"26-03")</f>
        <v>26-03</v>
      </c>
      <c r="Q1" s="2" t="str">
        <f>IFERROR(__xludf.DUMMYFUNCTION("""COMPUTED_VALUE"""),"26-04")</f>
        <v>26-04</v>
      </c>
      <c r="R1" s="2" t="str">
        <f>IFERROR(__xludf.DUMMYFUNCTION("""COMPUTED_VALUE"""),"26-05")</f>
        <v>26-05</v>
      </c>
      <c r="S1" s="2" t="str">
        <f>IFERROR(__xludf.DUMMYFUNCTION("""COMPUTED_VALUE"""),"26-06")</f>
        <v>26-06</v>
      </c>
      <c r="T1" s="2" t="str">
        <f>IFERROR(__xludf.DUMMYFUNCTION("""COMPUTED_VALUE"""),"26-07")</f>
        <v>26-07</v>
      </c>
      <c r="U1" s="2" t="str">
        <f>IFERROR(__xludf.DUMMYFUNCTION("""COMPUTED_VALUE"""),"26-08")</f>
        <v>26-08</v>
      </c>
      <c r="V1" s="2" t="str">
        <f>IFERROR(__xludf.DUMMYFUNCTION("""COMPUTED_VALUE"""),"26-09")</f>
        <v>26-09</v>
      </c>
      <c r="W1" s="2" t="str">
        <f>IFERROR(__xludf.DUMMYFUNCTION("""COMPUTED_VALUE"""),"26-10")</f>
        <v>26-10</v>
      </c>
      <c r="X1" s="2" t="str">
        <f>IFERROR(__xludf.DUMMYFUNCTION("""COMPUTED_VALUE"""),"26-11")</f>
        <v>26-11</v>
      </c>
      <c r="Y1" s="2" t="str">
        <f>IFERROR(__xludf.DUMMYFUNCTION("""COMPUTED_VALUE"""),"26-12")</f>
        <v>26-12</v>
      </c>
      <c r="Z1" s="1"/>
    </row>
    <row r="2">
      <c r="A2" s="1" t="str">
        <f>IFERROR(__xludf.DUMMYFUNCTION("""COMPUTED_VALUE"""),"Diesel (2 Tanq.)")</f>
        <v>Diesel (2 Tanq.)</v>
      </c>
      <c r="B2" s="2">
        <f>IFERROR(__xludf.DUMMYFUNCTION("""COMPUTED_VALUE"""),840.0)</f>
        <v>840</v>
      </c>
      <c r="C2" s="2">
        <f>IFERROR(__xludf.DUMMYFUNCTION("""COMPUTED_VALUE"""),840.0)</f>
        <v>840</v>
      </c>
      <c r="D2" s="2">
        <f>IFERROR(__xludf.DUMMYFUNCTION("""COMPUTED_VALUE"""),840.0)</f>
        <v>840</v>
      </c>
      <c r="E2" s="2">
        <f>IFERROR(__xludf.DUMMYFUNCTION("""COMPUTED_VALUE"""),840.0)</f>
        <v>840</v>
      </c>
      <c r="F2" s="2">
        <f>IFERROR(__xludf.DUMMYFUNCTION("""COMPUTED_VALUE"""),840.0)</f>
        <v>840</v>
      </c>
      <c r="G2" s="2">
        <f>IFERROR(__xludf.DUMMYFUNCTION("""COMPUTED_VALUE"""),840.0)</f>
        <v>840</v>
      </c>
      <c r="H2" s="2">
        <f>IFERROR(__xludf.DUMMYFUNCTION("""COMPUTED_VALUE"""),840.0)</f>
        <v>840</v>
      </c>
      <c r="I2" s="2">
        <f>IFERROR(__xludf.DUMMYFUNCTION("""COMPUTED_VALUE"""),840.0)</f>
        <v>840</v>
      </c>
      <c r="J2" s="2">
        <f>IFERROR(__xludf.DUMMYFUNCTION("""COMPUTED_VALUE"""),840.0)</f>
        <v>840</v>
      </c>
      <c r="K2" s="2">
        <f>IFERROR(__xludf.DUMMYFUNCTION("""COMPUTED_VALUE"""),840.0)</f>
        <v>840</v>
      </c>
      <c r="L2" s="2">
        <f>IFERROR(__xludf.DUMMYFUNCTION("""COMPUTED_VALUE"""),840.0)</f>
        <v>840</v>
      </c>
      <c r="M2" s="2">
        <f>IFERROR(__xludf.DUMMYFUNCTION("""COMPUTED_VALUE"""),840.0)</f>
        <v>840</v>
      </c>
      <c r="N2" s="2">
        <f>IFERROR(__xludf.DUMMYFUNCTION("""COMPUTED_VALUE"""),840.0)</f>
        <v>840</v>
      </c>
      <c r="O2" s="2">
        <f>IFERROR(__xludf.DUMMYFUNCTION("""COMPUTED_VALUE"""),840.0)</f>
        <v>840</v>
      </c>
      <c r="P2" s="2">
        <f>IFERROR(__xludf.DUMMYFUNCTION("""COMPUTED_VALUE"""),840.0)</f>
        <v>840</v>
      </c>
      <c r="Q2" s="2">
        <f>IFERROR(__xludf.DUMMYFUNCTION("""COMPUTED_VALUE"""),840.0)</f>
        <v>840</v>
      </c>
      <c r="R2" s="2">
        <f>IFERROR(__xludf.DUMMYFUNCTION("""COMPUTED_VALUE"""),840.0)</f>
        <v>840</v>
      </c>
      <c r="S2" s="2">
        <f>IFERROR(__xludf.DUMMYFUNCTION("""COMPUTED_VALUE"""),840.0)</f>
        <v>840</v>
      </c>
      <c r="T2" s="2">
        <f>IFERROR(__xludf.DUMMYFUNCTION("""COMPUTED_VALUE"""),840.0)</f>
        <v>840</v>
      </c>
      <c r="U2" s="2">
        <f>IFERROR(__xludf.DUMMYFUNCTION("""COMPUTED_VALUE"""),840.0)</f>
        <v>840</v>
      </c>
      <c r="V2" s="2">
        <f>IFERROR(__xludf.DUMMYFUNCTION("""COMPUTED_VALUE"""),840.0)</f>
        <v>840</v>
      </c>
      <c r="W2" s="2">
        <f>IFERROR(__xludf.DUMMYFUNCTION("""COMPUTED_VALUE"""),840.0)</f>
        <v>840</v>
      </c>
      <c r="X2" s="2">
        <f>IFERROR(__xludf.DUMMYFUNCTION("""COMPUTED_VALUE"""),840.0)</f>
        <v>840</v>
      </c>
      <c r="Y2" s="2">
        <f>IFERROR(__xludf.DUMMYFUNCTION("""COMPUTED_VALUE"""),840.0)</f>
        <v>840</v>
      </c>
      <c r="Z2" s="1"/>
    </row>
    <row r="3">
      <c r="A3" s="1" t="str">
        <f>IFERROR(__xludf.DUMMYFUNCTION("""COMPUTED_VALUE"""),"Supermercado")</f>
        <v>Supermercado</v>
      </c>
      <c r="B3" s="2">
        <f>IFERROR(__xludf.DUMMYFUNCTION("""COMPUTED_VALUE"""),1000.0)</f>
        <v>1000</v>
      </c>
      <c r="C3" s="2">
        <f>IFERROR(__xludf.DUMMYFUNCTION("""COMPUTED_VALUE"""),1000.0)</f>
        <v>1000</v>
      </c>
      <c r="D3" s="2">
        <f>IFERROR(__xludf.DUMMYFUNCTION("""COMPUTED_VALUE"""),1000.0)</f>
        <v>1000</v>
      </c>
      <c r="E3" s="2">
        <f>IFERROR(__xludf.DUMMYFUNCTION("""COMPUTED_VALUE"""),1000.0)</f>
        <v>1000</v>
      </c>
      <c r="F3" s="2">
        <f>IFERROR(__xludf.DUMMYFUNCTION("""COMPUTED_VALUE"""),1000.0)</f>
        <v>1000</v>
      </c>
      <c r="G3" s="2">
        <f>IFERROR(__xludf.DUMMYFUNCTION("""COMPUTED_VALUE"""),1000.0)</f>
        <v>1000</v>
      </c>
      <c r="H3" s="2">
        <f>IFERROR(__xludf.DUMMYFUNCTION("""COMPUTED_VALUE"""),1000.0)</f>
        <v>1000</v>
      </c>
      <c r="I3" s="2">
        <f>IFERROR(__xludf.DUMMYFUNCTION("""COMPUTED_VALUE"""),1000.0)</f>
        <v>1000</v>
      </c>
      <c r="J3" s="2">
        <f>IFERROR(__xludf.DUMMYFUNCTION("""COMPUTED_VALUE"""),1000.0)</f>
        <v>1000</v>
      </c>
      <c r="K3" s="2">
        <f>IFERROR(__xludf.DUMMYFUNCTION("""COMPUTED_VALUE"""),1000.0)</f>
        <v>1000</v>
      </c>
      <c r="L3" s="2">
        <f>IFERROR(__xludf.DUMMYFUNCTION("""COMPUTED_VALUE"""),1000.0)</f>
        <v>1000</v>
      </c>
      <c r="M3" s="2">
        <f>IFERROR(__xludf.DUMMYFUNCTION("""COMPUTED_VALUE"""),1000.0)</f>
        <v>1000</v>
      </c>
      <c r="N3" s="2">
        <f>IFERROR(__xludf.DUMMYFUNCTION("""COMPUTED_VALUE"""),1000.0)</f>
        <v>1000</v>
      </c>
      <c r="O3" s="2">
        <f>IFERROR(__xludf.DUMMYFUNCTION("""COMPUTED_VALUE"""),1000.0)</f>
        <v>1000</v>
      </c>
      <c r="P3" s="2">
        <f>IFERROR(__xludf.DUMMYFUNCTION("""COMPUTED_VALUE"""),1000.0)</f>
        <v>1000</v>
      </c>
      <c r="Q3" s="2">
        <f>IFERROR(__xludf.DUMMYFUNCTION("""COMPUTED_VALUE"""),1000.0)</f>
        <v>1000</v>
      </c>
      <c r="R3" s="2">
        <f>IFERROR(__xludf.DUMMYFUNCTION("""COMPUTED_VALUE"""),1000.0)</f>
        <v>1000</v>
      </c>
      <c r="S3" s="2">
        <f>IFERROR(__xludf.DUMMYFUNCTION("""COMPUTED_VALUE"""),1000.0)</f>
        <v>1000</v>
      </c>
      <c r="T3" s="2">
        <f>IFERROR(__xludf.DUMMYFUNCTION("""COMPUTED_VALUE"""),1000.0)</f>
        <v>1000</v>
      </c>
      <c r="U3" s="2">
        <f>IFERROR(__xludf.DUMMYFUNCTION("""COMPUTED_VALUE"""),1000.0)</f>
        <v>1000</v>
      </c>
      <c r="V3" s="2">
        <f>IFERROR(__xludf.DUMMYFUNCTION("""COMPUTED_VALUE"""),1000.0)</f>
        <v>1000</v>
      </c>
      <c r="W3" s="2">
        <f>IFERROR(__xludf.DUMMYFUNCTION("""COMPUTED_VALUE"""),1000.0)</f>
        <v>1000</v>
      </c>
      <c r="X3" s="2">
        <f>IFERROR(__xludf.DUMMYFUNCTION("""COMPUTED_VALUE"""),1000.0)</f>
        <v>1000</v>
      </c>
      <c r="Y3" s="2">
        <f>IFERROR(__xludf.DUMMYFUNCTION("""COMPUTED_VALUE"""),1000.0)</f>
        <v>1000</v>
      </c>
      <c r="Z3" s="1"/>
    </row>
    <row r="4">
      <c r="A4" s="1" t="str">
        <f>IFERROR(__xludf.DUMMYFUNCTION("""COMPUTED_VALUE"""),"Hulk")</f>
        <v>Hulk</v>
      </c>
      <c r="B4" s="2">
        <f>IFERROR(__xludf.DUMMYFUNCTION("""COMPUTED_VALUE"""),200.0)</f>
        <v>200</v>
      </c>
      <c r="C4" s="2">
        <f>IFERROR(__xludf.DUMMYFUNCTION("""COMPUTED_VALUE"""),200.0)</f>
        <v>200</v>
      </c>
      <c r="D4" s="2">
        <f>IFERROR(__xludf.DUMMYFUNCTION("""COMPUTED_VALUE"""),200.0)</f>
        <v>200</v>
      </c>
      <c r="E4" s="2">
        <f>IFERROR(__xludf.DUMMYFUNCTION("""COMPUTED_VALUE"""),200.0)</f>
        <v>200</v>
      </c>
      <c r="F4" s="2">
        <f>IFERROR(__xludf.DUMMYFUNCTION("""COMPUTED_VALUE"""),200.0)</f>
        <v>200</v>
      </c>
      <c r="G4" s="2">
        <f>IFERROR(__xludf.DUMMYFUNCTION("""COMPUTED_VALUE"""),200.0)</f>
        <v>200</v>
      </c>
      <c r="H4" s="2">
        <f>IFERROR(__xludf.DUMMYFUNCTION("""COMPUTED_VALUE"""),200.0)</f>
        <v>200</v>
      </c>
      <c r="I4" s="2">
        <f>IFERROR(__xludf.DUMMYFUNCTION("""COMPUTED_VALUE"""),200.0)</f>
        <v>200</v>
      </c>
      <c r="J4" s="2">
        <f>IFERROR(__xludf.DUMMYFUNCTION("""COMPUTED_VALUE"""),200.0)</f>
        <v>200</v>
      </c>
      <c r="K4" s="2">
        <f>IFERROR(__xludf.DUMMYFUNCTION("""COMPUTED_VALUE"""),200.0)</f>
        <v>200</v>
      </c>
      <c r="L4" s="2">
        <f>IFERROR(__xludf.DUMMYFUNCTION("""COMPUTED_VALUE"""),200.0)</f>
        <v>200</v>
      </c>
      <c r="M4" s="2">
        <f>IFERROR(__xludf.DUMMYFUNCTION("""COMPUTED_VALUE"""),200.0)</f>
        <v>200</v>
      </c>
      <c r="N4" s="2">
        <f>IFERROR(__xludf.DUMMYFUNCTION("""COMPUTED_VALUE"""),200.0)</f>
        <v>200</v>
      </c>
      <c r="O4" s="2">
        <f>IFERROR(__xludf.DUMMYFUNCTION("""COMPUTED_VALUE"""),200.0)</f>
        <v>200</v>
      </c>
      <c r="P4" s="2">
        <f>IFERROR(__xludf.DUMMYFUNCTION("""COMPUTED_VALUE"""),200.0)</f>
        <v>200</v>
      </c>
      <c r="Q4" s="2">
        <f>IFERROR(__xludf.DUMMYFUNCTION("""COMPUTED_VALUE"""),200.0)</f>
        <v>200</v>
      </c>
      <c r="R4" s="2">
        <f>IFERROR(__xludf.DUMMYFUNCTION("""COMPUTED_VALUE"""),200.0)</f>
        <v>200</v>
      </c>
      <c r="S4" s="2">
        <f>IFERROR(__xludf.DUMMYFUNCTION("""COMPUTED_VALUE"""),200.0)</f>
        <v>200</v>
      </c>
      <c r="T4" s="2">
        <f>IFERROR(__xludf.DUMMYFUNCTION("""COMPUTED_VALUE"""),200.0)</f>
        <v>200</v>
      </c>
      <c r="U4" s="2">
        <f>IFERROR(__xludf.DUMMYFUNCTION("""COMPUTED_VALUE"""),200.0)</f>
        <v>200</v>
      </c>
      <c r="V4" s="2">
        <f>IFERROR(__xludf.DUMMYFUNCTION("""COMPUTED_VALUE"""),200.0)</f>
        <v>200</v>
      </c>
      <c r="W4" s="2">
        <f>IFERROR(__xludf.DUMMYFUNCTION("""COMPUTED_VALUE"""),200.0)</f>
        <v>200</v>
      </c>
      <c r="X4" s="2">
        <f>IFERROR(__xludf.DUMMYFUNCTION("""COMPUTED_VALUE"""),200.0)</f>
        <v>200</v>
      </c>
      <c r="Y4" s="2">
        <f>IFERROR(__xludf.DUMMYFUNCTION("""COMPUTED_VALUE"""),200.0)</f>
        <v>200</v>
      </c>
      <c r="Z4" s="1"/>
    </row>
    <row r="5">
      <c r="A5" s="1" t="str">
        <f>IFERROR(__xludf.DUMMYFUNCTION("""COMPUTED_VALUE"""),"Diversão")</f>
        <v>Diversão</v>
      </c>
      <c r="B5" s="2">
        <f>IFERROR(__xludf.DUMMYFUNCTION("""COMPUTED_VALUE"""),1000.0)</f>
        <v>1000</v>
      </c>
      <c r="C5" s="2">
        <f>IFERROR(__xludf.DUMMYFUNCTION("""COMPUTED_VALUE"""),1000.0)</f>
        <v>1000</v>
      </c>
      <c r="D5" s="2">
        <f>IFERROR(__xludf.DUMMYFUNCTION("""COMPUTED_VALUE"""),1000.0)</f>
        <v>1000</v>
      </c>
      <c r="E5" s="2">
        <f>IFERROR(__xludf.DUMMYFUNCTION("""COMPUTED_VALUE"""),1000.0)</f>
        <v>1000</v>
      </c>
      <c r="F5" s="2">
        <f>IFERROR(__xludf.DUMMYFUNCTION("""COMPUTED_VALUE"""),1000.0)</f>
        <v>1000</v>
      </c>
      <c r="G5" s="2">
        <f>IFERROR(__xludf.DUMMYFUNCTION("""COMPUTED_VALUE"""),1000.0)</f>
        <v>1000</v>
      </c>
      <c r="H5" s="2">
        <f>IFERROR(__xludf.DUMMYFUNCTION("""COMPUTED_VALUE"""),1000.0)</f>
        <v>1000</v>
      </c>
      <c r="I5" s="2">
        <f>IFERROR(__xludf.DUMMYFUNCTION("""COMPUTED_VALUE"""),1000.0)</f>
        <v>1000</v>
      </c>
      <c r="J5" s="2">
        <f>IFERROR(__xludf.DUMMYFUNCTION("""COMPUTED_VALUE"""),1000.0)</f>
        <v>1000</v>
      </c>
      <c r="K5" s="2">
        <f>IFERROR(__xludf.DUMMYFUNCTION("""COMPUTED_VALUE"""),1000.0)</f>
        <v>1000</v>
      </c>
      <c r="L5" s="2">
        <f>IFERROR(__xludf.DUMMYFUNCTION("""COMPUTED_VALUE"""),1000.0)</f>
        <v>1000</v>
      </c>
      <c r="M5" s="2">
        <f>IFERROR(__xludf.DUMMYFUNCTION("""COMPUTED_VALUE"""),1000.0)</f>
        <v>1000</v>
      </c>
      <c r="N5" s="2">
        <f>IFERROR(__xludf.DUMMYFUNCTION("""COMPUTED_VALUE"""),1000.0)</f>
        <v>1000</v>
      </c>
      <c r="O5" s="2">
        <f>IFERROR(__xludf.DUMMYFUNCTION("""COMPUTED_VALUE"""),1000.0)</f>
        <v>1000</v>
      </c>
      <c r="P5" s="2">
        <f>IFERROR(__xludf.DUMMYFUNCTION("""COMPUTED_VALUE"""),1000.0)</f>
        <v>1000</v>
      </c>
      <c r="Q5" s="2">
        <f>IFERROR(__xludf.DUMMYFUNCTION("""COMPUTED_VALUE"""),1000.0)</f>
        <v>1000</v>
      </c>
      <c r="R5" s="2">
        <f>IFERROR(__xludf.DUMMYFUNCTION("""COMPUTED_VALUE"""),1000.0)</f>
        <v>1000</v>
      </c>
      <c r="S5" s="2">
        <f>IFERROR(__xludf.DUMMYFUNCTION("""COMPUTED_VALUE"""),1000.0)</f>
        <v>1000</v>
      </c>
      <c r="T5" s="2">
        <f>IFERROR(__xludf.DUMMYFUNCTION("""COMPUTED_VALUE"""),1000.0)</f>
        <v>1000</v>
      </c>
      <c r="U5" s="2">
        <f>IFERROR(__xludf.DUMMYFUNCTION("""COMPUTED_VALUE"""),1000.0)</f>
        <v>1000</v>
      </c>
      <c r="V5" s="2">
        <f>IFERROR(__xludf.DUMMYFUNCTION("""COMPUTED_VALUE"""),1000.0)</f>
        <v>1000</v>
      </c>
      <c r="W5" s="2">
        <f>IFERROR(__xludf.DUMMYFUNCTION("""COMPUTED_VALUE"""),1000.0)</f>
        <v>1000</v>
      </c>
      <c r="X5" s="2">
        <f>IFERROR(__xludf.DUMMYFUNCTION("""COMPUTED_VALUE"""),1000.0)</f>
        <v>1000</v>
      </c>
      <c r="Y5" s="2">
        <f>IFERROR(__xludf.DUMMYFUNCTION("""COMPUTED_VALUE"""),1000.0)</f>
        <v>1000</v>
      </c>
      <c r="Z5" s="1"/>
    </row>
    <row r="6">
      <c r="A6" s="1" t="str">
        <f>IFERROR(__xludf.DUMMYFUNCTION("""COMPUTED_VALUE"""),"Uber")</f>
        <v>Uber</v>
      </c>
      <c r="B6" s="2">
        <f>IFERROR(__xludf.DUMMYFUNCTION("""COMPUTED_VALUE"""),250.0)</f>
        <v>250</v>
      </c>
      <c r="C6" s="2">
        <f>IFERROR(__xludf.DUMMYFUNCTION("""COMPUTED_VALUE"""),250.0)</f>
        <v>250</v>
      </c>
      <c r="D6" s="2">
        <f>IFERROR(__xludf.DUMMYFUNCTION("""COMPUTED_VALUE"""),250.0)</f>
        <v>250</v>
      </c>
      <c r="E6" s="2">
        <f>IFERROR(__xludf.DUMMYFUNCTION("""COMPUTED_VALUE"""),250.0)</f>
        <v>250</v>
      </c>
      <c r="F6" s="2">
        <f>IFERROR(__xludf.DUMMYFUNCTION("""COMPUTED_VALUE"""),250.0)</f>
        <v>250</v>
      </c>
      <c r="G6" s="2">
        <f>IFERROR(__xludf.DUMMYFUNCTION("""COMPUTED_VALUE"""),250.0)</f>
        <v>250</v>
      </c>
      <c r="H6" s="2">
        <f>IFERROR(__xludf.DUMMYFUNCTION("""COMPUTED_VALUE"""),250.0)</f>
        <v>250</v>
      </c>
      <c r="I6" s="2">
        <f>IFERROR(__xludf.DUMMYFUNCTION("""COMPUTED_VALUE"""),250.0)</f>
        <v>250</v>
      </c>
      <c r="J6" s="2">
        <f>IFERROR(__xludf.DUMMYFUNCTION("""COMPUTED_VALUE"""),250.0)</f>
        <v>250</v>
      </c>
      <c r="K6" s="2">
        <f>IFERROR(__xludf.DUMMYFUNCTION("""COMPUTED_VALUE"""),250.0)</f>
        <v>250</v>
      </c>
      <c r="L6" s="2">
        <f>IFERROR(__xludf.DUMMYFUNCTION("""COMPUTED_VALUE"""),250.0)</f>
        <v>250</v>
      </c>
      <c r="M6" s="2">
        <f>IFERROR(__xludf.DUMMYFUNCTION("""COMPUTED_VALUE"""),250.0)</f>
        <v>250</v>
      </c>
      <c r="N6" s="2">
        <f>IFERROR(__xludf.DUMMYFUNCTION("""COMPUTED_VALUE"""),250.0)</f>
        <v>250</v>
      </c>
      <c r="O6" s="2">
        <f>IFERROR(__xludf.DUMMYFUNCTION("""COMPUTED_VALUE"""),250.0)</f>
        <v>250</v>
      </c>
      <c r="P6" s="2">
        <f>IFERROR(__xludf.DUMMYFUNCTION("""COMPUTED_VALUE"""),250.0)</f>
        <v>250</v>
      </c>
      <c r="Q6" s="2">
        <f>IFERROR(__xludf.DUMMYFUNCTION("""COMPUTED_VALUE"""),250.0)</f>
        <v>250</v>
      </c>
      <c r="R6" s="2">
        <f>IFERROR(__xludf.DUMMYFUNCTION("""COMPUTED_VALUE"""),250.0)</f>
        <v>250</v>
      </c>
      <c r="S6" s="2">
        <f>IFERROR(__xludf.DUMMYFUNCTION("""COMPUTED_VALUE"""),250.0)</f>
        <v>250</v>
      </c>
      <c r="T6" s="2">
        <f>IFERROR(__xludf.DUMMYFUNCTION("""COMPUTED_VALUE"""),250.0)</f>
        <v>250</v>
      </c>
      <c r="U6" s="2">
        <f>IFERROR(__xludf.DUMMYFUNCTION("""COMPUTED_VALUE"""),250.0)</f>
        <v>250</v>
      </c>
      <c r="V6" s="2">
        <f>IFERROR(__xludf.DUMMYFUNCTION("""COMPUTED_VALUE"""),250.0)</f>
        <v>250</v>
      </c>
      <c r="W6" s="2">
        <f>IFERROR(__xludf.DUMMYFUNCTION("""COMPUTED_VALUE"""),250.0)</f>
        <v>250</v>
      </c>
      <c r="X6" s="2">
        <f>IFERROR(__xludf.DUMMYFUNCTION("""COMPUTED_VALUE"""),250.0)</f>
        <v>250</v>
      </c>
      <c r="Y6" s="2">
        <f>IFERROR(__xludf.DUMMYFUNCTION("""COMPUTED_VALUE"""),250.0)</f>
        <v>250</v>
      </c>
      <c r="Z6" s="1"/>
    </row>
    <row r="7">
      <c r="A7" s="1" t="str">
        <f>IFERROR(__xludf.DUMMYFUNCTION("""COMPUTED_VALUE"""),"Crossfit")</f>
        <v>Crossfit</v>
      </c>
      <c r="B7" s="2">
        <f>IFERROR(__xludf.DUMMYFUNCTION("""COMPUTED_VALUE"""),958.0)</f>
        <v>958</v>
      </c>
      <c r="C7" s="2">
        <f>IFERROR(__xludf.DUMMYFUNCTION("""COMPUTED_VALUE"""),958.0)</f>
        <v>958</v>
      </c>
      <c r="D7" s="2">
        <f>IFERROR(__xludf.DUMMYFUNCTION("""COMPUTED_VALUE"""),958.0)</f>
        <v>958</v>
      </c>
      <c r="E7" s="2">
        <f>IFERROR(__xludf.DUMMYFUNCTION("""COMPUTED_VALUE"""),958.0)</f>
        <v>958</v>
      </c>
      <c r="F7" s="2">
        <f>IFERROR(__xludf.DUMMYFUNCTION("""COMPUTED_VALUE"""),958.0)</f>
        <v>958</v>
      </c>
      <c r="G7" s="2">
        <f>IFERROR(__xludf.DUMMYFUNCTION("""COMPUTED_VALUE"""),958.0)</f>
        <v>958</v>
      </c>
      <c r="H7" s="2">
        <f>IFERROR(__xludf.DUMMYFUNCTION("""COMPUTED_VALUE"""),958.0)</f>
        <v>958</v>
      </c>
      <c r="I7" s="2">
        <f>IFERROR(__xludf.DUMMYFUNCTION("""COMPUTED_VALUE"""),958.0)</f>
        <v>958</v>
      </c>
      <c r="J7" s="2">
        <f>IFERROR(__xludf.DUMMYFUNCTION("""COMPUTED_VALUE"""),958.0)</f>
        <v>958</v>
      </c>
      <c r="K7" s="2">
        <f>IFERROR(__xludf.DUMMYFUNCTION("""COMPUTED_VALUE"""),958.0)</f>
        <v>958</v>
      </c>
      <c r="L7" s="2">
        <f>IFERROR(__xludf.DUMMYFUNCTION("""COMPUTED_VALUE"""),958.0)</f>
        <v>958</v>
      </c>
      <c r="M7" s="2">
        <f>IFERROR(__xludf.DUMMYFUNCTION("""COMPUTED_VALUE"""),958.0)</f>
        <v>958</v>
      </c>
      <c r="N7" s="2">
        <f>IFERROR(__xludf.DUMMYFUNCTION("""COMPUTED_VALUE"""),958.0)</f>
        <v>958</v>
      </c>
      <c r="O7" s="2">
        <f>IFERROR(__xludf.DUMMYFUNCTION("""COMPUTED_VALUE"""),958.0)</f>
        <v>958</v>
      </c>
      <c r="P7" s="2">
        <f>IFERROR(__xludf.DUMMYFUNCTION("""COMPUTED_VALUE"""),958.0)</f>
        <v>958</v>
      </c>
      <c r="Q7" s="2">
        <f>IFERROR(__xludf.DUMMYFUNCTION("""COMPUTED_VALUE"""),958.0)</f>
        <v>958</v>
      </c>
      <c r="R7" s="2">
        <f>IFERROR(__xludf.DUMMYFUNCTION("""COMPUTED_VALUE"""),958.0)</f>
        <v>958</v>
      </c>
      <c r="S7" s="2">
        <f>IFERROR(__xludf.DUMMYFUNCTION("""COMPUTED_VALUE"""),958.0)</f>
        <v>958</v>
      </c>
      <c r="T7" s="2">
        <f>IFERROR(__xludf.DUMMYFUNCTION("""COMPUTED_VALUE"""),958.0)</f>
        <v>958</v>
      </c>
      <c r="U7" s="2">
        <f>IFERROR(__xludf.DUMMYFUNCTION("""COMPUTED_VALUE"""),958.0)</f>
        <v>958</v>
      </c>
      <c r="V7" s="2">
        <f>IFERROR(__xludf.DUMMYFUNCTION("""COMPUTED_VALUE"""),958.0)</f>
        <v>958</v>
      </c>
      <c r="W7" s="2">
        <f>IFERROR(__xludf.DUMMYFUNCTION("""COMPUTED_VALUE"""),958.0)</f>
        <v>958</v>
      </c>
      <c r="X7" s="2">
        <f>IFERROR(__xludf.DUMMYFUNCTION("""COMPUTED_VALUE"""),958.0)</f>
        <v>958</v>
      </c>
      <c r="Y7" s="2">
        <f>IFERROR(__xludf.DUMMYFUNCTION("""COMPUTED_VALUE"""),958.0)</f>
        <v>958</v>
      </c>
      <c r="Z7" s="1"/>
    </row>
    <row r="8">
      <c r="A8" s="1" t="str">
        <f>IFERROR(__xludf.DUMMYFUNCTION("""COMPUTED_VALUE"""),"Seguro - Compass")</f>
        <v>Seguro - Compass</v>
      </c>
      <c r="B8" s="2">
        <f>IFERROR(__xludf.DUMMYFUNCTION("""COMPUTED_VALUE"""),616.62)</f>
        <v>616.62</v>
      </c>
      <c r="C8" s="2">
        <f>IFERROR(__xludf.DUMMYFUNCTION("""COMPUTED_VALUE"""),616.62)</f>
        <v>616.62</v>
      </c>
      <c r="D8" s="2">
        <f>IFERROR(__xludf.DUMMYFUNCTION("""COMPUTED_VALUE"""),616.62)</f>
        <v>616.62</v>
      </c>
      <c r="E8" s="2">
        <f>IFERROR(__xludf.DUMMYFUNCTION("""COMPUTED_VALUE"""),616.62)</f>
        <v>616.62</v>
      </c>
      <c r="F8" s="2">
        <f>IFERROR(__xludf.DUMMYFUNCTION("""COMPUTED_VALUE"""),616.62)</f>
        <v>616.62</v>
      </c>
      <c r="G8" s="2">
        <f>IFERROR(__xludf.DUMMYFUNCTION("""COMPUTED_VALUE"""),616.62)</f>
        <v>616.62</v>
      </c>
      <c r="H8" s="2">
        <f>IFERROR(__xludf.DUMMYFUNCTION("""COMPUTED_VALUE"""),616.62)</f>
        <v>616.62</v>
      </c>
      <c r="I8" s="2">
        <f>IFERROR(__xludf.DUMMYFUNCTION("""COMPUTED_VALUE"""),265.88)</f>
        <v>265.88</v>
      </c>
      <c r="J8" s="2">
        <f>IFERROR(__xludf.DUMMYFUNCTION("""COMPUTED_VALUE"""),265.88)</f>
        <v>265.88</v>
      </c>
      <c r="K8" s="2">
        <f>IFERROR(__xludf.DUMMYFUNCTION("""COMPUTED_VALUE"""),265.88)</f>
        <v>265.88</v>
      </c>
      <c r="L8" s="2">
        <f>IFERROR(__xludf.DUMMYFUNCTION("""COMPUTED_VALUE"""),265.88)</f>
        <v>265.88</v>
      </c>
      <c r="M8" s="2">
        <f>IFERROR(__xludf.DUMMYFUNCTION("""COMPUTED_VALUE"""),265.88)</f>
        <v>265.88</v>
      </c>
      <c r="N8" s="2">
        <f>IFERROR(__xludf.DUMMYFUNCTION("""COMPUTED_VALUE"""),265.88)</f>
        <v>265.88</v>
      </c>
      <c r="O8" s="2">
        <f>IFERROR(__xludf.DUMMYFUNCTION("""COMPUTED_VALUE"""),265.88)</f>
        <v>265.88</v>
      </c>
      <c r="P8" s="2">
        <f>IFERROR(__xludf.DUMMYFUNCTION("""COMPUTED_VALUE"""),265.88)</f>
        <v>265.88</v>
      </c>
      <c r="Q8" s="2">
        <f>IFERROR(__xludf.DUMMYFUNCTION("""COMPUTED_VALUE"""),265.88)</f>
        <v>265.88</v>
      </c>
      <c r="R8" s="2">
        <f>IFERROR(__xludf.DUMMYFUNCTION("""COMPUTED_VALUE"""),265.88)</f>
        <v>265.88</v>
      </c>
      <c r="S8" s="2">
        <f>IFERROR(__xludf.DUMMYFUNCTION("""COMPUTED_VALUE"""),265.88)</f>
        <v>265.88</v>
      </c>
      <c r="T8" s="2">
        <f>IFERROR(__xludf.DUMMYFUNCTION("""COMPUTED_VALUE"""),265.88)</f>
        <v>265.88</v>
      </c>
      <c r="U8" s="2">
        <f>IFERROR(__xludf.DUMMYFUNCTION("""COMPUTED_VALUE"""),265.88)</f>
        <v>265.88</v>
      </c>
      <c r="V8" s="2">
        <f>IFERROR(__xludf.DUMMYFUNCTION("""COMPUTED_VALUE"""),265.88)</f>
        <v>265.88</v>
      </c>
      <c r="W8" s="2">
        <f>IFERROR(__xludf.DUMMYFUNCTION("""COMPUTED_VALUE"""),265.88)</f>
        <v>265.88</v>
      </c>
      <c r="X8" s="2">
        <f>IFERROR(__xludf.DUMMYFUNCTION("""COMPUTED_VALUE"""),265.88)</f>
        <v>265.88</v>
      </c>
      <c r="Y8" s="2">
        <f>IFERROR(__xludf.DUMMYFUNCTION("""COMPUTED_VALUE"""),265.88)</f>
        <v>265.88</v>
      </c>
      <c r="Z8" s="1"/>
    </row>
    <row r="9">
      <c r="A9" s="1" t="str">
        <f>IFERROR(__xludf.DUMMYFUNCTION("""COMPUTED_VALUE"""),"Seguro - Ka")</f>
        <v>Seguro - Ka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2">
        <f>IFERROR(__xludf.DUMMYFUNCTION("""COMPUTED_VALUE"""),200.99)</f>
        <v>200.99</v>
      </c>
      <c r="N9" s="2">
        <f>IFERROR(__xludf.DUMMYFUNCTION("""COMPUTED_VALUE"""),200.99)</f>
        <v>200.99</v>
      </c>
      <c r="O9" s="2">
        <f>IFERROR(__xludf.DUMMYFUNCTION("""COMPUTED_VALUE"""),200.99)</f>
        <v>200.99</v>
      </c>
      <c r="P9" s="2">
        <f>IFERROR(__xludf.DUMMYFUNCTION("""COMPUTED_VALUE"""),200.99)</f>
        <v>200.99</v>
      </c>
      <c r="Q9" s="2">
        <f>IFERROR(__xludf.DUMMYFUNCTION("""COMPUTED_VALUE"""),200.99)</f>
        <v>200.99</v>
      </c>
      <c r="R9" s="2">
        <f>IFERROR(__xludf.DUMMYFUNCTION("""COMPUTED_VALUE"""),200.99)</f>
        <v>200.99</v>
      </c>
      <c r="S9" s="2">
        <f>IFERROR(__xludf.DUMMYFUNCTION("""COMPUTED_VALUE"""),200.99)</f>
        <v>200.99</v>
      </c>
      <c r="T9" s="2">
        <f>IFERROR(__xludf.DUMMYFUNCTION("""COMPUTED_VALUE"""),200.99)</f>
        <v>200.99</v>
      </c>
      <c r="U9" s="2">
        <f>IFERROR(__xludf.DUMMYFUNCTION("""COMPUTED_VALUE"""),200.99)</f>
        <v>200.99</v>
      </c>
      <c r="V9" s="2">
        <f>IFERROR(__xludf.DUMMYFUNCTION("""COMPUTED_VALUE"""),200.99)</f>
        <v>200.99</v>
      </c>
      <c r="W9" s="2">
        <f>IFERROR(__xludf.DUMMYFUNCTION("""COMPUTED_VALUE"""),200.99)</f>
        <v>200.99</v>
      </c>
      <c r="X9" s="2">
        <f>IFERROR(__xludf.DUMMYFUNCTION("""COMPUTED_VALUE"""),200.99)</f>
        <v>200.99</v>
      </c>
      <c r="Y9" s="2">
        <f>IFERROR(__xludf.DUMMYFUNCTION("""COMPUTED_VALUE"""),200.99)</f>
        <v>200.99</v>
      </c>
      <c r="Z9" s="1"/>
    </row>
    <row r="10">
      <c r="A10" s="1" t="str">
        <f>IFERROR(__xludf.DUMMYFUNCTION("""COMPUTED_VALUE"""),"Faculdade mãe")</f>
        <v>Faculdade mãe</v>
      </c>
      <c r="B10" s="2">
        <f>IFERROR(__xludf.DUMMYFUNCTION("""COMPUTED_VALUE"""),197.43)</f>
        <v>197.43</v>
      </c>
      <c r="C10" s="2">
        <f>IFERROR(__xludf.DUMMYFUNCTION("""COMPUTED_VALUE"""),225.53)</f>
        <v>225.53</v>
      </c>
      <c r="D10" s="2">
        <f>IFERROR(__xludf.DUMMYFUNCTION("""COMPUTED_VALUE"""),225.53)</f>
        <v>225.53</v>
      </c>
      <c r="E10" s="2">
        <f>IFERROR(__xludf.DUMMYFUNCTION("""COMPUTED_VALUE"""),225.53)</f>
        <v>225.53</v>
      </c>
      <c r="F10" s="2">
        <f>IFERROR(__xludf.DUMMYFUNCTION("""COMPUTED_VALUE"""),225.53)</f>
        <v>225.53</v>
      </c>
      <c r="G10" s="2">
        <f>IFERROR(__xludf.DUMMYFUNCTION("""COMPUTED_VALUE"""),225.53)</f>
        <v>225.53</v>
      </c>
      <c r="H10" s="2">
        <f>IFERROR(__xludf.DUMMYFUNCTION("""COMPUTED_VALUE"""),225.53)</f>
        <v>225.53</v>
      </c>
      <c r="I10" s="2">
        <f>IFERROR(__xludf.DUMMYFUNCTION("""COMPUTED_VALUE"""),225.53)</f>
        <v>225.53</v>
      </c>
      <c r="J10" s="2">
        <f>IFERROR(__xludf.DUMMYFUNCTION("""COMPUTED_VALUE"""),225.53)</f>
        <v>225.53</v>
      </c>
      <c r="K10" s="2">
        <f>IFERROR(__xludf.DUMMYFUNCTION("""COMPUTED_VALUE"""),225.53)</f>
        <v>225.53</v>
      </c>
      <c r="L10" s="2">
        <f>IFERROR(__xludf.DUMMYFUNCTION("""COMPUTED_VALUE"""),225.53)</f>
        <v>225.53</v>
      </c>
      <c r="M10" s="2">
        <f>IFERROR(__xludf.DUMMYFUNCTION("""COMPUTED_VALUE"""),225.53)</f>
        <v>225.53</v>
      </c>
      <c r="N10" s="2">
        <f>IFERROR(__xludf.DUMMYFUNCTION("""COMPUTED_VALUE"""),225.53)</f>
        <v>225.53</v>
      </c>
      <c r="O10" s="2">
        <f>IFERROR(__xludf.DUMMYFUNCTION("""COMPUTED_VALUE"""),225.53)</f>
        <v>225.53</v>
      </c>
      <c r="P10" s="2">
        <f>IFERROR(__xludf.DUMMYFUNCTION("""COMPUTED_VALUE"""),225.53)</f>
        <v>225.53</v>
      </c>
      <c r="Q10" s="2">
        <f>IFERROR(__xludf.DUMMYFUNCTION("""COMPUTED_VALUE"""),225.53)</f>
        <v>225.53</v>
      </c>
      <c r="R10" s="2">
        <f>IFERROR(__xludf.DUMMYFUNCTION("""COMPUTED_VALUE"""),225.53)</f>
        <v>225.53</v>
      </c>
      <c r="S10" s="2">
        <f>IFERROR(__xludf.DUMMYFUNCTION("""COMPUTED_VALUE"""),225.53)</f>
        <v>225.53</v>
      </c>
      <c r="T10" s="2">
        <f>IFERROR(__xludf.DUMMYFUNCTION("""COMPUTED_VALUE"""),225.53)</f>
        <v>225.53</v>
      </c>
      <c r="U10" s="2">
        <f>IFERROR(__xludf.DUMMYFUNCTION("""COMPUTED_VALUE"""),225.53)</f>
        <v>225.53</v>
      </c>
      <c r="V10" s="2">
        <f>IFERROR(__xludf.DUMMYFUNCTION("""COMPUTED_VALUE"""),225.53)</f>
        <v>225.53</v>
      </c>
      <c r="W10" s="2">
        <f>IFERROR(__xludf.DUMMYFUNCTION("""COMPUTED_VALUE"""),225.53)</f>
        <v>225.53</v>
      </c>
      <c r="X10" s="2">
        <f>IFERROR(__xludf.DUMMYFUNCTION("""COMPUTED_VALUE"""),225.53)</f>
        <v>225.53</v>
      </c>
      <c r="Y10" s="2">
        <f>IFERROR(__xludf.DUMMYFUNCTION("""COMPUTED_VALUE"""),225.53)</f>
        <v>225.53</v>
      </c>
      <c r="Z10" s="1"/>
    </row>
    <row r="11">
      <c r="A11" s="1" t="str">
        <f>IFERROR(__xludf.DUMMYFUNCTION("""COMPUTED_VALUE"""),"Outros")</f>
        <v>Outros</v>
      </c>
      <c r="B11" s="2">
        <f>IFERROR(__xludf.DUMMYFUNCTION("""COMPUTED_VALUE"""),506.20500000000004)</f>
        <v>506.205</v>
      </c>
      <c r="C11" s="2">
        <f>IFERROR(__xludf.DUMMYFUNCTION("""COMPUTED_VALUE"""),509.015)</f>
        <v>509.015</v>
      </c>
      <c r="D11" s="2">
        <f>IFERROR(__xludf.DUMMYFUNCTION("""COMPUTED_VALUE"""),509.015)</f>
        <v>509.015</v>
      </c>
      <c r="E11" s="2">
        <f>IFERROR(__xludf.DUMMYFUNCTION("""COMPUTED_VALUE"""),509.015)</f>
        <v>509.015</v>
      </c>
      <c r="F11" s="2">
        <f>IFERROR(__xludf.DUMMYFUNCTION("""COMPUTED_VALUE"""),509.015)</f>
        <v>509.015</v>
      </c>
      <c r="G11" s="2">
        <f>IFERROR(__xludf.DUMMYFUNCTION("""COMPUTED_VALUE"""),509.015)</f>
        <v>509.015</v>
      </c>
      <c r="H11" s="2">
        <f>IFERROR(__xludf.DUMMYFUNCTION("""COMPUTED_VALUE"""),509.015)</f>
        <v>509.015</v>
      </c>
      <c r="I11" s="2">
        <f>IFERROR(__xludf.DUMMYFUNCTION("""COMPUTED_VALUE"""),473.94100000000003)</f>
        <v>473.941</v>
      </c>
      <c r="J11" s="2">
        <f>IFERROR(__xludf.DUMMYFUNCTION("""COMPUTED_VALUE"""),473.94100000000003)</f>
        <v>473.941</v>
      </c>
      <c r="K11" s="2">
        <f>IFERROR(__xludf.DUMMYFUNCTION("""COMPUTED_VALUE"""),473.94100000000003)</f>
        <v>473.941</v>
      </c>
      <c r="L11" s="2">
        <f>IFERROR(__xludf.DUMMYFUNCTION("""COMPUTED_VALUE"""),473.94100000000003)</f>
        <v>473.941</v>
      </c>
      <c r="M11" s="2">
        <f>IFERROR(__xludf.DUMMYFUNCTION("""COMPUTED_VALUE"""),494.03999999999996)</f>
        <v>494.04</v>
      </c>
      <c r="N11" s="2">
        <f>IFERROR(__xludf.DUMMYFUNCTION("""COMPUTED_VALUE"""),494.03999999999996)</f>
        <v>494.04</v>
      </c>
      <c r="O11" s="2">
        <f>IFERROR(__xludf.DUMMYFUNCTION("""COMPUTED_VALUE"""),494.03999999999996)</f>
        <v>494.04</v>
      </c>
      <c r="P11" s="2">
        <f>IFERROR(__xludf.DUMMYFUNCTION("""COMPUTED_VALUE"""),494.03999999999996)</f>
        <v>494.04</v>
      </c>
      <c r="Q11" s="2">
        <f>IFERROR(__xludf.DUMMYFUNCTION("""COMPUTED_VALUE"""),494.03999999999996)</f>
        <v>494.04</v>
      </c>
      <c r="R11" s="2">
        <f>IFERROR(__xludf.DUMMYFUNCTION("""COMPUTED_VALUE"""),494.03999999999996)</f>
        <v>494.04</v>
      </c>
      <c r="S11" s="2">
        <f>IFERROR(__xludf.DUMMYFUNCTION("""COMPUTED_VALUE"""),494.03999999999996)</f>
        <v>494.04</v>
      </c>
      <c r="T11" s="2">
        <f>IFERROR(__xludf.DUMMYFUNCTION("""COMPUTED_VALUE"""),494.03999999999996)</f>
        <v>494.04</v>
      </c>
      <c r="U11" s="2">
        <f>IFERROR(__xludf.DUMMYFUNCTION("""COMPUTED_VALUE"""),494.03999999999996)</f>
        <v>494.04</v>
      </c>
      <c r="V11" s="2">
        <f>IFERROR(__xludf.DUMMYFUNCTION("""COMPUTED_VALUE"""),494.03999999999996)</f>
        <v>494.04</v>
      </c>
      <c r="W11" s="2">
        <f>IFERROR(__xludf.DUMMYFUNCTION("""COMPUTED_VALUE"""),494.03999999999996)</f>
        <v>494.04</v>
      </c>
      <c r="X11" s="2">
        <f>IFERROR(__xludf.DUMMYFUNCTION("""COMPUTED_VALUE"""),494.03999999999996)</f>
        <v>494.04</v>
      </c>
      <c r="Y11" s="2">
        <f>IFERROR(__xludf.DUMMYFUNCTION("""COMPUTED_VALUE"""),494.03999999999996)</f>
        <v>494.04</v>
      </c>
      <c r="Z11" s="1"/>
    </row>
    <row r="12">
      <c r="A12" s="1" t="str">
        <f>IFERROR(__xludf.DUMMYFUNCTION("""COMPUTED_VALUE"""),"Morana Cris+Kelly")</f>
        <v>Morana Cris+Kelly</v>
      </c>
      <c r="B12" s="1"/>
      <c r="C12" s="1"/>
      <c r="D12" s="1"/>
      <c r="E12" s="2">
        <f>IFERROR(__xludf.DUMMYFUNCTION("""COMPUTED_VALUE"""),59.9)</f>
        <v>59.9</v>
      </c>
      <c r="F12" s="2">
        <f>IFERROR(__xludf.DUMMYFUNCTION("""COMPUTED_VALUE"""),59.9)</f>
        <v>59.9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tr">
        <f>IFERROR(__xludf.DUMMYFUNCTION("""COMPUTED_VALUE"""),"Sapateira")</f>
        <v>Sapateira</v>
      </c>
      <c r="B13" s="1"/>
      <c r="C13" s="1"/>
      <c r="D13" s="1"/>
      <c r="E13" s="2">
        <f>IFERROR(__xludf.DUMMYFUNCTION("""COMPUTED_VALUE"""),64.59)</f>
        <v>64.59</v>
      </c>
      <c r="F13" s="2">
        <f>IFERROR(__xludf.DUMMYFUNCTION("""COMPUTED_VALUE"""),64.59)</f>
        <v>64.59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tr">
        <f>IFERROR(__xludf.DUMMYFUNCTION("""COMPUTED_VALUE"""),"Quadros Bianca")</f>
        <v>Quadros Bianca</v>
      </c>
      <c r="B14" s="1"/>
      <c r="C14" s="1"/>
      <c r="D14" s="1"/>
      <c r="E14" s="2">
        <f>IFERROR(__xludf.DUMMYFUNCTION("""COMPUTED_VALUE"""),73.3)</f>
        <v>73.3</v>
      </c>
      <c r="F14" s="2">
        <f>IFERROR(__xludf.DUMMYFUNCTION("""COMPUTED_VALUE"""),73.3)</f>
        <v>73.3</v>
      </c>
      <c r="G14" s="2">
        <f>IFERROR(__xludf.DUMMYFUNCTION("""COMPUTED_VALUE"""),73.3)</f>
        <v>73.3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tr">
        <f>IFERROR(__xludf.DUMMYFUNCTION("""COMPUTED_VALUE"""),"Cueca Mash")</f>
        <v>Cueca Mash</v>
      </c>
      <c r="B15" s="1"/>
      <c r="C15" s="1"/>
      <c r="D15" s="1"/>
      <c r="E15" s="2">
        <f>IFERROR(__xludf.DUMMYFUNCTION("""COMPUTED_VALUE"""),74.95)</f>
        <v>74.95</v>
      </c>
      <c r="F15" s="2">
        <f>IFERROR(__xludf.DUMMYFUNCTION("""COMPUTED_VALUE"""),74.95)</f>
        <v>74.95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tr">
        <f>IFERROR(__xludf.DUMMYFUNCTION("""COMPUTED_VALUE"""),"Kit Mustela")</f>
        <v>Kit Mustela</v>
      </c>
      <c r="B16" s="1"/>
      <c r="C16" s="1"/>
      <c r="D16" s="1"/>
      <c r="E16" s="2">
        <f>IFERROR(__xludf.DUMMYFUNCTION("""COMPUTED_VALUE"""),84.54)</f>
        <v>84.54</v>
      </c>
      <c r="F16" s="2">
        <f>IFERROR(__xludf.DUMMYFUNCTION("""COMPUTED_VALUE"""),84.54)</f>
        <v>84.54</v>
      </c>
      <c r="G16" s="2">
        <f>IFERROR(__xludf.DUMMYFUNCTION("""COMPUTED_VALUE"""),84.54)</f>
        <v>84.54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tr">
        <f>IFERROR(__xludf.DUMMYFUNCTION("""COMPUTED_VALUE"""),"Track&amp;Field")</f>
        <v>Track&amp;Field</v>
      </c>
      <c r="B17" s="1"/>
      <c r="C17" s="1"/>
      <c r="D17" s="1"/>
      <c r="E17" s="1"/>
      <c r="F17" s="1"/>
      <c r="G17" s="1"/>
      <c r="H17" s="1"/>
      <c r="I17" s="2">
        <f>IFERROR(__xludf.DUMMYFUNCTION("""COMPUTED_VALUE"""),267.78)</f>
        <v>267.78</v>
      </c>
      <c r="J17" s="2">
        <f>IFERROR(__xludf.DUMMYFUNCTION("""COMPUTED_VALUE"""),267.78)</f>
        <v>267.78</v>
      </c>
      <c r="K17" s="2">
        <f>IFERROR(__xludf.DUMMYFUNCTION("""COMPUTED_VALUE"""),267.78)</f>
        <v>267.78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tr">
        <f>IFERROR(__xludf.DUMMYFUNCTION("""COMPUTED_VALUE"""),"Bianca - Parto")</f>
        <v>Bianca - Parto</v>
      </c>
      <c r="B18" s="1"/>
      <c r="C18" s="1"/>
      <c r="D18" s="1"/>
      <c r="E18" s="1"/>
      <c r="F18" s="1"/>
      <c r="G18" s="2">
        <f>IFERROR(__xludf.DUMMYFUNCTION("""COMPUTED_VALUE"""),696.0)</f>
        <v>696</v>
      </c>
      <c r="H18" s="2">
        <f>IFERROR(__xludf.DUMMYFUNCTION("""COMPUTED_VALUE"""),696.0)</f>
        <v>696</v>
      </c>
      <c r="I18" s="2">
        <f>IFERROR(__xludf.DUMMYFUNCTION("""COMPUTED_VALUE"""),696.0)</f>
        <v>696</v>
      </c>
      <c r="J18" s="2">
        <f>IFERROR(__xludf.DUMMYFUNCTION("""COMPUTED_VALUE"""),696.0)</f>
        <v>696</v>
      </c>
      <c r="K18" s="2">
        <f>IFERROR(__xludf.DUMMYFUNCTION("""COMPUTED_VALUE"""),696.0)</f>
        <v>696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tr">
        <f>IFERROR(__xludf.DUMMYFUNCTION("""COMPUTED_VALUE"""),"Bianca - Vacinas")</f>
        <v>Bianca - Vacinas</v>
      </c>
      <c r="B19" s="1"/>
      <c r="C19" s="1"/>
      <c r="D19" s="1"/>
      <c r="E19" s="1"/>
      <c r="F19" s="1"/>
      <c r="G19" s="1"/>
      <c r="H19" s="1"/>
      <c r="I19" s="2">
        <f>IFERROR(__xludf.DUMMYFUNCTION("""COMPUTED_VALUE"""),1350.0)</f>
        <v>1350</v>
      </c>
      <c r="J19" s="2">
        <f>IFERROR(__xludf.DUMMYFUNCTION("""COMPUTED_VALUE"""),1350.0)</f>
        <v>1350</v>
      </c>
      <c r="K19" s="2">
        <f>IFERROR(__xludf.DUMMYFUNCTION("""COMPUTED_VALUE"""),1350.0)</f>
        <v>1350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IFERROR(__xludf.DUMMYFUNCTION("IMPORTRANGE(""https://docs.google.com/spreadsheets/d/1iYr1ABX5E5xD5hdpo7T57xV80Bd6YZfcnip7j3Ia3No/edit?gid=1176541019#gid=1176541019"",""'Current'!A1:L11"")"),"Ticker")</f>
        <v>Ticker</v>
      </c>
      <c r="B1" s="10" t="str">
        <f>IFERROR(__xludf.DUMMYFUNCTION("""COMPUTED_VALUE"""),"Amount")</f>
        <v>Amount</v>
      </c>
      <c r="C1" s="10" t="str">
        <f>IFERROR(__xludf.DUMMYFUNCTION("""COMPUTED_VALUE"""),"Average Price")</f>
        <v>Average Price</v>
      </c>
      <c r="D1" s="9" t="str">
        <f>IFERROR(__xludf.DUMMYFUNCTION("""COMPUTED_VALUE"""),"Nota
0-7")</f>
        <v>Nota
0-7</v>
      </c>
      <c r="E1" s="10" t="str">
        <f>IFERROR(__xludf.DUMMYFUNCTION("""COMPUTED_VALUE"""),"R$ Alvo
Neto")</f>
        <v>R$ Alvo
Neto</v>
      </c>
      <c r="F1" s="10" t="str">
        <f>IFERROR(__xludf.DUMMYFUNCTION("""COMPUTED_VALUE"""),"R$ Alvo
12%")</f>
        <v>R$ Alvo
12%</v>
      </c>
      <c r="G1" s="9" t="str">
        <f>IFERROR(__xludf.DUMMYFUNCTION("""COMPUTED_VALUE"""),"R$ Base
p/ PT")</f>
        <v>R$ Base
p/ PT</v>
      </c>
      <c r="H1" s="9" t="str">
        <f>IFERROR(__xludf.DUMMYFUNCTION("""COMPUTED_VALUE"""),"Última Atual.")</f>
        <v>Última Atual.</v>
      </c>
      <c r="I1" s="9" t="str">
        <f>IFERROR(__xludf.DUMMYFUNCTION("""COMPUTED_VALUE"""),"Desvio PL Proj.")</f>
        <v>Desvio PL Proj.</v>
      </c>
      <c r="J1" s="9" t="str">
        <f>IFERROR(__xludf.DUMMYFUNCTION("""COMPUTED_VALUE"""),"CAGR LCR (5A)")</f>
        <v>CAGR LCR (5A)</v>
      </c>
      <c r="K1" s="9" t="str">
        <f>IFERROR(__xludf.DUMMYFUNCTION("""COMPUTED_VALUE"""),"Div. L/
EBITDA")</f>
        <v>Div. L/
EBITDA</v>
      </c>
      <c r="L1" s="9" t="str">
        <f>IFERROR(__xludf.DUMMYFUNCTION("""COMPUTED_VALUE"""),"Div. Proj.")</f>
        <v>Div. Proj.</v>
      </c>
    </row>
    <row r="2">
      <c r="A2" s="9" t="str">
        <f>IFERROR(__xludf.DUMMYFUNCTION("""COMPUTED_VALUE"""),"BBAS3")</f>
        <v>BBAS3</v>
      </c>
      <c r="B2" s="9">
        <f>IFERROR(__xludf.DUMMYFUNCTION("""COMPUTED_VALUE"""),4167.0)</f>
        <v>4167</v>
      </c>
      <c r="C2" s="10">
        <f>IFERROR(__xludf.DUMMYFUNCTION("""COMPUTED_VALUE"""),22.45)</f>
        <v>22.45</v>
      </c>
      <c r="D2" s="9">
        <f>IFERROR(__xludf.DUMMYFUNCTION("""COMPUTED_VALUE"""),2.0)</f>
        <v>2</v>
      </c>
      <c r="E2" s="10">
        <f>IFERROR(__xludf.DUMMYFUNCTION("""COMPUTED_VALUE"""),18.81)</f>
        <v>18.81</v>
      </c>
      <c r="F2" s="10">
        <f>IFERROR(__xludf.DUMMYFUNCTION("""COMPUTED_VALUE"""),16.482400000000002)</f>
        <v>16.4824</v>
      </c>
      <c r="G2" s="10">
        <f>IFERROR(__xludf.DUMMYFUNCTION("""COMPUTED_VALUE"""),18.73)</f>
        <v>18.73</v>
      </c>
      <c r="H2" s="11">
        <f>IFERROR(__xludf.DUMMYFUNCTION("""COMPUTED_VALUE"""),46004.0)</f>
        <v>46004</v>
      </c>
      <c r="I2" s="12">
        <f>IFERROR(__xludf.DUMMYFUNCTION("""COMPUTED_VALUE"""),0.12535162074491257)</f>
        <v>0.1253516207</v>
      </c>
      <c r="J2" s="12">
        <f>IFERROR(__xludf.DUMMYFUNCTION("""COMPUTED_VALUE"""),0.132)</f>
        <v>0.132</v>
      </c>
      <c r="K2" s="9">
        <f>IFERROR(__xludf.DUMMYFUNCTION("""COMPUTED_VALUE"""),0.0)</f>
        <v>0</v>
      </c>
      <c r="L2" s="10">
        <f>IFERROR(__xludf.DUMMYFUNCTION("""COMPUTED_VALUE"""),0.9038841560708688)</f>
        <v>0.9038841561</v>
      </c>
    </row>
    <row r="3">
      <c r="A3" s="9" t="str">
        <f>IFERROR(__xludf.DUMMYFUNCTION("""COMPUTED_VALUE"""),"BBSE3")</f>
        <v>BBSE3</v>
      </c>
      <c r="B3" s="9">
        <f>IFERROR(__xludf.DUMMYFUNCTION("""COMPUTED_VALUE"""),3886.0)</f>
        <v>3886</v>
      </c>
      <c r="C3" s="10">
        <f>IFERROR(__xludf.DUMMYFUNCTION("""COMPUTED_VALUE"""),34.1)</f>
        <v>34.1</v>
      </c>
      <c r="D3" s="9">
        <f>IFERROR(__xludf.DUMMYFUNCTION("""COMPUTED_VALUE"""),6.0)</f>
        <v>6</v>
      </c>
      <c r="E3" s="10">
        <f>IFERROR(__xludf.DUMMYFUNCTION("""COMPUTED_VALUE"""),33.67)</f>
        <v>33.67</v>
      </c>
      <c r="F3" s="10" t="str">
        <f>IFERROR(__xludf.DUMMYFUNCTION("""COMPUTED_VALUE"""),"")</f>
        <v/>
      </c>
      <c r="G3" s="10">
        <f>IFERROR(__xludf.DUMMYFUNCTION("""COMPUTED_VALUE"""),43.06581389438525)</f>
        <v>43.06581389</v>
      </c>
      <c r="H3" s="11">
        <f>IFERROR(__xludf.DUMMYFUNCTION("""COMPUTED_VALUE"""),46004.0)</f>
        <v>46004</v>
      </c>
      <c r="I3" s="12">
        <f>IFERROR(__xludf.DUMMYFUNCTION("""COMPUTED_VALUE"""),-0.3508014377395755)</f>
        <v>-0.3508014377</v>
      </c>
      <c r="J3" s="12">
        <f>IFERROR(__xludf.DUMMYFUNCTION("""COMPUTED_VALUE"""),0.183)</f>
        <v>0.183</v>
      </c>
      <c r="K3" s="9">
        <f>IFERROR(__xludf.DUMMYFUNCTION("""COMPUTED_VALUE"""),0.0)</f>
        <v>0</v>
      </c>
      <c r="L3" s="10">
        <f>IFERROR(__xludf.DUMMYFUNCTION("""COMPUTED_VALUE"""),3.989254339690423)</f>
        <v>3.98925434</v>
      </c>
    </row>
    <row r="4">
      <c r="A4" s="9" t="str">
        <f>IFERROR(__xludf.DUMMYFUNCTION("""COMPUTED_VALUE"""),"CEBR6")</f>
        <v>CEBR6</v>
      </c>
      <c r="B4" s="9">
        <f>IFERROR(__xludf.DUMMYFUNCTION("""COMPUTED_VALUE"""),645.0)</f>
        <v>645</v>
      </c>
      <c r="C4" s="10">
        <f>IFERROR(__xludf.DUMMYFUNCTION("""COMPUTED_VALUE"""),19.99)</f>
        <v>19.99</v>
      </c>
      <c r="D4" s="9">
        <f>IFERROR(__xludf.DUMMYFUNCTION("""COMPUTED_VALUE"""),2.0)</f>
        <v>2</v>
      </c>
      <c r="E4" s="10">
        <f>IFERROR(__xludf.DUMMYFUNCTION("""COMPUTED_VALUE"""),19.83)</f>
        <v>19.83</v>
      </c>
      <c r="F4" s="10">
        <f>IFERROR(__xludf.DUMMYFUNCTION("""COMPUTED_VALUE"""),23.291182264643044)</f>
        <v>23.29118226</v>
      </c>
      <c r="G4" s="10">
        <f>IFERROR(__xludf.DUMMYFUNCTION("""COMPUTED_VALUE"""),26.467252573458005)</f>
        <v>26.46725257</v>
      </c>
      <c r="H4" s="11">
        <f>IFERROR(__xludf.DUMMYFUNCTION("""COMPUTED_VALUE"""),46004.0)</f>
        <v>46004</v>
      </c>
      <c r="I4" s="12">
        <f>IFERROR(__xludf.DUMMYFUNCTION("""COMPUTED_VALUE"""),0.447127780738485)</f>
        <v>0.4471277807</v>
      </c>
      <c r="J4" s="12">
        <f>IFERROR(__xludf.DUMMYFUNCTION("""COMPUTED_VALUE"""),0.073)</f>
        <v>0.073</v>
      </c>
      <c r="K4" s="9">
        <f>IFERROR(__xludf.DUMMYFUNCTION("""COMPUTED_VALUE"""),-3.17)</f>
        <v>-3.17</v>
      </c>
      <c r="L4" s="10">
        <f>IFERROR(__xludf.DUMMYFUNCTION("""COMPUTED_VALUE"""),2.1173802058766404)</f>
        <v>2.117380206</v>
      </c>
    </row>
    <row r="5">
      <c r="A5" s="9" t="str">
        <f>IFERROR(__xludf.DUMMYFUNCTION("""COMPUTED_VALUE"""),"CXSE3")</f>
        <v>CXSE3</v>
      </c>
      <c r="B5" s="9">
        <f>IFERROR(__xludf.DUMMYFUNCTION("""COMPUTED_VALUE"""),1746.0)</f>
        <v>1746</v>
      </c>
      <c r="C5" s="10">
        <f>IFERROR(__xludf.DUMMYFUNCTION("""COMPUTED_VALUE"""),13.07)</f>
        <v>13.07</v>
      </c>
      <c r="D5" s="9">
        <f>IFERROR(__xludf.DUMMYFUNCTION("""COMPUTED_VALUE"""),4.0)</f>
        <v>4</v>
      </c>
      <c r="E5" s="10">
        <f>IFERROR(__xludf.DUMMYFUNCTION("""COMPUTED_VALUE"""),14.8)</f>
        <v>14.8</v>
      </c>
      <c r="F5" s="10">
        <f>IFERROR(__xludf.DUMMYFUNCTION("""COMPUTED_VALUE"""),14.519999999999998)</f>
        <v>14.52</v>
      </c>
      <c r="G5" s="10">
        <f>IFERROR(__xludf.DUMMYFUNCTION("""COMPUTED_VALUE"""),16.499999999999996)</f>
        <v>16.5</v>
      </c>
      <c r="H5" s="11">
        <f>IFERROR(__xludf.DUMMYFUNCTION("""COMPUTED_VALUE"""),46004.0)</f>
        <v>46004</v>
      </c>
      <c r="I5" s="12">
        <f>IFERROR(__xludf.DUMMYFUNCTION("""COMPUTED_VALUE"""),-0.09879032258064513)</f>
        <v>-0.09879032258</v>
      </c>
      <c r="J5" s="12">
        <f>IFERROR(__xludf.DUMMYFUNCTION("""COMPUTED_VALUE"""),0.197)</f>
        <v>0.197</v>
      </c>
      <c r="K5" s="9">
        <f>IFERROR(__xludf.DUMMYFUNCTION("""COMPUTED_VALUE"""),0.0)</f>
        <v>0</v>
      </c>
      <c r="L5" s="10">
        <f>IFERROR(__xludf.DUMMYFUNCTION("""COMPUTED_VALUE"""),1.3199999999999998)</f>
        <v>1.32</v>
      </c>
    </row>
    <row r="6">
      <c r="A6" s="9" t="str">
        <f>IFERROR(__xludf.DUMMYFUNCTION("""COMPUTED_VALUE"""),"LEVE3")</f>
        <v>LEVE3</v>
      </c>
      <c r="B6" s="9">
        <f>IFERROR(__xludf.DUMMYFUNCTION("""COMPUTED_VALUE"""),649.0)</f>
        <v>649</v>
      </c>
      <c r="C6" s="10">
        <f>IFERROR(__xludf.DUMMYFUNCTION("""COMPUTED_VALUE"""),31.17)</f>
        <v>31.17</v>
      </c>
      <c r="D6" s="9">
        <f>IFERROR(__xludf.DUMMYFUNCTION("""COMPUTED_VALUE"""),4.0)</f>
        <v>4</v>
      </c>
      <c r="E6" s="10">
        <f>IFERROR(__xludf.DUMMYFUNCTION("""COMPUTED_VALUE"""),32.69)</f>
        <v>32.69</v>
      </c>
      <c r="F6" s="10">
        <f>IFERROR(__xludf.DUMMYFUNCTION("""COMPUTED_VALUE"""),32.70645349309056)</f>
        <v>32.70645349</v>
      </c>
      <c r="G6" s="10">
        <f>IFERROR(__xludf.DUMMYFUNCTION("""COMPUTED_VALUE"""),37.16642442396654)</f>
        <v>37.16642442</v>
      </c>
      <c r="H6" s="11">
        <f>IFERROR(__xludf.DUMMYFUNCTION("""COMPUTED_VALUE"""),46004.0)</f>
        <v>46004</v>
      </c>
      <c r="I6" s="12">
        <f>IFERROR(__xludf.DUMMYFUNCTION("""COMPUTED_VALUE"""),-0.33011254608294927)</f>
        <v>-0.3301125461</v>
      </c>
      <c r="J6" s="12">
        <f>IFERROR(__xludf.DUMMYFUNCTION("""COMPUTED_VALUE"""),0.345)</f>
        <v>0.345</v>
      </c>
      <c r="K6" s="9">
        <f>IFERROR(__xludf.DUMMYFUNCTION("""COMPUTED_VALUE"""),0.87)</f>
        <v>0.87</v>
      </c>
      <c r="L6" s="10">
        <f>IFERROR(__xludf.DUMMYFUNCTION("""COMPUTED_VALUE"""),2.973313953917323)</f>
        <v>2.973313954</v>
      </c>
    </row>
    <row r="7">
      <c r="A7" s="9" t="str">
        <f>IFERROR(__xludf.DUMMYFUNCTION("""COMPUTED_VALUE"""),"PETR4")</f>
        <v>PETR4</v>
      </c>
      <c r="B7" s="9">
        <f>IFERROR(__xludf.DUMMYFUNCTION("""COMPUTED_VALUE"""),517.0)</f>
        <v>517</v>
      </c>
      <c r="C7" s="10">
        <f>IFERROR(__xludf.DUMMYFUNCTION("""COMPUTED_VALUE"""),31.22)</f>
        <v>31.22</v>
      </c>
      <c r="D7" s="9">
        <f>IFERROR(__xludf.DUMMYFUNCTION("""COMPUTED_VALUE"""),4.0)</f>
        <v>4</v>
      </c>
      <c r="E7" s="9"/>
      <c r="F7" s="10" t="str">
        <f>IFERROR(__xludf.DUMMYFUNCTION("""COMPUTED_VALUE"""),"")</f>
        <v/>
      </c>
      <c r="G7" s="10">
        <f>IFERROR(__xludf.DUMMYFUNCTION("""COMPUTED_VALUE"""),38.0)</f>
        <v>38</v>
      </c>
      <c r="H7" s="11">
        <f>IFERROR(__xludf.DUMMYFUNCTION("""COMPUTED_VALUE"""),46004.0)</f>
        <v>46004</v>
      </c>
      <c r="I7" s="12">
        <f>IFERROR(__xludf.DUMMYFUNCTION("""COMPUTED_VALUE"""),-0.2703314194982258)</f>
        <v>-0.2703314195</v>
      </c>
      <c r="J7" s="12">
        <f>IFERROR(__xludf.DUMMYFUNCTION("""COMPUTED_VALUE"""),0.656)</f>
        <v>0.656</v>
      </c>
      <c r="K7" s="9">
        <f>IFERROR(__xludf.DUMMYFUNCTION("""COMPUTED_VALUE"""),1.53)</f>
        <v>1.53</v>
      </c>
      <c r="L7" s="10">
        <f>IFERROR(__xludf.DUMMYFUNCTION("""COMPUTED_VALUE"""),3.142279442906047)</f>
        <v>3.142279443</v>
      </c>
    </row>
    <row r="8">
      <c r="A8" s="9" t="str">
        <f>IFERROR(__xludf.DUMMYFUNCTION("""COMPUTED_VALUE"""),"RANI3")</f>
        <v>RANI3</v>
      </c>
      <c r="B8" s="9">
        <f>IFERROR(__xludf.DUMMYFUNCTION("""COMPUTED_VALUE"""),1460.0)</f>
        <v>1460</v>
      </c>
      <c r="C8" s="10">
        <f>IFERROR(__xludf.DUMMYFUNCTION("""COMPUTED_VALUE"""),7.09)</f>
        <v>7.09</v>
      </c>
      <c r="D8" s="9">
        <f>IFERROR(__xludf.DUMMYFUNCTION("""COMPUTED_VALUE"""),4.0)</f>
        <v>4</v>
      </c>
      <c r="E8" s="10">
        <f>IFERROR(__xludf.DUMMYFUNCTION("""COMPUTED_VALUE"""),7.0)</f>
        <v>7</v>
      </c>
      <c r="F8" s="10" t="str">
        <f>IFERROR(__xludf.DUMMYFUNCTION("""COMPUTED_VALUE"""),"")</f>
        <v/>
      </c>
      <c r="G8" s="10">
        <f>IFERROR(__xludf.DUMMYFUNCTION("""COMPUTED_VALUE"""),10.0)</f>
        <v>10</v>
      </c>
      <c r="H8" s="11">
        <f>IFERROR(__xludf.DUMMYFUNCTION("""COMPUTED_VALUE"""),46004.0)</f>
        <v>46004</v>
      </c>
      <c r="I8" s="12">
        <f>IFERROR(__xludf.DUMMYFUNCTION("""COMPUTED_VALUE"""),-0.24263359333600965)</f>
        <v>-0.2426335933</v>
      </c>
      <c r="J8" s="12">
        <f>IFERROR(__xludf.DUMMYFUNCTION("""COMPUTED_VALUE"""),0.33)</f>
        <v>0.33</v>
      </c>
      <c r="K8" s="9">
        <f>IFERROR(__xludf.DUMMYFUNCTION("""COMPUTED_VALUE"""),2.06)</f>
        <v>2.06</v>
      </c>
      <c r="L8" s="10">
        <f>IFERROR(__xludf.DUMMYFUNCTION("""COMPUTED_VALUE"""),0.7788045790544295)</f>
        <v>0.7788045791</v>
      </c>
    </row>
    <row r="9">
      <c r="A9" s="9" t="str">
        <f>IFERROR(__xludf.DUMMYFUNCTION("""COMPUTED_VALUE"""),"VULC3")</f>
        <v>VULC3</v>
      </c>
      <c r="B9" s="9">
        <f>IFERROR(__xludf.DUMMYFUNCTION("""COMPUTED_VALUE"""),842.0)</f>
        <v>842</v>
      </c>
      <c r="C9" s="10">
        <f>IFERROR(__xludf.DUMMYFUNCTION("""COMPUTED_VALUE"""),19.94)</f>
        <v>19.94</v>
      </c>
      <c r="D9" s="9">
        <f>IFERROR(__xludf.DUMMYFUNCTION("""COMPUTED_VALUE"""),6.0)</f>
        <v>6</v>
      </c>
      <c r="E9" s="9"/>
      <c r="F9" s="10" t="str">
        <f>IFERROR(__xludf.DUMMYFUNCTION("""COMPUTED_VALUE"""),"")</f>
        <v/>
      </c>
      <c r="G9" s="10">
        <f>IFERROR(__xludf.DUMMYFUNCTION("""COMPUTED_VALUE"""),23.91508972348553)</f>
        <v>23.91508972</v>
      </c>
      <c r="H9" s="11">
        <f>IFERROR(__xludf.DUMMYFUNCTION("""COMPUTED_VALUE"""),46004.0)</f>
        <v>46004</v>
      </c>
      <c r="I9" s="12">
        <f>IFERROR(__xludf.DUMMYFUNCTION("""COMPUTED_VALUE"""),-0.025758570140350878)</f>
        <v>-0.02575857014</v>
      </c>
      <c r="J9" s="12">
        <f>IFERROR(__xludf.DUMMYFUNCTION("""COMPUTED_VALUE"""),0.795)</f>
        <v>0.795</v>
      </c>
      <c r="K9" s="9">
        <f>IFERROR(__xludf.DUMMYFUNCTION("""COMPUTED_VALUE"""),0.02)</f>
        <v>0.02</v>
      </c>
      <c r="L9" s="10">
        <f>IFERROR(__xludf.DUMMYFUNCTION("""COMPUTED_VALUE"""),2.03278262649627)</f>
        <v>2.032782626</v>
      </c>
    </row>
    <row r="10">
      <c r="A10" s="9" t="str">
        <f>IFERROR(__xludf.DUMMYFUNCTION("""COMPUTED_VALUE"""),"CGAS5")</f>
        <v>CGAS5</v>
      </c>
      <c r="B10" s="9">
        <f>IFERROR(__xludf.DUMMYFUNCTION("""COMPUTED_VALUE"""),40.0)</f>
        <v>40</v>
      </c>
      <c r="C10" s="10">
        <f>IFERROR(__xludf.DUMMYFUNCTION("""COMPUTED_VALUE"""),126.72)</f>
        <v>126.72</v>
      </c>
      <c r="D10" s="9">
        <f>IFERROR(__xludf.DUMMYFUNCTION("""COMPUTED_VALUE"""),1.0)</f>
        <v>1</v>
      </c>
      <c r="E10" s="10">
        <f>IFERROR(__xludf.DUMMYFUNCTION("""COMPUTED_VALUE"""),126.0)</f>
        <v>126</v>
      </c>
      <c r="F10" s="10">
        <f>IFERROR(__xludf.DUMMYFUNCTION("""COMPUTED_VALUE"""),116.20799722308162)</f>
        <v>116.2079972</v>
      </c>
      <c r="G10" s="10">
        <f>IFERROR(__xludf.DUMMYFUNCTION("""COMPUTED_VALUE"""),132.0545422989564)</f>
        <v>132.0545423</v>
      </c>
      <c r="H10" s="11">
        <f>IFERROR(__xludf.DUMMYFUNCTION("""COMPUTED_VALUE"""),46004.0)</f>
        <v>46004</v>
      </c>
      <c r="I10" s="12">
        <f>IFERROR(__xludf.DUMMYFUNCTION("""COMPUTED_VALUE"""),0.05726183771929816)</f>
        <v>0.05726183772</v>
      </c>
      <c r="J10" s="12">
        <f>IFERROR(__xludf.DUMMYFUNCTION("""COMPUTED_VALUE"""),0.0684)</f>
        <v>0.0684</v>
      </c>
      <c r="K10" s="9">
        <f>IFERROR(__xludf.DUMMYFUNCTION("""COMPUTED_VALUE"""),1.8)</f>
        <v>1.8</v>
      </c>
      <c r="L10" s="10">
        <f>IFERROR(__xludf.DUMMYFUNCTION("""COMPUTED_VALUE"""),10.564363383916511)</f>
        <v>10.56436338</v>
      </c>
    </row>
    <row r="11">
      <c r="A11" s="9" t="str">
        <f>IFERROR(__xludf.DUMMYFUNCTION("""COMPUTED_VALUE"""),"CEBR5")</f>
        <v>CEBR5</v>
      </c>
      <c r="B11" s="9">
        <f>IFERROR(__xludf.DUMMYFUNCTION("""COMPUTED_VALUE"""),0.0)</f>
        <v>0</v>
      </c>
      <c r="C11" s="10">
        <f>IFERROR(__xludf.DUMMYFUNCTION("""COMPUTED_VALUE"""),0.0)</f>
        <v>0</v>
      </c>
      <c r="D11" s="9">
        <f>IFERROR(__xludf.DUMMYFUNCTION("""COMPUTED_VALUE"""),2.0)</f>
        <v>2</v>
      </c>
      <c r="E11" s="10">
        <f>IFERROR(__xludf.DUMMYFUNCTION("""COMPUTED_VALUE"""),18.03)</f>
        <v>18.03</v>
      </c>
      <c r="F11" s="10">
        <f>IFERROR(__xludf.DUMMYFUNCTION("""COMPUTED_VALUE"""),21.173802058766405)</f>
        <v>21.17380206</v>
      </c>
      <c r="G11" s="10">
        <f>IFERROR(__xludf.DUMMYFUNCTION("""COMPUTED_VALUE"""),24.06113870314364)</f>
        <v>24.0611387</v>
      </c>
      <c r="H11" s="11">
        <f>IFERROR(__xludf.DUMMYFUNCTION("""COMPUTED_VALUE"""),46004.0)</f>
        <v>46004</v>
      </c>
      <c r="I11" s="12">
        <f>IFERROR(__xludf.DUMMYFUNCTION("""COMPUTED_VALUE"""),0.2951162542824515)</f>
        <v>0.2951162543</v>
      </c>
      <c r="J11" s="12">
        <f>IFERROR(__xludf.DUMMYFUNCTION("""COMPUTED_VALUE"""),0.073)</f>
        <v>0.073</v>
      </c>
      <c r="K11" s="9">
        <f>IFERROR(__xludf.DUMMYFUNCTION("""COMPUTED_VALUE"""),-3.17)</f>
        <v>-3.17</v>
      </c>
      <c r="L11" s="10">
        <f>IFERROR(__xludf.DUMMYFUNCTION("""COMPUTED_VALUE"""),1.9248910962514914)</f>
        <v>1.924891096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1.38"/>
    <col customWidth="1" min="3" max="3" width="15.38"/>
    <col customWidth="1" min="4" max="4" width="17.88"/>
    <col customWidth="1" min="5" max="5" width="12.5"/>
    <col customWidth="1" min="6" max="6" width="11.63"/>
    <col customWidth="1" min="8" max="8" width="4.75"/>
    <col customWidth="1" min="9" max="9" width="11.63"/>
    <col customWidth="1" min="10" max="10" width="11.75"/>
    <col customWidth="1" min="11" max="11" width="28.88"/>
  </cols>
  <sheetData>
    <row r="1">
      <c r="A1" s="9" t="str">
        <f>IFERROR(__xludf.DUMMYFUNCTION("IMPORTRANGE(""https://docs.google.com/spreadsheets/d/1iYr1ABX5E5xD5hdpo7T57xV80Bd6YZfcnip7j3Ia3No/edit?gid=1176541019#gid=1176541019"",""'Renda-Proj.'!A1:K12"")"),"Ticker")</f>
        <v>Ticker</v>
      </c>
      <c r="B1" s="9" t="str">
        <f>IFERROR(__xludf.DUMMYFUNCTION("""COMPUTED_VALUE"""),"Qtd. de ações")</f>
        <v>Qtd. de ações</v>
      </c>
      <c r="C1" s="9" t="str">
        <f>IFERROR(__xludf.DUMMYFUNCTION("""COMPUTED_VALUE"""),"Dividendo por ação")</f>
        <v>Dividendo por ação</v>
      </c>
      <c r="D1" s="9" t="str">
        <f>IFERROR(__xludf.DUMMYFUNCTION("""COMPUTED_VALUE"""),"Renda anual esperada")</f>
        <v>Renda anual esperada</v>
      </c>
      <c r="E1" s="9" t="str">
        <f>IFERROR(__xludf.DUMMYFUNCTION("""COMPUTED_VALUE"""),"Capital alocado")</f>
        <v>Capital alocado</v>
      </c>
      <c r="F1" s="9" t="str">
        <f>IFERROR(__xludf.DUMMYFUNCTION("""COMPUTED_VALUE"""),"Dividend Yield")</f>
        <v>Dividend Yield</v>
      </c>
      <c r="G1" s="9"/>
      <c r="H1" s="9" t="str">
        <f>IFERROR(__xludf.DUMMYFUNCTION("""COMPUTED_VALUE"""),"Ano")</f>
        <v>Ano</v>
      </c>
      <c r="I1" s="9" t="str">
        <f>IFERROR(__xludf.DUMMYFUNCTION("""COMPUTED_VALUE"""),"Renda Anual")</f>
        <v>Renda Anual</v>
      </c>
      <c r="J1" s="9" t="str">
        <f>IFERROR(__xludf.DUMMYFUNCTION("""COMPUTED_VALUE"""),"Renda Mensal")</f>
        <v>Renda Mensal</v>
      </c>
      <c r="K1" s="9" t="str">
        <f>IFERROR(__xludf.DUMMYFUNCTION("""COMPUTED_VALUE"""),"Taxa de crescimento (vs ano anterior)")</f>
        <v>Taxa de crescimento (vs ano anterior)</v>
      </c>
    </row>
    <row r="2">
      <c r="A2" s="9" t="str">
        <f>IFERROR(__xludf.DUMMYFUNCTION("""COMPUTED_VALUE"""),"BBAS3")</f>
        <v>BBAS3</v>
      </c>
      <c r="B2" s="9">
        <f>IFERROR(__xludf.DUMMYFUNCTION("""COMPUTED_VALUE"""),4167.0)</f>
        <v>4167</v>
      </c>
      <c r="C2" s="10">
        <f>IFERROR(__xludf.DUMMYFUNCTION("""COMPUTED_VALUE"""),0.9038841560708688)</f>
        <v>0.9038841561</v>
      </c>
      <c r="D2" s="13">
        <f>IFERROR(__xludf.DUMMYFUNCTION("""COMPUTED_VALUE"""),3766.48527834731)</f>
        <v>3766.485278</v>
      </c>
      <c r="E2" s="10">
        <f>IFERROR(__xludf.DUMMYFUNCTION("""COMPUTED_VALUE"""),90423.9)</f>
        <v>90423.9</v>
      </c>
      <c r="F2" s="14">
        <f>IFERROR(__xludf.DUMMYFUNCTION("""COMPUTED_VALUE"""),0.041653647745201326)</f>
        <v>0.04165364775</v>
      </c>
      <c r="G2" s="9"/>
      <c r="H2" s="9">
        <f>IFERROR(__xludf.DUMMYFUNCTION("""COMPUTED_VALUE"""),2026.0)</f>
        <v>2026</v>
      </c>
      <c r="I2" s="15">
        <f>IFERROR(__xludf.DUMMYFUNCTION("""COMPUTED_VALUE"""),29764.62929553548)</f>
        <v>29764.6293</v>
      </c>
      <c r="J2" s="15">
        <f>IFERROR(__xludf.DUMMYFUNCTION("""COMPUTED_VALUE"""),2480.385774627957)</f>
        <v>2480.385775</v>
      </c>
      <c r="K2" s="9"/>
    </row>
    <row r="3">
      <c r="A3" s="9" t="str">
        <f>IFERROR(__xludf.DUMMYFUNCTION("""COMPUTED_VALUE"""),"BBSE3")</f>
        <v>BBSE3</v>
      </c>
      <c r="B3" s="9">
        <f>IFERROR(__xludf.DUMMYFUNCTION("""COMPUTED_VALUE"""),3886.0)</f>
        <v>3886</v>
      </c>
      <c r="C3" s="10">
        <f>IFERROR(__xludf.DUMMYFUNCTION("""COMPUTED_VALUE"""),3.989254339690423)</f>
        <v>3.98925434</v>
      </c>
      <c r="D3" s="13">
        <f>IFERROR(__xludf.DUMMYFUNCTION("""COMPUTED_VALUE"""),15502.242364036985)</f>
        <v>15502.24236</v>
      </c>
      <c r="E3" s="10">
        <f>IFERROR(__xludf.DUMMYFUNCTION("""COMPUTED_VALUE"""),138380.46)</f>
        <v>138380.46</v>
      </c>
      <c r="F3" s="14">
        <f>IFERROR(__xludf.DUMMYFUNCTION("""COMPUTED_VALUE"""),0.11202623812666171)</f>
        <v>0.1120262381</v>
      </c>
      <c r="G3" s="9"/>
      <c r="H3" s="9">
        <f>IFERROR(__xludf.DUMMYFUNCTION("""COMPUTED_VALUE"""),2027.0)</f>
        <v>2027</v>
      </c>
      <c r="I3" s="15">
        <f>IFERROR(__xludf.DUMMYFUNCTION("""COMPUTED_VALUE"""),41670.48101374967)</f>
        <v>41670.48101</v>
      </c>
      <c r="J3" s="15">
        <f>IFERROR(__xludf.DUMMYFUNCTION("""COMPUTED_VALUE"""),3472.540084479139)</f>
        <v>3472.540084</v>
      </c>
      <c r="K3" s="16">
        <f>IFERROR(__xludf.DUMMYFUNCTION("""COMPUTED_VALUE"""),0.4)</f>
        <v>0.4</v>
      </c>
    </row>
    <row r="4">
      <c r="A4" s="9" t="str">
        <f>IFERROR(__xludf.DUMMYFUNCTION("""COMPUTED_VALUE"""),"CEBR6")</f>
        <v>CEBR6</v>
      </c>
      <c r="B4" s="9">
        <f>IFERROR(__xludf.DUMMYFUNCTION("""COMPUTED_VALUE"""),645.0)</f>
        <v>645</v>
      </c>
      <c r="C4" s="10">
        <f>IFERROR(__xludf.DUMMYFUNCTION("""COMPUTED_VALUE"""),2.1173802058766404)</f>
        <v>2.117380206</v>
      </c>
      <c r="D4" s="13">
        <f>IFERROR(__xludf.DUMMYFUNCTION("""COMPUTED_VALUE"""),1365.710232790433)</f>
        <v>1365.710233</v>
      </c>
      <c r="E4" s="10">
        <f>IFERROR(__xludf.DUMMYFUNCTION("""COMPUTED_VALUE"""),17008.65)</f>
        <v>17008.65</v>
      </c>
      <c r="F4" s="14">
        <f>IFERROR(__xludf.DUMMYFUNCTION("""COMPUTED_VALUE"""),0.08029504004082823)</f>
        <v>0.08029504004</v>
      </c>
      <c r="G4" s="9"/>
      <c r="H4" s="9">
        <f>IFERROR(__xludf.DUMMYFUNCTION("""COMPUTED_VALUE"""),2028.0)</f>
        <v>2028</v>
      </c>
      <c r="I4" s="15">
        <f>IFERROR(__xludf.DUMMYFUNCTION("""COMPUTED_VALUE"""),58338.67341924953)</f>
        <v>58338.67342</v>
      </c>
      <c r="J4" s="15">
        <f>IFERROR(__xludf.DUMMYFUNCTION("""COMPUTED_VALUE"""),4861.556118270794)</f>
        <v>4861.556118</v>
      </c>
      <c r="K4" s="16">
        <f>IFERROR(__xludf.DUMMYFUNCTION("""COMPUTED_VALUE"""),0.4)</f>
        <v>0.4</v>
      </c>
    </row>
    <row r="5">
      <c r="A5" s="9" t="str">
        <f>IFERROR(__xludf.DUMMYFUNCTION("""COMPUTED_VALUE"""),"CXSE3")</f>
        <v>CXSE3</v>
      </c>
      <c r="B5" s="9">
        <f>IFERROR(__xludf.DUMMYFUNCTION("""COMPUTED_VALUE"""),1746.0)</f>
        <v>1746</v>
      </c>
      <c r="C5" s="10">
        <f>IFERROR(__xludf.DUMMYFUNCTION("""COMPUTED_VALUE"""),1.3199999999999998)</f>
        <v>1.32</v>
      </c>
      <c r="D5" s="13">
        <f>IFERROR(__xludf.DUMMYFUNCTION("""COMPUTED_VALUE"""),2304.72)</f>
        <v>2304.72</v>
      </c>
      <c r="E5" s="10">
        <f>IFERROR(__xludf.DUMMYFUNCTION("""COMPUTED_VALUE"""),28616.940000000002)</f>
        <v>28616.94</v>
      </c>
      <c r="F5" s="14">
        <f>IFERROR(__xludf.DUMMYFUNCTION("""COMPUTED_VALUE"""),0.08053691275167783)</f>
        <v>0.08053691275</v>
      </c>
      <c r="G5" s="9"/>
      <c r="H5" s="9">
        <f>IFERROR(__xludf.DUMMYFUNCTION("""COMPUTED_VALUE"""),2029.0)</f>
        <v>2029</v>
      </c>
      <c r="I5" s="15">
        <f>IFERROR(__xludf.DUMMYFUNCTION("""COMPUTED_VALUE"""),81674.14278694933)</f>
        <v>81674.14279</v>
      </c>
      <c r="J5" s="15">
        <f>IFERROR(__xludf.DUMMYFUNCTION("""COMPUTED_VALUE"""),6806.178565579111)</f>
        <v>6806.178566</v>
      </c>
      <c r="K5" s="16">
        <f>IFERROR(__xludf.DUMMYFUNCTION("""COMPUTED_VALUE"""),0.4)</f>
        <v>0.4</v>
      </c>
    </row>
    <row r="6">
      <c r="A6" s="9" t="str">
        <f>IFERROR(__xludf.DUMMYFUNCTION("""COMPUTED_VALUE"""),"LEVE3")</f>
        <v>LEVE3</v>
      </c>
      <c r="B6" s="9">
        <f>IFERROR(__xludf.DUMMYFUNCTION("""COMPUTED_VALUE"""),649.0)</f>
        <v>649</v>
      </c>
      <c r="C6" s="10">
        <f>IFERROR(__xludf.DUMMYFUNCTION("""COMPUTED_VALUE"""),2.973313953917323)</f>
        <v>2.973313954</v>
      </c>
      <c r="D6" s="13">
        <f>IFERROR(__xludf.DUMMYFUNCTION("""COMPUTED_VALUE"""),1929.6807560923426)</f>
        <v>1929.680756</v>
      </c>
      <c r="E6" s="10">
        <f>IFERROR(__xludf.DUMMYFUNCTION("""COMPUTED_VALUE"""),22273.68)</f>
        <v>22273.68</v>
      </c>
      <c r="F6" s="14">
        <f>IFERROR(__xludf.DUMMYFUNCTION("""COMPUTED_VALUE"""),0.08663502196728796)</f>
        <v>0.08663502197</v>
      </c>
      <c r="G6" s="9"/>
      <c r="H6" s="9">
        <f>IFERROR(__xludf.DUMMYFUNCTION("""COMPUTED_VALUE"""),2030.0)</f>
        <v>2030</v>
      </c>
      <c r="I6" s="15">
        <f>IFERROR(__xludf.DUMMYFUNCTION("""COMPUTED_VALUE"""),106176.38562303413)</f>
        <v>106176.3856</v>
      </c>
      <c r="J6" s="15">
        <f>IFERROR(__xludf.DUMMYFUNCTION("""COMPUTED_VALUE"""),8848.032135252844)</f>
        <v>8848.032135</v>
      </c>
      <c r="K6" s="16">
        <f>IFERROR(__xludf.DUMMYFUNCTION("""COMPUTED_VALUE"""),0.3)</f>
        <v>0.3</v>
      </c>
    </row>
    <row r="7">
      <c r="A7" s="9" t="str">
        <f>IFERROR(__xludf.DUMMYFUNCTION("""COMPUTED_VALUE"""),"PETR4")</f>
        <v>PETR4</v>
      </c>
      <c r="B7" s="9">
        <f>IFERROR(__xludf.DUMMYFUNCTION("""COMPUTED_VALUE"""),517.0)</f>
        <v>517</v>
      </c>
      <c r="C7" s="10">
        <f>IFERROR(__xludf.DUMMYFUNCTION("""COMPUTED_VALUE"""),3.142279442906047)</f>
        <v>3.142279443</v>
      </c>
      <c r="D7" s="13">
        <f>IFERROR(__xludf.DUMMYFUNCTION("""COMPUTED_VALUE"""),1624.5584719824265)</f>
        <v>1624.558472</v>
      </c>
      <c r="E7" s="10">
        <f>IFERROR(__xludf.DUMMYFUNCTION("""COMPUTED_VALUE"""),16332.03)</f>
        <v>16332.03</v>
      </c>
      <c r="F7" s="14">
        <f>IFERROR(__xludf.DUMMYFUNCTION("""COMPUTED_VALUE"""),0.09947070094669348)</f>
        <v>0.09947070095</v>
      </c>
      <c r="G7" s="9"/>
      <c r="H7" s="9">
        <f>IFERROR(__xludf.DUMMYFUNCTION("""COMPUTED_VALUE"""),2031.0)</f>
        <v>2031</v>
      </c>
      <c r="I7" s="15">
        <f>IFERROR(__xludf.DUMMYFUNCTION("""COMPUTED_VALUE"""),138029.3013099444)</f>
        <v>138029.3013</v>
      </c>
      <c r="J7" s="15">
        <f>IFERROR(__xludf.DUMMYFUNCTION("""COMPUTED_VALUE"""),11502.4417758287)</f>
        <v>11502.44178</v>
      </c>
      <c r="K7" s="16">
        <f>IFERROR(__xludf.DUMMYFUNCTION("""COMPUTED_VALUE"""),0.3)</f>
        <v>0.3</v>
      </c>
    </row>
    <row r="8">
      <c r="A8" s="9" t="str">
        <f>IFERROR(__xludf.DUMMYFUNCTION("""COMPUTED_VALUE"""),"RANI3")</f>
        <v>RANI3</v>
      </c>
      <c r="B8" s="9">
        <f>IFERROR(__xludf.DUMMYFUNCTION("""COMPUTED_VALUE"""),1460.0)</f>
        <v>1460</v>
      </c>
      <c r="C8" s="10">
        <f>IFERROR(__xludf.DUMMYFUNCTION("""COMPUTED_VALUE"""),0.7788045790544295)</f>
        <v>0.7788045791</v>
      </c>
      <c r="D8" s="13">
        <f>IFERROR(__xludf.DUMMYFUNCTION("""COMPUTED_VALUE"""),1137.054685419467)</f>
        <v>1137.054685</v>
      </c>
      <c r="E8" s="10">
        <f>IFERROR(__xludf.DUMMYFUNCTION("""COMPUTED_VALUE"""),12453.8)</f>
        <v>12453.8</v>
      </c>
      <c r="F8" s="14">
        <f>IFERROR(__xludf.DUMMYFUNCTION("""COMPUTED_VALUE"""),0.09130182638387216)</f>
        <v>0.09130182638</v>
      </c>
      <c r="G8" s="9"/>
      <c r="H8" s="9">
        <f>IFERROR(__xludf.DUMMYFUNCTION("""COMPUTED_VALUE"""),2032.0)</f>
        <v>2032</v>
      </c>
      <c r="I8" s="15">
        <f>IFERROR(__xludf.DUMMYFUNCTION("""COMPUTED_VALUE"""),179438.09170292772)</f>
        <v>179438.0917</v>
      </c>
      <c r="J8" s="15">
        <f>IFERROR(__xludf.DUMMYFUNCTION("""COMPUTED_VALUE"""),14953.17430857731)</f>
        <v>14953.17431</v>
      </c>
      <c r="K8" s="16">
        <f>IFERROR(__xludf.DUMMYFUNCTION("""COMPUTED_VALUE"""),0.3)</f>
        <v>0.3</v>
      </c>
    </row>
    <row r="9">
      <c r="A9" s="9" t="str">
        <f>IFERROR(__xludf.DUMMYFUNCTION("""COMPUTED_VALUE"""),"VULC3")</f>
        <v>VULC3</v>
      </c>
      <c r="B9" s="9">
        <f>IFERROR(__xludf.DUMMYFUNCTION("""COMPUTED_VALUE"""),842.0)</f>
        <v>842</v>
      </c>
      <c r="C9" s="10">
        <f>IFERROR(__xludf.DUMMYFUNCTION("""COMPUTED_VALUE"""),2.03278262649627)</f>
        <v>2.032782626</v>
      </c>
      <c r="D9" s="13">
        <f>IFERROR(__xludf.DUMMYFUNCTION("""COMPUTED_VALUE"""),1711.6029715098593)</f>
        <v>1711.602972</v>
      </c>
      <c r="E9" s="10">
        <f>IFERROR(__xludf.DUMMYFUNCTION("""COMPUTED_VALUE"""),17218.899999999998)</f>
        <v>17218.9</v>
      </c>
      <c r="F9" s="14">
        <f>IFERROR(__xludf.DUMMYFUNCTION("""COMPUTED_VALUE"""),0.0994025734228005)</f>
        <v>0.09940257342</v>
      </c>
      <c r="G9" s="9"/>
      <c r="H9" s="9">
        <f>IFERROR(__xludf.DUMMYFUNCTION("""COMPUTED_VALUE"""),2033.0)</f>
        <v>2033</v>
      </c>
      <c r="I9" s="15">
        <f>IFERROR(__xludf.DUMMYFUNCTION("""COMPUTED_VALUE"""),215325.71004351325)</f>
        <v>215325.71</v>
      </c>
      <c r="J9" s="15">
        <f>IFERROR(__xludf.DUMMYFUNCTION("""COMPUTED_VALUE"""),17943.80917029277)</f>
        <v>17943.80917</v>
      </c>
      <c r="K9" s="16">
        <f>IFERROR(__xludf.DUMMYFUNCTION("""COMPUTED_VALUE"""),0.2)</f>
        <v>0.2</v>
      </c>
    </row>
    <row r="10">
      <c r="A10" s="9" t="str">
        <f>IFERROR(__xludf.DUMMYFUNCTION("""COMPUTED_VALUE"""),"CGAS5")</f>
        <v>CGAS5</v>
      </c>
      <c r="B10" s="9">
        <f>IFERROR(__xludf.DUMMYFUNCTION("""COMPUTED_VALUE"""),40.0)</f>
        <v>40</v>
      </c>
      <c r="C10" s="10">
        <f>IFERROR(__xludf.DUMMYFUNCTION("""COMPUTED_VALUE"""),10.564363383916511)</f>
        <v>10.56436338</v>
      </c>
      <c r="D10" s="13">
        <f>IFERROR(__xludf.DUMMYFUNCTION("""COMPUTED_VALUE"""),422.5745353566605)</f>
        <v>422.5745354</v>
      </c>
      <c r="E10" s="10">
        <f>IFERROR(__xludf.DUMMYFUNCTION("""COMPUTED_VALUE"""),5093.2)</f>
        <v>5093.2</v>
      </c>
      <c r="F10" s="14">
        <f>IFERROR(__xludf.DUMMYFUNCTION("""COMPUTED_VALUE"""),0.08296837653276143)</f>
        <v>0.08296837653</v>
      </c>
      <c r="G10" s="9"/>
      <c r="H10" s="9">
        <f>IFERROR(__xludf.DUMMYFUNCTION("""COMPUTED_VALUE"""),2034.0)</f>
        <v>2034</v>
      </c>
      <c r="I10" s="15">
        <f>IFERROR(__xludf.DUMMYFUNCTION("""COMPUTED_VALUE"""),258390.8520522159)</f>
        <v>258390.8521</v>
      </c>
      <c r="J10" s="15">
        <f>IFERROR(__xludf.DUMMYFUNCTION("""COMPUTED_VALUE"""),21532.571004351325)</f>
        <v>21532.571</v>
      </c>
      <c r="K10" s="16">
        <f>IFERROR(__xludf.DUMMYFUNCTION("""COMPUTED_VALUE"""),0.2)</f>
        <v>0.2</v>
      </c>
    </row>
    <row r="11">
      <c r="A11" s="9"/>
      <c r="B11" s="9"/>
      <c r="C11" s="9"/>
      <c r="D11" s="9"/>
      <c r="E11" s="9"/>
      <c r="F11" s="9"/>
      <c r="G11" s="9"/>
      <c r="H11" s="9">
        <f>IFERROR(__xludf.DUMMYFUNCTION("""COMPUTED_VALUE"""),2035.0)</f>
        <v>2035</v>
      </c>
      <c r="I11" s="15">
        <f>IFERROR(__xludf.DUMMYFUNCTION("""COMPUTED_VALUE"""),297149.4798600483)</f>
        <v>297149.4799</v>
      </c>
      <c r="J11" s="15">
        <f>IFERROR(__xludf.DUMMYFUNCTION("""COMPUTED_VALUE"""),24762.45665500402)</f>
        <v>24762.45666</v>
      </c>
      <c r="K11" s="16">
        <f>IFERROR(__xludf.DUMMYFUNCTION("""COMPUTED_VALUE"""),0.15)</f>
        <v>0.15</v>
      </c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9.5"/>
    <col customWidth="1" min="3" max="3" width="4.13"/>
    <col customWidth="1" min="4" max="4" width="9.0"/>
    <col customWidth="1" min="5" max="5" width="4.75"/>
    <col customWidth="1" min="6" max="6" width="8.75"/>
  </cols>
  <sheetData>
    <row r="1">
      <c r="A1" s="9" t="str">
        <f>IFERROR(__xludf.DUMMYFUNCTION("IMPORTRANGE(""https://docs.google.com/spreadsheets/d/1iYr1ABX5E5xD5hdpo7T57xV80Bd6YZfcnip7j3Ia3No/edit?gid=153321439#gid=153321439"",""'Prov.B3'!Z2:AE1000"")"),"Ticker")</f>
        <v>Ticker</v>
      </c>
      <c r="B1" s="17" t="str">
        <f>IFERROR(__xludf.DUMMYFUNCTION("""COMPUTED_VALUE"""),"Pagamento")</f>
        <v>Pagamento</v>
      </c>
      <c r="C1" s="9" t="str">
        <f>IFERROR(__xludf.DUMMYFUNCTION("""COMPUTED_VALUE"""),"Mês")</f>
        <v>Mês</v>
      </c>
      <c r="D1" s="9" t="str">
        <f>IFERROR(__xludf.DUMMYFUNCTION("""COMPUTED_VALUE"""),"Referencia")</f>
        <v>Referencia</v>
      </c>
      <c r="E1" s="9" t="str">
        <f>IFERROR(__xludf.DUMMYFUNCTION("""COMPUTED_VALUE"""),"Valor")</f>
        <v>Valor</v>
      </c>
      <c r="F1" s="9" t="str">
        <f>IFERROR(__xludf.DUMMYFUNCTION("""COMPUTED_VALUE"""),"Valor Total")</f>
        <v>Valor Total</v>
      </c>
    </row>
    <row r="2">
      <c r="A2" s="9" t="str">
        <f>IFERROR(__xludf.DUMMYFUNCTION("""COMPUTED_VALUE"""),"IBFF11")</f>
        <v>IBFF11</v>
      </c>
      <c r="B2" s="17">
        <f>IFERROR(__xludf.DUMMYFUNCTION("""COMPUTED_VALUE"""),43788.0)</f>
        <v>43788</v>
      </c>
      <c r="C2" s="9">
        <f>IFERROR(__xludf.DUMMYFUNCTION("""COMPUTED_VALUE"""),11.0)</f>
        <v>11</v>
      </c>
      <c r="D2" s="9">
        <f>IFERROR(__xludf.DUMMYFUNCTION("""COMPUTED_VALUE"""),2019.0)</f>
        <v>2019</v>
      </c>
      <c r="E2" s="9">
        <f>IFERROR(__xludf.DUMMYFUNCTION("""COMPUTED_VALUE"""),0.0)</f>
        <v>0</v>
      </c>
      <c r="F2" s="9">
        <f>IFERROR(__xludf.DUMMYFUNCTION("""COMPUTED_VALUE"""),5.42)</f>
        <v>5.42</v>
      </c>
    </row>
    <row r="3">
      <c r="A3" s="9" t="str">
        <f>IFERROR(__xludf.DUMMYFUNCTION("""COMPUTED_VALUE"""),"AGRO3")</f>
        <v>AGRO3</v>
      </c>
      <c r="B3" s="17">
        <f>IFERROR(__xludf.DUMMYFUNCTION("""COMPUTED_VALUE"""),43783.0)</f>
        <v>43783</v>
      </c>
      <c r="C3" s="9">
        <f>IFERROR(__xludf.DUMMYFUNCTION("""COMPUTED_VALUE"""),11.0)</f>
        <v>11</v>
      </c>
      <c r="D3" s="9">
        <f>IFERROR(__xludf.DUMMYFUNCTION("""COMPUTED_VALUE"""),2019.0)</f>
        <v>2019</v>
      </c>
      <c r="E3" s="9">
        <f>IFERROR(__xludf.DUMMYFUNCTION("""COMPUTED_VALUE"""),0.93)</f>
        <v>0.93</v>
      </c>
      <c r="F3" s="9">
        <f>IFERROR(__xludf.DUMMYFUNCTION("""COMPUTED_VALUE"""),7.43)</f>
        <v>7.43</v>
      </c>
    </row>
    <row r="4">
      <c r="A4" s="9" t="str">
        <f>IFERROR(__xludf.DUMMYFUNCTION("""COMPUTED_VALUE"""),"BTCR11")</f>
        <v>BTCR11</v>
      </c>
      <c r="B4" s="17">
        <f>IFERROR(__xludf.DUMMYFUNCTION("""COMPUTED_VALUE"""),43783.0)</f>
        <v>43783</v>
      </c>
      <c r="C4" s="9">
        <f>IFERROR(__xludf.DUMMYFUNCTION("""COMPUTED_VALUE"""),11.0)</f>
        <v>11</v>
      </c>
      <c r="D4" s="9">
        <f>IFERROR(__xludf.DUMMYFUNCTION("""COMPUTED_VALUE"""),2019.0)</f>
        <v>2019</v>
      </c>
      <c r="E4" s="9">
        <f>IFERROR(__xludf.DUMMYFUNCTION("""COMPUTED_VALUE"""),0.0)</f>
        <v>0</v>
      </c>
      <c r="F4" s="9">
        <f>IFERROR(__xludf.DUMMYFUNCTION("""COMPUTED_VALUE"""),11.52)</f>
        <v>11.52</v>
      </c>
    </row>
    <row r="5">
      <c r="A5" s="9" t="str">
        <f>IFERROR(__xludf.DUMMYFUNCTION("""COMPUTED_VALUE"""),"OUJP11")</f>
        <v>OUJP11</v>
      </c>
      <c r="B5" s="17">
        <f>IFERROR(__xludf.DUMMYFUNCTION("""COMPUTED_VALUE"""),43783.0)</f>
        <v>43783</v>
      </c>
      <c r="C5" s="9">
        <f>IFERROR(__xludf.DUMMYFUNCTION("""COMPUTED_VALUE"""),11.0)</f>
        <v>11</v>
      </c>
      <c r="D5" s="9">
        <f>IFERROR(__xludf.DUMMYFUNCTION("""COMPUTED_VALUE"""),2019.0)</f>
        <v>2019</v>
      </c>
      <c r="E5" s="9">
        <f>IFERROR(__xludf.DUMMYFUNCTION("""COMPUTED_VALUE"""),0.0)</f>
        <v>0</v>
      </c>
      <c r="F5" s="9">
        <f>IFERROR(__xludf.DUMMYFUNCTION("""COMPUTED_VALUE"""),3.25)</f>
        <v>3.25</v>
      </c>
    </row>
    <row r="6">
      <c r="A6" s="9" t="str">
        <f>IFERROR(__xludf.DUMMYFUNCTION("""COMPUTED_VALUE"""),"ITUB4")</f>
        <v>ITUB4</v>
      </c>
      <c r="B6" s="17">
        <f>IFERROR(__xludf.DUMMYFUNCTION("""COMPUTED_VALUE"""),43770.0)</f>
        <v>43770</v>
      </c>
      <c r="C6" s="9">
        <f>IFERROR(__xludf.DUMMYFUNCTION("""COMPUTED_VALUE"""),11.0)</f>
        <v>11</v>
      </c>
      <c r="D6" s="9">
        <f>IFERROR(__xludf.DUMMYFUNCTION("""COMPUTED_VALUE"""),2019.0)</f>
        <v>2019</v>
      </c>
      <c r="E6" s="9">
        <f>IFERROR(__xludf.DUMMYFUNCTION("""COMPUTED_VALUE"""),0.02)</f>
        <v>0.02</v>
      </c>
      <c r="F6" s="9">
        <f>IFERROR(__xludf.DUMMYFUNCTION("""COMPUTED_VALUE"""),0.18)</f>
        <v>0.18</v>
      </c>
    </row>
    <row r="7">
      <c r="A7" s="9" t="str">
        <f>IFERROR(__xludf.DUMMYFUNCTION("""COMPUTED_VALUE"""),"BBDC4")</f>
        <v>BBDC4</v>
      </c>
      <c r="B7" s="17">
        <f>IFERROR(__xludf.DUMMYFUNCTION("""COMPUTED_VALUE"""),43829.0)</f>
        <v>43829</v>
      </c>
      <c r="C7" s="9">
        <f>IFERROR(__xludf.DUMMYFUNCTION("""COMPUTED_VALUE"""),12.0)</f>
        <v>12</v>
      </c>
      <c r="D7" s="9">
        <f>IFERROR(__xludf.DUMMYFUNCTION("""COMPUTED_VALUE"""),2019.0)</f>
        <v>2019</v>
      </c>
      <c r="E7" s="9">
        <f>IFERROR(__xludf.DUMMYFUNCTION("""COMPUTED_VALUE"""),0.55)</f>
        <v>0.55</v>
      </c>
      <c r="F7" s="9">
        <f>IFERROR(__xludf.DUMMYFUNCTION("""COMPUTED_VALUE"""),3.76)</f>
        <v>3.76</v>
      </c>
    </row>
    <row r="8">
      <c r="A8" s="9" t="str">
        <f>IFERROR(__xludf.DUMMYFUNCTION("""COMPUTED_VALUE"""),"CYRE3")</f>
        <v>CYRE3</v>
      </c>
      <c r="B8" s="17">
        <f>IFERROR(__xludf.DUMMYFUNCTION("""COMPUTED_VALUE"""),43819.0)</f>
        <v>43819</v>
      </c>
      <c r="C8" s="9">
        <f>IFERROR(__xludf.DUMMYFUNCTION("""COMPUTED_VALUE"""),12.0)</f>
        <v>12</v>
      </c>
      <c r="D8" s="9">
        <f>IFERROR(__xludf.DUMMYFUNCTION("""COMPUTED_VALUE"""),2019.0)</f>
        <v>2019</v>
      </c>
      <c r="E8" s="9">
        <f>IFERROR(__xludf.DUMMYFUNCTION("""COMPUTED_VALUE"""),1.04)</f>
        <v>1.04</v>
      </c>
      <c r="F8" s="9">
        <f>IFERROR(__xludf.DUMMYFUNCTION("""COMPUTED_VALUE"""),42.66)</f>
        <v>42.66</v>
      </c>
    </row>
    <row r="9">
      <c r="A9" s="9" t="str">
        <f>IFERROR(__xludf.DUMMYFUNCTION("""COMPUTED_VALUE"""),"IBFF11")</f>
        <v>IBFF11</v>
      </c>
      <c r="B9" s="17">
        <f>IFERROR(__xludf.DUMMYFUNCTION("""COMPUTED_VALUE"""),43816.0)</f>
        <v>43816</v>
      </c>
      <c r="C9" s="9">
        <f>IFERROR(__xludf.DUMMYFUNCTION("""COMPUTED_VALUE"""),12.0)</f>
        <v>12</v>
      </c>
      <c r="D9" s="9">
        <f>IFERROR(__xludf.DUMMYFUNCTION("""COMPUTED_VALUE"""),2019.0)</f>
        <v>2019</v>
      </c>
      <c r="E9" s="9">
        <f>IFERROR(__xludf.DUMMYFUNCTION("""COMPUTED_VALUE"""),0.0)</f>
        <v>0</v>
      </c>
      <c r="F9" s="9">
        <f>IFERROR(__xludf.DUMMYFUNCTION("""COMPUTED_VALUE"""),6.95)</f>
        <v>6.95</v>
      </c>
    </row>
    <row r="10">
      <c r="A10" s="9" t="str">
        <f>IFERROR(__xludf.DUMMYFUNCTION("""COMPUTED_VALUE"""),"BTCR11")</f>
        <v>BTCR11</v>
      </c>
      <c r="B10" s="17">
        <f>IFERROR(__xludf.DUMMYFUNCTION("""COMPUTED_VALUE"""),43812.0)</f>
        <v>43812</v>
      </c>
      <c r="C10" s="9">
        <f>IFERROR(__xludf.DUMMYFUNCTION("""COMPUTED_VALUE"""),12.0)</f>
        <v>12</v>
      </c>
      <c r="D10" s="9">
        <f>IFERROR(__xludf.DUMMYFUNCTION("""COMPUTED_VALUE"""),2019.0)</f>
        <v>2019</v>
      </c>
      <c r="E10" s="9">
        <f>IFERROR(__xludf.DUMMYFUNCTION("""COMPUTED_VALUE"""),0.0)</f>
        <v>0</v>
      </c>
      <c r="F10" s="9">
        <f>IFERROR(__xludf.DUMMYFUNCTION("""COMPUTED_VALUE"""),10.68)</f>
        <v>10.68</v>
      </c>
    </row>
    <row r="11">
      <c r="A11" s="9" t="str">
        <f>IFERROR(__xludf.DUMMYFUNCTION("""COMPUTED_VALUE"""),"OUJP11")</f>
        <v>OUJP11</v>
      </c>
      <c r="B11" s="17">
        <f>IFERROR(__xludf.DUMMYFUNCTION("""COMPUTED_VALUE"""),43812.0)</f>
        <v>43812</v>
      </c>
      <c r="C11" s="9">
        <f>IFERROR(__xludf.DUMMYFUNCTION("""COMPUTED_VALUE"""),12.0)</f>
        <v>12</v>
      </c>
      <c r="D11" s="9">
        <f>IFERROR(__xludf.DUMMYFUNCTION("""COMPUTED_VALUE"""),2019.0)</f>
        <v>2019</v>
      </c>
      <c r="E11" s="9">
        <f>IFERROR(__xludf.DUMMYFUNCTION("""COMPUTED_VALUE"""),0.0)</f>
        <v>0</v>
      </c>
      <c r="F11" s="9">
        <f>IFERROR(__xludf.DUMMYFUNCTION("""COMPUTED_VALUE"""),3.25)</f>
        <v>3.25</v>
      </c>
    </row>
    <row r="12">
      <c r="A12" s="9" t="str">
        <f>IFERROR(__xludf.DUMMYFUNCTION("""COMPUTED_VALUE"""),"ODPV3")</f>
        <v>ODPV3</v>
      </c>
      <c r="B12" s="17">
        <f>IFERROR(__xludf.DUMMYFUNCTION("""COMPUTED_VALUE"""),43805.0)</f>
        <v>43805</v>
      </c>
      <c r="C12" s="9">
        <f>IFERROR(__xludf.DUMMYFUNCTION("""COMPUTED_VALUE"""),12.0)</f>
        <v>12</v>
      </c>
      <c r="D12" s="9">
        <f>IFERROR(__xludf.DUMMYFUNCTION("""COMPUTED_VALUE"""),2019.0)</f>
        <v>2019</v>
      </c>
      <c r="E12" s="9">
        <f>IFERROR(__xludf.DUMMYFUNCTION("""COMPUTED_VALUE"""),0.04)</f>
        <v>0.04</v>
      </c>
      <c r="F12" s="9">
        <f>IFERROR(__xludf.DUMMYFUNCTION("""COMPUTED_VALUE"""),0.5)</f>
        <v>0.5</v>
      </c>
    </row>
    <row r="13">
      <c r="A13" s="9" t="str">
        <f>IFERROR(__xludf.DUMMYFUNCTION("""COMPUTED_VALUE"""),"IRBR3")</f>
        <v>IRBR3</v>
      </c>
      <c r="B13" s="17">
        <f>IFERROR(__xludf.DUMMYFUNCTION("""COMPUTED_VALUE"""),43804.0)</f>
        <v>43804</v>
      </c>
      <c r="C13" s="9">
        <f>IFERROR(__xludf.DUMMYFUNCTION("""COMPUTED_VALUE"""),12.0)</f>
        <v>12</v>
      </c>
      <c r="D13" s="9">
        <f>IFERROR(__xludf.DUMMYFUNCTION("""COMPUTED_VALUE"""),2019.0)</f>
        <v>2019</v>
      </c>
      <c r="E13" s="9">
        <f>IFERROR(__xludf.DUMMYFUNCTION("""COMPUTED_VALUE"""),0.21)</f>
        <v>0.21</v>
      </c>
      <c r="F13" s="9">
        <f>IFERROR(__xludf.DUMMYFUNCTION("""COMPUTED_VALUE"""),6.52)</f>
        <v>6.52</v>
      </c>
    </row>
    <row r="14">
      <c r="A14" s="9" t="str">
        <f>IFERROR(__xludf.DUMMYFUNCTION("""COMPUTED_VALUE"""),"TEND3")</f>
        <v>TEND3</v>
      </c>
      <c r="B14" s="17">
        <f>IFERROR(__xludf.DUMMYFUNCTION("""COMPUTED_VALUE"""),43803.0)</f>
        <v>43803</v>
      </c>
      <c r="C14" s="9">
        <f>IFERROR(__xludf.DUMMYFUNCTION("""COMPUTED_VALUE"""),12.0)</f>
        <v>12</v>
      </c>
      <c r="D14" s="9">
        <f>IFERROR(__xludf.DUMMYFUNCTION("""COMPUTED_VALUE"""),2019.0)</f>
        <v>2019</v>
      </c>
      <c r="E14" s="9">
        <f>IFERROR(__xludf.DUMMYFUNCTION("""COMPUTED_VALUE"""),0.16)</f>
        <v>0.16</v>
      </c>
      <c r="F14" s="9">
        <f>IFERROR(__xludf.DUMMYFUNCTION("""COMPUTED_VALUE"""),3.47)</f>
        <v>3.47</v>
      </c>
    </row>
    <row r="15">
      <c r="A15" s="9" t="str">
        <f>IFERROR(__xludf.DUMMYFUNCTION("""COMPUTED_VALUE"""),"TRPL4")</f>
        <v>TRPL4</v>
      </c>
      <c r="B15" s="17">
        <f>IFERROR(__xludf.DUMMYFUNCTION("""COMPUTED_VALUE"""),43802.0)</f>
        <v>43802</v>
      </c>
      <c r="C15" s="9">
        <f>IFERROR(__xludf.DUMMYFUNCTION("""COMPUTED_VALUE"""),12.0)</f>
        <v>12</v>
      </c>
      <c r="D15" s="9">
        <f>IFERROR(__xludf.DUMMYFUNCTION("""COMPUTED_VALUE"""),2019.0)</f>
        <v>2019</v>
      </c>
      <c r="E15" s="9">
        <f>IFERROR(__xludf.DUMMYFUNCTION("""COMPUTED_VALUE"""),0.45)</f>
        <v>0.45</v>
      </c>
      <c r="F15" s="9">
        <f>IFERROR(__xludf.DUMMYFUNCTION("""COMPUTED_VALUE"""),6.23)</f>
        <v>6.23</v>
      </c>
    </row>
    <row r="16">
      <c r="A16" s="9" t="str">
        <f>IFERROR(__xludf.DUMMYFUNCTION("""COMPUTED_VALUE"""),"TRPL4")</f>
        <v>TRPL4</v>
      </c>
      <c r="B16" s="17">
        <f>IFERROR(__xludf.DUMMYFUNCTION("""COMPUTED_VALUE"""),43802.0)</f>
        <v>43802</v>
      </c>
      <c r="C16" s="9">
        <f>IFERROR(__xludf.DUMMYFUNCTION("""COMPUTED_VALUE"""),12.0)</f>
        <v>12</v>
      </c>
      <c r="D16" s="9">
        <f>IFERROR(__xludf.DUMMYFUNCTION("""COMPUTED_VALUE"""),2019.0)</f>
        <v>2019</v>
      </c>
      <c r="E16" s="9">
        <f>IFERROR(__xludf.DUMMYFUNCTION("""COMPUTED_VALUE"""),0.34)</f>
        <v>0.34</v>
      </c>
      <c r="F16" s="9">
        <f>IFERROR(__xludf.DUMMYFUNCTION("""COMPUTED_VALUE"""),4.03)</f>
        <v>4.03</v>
      </c>
    </row>
    <row r="17">
      <c r="A17" s="9" t="str">
        <f>IFERROR(__xludf.DUMMYFUNCTION("""COMPUTED_VALUE"""),"ITUB4")</f>
        <v>ITUB4</v>
      </c>
      <c r="B17" s="17">
        <f>IFERROR(__xludf.DUMMYFUNCTION("""COMPUTED_VALUE"""),43801.0)</f>
        <v>43801</v>
      </c>
      <c r="C17" s="9">
        <f>IFERROR(__xludf.DUMMYFUNCTION("""COMPUTED_VALUE"""),12.0)</f>
        <v>12</v>
      </c>
      <c r="D17" s="9">
        <f>IFERROR(__xludf.DUMMYFUNCTION("""COMPUTED_VALUE"""),2019.0)</f>
        <v>2019</v>
      </c>
      <c r="E17" s="9">
        <f>IFERROR(__xludf.DUMMYFUNCTION("""COMPUTED_VALUE"""),0.02)</f>
        <v>0.02</v>
      </c>
      <c r="F17" s="9">
        <f>IFERROR(__xludf.DUMMYFUNCTION("""COMPUTED_VALUE"""),0.24)</f>
        <v>0.24</v>
      </c>
    </row>
    <row r="18">
      <c r="A18" s="9" t="str">
        <f>IFERROR(__xludf.DUMMYFUNCTION("""COMPUTED_VALUE"""),"BBAS3")</f>
        <v>BBAS3</v>
      </c>
      <c r="B18" s="17">
        <f>IFERROR(__xludf.DUMMYFUNCTION("""COMPUTED_VALUE"""),44195.0)</f>
        <v>44195</v>
      </c>
      <c r="C18" s="9">
        <f>IFERROR(__xludf.DUMMYFUNCTION("""COMPUTED_VALUE"""),12.0)</f>
        <v>12</v>
      </c>
      <c r="D18" s="9">
        <f>IFERROR(__xludf.DUMMYFUNCTION("""COMPUTED_VALUE"""),2020.0)</f>
        <v>2020</v>
      </c>
      <c r="E18" s="9">
        <f>IFERROR(__xludf.DUMMYFUNCTION("""COMPUTED_VALUE"""),0.12)</f>
        <v>0.12</v>
      </c>
      <c r="F18" s="9">
        <f>IFERROR(__xludf.DUMMYFUNCTION("""COMPUTED_VALUE"""),10.15)</f>
        <v>10.15</v>
      </c>
    </row>
    <row r="19">
      <c r="A19" s="9" t="str">
        <f>IFERROR(__xludf.DUMMYFUNCTION("""COMPUTED_VALUE"""),"CMIG4")</f>
        <v>CMIG4</v>
      </c>
      <c r="B19" s="17">
        <f>IFERROR(__xludf.DUMMYFUNCTION("""COMPUTED_VALUE"""),44195.0)</f>
        <v>44195</v>
      </c>
      <c r="C19" s="9">
        <f>IFERROR(__xludf.DUMMYFUNCTION("""COMPUTED_VALUE"""),12.0)</f>
        <v>12</v>
      </c>
      <c r="D19" s="9">
        <f>IFERROR(__xludf.DUMMYFUNCTION("""COMPUTED_VALUE"""),2020.0)</f>
        <v>2020</v>
      </c>
      <c r="E19" s="9">
        <f>IFERROR(__xludf.DUMMYFUNCTION("""COMPUTED_VALUE"""),0.14)</f>
        <v>0.14</v>
      </c>
      <c r="F19" s="9">
        <f>IFERROR(__xludf.DUMMYFUNCTION("""COMPUTED_VALUE"""),1.4)</f>
        <v>1.4</v>
      </c>
    </row>
    <row r="20">
      <c r="A20" s="9" t="str">
        <f>IFERROR(__xludf.DUMMYFUNCTION("""COMPUTED_VALUE"""),"CMIG4")</f>
        <v>CMIG4</v>
      </c>
      <c r="B20" s="17">
        <f>IFERROR(__xludf.DUMMYFUNCTION("""COMPUTED_VALUE"""),44195.0)</f>
        <v>44195</v>
      </c>
      <c r="C20" s="9">
        <f>IFERROR(__xludf.DUMMYFUNCTION("""COMPUTED_VALUE"""),12.0)</f>
        <v>12</v>
      </c>
      <c r="D20" s="9">
        <f>IFERROR(__xludf.DUMMYFUNCTION("""COMPUTED_VALUE"""),2020.0)</f>
        <v>2020</v>
      </c>
      <c r="E20" s="9">
        <f>IFERROR(__xludf.DUMMYFUNCTION("""COMPUTED_VALUE"""),0.14)</f>
        <v>0.14</v>
      </c>
      <c r="F20" s="9">
        <f>IFERROR(__xludf.DUMMYFUNCTION("""COMPUTED_VALUE"""),1.4)</f>
        <v>1.4</v>
      </c>
    </row>
    <row r="21">
      <c r="A21" s="9" t="str">
        <f>IFERROR(__xludf.DUMMYFUNCTION("""COMPUTED_VALUE"""),"PETR4")</f>
        <v>PETR4</v>
      </c>
      <c r="B21" s="17">
        <f>IFERROR(__xludf.DUMMYFUNCTION("""COMPUTED_VALUE"""),44180.0)</f>
        <v>44180</v>
      </c>
      <c r="C21" s="9">
        <f>IFERROR(__xludf.DUMMYFUNCTION("""COMPUTED_VALUE"""),12.0)</f>
        <v>12</v>
      </c>
      <c r="D21" s="9">
        <f>IFERROR(__xludf.DUMMYFUNCTION("""COMPUTED_VALUE"""),2020.0)</f>
        <v>2020</v>
      </c>
      <c r="E21" s="9">
        <f>IFERROR(__xludf.DUMMYFUNCTION("""COMPUTED_VALUE"""),0.0)</f>
        <v>0</v>
      </c>
      <c r="F21" s="9">
        <f>IFERROR(__xludf.DUMMYFUNCTION("""COMPUTED_VALUE"""),0.07)</f>
        <v>0.07</v>
      </c>
    </row>
    <row r="22">
      <c r="A22" s="9" t="str">
        <f>IFERROR(__xludf.DUMMYFUNCTION("""COMPUTED_VALUE"""),"RADL3")</f>
        <v>RADL3</v>
      </c>
      <c r="B22" s="17">
        <f>IFERROR(__xludf.DUMMYFUNCTION("""COMPUTED_VALUE"""),44168.0)</f>
        <v>44168</v>
      </c>
      <c r="C22" s="9">
        <f>IFERROR(__xludf.DUMMYFUNCTION("""COMPUTED_VALUE"""),12.0)</f>
        <v>12</v>
      </c>
      <c r="D22" s="9">
        <f>IFERROR(__xludf.DUMMYFUNCTION("""COMPUTED_VALUE"""),2020.0)</f>
        <v>2020</v>
      </c>
      <c r="E22" s="9">
        <f>IFERROR(__xludf.DUMMYFUNCTION("""COMPUTED_VALUE"""),0.14)</f>
        <v>0.14</v>
      </c>
      <c r="F22" s="9">
        <f>IFERROR(__xludf.DUMMYFUNCTION("""COMPUTED_VALUE"""),1.82)</f>
        <v>1.82</v>
      </c>
    </row>
    <row r="23">
      <c r="A23" s="9" t="str">
        <f>IFERROR(__xludf.DUMMYFUNCTION("""COMPUTED_VALUE"""),"BBAS3")</f>
        <v>BBAS3</v>
      </c>
      <c r="B23" s="17">
        <f>IFERROR(__xludf.DUMMYFUNCTION("""COMPUTED_VALUE"""),44162.0)</f>
        <v>44162</v>
      </c>
      <c r="C23" s="9">
        <f>IFERROR(__xludf.DUMMYFUNCTION("""COMPUTED_VALUE"""),11.0)</f>
        <v>11</v>
      </c>
      <c r="D23" s="9">
        <f>IFERROR(__xludf.DUMMYFUNCTION("""COMPUTED_VALUE"""),2020.0)</f>
        <v>2020</v>
      </c>
      <c r="E23" s="9">
        <f>IFERROR(__xludf.DUMMYFUNCTION("""COMPUTED_VALUE"""),0.19)</f>
        <v>0.19</v>
      </c>
      <c r="F23" s="9">
        <f>IFERROR(__xludf.DUMMYFUNCTION("""COMPUTED_VALUE"""),16.89)</f>
        <v>16.89</v>
      </c>
    </row>
    <row r="24">
      <c r="A24" s="9" t="str">
        <f>IFERROR(__xludf.DUMMYFUNCTION("""COMPUTED_VALUE"""),"MULT3")</f>
        <v>MULT3</v>
      </c>
      <c r="B24" s="17">
        <f>IFERROR(__xludf.DUMMYFUNCTION("""COMPUTED_VALUE"""),44127.0)</f>
        <v>44127</v>
      </c>
      <c r="C24" s="9">
        <f>IFERROR(__xludf.DUMMYFUNCTION("""COMPUTED_VALUE"""),10.0)</f>
        <v>10</v>
      </c>
      <c r="D24" s="9">
        <f>IFERROR(__xludf.DUMMYFUNCTION("""COMPUTED_VALUE"""),2020.0)</f>
        <v>2020</v>
      </c>
      <c r="E24" s="9">
        <f>IFERROR(__xludf.DUMMYFUNCTION("""COMPUTED_VALUE"""),0.13)</f>
        <v>0.13</v>
      </c>
      <c r="F24" s="9">
        <f>IFERROR(__xludf.DUMMYFUNCTION("""COMPUTED_VALUE"""),0.68)</f>
        <v>0.68</v>
      </c>
    </row>
    <row r="25">
      <c r="A25" s="9" t="str">
        <f>IFERROR(__xludf.DUMMYFUNCTION("""COMPUTED_VALUE"""),"TOTS3")</f>
        <v>TOTS3</v>
      </c>
      <c r="B25" s="17">
        <f>IFERROR(__xludf.DUMMYFUNCTION("""COMPUTED_VALUE"""),44126.0)</f>
        <v>44126</v>
      </c>
      <c r="C25" s="9">
        <f>IFERROR(__xludf.DUMMYFUNCTION("""COMPUTED_VALUE"""),10.0)</f>
        <v>10</v>
      </c>
      <c r="D25" s="9">
        <f>IFERROR(__xludf.DUMMYFUNCTION("""COMPUTED_VALUE"""),2020.0)</f>
        <v>2020</v>
      </c>
      <c r="E25" s="9">
        <f>IFERROR(__xludf.DUMMYFUNCTION("""COMPUTED_VALUE"""),0.07)</f>
        <v>0.07</v>
      </c>
      <c r="F25" s="9">
        <f>IFERROR(__xludf.DUMMYFUNCTION("""COMPUTED_VALUE"""),9.05)</f>
        <v>9.05</v>
      </c>
    </row>
    <row r="26">
      <c r="A26" s="9" t="str">
        <f>IFERROR(__xludf.DUMMYFUNCTION("""COMPUTED_VALUE"""),"B3SA3")</f>
        <v>B3SA3</v>
      </c>
      <c r="B26" s="17">
        <f>IFERROR(__xludf.DUMMYFUNCTION("""COMPUTED_VALUE"""),44111.0)</f>
        <v>44111</v>
      </c>
      <c r="C26" s="9">
        <f>IFERROR(__xludf.DUMMYFUNCTION("""COMPUTED_VALUE"""),10.0)</f>
        <v>10</v>
      </c>
      <c r="D26" s="9">
        <f>IFERROR(__xludf.DUMMYFUNCTION("""COMPUTED_VALUE"""),2020.0)</f>
        <v>2020</v>
      </c>
      <c r="E26" s="9">
        <f>IFERROR(__xludf.DUMMYFUNCTION("""COMPUTED_VALUE"""),0.65)</f>
        <v>0.65</v>
      </c>
      <c r="F26" s="9">
        <f>IFERROR(__xludf.DUMMYFUNCTION("""COMPUTED_VALUE"""),73.3)</f>
        <v>73.3</v>
      </c>
    </row>
    <row r="27">
      <c r="A27" s="9" t="str">
        <f>IFERROR(__xludf.DUMMYFUNCTION("""COMPUTED_VALUE"""),"B3SA3")</f>
        <v>B3SA3</v>
      </c>
      <c r="B27" s="17">
        <f>IFERROR(__xludf.DUMMYFUNCTION("""COMPUTED_VALUE"""),44111.0)</f>
        <v>44111</v>
      </c>
      <c r="C27" s="9">
        <f>IFERROR(__xludf.DUMMYFUNCTION("""COMPUTED_VALUE"""),10.0)</f>
        <v>10</v>
      </c>
      <c r="D27" s="9">
        <f>IFERROR(__xludf.DUMMYFUNCTION("""COMPUTED_VALUE"""),2020.0)</f>
        <v>2020</v>
      </c>
      <c r="E27" s="9">
        <f>IFERROR(__xludf.DUMMYFUNCTION("""COMPUTED_VALUE"""),0.15)</f>
        <v>0.15</v>
      </c>
      <c r="F27" s="9">
        <f>IFERROR(__xludf.DUMMYFUNCTION("""COMPUTED_VALUE"""),14.2)</f>
        <v>14.2</v>
      </c>
    </row>
    <row r="28">
      <c r="A28" s="9" t="str">
        <f>IFERROR(__xludf.DUMMYFUNCTION("""COMPUTED_VALUE"""),"BBAS3")</f>
        <v>BBAS3</v>
      </c>
      <c r="B28" s="17">
        <f>IFERROR(__xludf.DUMMYFUNCTION("""COMPUTED_VALUE"""),44104.0)</f>
        <v>44104</v>
      </c>
      <c r="C28" s="9">
        <f>IFERROR(__xludf.DUMMYFUNCTION("""COMPUTED_VALUE"""),9.0)</f>
        <v>9</v>
      </c>
      <c r="D28" s="9">
        <f>IFERROR(__xludf.DUMMYFUNCTION("""COMPUTED_VALUE"""),2020.0)</f>
        <v>2020</v>
      </c>
      <c r="E28" s="9">
        <f>IFERROR(__xludf.DUMMYFUNCTION("""COMPUTED_VALUE"""),0.1)</f>
        <v>0.1</v>
      </c>
      <c r="F28" s="9">
        <f>IFERROR(__xludf.DUMMYFUNCTION("""COMPUTED_VALUE"""),11.11)</f>
        <v>11.11</v>
      </c>
    </row>
    <row r="29">
      <c r="A29" s="9" t="str">
        <f>IFERROR(__xludf.DUMMYFUNCTION("""COMPUTED_VALUE"""),"CPLE6")</f>
        <v>CPLE6</v>
      </c>
      <c r="B29" s="17">
        <f>IFERROR(__xludf.DUMMYFUNCTION("""COMPUTED_VALUE"""),44104.0)</f>
        <v>44104</v>
      </c>
      <c r="C29" s="9">
        <f>IFERROR(__xludf.DUMMYFUNCTION("""COMPUTED_VALUE"""),9.0)</f>
        <v>9</v>
      </c>
      <c r="D29" s="9">
        <f>IFERROR(__xludf.DUMMYFUNCTION("""COMPUTED_VALUE"""),2020.0)</f>
        <v>2020</v>
      </c>
      <c r="E29" s="9">
        <f>IFERROR(__xludf.DUMMYFUNCTION("""COMPUTED_VALUE"""),1.23)</f>
        <v>1.23</v>
      </c>
      <c r="F29" s="9">
        <f>IFERROR(__xludf.DUMMYFUNCTION("""COMPUTED_VALUE"""),4.2)</f>
        <v>4.2</v>
      </c>
    </row>
    <row r="30">
      <c r="A30" s="9" t="str">
        <f>IFERROR(__xludf.DUMMYFUNCTION("""COMPUTED_VALUE"""),"VALE3")</f>
        <v>VALE3</v>
      </c>
      <c r="B30" s="17">
        <f>IFERROR(__xludf.DUMMYFUNCTION("""COMPUTED_VALUE"""),44104.0)</f>
        <v>44104</v>
      </c>
      <c r="C30" s="9">
        <f>IFERROR(__xludf.DUMMYFUNCTION("""COMPUTED_VALUE"""),9.0)</f>
        <v>9</v>
      </c>
      <c r="D30" s="9">
        <f>IFERROR(__xludf.DUMMYFUNCTION("""COMPUTED_VALUE"""),2020.0)</f>
        <v>2020</v>
      </c>
      <c r="E30" s="9">
        <f>IFERROR(__xludf.DUMMYFUNCTION("""COMPUTED_VALUE"""),1.41)</f>
        <v>1.41</v>
      </c>
      <c r="F30" s="9">
        <f>IFERROR(__xludf.DUMMYFUNCTION("""COMPUTED_VALUE"""),91.66)</f>
        <v>91.66</v>
      </c>
    </row>
    <row r="31">
      <c r="A31" s="9" t="str">
        <f>IFERROR(__xludf.DUMMYFUNCTION("""COMPUTED_VALUE"""),"VALE3")</f>
        <v>VALE3</v>
      </c>
      <c r="B31" s="17">
        <f>IFERROR(__xludf.DUMMYFUNCTION("""COMPUTED_VALUE"""),44104.0)</f>
        <v>44104</v>
      </c>
      <c r="C31" s="9">
        <f>IFERROR(__xludf.DUMMYFUNCTION("""COMPUTED_VALUE"""),9.0)</f>
        <v>9</v>
      </c>
      <c r="D31" s="9">
        <f>IFERROR(__xludf.DUMMYFUNCTION("""COMPUTED_VALUE"""),2020.0)</f>
        <v>2020</v>
      </c>
      <c r="E31" s="9">
        <f>IFERROR(__xludf.DUMMYFUNCTION("""COMPUTED_VALUE"""),1.0)</f>
        <v>1</v>
      </c>
      <c r="F31" s="9">
        <f>IFERROR(__xludf.DUMMYFUNCTION("""COMPUTED_VALUE"""),55.1)</f>
        <v>55.1</v>
      </c>
    </row>
    <row r="32">
      <c r="A32" s="9" t="str">
        <f>IFERROR(__xludf.DUMMYFUNCTION("""COMPUTED_VALUE"""),"BBAS3")</f>
        <v>BBAS3</v>
      </c>
      <c r="B32" s="17">
        <f>IFERROR(__xludf.DUMMYFUNCTION("""COMPUTED_VALUE"""),44074.0)</f>
        <v>44074</v>
      </c>
      <c r="C32" s="9">
        <f>IFERROR(__xludf.DUMMYFUNCTION("""COMPUTED_VALUE"""),8.0)</f>
        <v>8</v>
      </c>
      <c r="D32" s="9">
        <f>IFERROR(__xludf.DUMMYFUNCTION("""COMPUTED_VALUE"""),2020.0)</f>
        <v>2020</v>
      </c>
      <c r="E32" s="9">
        <f>IFERROR(__xludf.DUMMYFUNCTION("""COMPUTED_VALUE"""),0.44)</f>
        <v>0.44</v>
      </c>
      <c r="F32" s="9">
        <f>IFERROR(__xludf.DUMMYFUNCTION("""COMPUTED_VALUE"""),44.57)</f>
        <v>44.57</v>
      </c>
    </row>
    <row r="33">
      <c r="A33" s="9" t="str">
        <f>IFERROR(__xludf.DUMMYFUNCTION("""COMPUTED_VALUE"""),"BBAS3")</f>
        <v>BBAS3</v>
      </c>
      <c r="B33" s="17">
        <f>IFERROR(__xludf.DUMMYFUNCTION("""COMPUTED_VALUE"""),44074.0)</f>
        <v>44074</v>
      </c>
      <c r="C33" s="9">
        <f>IFERROR(__xludf.DUMMYFUNCTION("""COMPUTED_VALUE"""),8.0)</f>
        <v>8</v>
      </c>
      <c r="D33" s="9">
        <f>IFERROR(__xludf.DUMMYFUNCTION("""COMPUTED_VALUE"""),2020.0)</f>
        <v>2020</v>
      </c>
      <c r="E33" s="9">
        <f>IFERROR(__xludf.DUMMYFUNCTION("""COMPUTED_VALUE"""),0.0)</f>
        <v>0</v>
      </c>
      <c r="F33" s="9">
        <f>IFERROR(__xludf.DUMMYFUNCTION("""COMPUTED_VALUE"""),0.14)</f>
        <v>0.14</v>
      </c>
    </row>
    <row r="34">
      <c r="A34" s="9" t="str">
        <f>IFERROR(__xludf.DUMMYFUNCTION("""COMPUTED_VALUE"""),"PSSA3")</f>
        <v>PSSA3</v>
      </c>
      <c r="B34" s="17">
        <f>IFERROR(__xludf.DUMMYFUNCTION("""COMPUTED_VALUE"""),44071.0)</f>
        <v>44071</v>
      </c>
      <c r="C34" s="9">
        <f>IFERROR(__xludf.DUMMYFUNCTION("""COMPUTED_VALUE"""),8.0)</f>
        <v>8</v>
      </c>
      <c r="D34" s="9">
        <f>IFERROR(__xludf.DUMMYFUNCTION("""COMPUTED_VALUE"""),2020.0)</f>
        <v>2020</v>
      </c>
      <c r="E34" s="9">
        <f>IFERROR(__xludf.DUMMYFUNCTION("""COMPUTED_VALUE"""),0.98)</f>
        <v>0.98</v>
      </c>
      <c r="F34" s="9">
        <f>IFERROR(__xludf.DUMMYFUNCTION("""COMPUTED_VALUE"""),33.48)</f>
        <v>33.48</v>
      </c>
    </row>
    <row r="35">
      <c r="A35" s="9" t="str">
        <f>IFERROR(__xludf.DUMMYFUNCTION("""COMPUTED_VALUE"""),"MGLU3")</f>
        <v>MGLU3</v>
      </c>
      <c r="B35" s="17">
        <f>IFERROR(__xludf.DUMMYFUNCTION("""COMPUTED_VALUE"""),44062.0)</f>
        <v>44062</v>
      </c>
      <c r="C35" s="9">
        <f>IFERROR(__xludf.DUMMYFUNCTION("""COMPUTED_VALUE"""),8.0)</f>
        <v>8</v>
      </c>
      <c r="D35" s="9">
        <f>IFERROR(__xludf.DUMMYFUNCTION("""COMPUTED_VALUE"""),2020.0)</f>
        <v>2020</v>
      </c>
      <c r="E35" s="9">
        <f>IFERROR(__xludf.DUMMYFUNCTION("""COMPUTED_VALUE"""),0.04)</f>
        <v>0.04</v>
      </c>
      <c r="F35" s="9">
        <f>IFERROR(__xludf.DUMMYFUNCTION("""COMPUTED_VALUE"""),0.76)</f>
        <v>0.76</v>
      </c>
    </row>
    <row r="36">
      <c r="A36" s="9" t="str">
        <f>IFERROR(__xludf.DUMMYFUNCTION("""COMPUTED_VALUE"""),"MGLU3")</f>
        <v>MGLU3</v>
      </c>
      <c r="B36" s="17">
        <f>IFERROR(__xludf.DUMMYFUNCTION("""COMPUTED_VALUE"""),44062.0)</f>
        <v>44062</v>
      </c>
      <c r="C36" s="9">
        <f>IFERROR(__xludf.DUMMYFUNCTION("""COMPUTED_VALUE"""),8.0)</f>
        <v>8</v>
      </c>
      <c r="D36" s="9">
        <f>IFERROR(__xludf.DUMMYFUNCTION("""COMPUTED_VALUE"""),2020.0)</f>
        <v>2020</v>
      </c>
      <c r="E36" s="9">
        <f>IFERROR(__xludf.DUMMYFUNCTION("""COMPUTED_VALUE"""),0.07)</f>
        <v>0.07</v>
      </c>
      <c r="F36" s="9">
        <f>IFERROR(__xludf.DUMMYFUNCTION("""COMPUTED_VALUE"""),4.13)</f>
        <v>4.13</v>
      </c>
    </row>
    <row r="37">
      <c r="A37" s="9" t="str">
        <f>IFERROR(__xludf.DUMMYFUNCTION("""COMPUTED_VALUE"""),"WEGE3")</f>
        <v>WEGE3</v>
      </c>
      <c r="B37" s="17">
        <f>IFERROR(__xludf.DUMMYFUNCTION("""COMPUTED_VALUE"""),44055.0)</f>
        <v>44055</v>
      </c>
      <c r="C37" s="9">
        <f>IFERROR(__xludf.DUMMYFUNCTION("""COMPUTED_VALUE"""),8.0)</f>
        <v>8</v>
      </c>
      <c r="D37" s="9">
        <f>IFERROR(__xludf.DUMMYFUNCTION("""COMPUTED_VALUE"""),2020.0)</f>
        <v>2020</v>
      </c>
      <c r="E37" s="9">
        <f>IFERROR(__xludf.DUMMYFUNCTION("""COMPUTED_VALUE"""),0.13)</f>
        <v>0.13</v>
      </c>
      <c r="F37" s="9">
        <f>IFERROR(__xludf.DUMMYFUNCTION("""COMPUTED_VALUE"""),12.04)</f>
        <v>12.04</v>
      </c>
    </row>
    <row r="38">
      <c r="A38" s="9" t="str">
        <f>IFERROR(__xludf.DUMMYFUNCTION("""COMPUTED_VALUE"""),"WEGE3")</f>
        <v>WEGE3</v>
      </c>
      <c r="B38" s="17">
        <f>IFERROR(__xludf.DUMMYFUNCTION("""COMPUTED_VALUE"""),44055.0)</f>
        <v>44055</v>
      </c>
      <c r="C38" s="9">
        <f>IFERROR(__xludf.DUMMYFUNCTION("""COMPUTED_VALUE"""),8.0)</f>
        <v>8</v>
      </c>
      <c r="D38" s="9">
        <f>IFERROR(__xludf.DUMMYFUNCTION("""COMPUTED_VALUE"""),2020.0)</f>
        <v>2020</v>
      </c>
      <c r="E38" s="9">
        <f>IFERROR(__xludf.DUMMYFUNCTION("""COMPUTED_VALUE"""),0.04)</f>
        <v>0.04</v>
      </c>
      <c r="F38" s="9">
        <f>IFERROR(__xludf.DUMMYFUNCTION("""COMPUTED_VALUE"""),2.24)</f>
        <v>2.24</v>
      </c>
    </row>
    <row r="39">
      <c r="A39" s="9" t="str">
        <f>IFERROR(__xludf.DUMMYFUNCTION("""COMPUTED_VALUE"""),"WEGE3")</f>
        <v>WEGE3</v>
      </c>
      <c r="B39" s="17">
        <f>IFERROR(__xludf.DUMMYFUNCTION("""COMPUTED_VALUE"""),44055.0)</f>
        <v>44055</v>
      </c>
      <c r="C39" s="9">
        <f>IFERROR(__xludf.DUMMYFUNCTION("""COMPUTED_VALUE"""),8.0)</f>
        <v>8</v>
      </c>
      <c r="D39" s="9">
        <f>IFERROR(__xludf.DUMMYFUNCTION("""COMPUTED_VALUE"""),2020.0)</f>
        <v>2020</v>
      </c>
      <c r="E39" s="9">
        <f>IFERROR(__xludf.DUMMYFUNCTION("""COMPUTED_VALUE"""),0.03)</f>
        <v>0.03</v>
      </c>
      <c r="F39" s="9">
        <f>IFERROR(__xludf.DUMMYFUNCTION("""COMPUTED_VALUE"""),1.21)</f>
        <v>1.21</v>
      </c>
    </row>
    <row r="40">
      <c r="A40" s="9" t="str">
        <f>IFERROR(__xludf.DUMMYFUNCTION("""COMPUTED_VALUE"""),"B3SA3")</f>
        <v>B3SA3</v>
      </c>
      <c r="B40" s="17">
        <f>IFERROR(__xludf.DUMMYFUNCTION("""COMPUTED_VALUE"""),44050.0)</f>
        <v>44050</v>
      </c>
      <c r="C40" s="9">
        <f>IFERROR(__xludf.DUMMYFUNCTION("""COMPUTED_VALUE"""),8.0)</f>
        <v>8</v>
      </c>
      <c r="D40" s="9">
        <f>IFERROR(__xludf.DUMMYFUNCTION("""COMPUTED_VALUE"""),2020.0)</f>
        <v>2020</v>
      </c>
      <c r="E40" s="9">
        <f>IFERROR(__xludf.DUMMYFUNCTION("""COMPUTED_VALUE"""),0.15)</f>
        <v>0.15</v>
      </c>
      <c r="F40" s="9">
        <f>IFERROR(__xludf.DUMMYFUNCTION("""COMPUTED_VALUE"""),2.25)</f>
        <v>2.25</v>
      </c>
    </row>
    <row r="41">
      <c r="A41" s="9" t="str">
        <f>IFERROR(__xludf.DUMMYFUNCTION("""COMPUTED_VALUE"""),"B3SA3")</f>
        <v>B3SA3</v>
      </c>
      <c r="B41" s="17">
        <f>IFERROR(__xludf.DUMMYFUNCTION("""COMPUTED_VALUE"""),44050.0)</f>
        <v>44050</v>
      </c>
      <c r="C41" s="9">
        <f>IFERROR(__xludf.DUMMYFUNCTION("""COMPUTED_VALUE"""),8.0)</f>
        <v>8</v>
      </c>
      <c r="D41" s="9">
        <f>IFERROR(__xludf.DUMMYFUNCTION("""COMPUTED_VALUE"""),2020.0)</f>
        <v>2020</v>
      </c>
      <c r="E41" s="9">
        <f>IFERROR(__xludf.DUMMYFUNCTION("""COMPUTED_VALUE"""),0.15)</f>
        <v>0.15</v>
      </c>
      <c r="F41" s="9">
        <f>IFERROR(__xludf.DUMMYFUNCTION("""COMPUTED_VALUE"""),9.24)</f>
        <v>9.24</v>
      </c>
    </row>
    <row r="42">
      <c r="A42" s="9" t="str">
        <f>IFERROR(__xludf.DUMMYFUNCTION("""COMPUTED_VALUE"""),"VALE3")</f>
        <v>VALE3</v>
      </c>
      <c r="B42" s="17">
        <f>IFERROR(__xludf.DUMMYFUNCTION("""COMPUTED_VALUE"""),44050.0)</f>
        <v>44050</v>
      </c>
      <c r="C42" s="9">
        <f>IFERROR(__xludf.DUMMYFUNCTION("""COMPUTED_VALUE"""),8.0)</f>
        <v>8</v>
      </c>
      <c r="D42" s="9">
        <f>IFERROR(__xludf.DUMMYFUNCTION("""COMPUTED_VALUE"""),2020.0)</f>
        <v>2020</v>
      </c>
      <c r="E42" s="9">
        <f>IFERROR(__xludf.DUMMYFUNCTION("""COMPUTED_VALUE"""),1.41)</f>
        <v>1.41</v>
      </c>
      <c r="F42" s="9">
        <f>IFERROR(__xludf.DUMMYFUNCTION("""COMPUTED_VALUE"""),33.66)</f>
        <v>33.66</v>
      </c>
    </row>
    <row r="43">
      <c r="A43" s="9" t="str">
        <f>IFERROR(__xludf.DUMMYFUNCTION("""COMPUTED_VALUE"""),"ITUB4")</f>
        <v>ITUB4</v>
      </c>
      <c r="B43" s="17">
        <f>IFERROR(__xludf.DUMMYFUNCTION("""COMPUTED_VALUE"""),44046.0)</f>
        <v>44046</v>
      </c>
      <c r="C43" s="9">
        <f>IFERROR(__xludf.DUMMYFUNCTION("""COMPUTED_VALUE"""),8.0)</f>
        <v>8</v>
      </c>
      <c r="D43" s="9">
        <f>IFERROR(__xludf.DUMMYFUNCTION("""COMPUTED_VALUE"""),2020.0)</f>
        <v>2020</v>
      </c>
      <c r="E43" s="9">
        <f>IFERROR(__xludf.DUMMYFUNCTION("""COMPUTED_VALUE"""),0.02)</f>
        <v>0.02</v>
      </c>
      <c r="F43" s="9">
        <f>IFERROR(__xludf.DUMMYFUNCTION("""COMPUTED_VALUE"""),1.77)</f>
        <v>1.77</v>
      </c>
    </row>
    <row r="44">
      <c r="A44" s="9" t="str">
        <f>IFERROR(__xludf.DUMMYFUNCTION("""COMPUTED_VALUE"""),"ITUB4")</f>
        <v>ITUB4</v>
      </c>
      <c r="B44" s="17">
        <f>IFERROR(__xludf.DUMMYFUNCTION("""COMPUTED_VALUE"""),44013.0)</f>
        <v>44013</v>
      </c>
      <c r="C44" s="9">
        <f>IFERROR(__xludf.DUMMYFUNCTION("""COMPUTED_VALUE"""),7.0)</f>
        <v>7</v>
      </c>
      <c r="D44" s="9">
        <f>IFERROR(__xludf.DUMMYFUNCTION("""COMPUTED_VALUE"""),2020.0)</f>
        <v>2020</v>
      </c>
      <c r="E44" s="9">
        <f>IFERROR(__xludf.DUMMYFUNCTION("""COMPUTED_VALUE"""),0.02)</f>
        <v>0.02</v>
      </c>
      <c r="F44" s="9">
        <f>IFERROR(__xludf.DUMMYFUNCTION("""COMPUTED_VALUE"""),1.77)</f>
        <v>1.77</v>
      </c>
    </row>
    <row r="45">
      <c r="A45" s="9" t="str">
        <f>IFERROR(__xludf.DUMMYFUNCTION("""COMPUTED_VALUE"""),"CPLE6")</f>
        <v>CPLE6</v>
      </c>
      <c r="B45" s="17">
        <f>IFERROR(__xludf.DUMMYFUNCTION("""COMPUTED_VALUE"""),44011.0)</f>
        <v>44011</v>
      </c>
      <c r="C45" s="9">
        <f>IFERROR(__xludf.DUMMYFUNCTION("""COMPUTED_VALUE"""),6.0)</f>
        <v>6</v>
      </c>
      <c r="D45" s="9">
        <f>IFERROR(__xludf.DUMMYFUNCTION("""COMPUTED_VALUE"""),2020.0)</f>
        <v>2020</v>
      </c>
      <c r="E45" s="9">
        <f>IFERROR(__xludf.DUMMYFUNCTION("""COMPUTED_VALUE"""),1.23)</f>
        <v>1.23</v>
      </c>
      <c r="F45" s="9">
        <f>IFERROR(__xludf.DUMMYFUNCTION("""COMPUTED_VALUE"""),4.2)</f>
        <v>4.2</v>
      </c>
    </row>
    <row r="46">
      <c r="A46" s="9" t="str">
        <f>IFERROR(__xludf.DUMMYFUNCTION("""COMPUTED_VALUE"""),"ITUB4")</f>
        <v>ITUB4</v>
      </c>
      <c r="B46" s="17">
        <f>IFERROR(__xludf.DUMMYFUNCTION("""COMPUTED_VALUE"""),43983.0)</f>
        <v>43983</v>
      </c>
      <c r="C46" s="9">
        <f>IFERROR(__xludf.DUMMYFUNCTION("""COMPUTED_VALUE"""),6.0)</f>
        <v>6</v>
      </c>
      <c r="D46" s="9">
        <f>IFERROR(__xludf.DUMMYFUNCTION("""COMPUTED_VALUE"""),2020.0)</f>
        <v>2020</v>
      </c>
      <c r="E46" s="9">
        <f>IFERROR(__xludf.DUMMYFUNCTION("""COMPUTED_VALUE"""),0.02)</f>
        <v>0.02</v>
      </c>
      <c r="F46" s="9">
        <f>IFERROR(__xludf.DUMMYFUNCTION("""COMPUTED_VALUE"""),1.35)</f>
        <v>1.35</v>
      </c>
    </row>
    <row r="47">
      <c r="A47" s="9" t="str">
        <f>IFERROR(__xludf.DUMMYFUNCTION("""COMPUTED_VALUE"""),"RADL3")</f>
        <v>RADL3</v>
      </c>
      <c r="B47" s="17">
        <f>IFERROR(__xludf.DUMMYFUNCTION("""COMPUTED_VALUE"""),43980.0)</f>
        <v>43980</v>
      </c>
      <c r="C47" s="9">
        <f>IFERROR(__xludf.DUMMYFUNCTION("""COMPUTED_VALUE"""),5.0)</f>
        <v>5</v>
      </c>
      <c r="D47" s="9">
        <f>IFERROR(__xludf.DUMMYFUNCTION("""COMPUTED_VALUE"""),2020.0)</f>
        <v>2020</v>
      </c>
      <c r="E47" s="9">
        <f>IFERROR(__xludf.DUMMYFUNCTION("""COMPUTED_VALUE"""),0.06)</f>
        <v>0.06</v>
      </c>
      <c r="F47" s="9">
        <f>IFERROR(__xludf.DUMMYFUNCTION("""COMPUTED_VALUE"""),0.97)</f>
        <v>0.97</v>
      </c>
    </row>
    <row r="48">
      <c r="A48" s="9" t="str">
        <f>IFERROR(__xludf.DUMMYFUNCTION("""COMPUTED_VALUE"""),"HGCR11")</f>
        <v>HGCR11</v>
      </c>
      <c r="B48" s="17">
        <f>IFERROR(__xludf.DUMMYFUNCTION("""COMPUTED_VALUE"""),43966.0)</f>
        <v>43966</v>
      </c>
      <c r="C48" s="9">
        <f>IFERROR(__xludf.DUMMYFUNCTION("""COMPUTED_VALUE"""),5.0)</f>
        <v>5</v>
      </c>
      <c r="D48" s="9">
        <f>IFERROR(__xludf.DUMMYFUNCTION("""COMPUTED_VALUE"""),2020.0)</f>
        <v>2020</v>
      </c>
      <c r="E48" s="9">
        <f>IFERROR(__xludf.DUMMYFUNCTION("""COMPUTED_VALUE"""),0.0)</f>
        <v>0</v>
      </c>
      <c r="F48" s="9">
        <f>IFERROR(__xludf.DUMMYFUNCTION("""COMPUTED_VALUE"""),1.8)</f>
        <v>1.8</v>
      </c>
    </row>
    <row r="49">
      <c r="A49" s="9" t="str">
        <f>IFERROR(__xludf.DUMMYFUNCTION("""COMPUTED_VALUE"""),"KNRI11")</f>
        <v>KNRI11</v>
      </c>
      <c r="B49" s="17">
        <f>IFERROR(__xludf.DUMMYFUNCTION("""COMPUTED_VALUE"""),43966.0)</f>
        <v>43966</v>
      </c>
      <c r="C49" s="9">
        <f>IFERROR(__xludf.DUMMYFUNCTION("""COMPUTED_VALUE"""),5.0)</f>
        <v>5</v>
      </c>
      <c r="D49" s="9">
        <f>IFERROR(__xludf.DUMMYFUNCTION("""COMPUTED_VALUE"""),2020.0)</f>
        <v>2020</v>
      </c>
      <c r="E49" s="9">
        <f>IFERROR(__xludf.DUMMYFUNCTION("""COMPUTED_VALUE"""),0.0)</f>
        <v>0</v>
      </c>
      <c r="F49" s="9">
        <f>IFERROR(__xludf.DUMMYFUNCTION("""COMPUTED_VALUE"""),0.65)</f>
        <v>0.65</v>
      </c>
    </row>
    <row r="50">
      <c r="A50" s="9" t="str">
        <f>IFERROR(__xludf.DUMMYFUNCTION("""COMPUTED_VALUE"""),"KNCR11")</f>
        <v>KNCR11</v>
      </c>
      <c r="B50" s="17">
        <f>IFERROR(__xludf.DUMMYFUNCTION("""COMPUTED_VALUE"""),43965.0)</f>
        <v>43965</v>
      </c>
      <c r="C50" s="9">
        <f>IFERROR(__xludf.DUMMYFUNCTION("""COMPUTED_VALUE"""),5.0)</f>
        <v>5</v>
      </c>
      <c r="D50" s="9">
        <f>IFERROR(__xludf.DUMMYFUNCTION("""COMPUTED_VALUE"""),2020.0)</f>
        <v>2020</v>
      </c>
      <c r="E50" s="9">
        <f>IFERROR(__xludf.DUMMYFUNCTION("""COMPUTED_VALUE"""),0.0)</f>
        <v>0</v>
      </c>
      <c r="F50" s="9">
        <f>IFERROR(__xludf.DUMMYFUNCTION("""COMPUTED_VALUE"""),1.4)</f>
        <v>1.4</v>
      </c>
    </row>
    <row r="51">
      <c r="A51" s="9" t="str">
        <f>IFERROR(__xludf.DUMMYFUNCTION("""COMPUTED_VALUE"""),"LREN3")</f>
        <v>LREN3</v>
      </c>
      <c r="B51" s="17">
        <f>IFERROR(__xludf.DUMMYFUNCTION("""COMPUTED_VALUE"""),43959.0)</f>
        <v>43959</v>
      </c>
      <c r="C51" s="9">
        <f>IFERROR(__xludf.DUMMYFUNCTION("""COMPUTED_VALUE"""),5.0)</f>
        <v>5</v>
      </c>
      <c r="D51" s="9">
        <f>IFERROR(__xludf.DUMMYFUNCTION("""COMPUTED_VALUE"""),2020.0)</f>
        <v>2020</v>
      </c>
      <c r="E51" s="9">
        <f>IFERROR(__xludf.DUMMYFUNCTION("""COMPUTED_VALUE"""),0.08)</f>
        <v>0.08</v>
      </c>
      <c r="F51" s="9">
        <f>IFERROR(__xludf.DUMMYFUNCTION("""COMPUTED_VALUE"""),0.4)</f>
        <v>0.4</v>
      </c>
    </row>
    <row r="52">
      <c r="A52" s="9" t="str">
        <f>IFERROR(__xludf.DUMMYFUNCTION("""COMPUTED_VALUE"""),"LREN3")</f>
        <v>LREN3</v>
      </c>
      <c r="B52" s="17">
        <f>IFERROR(__xludf.DUMMYFUNCTION("""COMPUTED_VALUE"""),43959.0)</f>
        <v>43959</v>
      </c>
      <c r="C52" s="9">
        <f>IFERROR(__xludf.DUMMYFUNCTION("""COMPUTED_VALUE"""),5.0)</f>
        <v>5</v>
      </c>
      <c r="D52" s="9">
        <f>IFERROR(__xludf.DUMMYFUNCTION("""COMPUTED_VALUE"""),2020.0)</f>
        <v>2020</v>
      </c>
      <c r="E52" s="9">
        <f>IFERROR(__xludf.DUMMYFUNCTION("""COMPUTED_VALUE"""),0.08)</f>
        <v>0.08</v>
      </c>
      <c r="F52" s="9">
        <f>IFERROR(__xludf.DUMMYFUNCTION("""COMPUTED_VALUE"""),0.33)</f>
        <v>0.33</v>
      </c>
    </row>
    <row r="53">
      <c r="A53" s="9" t="str">
        <f>IFERROR(__xludf.DUMMYFUNCTION("""COMPUTED_VALUE"""),"JBSS3")</f>
        <v>JBSS3</v>
      </c>
      <c r="B53" s="17">
        <f>IFERROR(__xludf.DUMMYFUNCTION("""COMPUTED_VALUE"""),43958.0)</f>
        <v>43958</v>
      </c>
      <c r="C53" s="9">
        <f>IFERROR(__xludf.DUMMYFUNCTION("""COMPUTED_VALUE"""),5.0)</f>
        <v>5</v>
      </c>
      <c r="D53" s="9">
        <f>IFERROR(__xludf.DUMMYFUNCTION("""COMPUTED_VALUE"""),2020.0)</f>
        <v>2020</v>
      </c>
      <c r="E53" s="9">
        <f>IFERROR(__xludf.DUMMYFUNCTION("""COMPUTED_VALUE"""),0.54)</f>
        <v>0.54</v>
      </c>
      <c r="F53" s="9">
        <f>IFERROR(__xludf.DUMMYFUNCTION("""COMPUTED_VALUE"""),50.81)</f>
        <v>50.81</v>
      </c>
    </row>
    <row r="54">
      <c r="A54" s="9" t="str">
        <f>IFERROR(__xludf.DUMMYFUNCTION("""COMPUTED_VALUE"""),"ITUB4")</f>
        <v>ITUB4</v>
      </c>
      <c r="B54" s="17">
        <f>IFERROR(__xludf.DUMMYFUNCTION("""COMPUTED_VALUE"""),43955.0)</f>
        <v>43955</v>
      </c>
      <c r="C54" s="9">
        <f>IFERROR(__xludf.DUMMYFUNCTION("""COMPUTED_VALUE"""),5.0)</f>
        <v>5</v>
      </c>
      <c r="D54" s="9">
        <f>IFERROR(__xludf.DUMMYFUNCTION("""COMPUTED_VALUE"""),2020.0)</f>
        <v>2020</v>
      </c>
      <c r="E54" s="9">
        <f>IFERROR(__xludf.DUMMYFUNCTION("""COMPUTED_VALUE"""),0.02)</f>
        <v>0.02</v>
      </c>
      <c r="F54" s="9">
        <f>IFERROR(__xludf.DUMMYFUNCTION("""COMPUTED_VALUE"""),1.08)</f>
        <v>1.08</v>
      </c>
    </row>
    <row r="55">
      <c r="A55" s="9" t="str">
        <f>IFERROR(__xludf.DUMMYFUNCTION("""COMPUTED_VALUE"""),"BCFF11")</f>
        <v>BCFF11</v>
      </c>
      <c r="B55" s="17">
        <f>IFERROR(__xludf.DUMMYFUNCTION("""COMPUTED_VALUE"""),43936.0)</f>
        <v>43936</v>
      </c>
      <c r="C55" s="9">
        <f>IFERROR(__xludf.DUMMYFUNCTION("""COMPUTED_VALUE"""),4.0)</f>
        <v>4</v>
      </c>
      <c r="D55" s="9">
        <f>IFERROR(__xludf.DUMMYFUNCTION("""COMPUTED_VALUE"""),2020.0)</f>
        <v>2020</v>
      </c>
      <c r="E55" s="9">
        <f>IFERROR(__xludf.DUMMYFUNCTION("""COMPUTED_VALUE"""),0.0)</f>
        <v>0</v>
      </c>
      <c r="F55" s="9">
        <f>IFERROR(__xludf.DUMMYFUNCTION("""COMPUTED_VALUE"""),4.0)</f>
        <v>4</v>
      </c>
    </row>
    <row r="56">
      <c r="A56" s="9" t="str">
        <f>IFERROR(__xludf.DUMMYFUNCTION("""COMPUTED_VALUE"""),"HGCR11")</f>
        <v>HGCR11</v>
      </c>
      <c r="B56" s="17">
        <f>IFERROR(__xludf.DUMMYFUNCTION("""COMPUTED_VALUE"""),43936.0)</f>
        <v>43936</v>
      </c>
      <c r="C56" s="9">
        <f>IFERROR(__xludf.DUMMYFUNCTION("""COMPUTED_VALUE"""),4.0)</f>
        <v>4</v>
      </c>
      <c r="D56" s="9">
        <f>IFERROR(__xludf.DUMMYFUNCTION("""COMPUTED_VALUE"""),2020.0)</f>
        <v>2020</v>
      </c>
      <c r="E56" s="9">
        <f>IFERROR(__xludf.DUMMYFUNCTION("""COMPUTED_VALUE"""),0.0)</f>
        <v>0</v>
      </c>
      <c r="F56" s="9">
        <f>IFERROR(__xludf.DUMMYFUNCTION("""COMPUTED_VALUE"""),6.0)</f>
        <v>6</v>
      </c>
    </row>
    <row r="57">
      <c r="A57" s="9" t="str">
        <f>IFERROR(__xludf.DUMMYFUNCTION("""COMPUTED_VALUE"""),"KNRI11")</f>
        <v>KNRI11</v>
      </c>
      <c r="B57" s="17">
        <f>IFERROR(__xludf.DUMMYFUNCTION("""COMPUTED_VALUE"""),43936.0)</f>
        <v>43936</v>
      </c>
      <c r="C57" s="9">
        <f>IFERROR(__xludf.DUMMYFUNCTION("""COMPUTED_VALUE"""),4.0)</f>
        <v>4</v>
      </c>
      <c r="D57" s="9">
        <f>IFERROR(__xludf.DUMMYFUNCTION("""COMPUTED_VALUE"""),2020.0)</f>
        <v>2020</v>
      </c>
      <c r="E57" s="9">
        <f>IFERROR(__xludf.DUMMYFUNCTION("""COMPUTED_VALUE"""),0.0)</f>
        <v>0</v>
      </c>
      <c r="F57" s="9">
        <f>IFERROR(__xludf.DUMMYFUNCTION("""COMPUTED_VALUE"""),3.9)</f>
        <v>3.9</v>
      </c>
    </row>
    <row r="58">
      <c r="A58" s="9" t="str">
        <f>IFERROR(__xludf.DUMMYFUNCTION("""COMPUTED_VALUE"""),"KNCR11")</f>
        <v>KNCR11</v>
      </c>
      <c r="B58" s="17">
        <f>IFERROR(__xludf.DUMMYFUNCTION("""COMPUTED_VALUE"""),43935.0)</f>
        <v>43935</v>
      </c>
      <c r="C58" s="9">
        <f>IFERROR(__xludf.DUMMYFUNCTION("""COMPUTED_VALUE"""),4.0)</f>
        <v>4</v>
      </c>
      <c r="D58" s="9">
        <f>IFERROR(__xludf.DUMMYFUNCTION("""COMPUTED_VALUE"""),2020.0)</f>
        <v>2020</v>
      </c>
      <c r="E58" s="9">
        <f>IFERROR(__xludf.DUMMYFUNCTION("""COMPUTED_VALUE"""),0.0)</f>
        <v>0</v>
      </c>
      <c r="F58" s="9">
        <f>IFERROR(__xludf.DUMMYFUNCTION("""COMPUTED_VALUE"""),4.95)</f>
        <v>4.95</v>
      </c>
    </row>
    <row r="59">
      <c r="A59" s="9" t="str">
        <f>IFERROR(__xludf.DUMMYFUNCTION("""COMPUTED_VALUE"""),"BCFF11")</f>
        <v>BCFF11</v>
      </c>
      <c r="B59" s="17">
        <f>IFERROR(__xludf.DUMMYFUNCTION("""COMPUTED_VALUE"""),43903.0)</f>
        <v>43903</v>
      </c>
      <c r="C59" s="9">
        <f>IFERROR(__xludf.DUMMYFUNCTION("""COMPUTED_VALUE"""),3.0)</f>
        <v>3</v>
      </c>
      <c r="D59" s="9">
        <f>IFERROR(__xludf.DUMMYFUNCTION("""COMPUTED_VALUE"""),2020.0)</f>
        <v>2020</v>
      </c>
      <c r="E59" s="9">
        <f>IFERROR(__xludf.DUMMYFUNCTION("""COMPUTED_VALUE"""),0.0)</f>
        <v>0</v>
      </c>
      <c r="F59" s="9">
        <f>IFERROR(__xludf.DUMMYFUNCTION("""COMPUTED_VALUE"""),5.3)</f>
        <v>5.3</v>
      </c>
    </row>
    <row r="60">
      <c r="A60" s="9" t="str">
        <f>IFERROR(__xludf.DUMMYFUNCTION("""COMPUTED_VALUE"""),"HGCR11")</f>
        <v>HGCR11</v>
      </c>
      <c r="B60" s="17">
        <f>IFERROR(__xludf.DUMMYFUNCTION("""COMPUTED_VALUE"""),43903.0)</f>
        <v>43903</v>
      </c>
      <c r="C60" s="9">
        <f>IFERROR(__xludf.DUMMYFUNCTION("""COMPUTED_VALUE"""),3.0)</f>
        <v>3</v>
      </c>
      <c r="D60" s="9">
        <f>IFERROR(__xludf.DUMMYFUNCTION("""COMPUTED_VALUE"""),2020.0)</f>
        <v>2020</v>
      </c>
      <c r="E60" s="9">
        <f>IFERROR(__xludf.DUMMYFUNCTION("""COMPUTED_VALUE"""),0.0)</f>
        <v>0</v>
      </c>
      <c r="F60" s="9">
        <f>IFERROR(__xludf.DUMMYFUNCTION("""COMPUTED_VALUE"""),6.0)</f>
        <v>6</v>
      </c>
    </row>
    <row r="61">
      <c r="A61" s="9" t="str">
        <f>IFERROR(__xludf.DUMMYFUNCTION("""COMPUTED_VALUE"""),"KNRI11")</f>
        <v>KNRI11</v>
      </c>
      <c r="B61" s="17">
        <f>IFERROR(__xludf.DUMMYFUNCTION("""COMPUTED_VALUE"""),43903.0)</f>
        <v>43903</v>
      </c>
      <c r="C61" s="9">
        <f>IFERROR(__xludf.DUMMYFUNCTION("""COMPUTED_VALUE"""),3.0)</f>
        <v>3</v>
      </c>
      <c r="D61" s="9">
        <f>IFERROR(__xludf.DUMMYFUNCTION("""COMPUTED_VALUE"""),2020.0)</f>
        <v>2020</v>
      </c>
      <c r="E61" s="9">
        <f>IFERROR(__xludf.DUMMYFUNCTION("""COMPUTED_VALUE"""),0.0)</f>
        <v>0</v>
      </c>
      <c r="F61" s="9">
        <f>IFERROR(__xludf.DUMMYFUNCTION("""COMPUTED_VALUE"""),4.44)</f>
        <v>4.44</v>
      </c>
    </row>
    <row r="62">
      <c r="A62" s="9" t="str">
        <f>IFERROR(__xludf.DUMMYFUNCTION("""COMPUTED_VALUE"""),"KNCR11")</f>
        <v>KNCR11</v>
      </c>
      <c r="B62" s="17">
        <f>IFERROR(__xludf.DUMMYFUNCTION("""COMPUTED_VALUE"""),43902.0)</f>
        <v>43902</v>
      </c>
      <c r="C62" s="9">
        <f>IFERROR(__xludf.DUMMYFUNCTION("""COMPUTED_VALUE"""),3.0)</f>
        <v>3</v>
      </c>
      <c r="D62" s="9">
        <f>IFERROR(__xludf.DUMMYFUNCTION("""COMPUTED_VALUE"""),2020.0)</f>
        <v>2020</v>
      </c>
      <c r="E62" s="9">
        <f>IFERROR(__xludf.DUMMYFUNCTION("""COMPUTED_VALUE"""),0.0)</f>
        <v>0</v>
      </c>
      <c r="F62" s="9">
        <f>IFERROR(__xludf.DUMMYFUNCTION("""COMPUTED_VALUE"""),4.51)</f>
        <v>4.51</v>
      </c>
    </row>
    <row r="63">
      <c r="A63" s="9" t="str">
        <f>IFERROR(__xludf.DUMMYFUNCTION("""COMPUTED_VALUE"""),"WEGE3")</f>
        <v>WEGE3</v>
      </c>
      <c r="B63" s="17">
        <f>IFERROR(__xludf.DUMMYFUNCTION("""COMPUTED_VALUE"""),43901.0)</f>
        <v>43901</v>
      </c>
      <c r="C63" s="9">
        <f>IFERROR(__xludf.DUMMYFUNCTION("""COMPUTED_VALUE"""),3.0)</f>
        <v>3</v>
      </c>
      <c r="D63" s="9">
        <f>IFERROR(__xludf.DUMMYFUNCTION("""COMPUTED_VALUE"""),2020.0)</f>
        <v>2020</v>
      </c>
      <c r="E63" s="9">
        <f>IFERROR(__xludf.DUMMYFUNCTION("""COMPUTED_VALUE"""),0.17)</f>
        <v>0.17</v>
      </c>
      <c r="F63" s="9">
        <f>IFERROR(__xludf.DUMMYFUNCTION("""COMPUTED_VALUE"""),7.88)</f>
        <v>7.88</v>
      </c>
    </row>
    <row r="64">
      <c r="A64" s="9" t="str">
        <f>IFERROR(__xludf.DUMMYFUNCTION("""COMPUTED_VALUE"""),"KLBN11")</f>
        <v>KLBN11</v>
      </c>
      <c r="B64" s="17">
        <f>IFERROR(__xludf.DUMMYFUNCTION("""COMPUTED_VALUE"""),43881.0)</f>
        <v>43881</v>
      </c>
      <c r="C64" s="9">
        <f>IFERROR(__xludf.DUMMYFUNCTION("""COMPUTED_VALUE"""),2.0)</f>
        <v>2</v>
      </c>
      <c r="D64" s="9">
        <f>IFERROR(__xludf.DUMMYFUNCTION("""COMPUTED_VALUE"""),2020.0)</f>
        <v>2020</v>
      </c>
      <c r="E64" s="9">
        <f>IFERROR(__xludf.DUMMYFUNCTION("""COMPUTED_VALUE"""),0.02)</f>
        <v>0.02</v>
      </c>
      <c r="F64" s="9">
        <f>IFERROR(__xludf.DUMMYFUNCTION("""COMPUTED_VALUE"""),2.0)</f>
        <v>2</v>
      </c>
    </row>
    <row r="65">
      <c r="A65" s="9" t="str">
        <f>IFERROR(__xludf.DUMMYFUNCTION("""COMPUTED_VALUE"""),"KLBN11")</f>
        <v>KLBN11</v>
      </c>
      <c r="B65" s="17">
        <f>IFERROR(__xludf.DUMMYFUNCTION("""COMPUTED_VALUE"""),43881.0)</f>
        <v>43881</v>
      </c>
      <c r="C65" s="9">
        <f>IFERROR(__xludf.DUMMYFUNCTION("""COMPUTED_VALUE"""),2.0)</f>
        <v>2</v>
      </c>
      <c r="D65" s="9">
        <f>IFERROR(__xludf.DUMMYFUNCTION("""COMPUTED_VALUE"""),2020.0)</f>
        <v>2020</v>
      </c>
      <c r="E65" s="9">
        <f>IFERROR(__xludf.DUMMYFUNCTION("""COMPUTED_VALUE"""),0.19)</f>
        <v>0.19</v>
      </c>
      <c r="F65" s="9">
        <f>IFERROR(__xludf.DUMMYFUNCTION("""COMPUTED_VALUE"""),10.32)</f>
        <v>10.32</v>
      </c>
    </row>
    <row r="66">
      <c r="A66" s="9" t="str">
        <f>IFERROR(__xludf.DUMMYFUNCTION("""COMPUTED_VALUE"""),"BCFF11")</f>
        <v>BCFF11</v>
      </c>
      <c r="B66" s="17">
        <f>IFERROR(__xludf.DUMMYFUNCTION("""COMPUTED_VALUE"""),43875.0)</f>
        <v>43875</v>
      </c>
      <c r="C66" s="9">
        <f>IFERROR(__xludf.DUMMYFUNCTION("""COMPUTED_VALUE"""),2.0)</f>
        <v>2</v>
      </c>
      <c r="D66" s="9">
        <f>IFERROR(__xludf.DUMMYFUNCTION("""COMPUTED_VALUE"""),2020.0)</f>
        <v>2020</v>
      </c>
      <c r="E66" s="9">
        <f>IFERROR(__xludf.DUMMYFUNCTION("""COMPUTED_VALUE"""),0.0)</f>
        <v>0</v>
      </c>
      <c r="F66" s="9">
        <f>IFERROR(__xludf.DUMMYFUNCTION("""COMPUTED_VALUE"""),5.7)</f>
        <v>5.7</v>
      </c>
    </row>
    <row r="67">
      <c r="A67" s="9" t="str">
        <f>IFERROR(__xludf.DUMMYFUNCTION("""COMPUTED_VALUE"""),"HGCR11")</f>
        <v>HGCR11</v>
      </c>
      <c r="B67" s="17">
        <f>IFERROR(__xludf.DUMMYFUNCTION("""COMPUTED_VALUE"""),43875.0)</f>
        <v>43875</v>
      </c>
      <c r="C67" s="9">
        <f>IFERROR(__xludf.DUMMYFUNCTION("""COMPUTED_VALUE"""),2.0)</f>
        <v>2</v>
      </c>
      <c r="D67" s="9">
        <f>IFERROR(__xludf.DUMMYFUNCTION("""COMPUTED_VALUE"""),2020.0)</f>
        <v>2020</v>
      </c>
      <c r="E67" s="9">
        <f>IFERROR(__xludf.DUMMYFUNCTION("""COMPUTED_VALUE"""),0.0)</f>
        <v>0</v>
      </c>
      <c r="F67" s="9">
        <f>IFERROR(__xludf.DUMMYFUNCTION("""COMPUTED_VALUE"""),6.0)</f>
        <v>6</v>
      </c>
    </row>
    <row r="68">
      <c r="A68" s="9" t="str">
        <f>IFERROR(__xludf.DUMMYFUNCTION("""COMPUTED_VALUE"""),"KNRI11")</f>
        <v>KNRI11</v>
      </c>
      <c r="B68" s="17">
        <f>IFERROR(__xludf.DUMMYFUNCTION("""COMPUTED_VALUE"""),43875.0)</f>
        <v>43875</v>
      </c>
      <c r="C68" s="9">
        <f>IFERROR(__xludf.DUMMYFUNCTION("""COMPUTED_VALUE"""),2.0)</f>
        <v>2</v>
      </c>
      <c r="D68" s="9">
        <f>IFERROR(__xludf.DUMMYFUNCTION("""COMPUTED_VALUE"""),2020.0)</f>
        <v>2020</v>
      </c>
      <c r="E68" s="9">
        <f>IFERROR(__xludf.DUMMYFUNCTION("""COMPUTED_VALUE"""),0.0)</f>
        <v>0</v>
      </c>
      <c r="F68" s="9">
        <f>IFERROR(__xludf.DUMMYFUNCTION("""COMPUTED_VALUE"""),4.44)</f>
        <v>4.44</v>
      </c>
    </row>
    <row r="69">
      <c r="A69" s="9" t="str">
        <f>IFERROR(__xludf.DUMMYFUNCTION("""COMPUTED_VALUE"""),"RENT3")</f>
        <v>RENT3</v>
      </c>
      <c r="B69" s="17">
        <f>IFERROR(__xludf.DUMMYFUNCTION("""COMPUTED_VALUE"""),43875.0)</f>
        <v>43875</v>
      </c>
      <c r="C69" s="9">
        <f>IFERROR(__xludf.DUMMYFUNCTION("""COMPUTED_VALUE"""),2.0)</f>
        <v>2</v>
      </c>
      <c r="D69" s="9">
        <f>IFERROR(__xludf.DUMMYFUNCTION("""COMPUTED_VALUE"""),2020.0)</f>
        <v>2020</v>
      </c>
      <c r="E69" s="9">
        <f>IFERROR(__xludf.DUMMYFUNCTION("""COMPUTED_VALUE"""),0.1)</f>
        <v>0.1</v>
      </c>
      <c r="F69" s="9">
        <f>IFERROR(__xludf.DUMMYFUNCTION("""COMPUTED_VALUE"""),0.51)</f>
        <v>0.51</v>
      </c>
    </row>
    <row r="70">
      <c r="A70" s="9" t="str">
        <f>IFERROR(__xludf.DUMMYFUNCTION("""COMPUTED_VALUE"""),"KNCR11")</f>
        <v>KNCR11</v>
      </c>
      <c r="B70" s="17">
        <f>IFERROR(__xludf.DUMMYFUNCTION("""COMPUTED_VALUE"""),43874.0)</f>
        <v>43874</v>
      </c>
      <c r="C70" s="9">
        <f>IFERROR(__xludf.DUMMYFUNCTION("""COMPUTED_VALUE"""),2.0)</f>
        <v>2</v>
      </c>
      <c r="D70" s="9">
        <f>IFERROR(__xludf.DUMMYFUNCTION("""COMPUTED_VALUE"""),2020.0)</f>
        <v>2020</v>
      </c>
      <c r="E70" s="9">
        <f>IFERROR(__xludf.DUMMYFUNCTION("""COMPUTED_VALUE"""),0.0)</f>
        <v>0</v>
      </c>
      <c r="F70" s="9">
        <f>IFERROR(__xludf.DUMMYFUNCTION("""COMPUTED_VALUE"""),5.5)</f>
        <v>5.5</v>
      </c>
    </row>
    <row r="71">
      <c r="A71" s="9" t="str">
        <f>IFERROR(__xludf.DUMMYFUNCTION("""COMPUTED_VALUE"""),"PETR4")</f>
        <v>PETR4</v>
      </c>
      <c r="B71" s="17">
        <f>IFERROR(__xludf.DUMMYFUNCTION("""COMPUTED_VALUE"""),43868.0)</f>
        <v>43868</v>
      </c>
      <c r="C71" s="9">
        <f>IFERROR(__xludf.DUMMYFUNCTION("""COMPUTED_VALUE"""),2.0)</f>
        <v>2</v>
      </c>
      <c r="D71" s="9">
        <f>IFERROR(__xludf.DUMMYFUNCTION("""COMPUTED_VALUE"""),2020.0)</f>
        <v>2020</v>
      </c>
      <c r="E71" s="9">
        <f>IFERROR(__xludf.DUMMYFUNCTION("""COMPUTED_VALUE"""),0.2)</f>
        <v>0.2</v>
      </c>
      <c r="F71" s="9">
        <f>IFERROR(__xludf.DUMMYFUNCTION("""COMPUTED_VALUE"""),3.4)</f>
        <v>3.4</v>
      </c>
    </row>
    <row r="72">
      <c r="A72" s="9" t="str">
        <f>IFERROR(__xludf.DUMMYFUNCTION("""COMPUTED_VALUE"""),"PETR4")</f>
        <v>PETR4</v>
      </c>
      <c r="B72" s="17">
        <f>IFERROR(__xludf.DUMMYFUNCTION("""COMPUTED_VALUE"""),43868.0)</f>
        <v>43868</v>
      </c>
      <c r="C72" s="9">
        <f>IFERROR(__xludf.DUMMYFUNCTION("""COMPUTED_VALUE"""),2.0)</f>
        <v>2</v>
      </c>
      <c r="D72" s="9">
        <f>IFERROR(__xludf.DUMMYFUNCTION("""COMPUTED_VALUE"""),2020.0)</f>
        <v>2020</v>
      </c>
      <c r="E72" s="9">
        <f>IFERROR(__xludf.DUMMYFUNCTION("""COMPUTED_VALUE"""),0.42)</f>
        <v>0.42</v>
      </c>
      <c r="F72" s="9">
        <f>IFERROR(__xludf.DUMMYFUNCTION("""COMPUTED_VALUE"""),17.14)</f>
        <v>17.14</v>
      </c>
    </row>
    <row r="73">
      <c r="A73" s="9" t="str">
        <f>IFERROR(__xludf.DUMMYFUNCTION("""COMPUTED_VALUE"""),"PETR4")</f>
        <v>PETR4</v>
      </c>
      <c r="B73" s="17">
        <f>IFERROR(__xludf.DUMMYFUNCTION("""COMPUTED_VALUE"""),43868.0)</f>
        <v>43868</v>
      </c>
      <c r="C73" s="9">
        <f>IFERROR(__xludf.DUMMYFUNCTION("""COMPUTED_VALUE"""),2.0)</f>
        <v>2</v>
      </c>
      <c r="D73" s="9">
        <f>IFERROR(__xludf.DUMMYFUNCTION("""COMPUTED_VALUE"""),2020.0)</f>
        <v>2020</v>
      </c>
      <c r="E73" s="9">
        <f>IFERROR(__xludf.DUMMYFUNCTION("""COMPUTED_VALUE"""),0.0)</f>
        <v>0</v>
      </c>
      <c r="F73" s="9">
        <f>IFERROR(__xludf.DUMMYFUNCTION("""COMPUTED_VALUE"""),0.07)</f>
        <v>0.07</v>
      </c>
    </row>
    <row r="74">
      <c r="A74" s="9" t="str">
        <f>IFERROR(__xludf.DUMMYFUNCTION("""COMPUTED_VALUE"""),"PETR4")</f>
        <v>PETR4</v>
      </c>
      <c r="B74" s="17">
        <f>IFERROR(__xludf.DUMMYFUNCTION("""COMPUTED_VALUE"""),43868.0)</f>
        <v>43868</v>
      </c>
      <c r="C74" s="9">
        <f>IFERROR(__xludf.DUMMYFUNCTION("""COMPUTED_VALUE"""),2.0)</f>
        <v>2</v>
      </c>
      <c r="D74" s="9">
        <f>IFERROR(__xludf.DUMMYFUNCTION("""COMPUTED_VALUE"""),2020.0)</f>
        <v>2020</v>
      </c>
      <c r="E74" s="9">
        <f>IFERROR(__xludf.DUMMYFUNCTION("""COMPUTED_VALUE"""),0.0)</f>
        <v>0</v>
      </c>
      <c r="F74" s="9">
        <f>IFERROR(__xludf.DUMMYFUNCTION("""COMPUTED_VALUE"""),0.01)</f>
        <v>0.01</v>
      </c>
    </row>
    <row r="75">
      <c r="A75" s="9" t="str">
        <f>IFERROR(__xludf.DUMMYFUNCTION("""COMPUTED_VALUE"""),"BBDC4")</f>
        <v>BBDC4</v>
      </c>
      <c r="B75" s="17">
        <f>IFERROR(__xludf.DUMMYFUNCTION("""COMPUTED_VALUE"""),43864.0)</f>
        <v>43864</v>
      </c>
      <c r="C75" s="9">
        <f>IFERROR(__xludf.DUMMYFUNCTION("""COMPUTED_VALUE"""),2.0)</f>
        <v>2</v>
      </c>
      <c r="D75" s="9">
        <f>IFERROR(__xludf.DUMMYFUNCTION("""COMPUTED_VALUE"""),2020.0)</f>
        <v>2020</v>
      </c>
      <c r="E75" s="9">
        <f>IFERROR(__xludf.DUMMYFUNCTION("""COMPUTED_VALUE"""),0.02)</f>
        <v>0.02</v>
      </c>
      <c r="F75" s="9">
        <f>IFERROR(__xludf.DUMMYFUNCTION("""COMPUTED_VALUE"""),0.13)</f>
        <v>0.13</v>
      </c>
    </row>
    <row r="76">
      <c r="A76" s="9" t="str">
        <f>IFERROR(__xludf.DUMMYFUNCTION("""COMPUTED_VALUE"""),"TIMP3")</f>
        <v>TIMP3</v>
      </c>
      <c r="B76" s="17">
        <f>IFERROR(__xludf.DUMMYFUNCTION("""COMPUTED_VALUE"""),43854.0)</f>
        <v>43854</v>
      </c>
      <c r="C76" s="9">
        <f>IFERROR(__xludf.DUMMYFUNCTION("""COMPUTED_VALUE"""),1.0)</f>
        <v>1</v>
      </c>
      <c r="D76" s="9">
        <f>IFERROR(__xludf.DUMMYFUNCTION("""COMPUTED_VALUE"""),2020.0)</f>
        <v>2020</v>
      </c>
      <c r="E76" s="9">
        <f>IFERROR(__xludf.DUMMYFUNCTION("""COMPUTED_VALUE"""),0.16)</f>
        <v>0.16</v>
      </c>
      <c r="F76" s="9">
        <f>IFERROR(__xludf.DUMMYFUNCTION("""COMPUTED_VALUE"""),0.8)</f>
        <v>0.8</v>
      </c>
    </row>
    <row r="77">
      <c r="A77" s="9" t="str">
        <f>IFERROR(__xludf.DUMMYFUNCTION("""COMPUTED_VALUE"""),"OUJP11")</f>
        <v>OUJP11</v>
      </c>
      <c r="B77" s="17">
        <f>IFERROR(__xludf.DUMMYFUNCTION("""COMPUTED_VALUE"""),43845.0)</f>
        <v>43845</v>
      </c>
      <c r="C77" s="9">
        <f>IFERROR(__xludf.DUMMYFUNCTION("""COMPUTED_VALUE"""),1.0)</f>
        <v>1</v>
      </c>
      <c r="D77" s="9">
        <f>IFERROR(__xludf.DUMMYFUNCTION("""COMPUTED_VALUE"""),2020.0)</f>
        <v>2020</v>
      </c>
      <c r="E77" s="9">
        <f>IFERROR(__xludf.DUMMYFUNCTION("""COMPUTED_VALUE"""),0.0)</f>
        <v>0</v>
      </c>
      <c r="F77" s="9">
        <f>IFERROR(__xludf.DUMMYFUNCTION("""COMPUTED_VALUE"""),3.6)</f>
        <v>3.6</v>
      </c>
    </row>
    <row r="78">
      <c r="A78" s="9" t="str">
        <f>IFERROR(__xludf.DUMMYFUNCTION("""COMPUTED_VALUE"""),"LCAM3")</f>
        <v>LCAM3</v>
      </c>
      <c r="B78" s="17">
        <f>IFERROR(__xludf.DUMMYFUNCTION("""COMPUTED_VALUE"""),43840.0)</f>
        <v>43840</v>
      </c>
      <c r="C78" s="9">
        <f>IFERROR(__xludf.DUMMYFUNCTION("""COMPUTED_VALUE"""),1.0)</f>
        <v>1</v>
      </c>
      <c r="D78" s="9">
        <f>IFERROR(__xludf.DUMMYFUNCTION("""COMPUTED_VALUE"""),2020.0)</f>
        <v>2020</v>
      </c>
      <c r="E78" s="9">
        <f>IFERROR(__xludf.DUMMYFUNCTION("""COMPUTED_VALUE"""),0.08)</f>
        <v>0.08</v>
      </c>
      <c r="F78" s="9">
        <f>IFERROR(__xludf.DUMMYFUNCTION("""COMPUTED_VALUE"""),4.39)</f>
        <v>4.39</v>
      </c>
    </row>
    <row r="79">
      <c r="A79" s="9" t="str">
        <f>IFERROR(__xludf.DUMMYFUNCTION("""COMPUTED_VALUE"""),"ITSA4")</f>
        <v>ITSA4</v>
      </c>
      <c r="B79" s="17">
        <f>IFERROR(__xludf.DUMMYFUNCTION("""COMPUTED_VALUE"""),43832.0)</f>
        <v>43832</v>
      </c>
      <c r="C79" s="9">
        <f>IFERROR(__xludf.DUMMYFUNCTION("""COMPUTED_VALUE"""),1.0)</f>
        <v>1</v>
      </c>
      <c r="D79" s="9">
        <f>IFERROR(__xludf.DUMMYFUNCTION("""COMPUTED_VALUE"""),2020.0)</f>
        <v>2020</v>
      </c>
      <c r="E79" s="9">
        <f>IFERROR(__xludf.DUMMYFUNCTION("""COMPUTED_VALUE"""),0.02)</f>
        <v>0.02</v>
      </c>
      <c r="F79" s="9">
        <f>IFERROR(__xludf.DUMMYFUNCTION("""COMPUTED_VALUE"""),0.28)</f>
        <v>0.28</v>
      </c>
    </row>
    <row r="80">
      <c r="A80" s="9" t="str">
        <f>IFERROR(__xludf.DUMMYFUNCTION("""COMPUTED_VALUE"""),"ITUB4")</f>
        <v>ITUB4</v>
      </c>
      <c r="B80" s="17">
        <f>IFERROR(__xludf.DUMMYFUNCTION("""COMPUTED_VALUE"""),43832.0)</f>
        <v>43832</v>
      </c>
      <c r="C80" s="9">
        <f>IFERROR(__xludf.DUMMYFUNCTION("""COMPUTED_VALUE"""),1.0)</f>
        <v>1</v>
      </c>
      <c r="D80" s="9">
        <f>IFERROR(__xludf.DUMMYFUNCTION("""COMPUTED_VALUE"""),2020.0)</f>
        <v>2020</v>
      </c>
      <c r="E80" s="9">
        <f>IFERROR(__xludf.DUMMYFUNCTION("""COMPUTED_VALUE"""),0.02)</f>
        <v>0.02</v>
      </c>
      <c r="F80" s="9">
        <f>IFERROR(__xludf.DUMMYFUNCTION("""COMPUTED_VALUE"""),0.24)</f>
        <v>0.24</v>
      </c>
    </row>
    <row r="81">
      <c r="A81" s="9" t="str">
        <f>IFERROR(__xludf.DUMMYFUNCTION("""COMPUTED_VALUE"""),"B3SA3")</f>
        <v>B3SA3</v>
      </c>
      <c r="B81" s="17">
        <f>IFERROR(__xludf.DUMMYFUNCTION("""COMPUTED_VALUE"""),44560.0)</f>
        <v>44560</v>
      </c>
      <c r="C81" s="9">
        <f>IFERROR(__xludf.DUMMYFUNCTION("""COMPUTED_VALUE"""),12.0)</f>
        <v>12</v>
      </c>
      <c r="D81" s="9">
        <f>IFERROR(__xludf.DUMMYFUNCTION("""COMPUTED_VALUE"""),2021.0)</f>
        <v>2021</v>
      </c>
      <c r="E81" s="9">
        <f>IFERROR(__xludf.DUMMYFUNCTION("""COMPUTED_VALUE"""),0.14)</f>
        <v>0.14</v>
      </c>
      <c r="F81" s="9">
        <f>IFERROR(__xludf.DUMMYFUNCTION("""COMPUTED_VALUE"""),59.78)</f>
        <v>59.78</v>
      </c>
    </row>
    <row r="82">
      <c r="A82" s="9" t="str">
        <f>IFERROR(__xludf.DUMMYFUNCTION("""COMPUTED_VALUE"""),"TAEE11")</f>
        <v>TAEE11</v>
      </c>
      <c r="B82" s="17">
        <f>IFERROR(__xludf.DUMMYFUNCTION("""COMPUTED_VALUE"""),44559.0)</f>
        <v>44559</v>
      </c>
      <c r="C82" s="9">
        <f>IFERROR(__xludf.DUMMYFUNCTION("""COMPUTED_VALUE"""),12.0)</f>
        <v>12</v>
      </c>
      <c r="D82" s="9">
        <f>IFERROR(__xludf.DUMMYFUNCTION("""COMPUTED_VALUE"""),2021.0)</f>
        <v>2021</v>
      </c>
      <c r="E82" s="9">
        <f>IFERROR(__xludf.DUMMYFUNCTION("""COMPUTED_VALUE"""),0.93)</f>
        <v>0.93</v>
      </c>
      <c r="F82" s="9">
        <f>IFERROR(__xludf.DUMMYFUNCTION("""COMPUTED_VALUE"""),136.96)</f>
        <v>136.96</v>
      </c>
    </row>
    <row r="83">
      <c r="A83" s="9" t="str">
        <f>IFERROR(__xludf.DUMMYFUNCTION("""COMPUTED_VALUE"""),"TAEE11")</f>
        <v>TAEE11</v>
      </c>
      <c r="B83" s="17">
        <f>IFERROR(__xludf.DUMMYFUNCTION("""COMPUTED_VALUE"""),44559.0)</f>
        <v>44559</v>
      </c>
      <c r="C83" s="9">
        <f>IFERROR(__xludf.DUMMYFUNCTION("""COMPUTED_VALUE"""),12.0)</f>
        <v>12</v>
      </c>
      <c r="D83" s="9">
        <f>IFERROR(__xludf.DUMMYFUNCTION("""COMPUTED_VALUE"""),2021.0)</f>
        <v>2021</v>
      </c>
      <c r="E83" s="9">
        <f>IFERROR(__xludf.DUMMYFUNCTION("""COMPUTED_VALUE"""),0.58)</f>
        <v>0.58</v>
      </c>
      <c r="F83" s="9">
        <f>IFERROR(__xludf.DUMMYFUNCTION("""COMPUTED_VALUE"""),73.27)</f>
        <v>73.27</v>
      </c>
    </row>
    <row r="84">
      <c r="A84" s="9" t="str">
        <f>IFERROR(__xludf.DUMMYFUNCTION("""COMPUTED_VALUE"""),"TRPL4")</f>
        <v>TRPL4</v>
      </c>
      <c r="B84" s="17">
        <f>IFERROR(__xludf.DUMMYFUNCTION("""COMPUTED_VALUE"""),44517.0)</f>
        <v>44517</v>
      </c>
      <c r="C84" s="9">
        <f>IFERROR(__xludf.DUMMYFUNCTION("""COMPUTED_VALUE"""),11.0)</f>
        <v>11</v>
      </c>
      <c r="D84" s="9">
        <f>IFERROR(__xludf.DUMMYFUNCTION("""COMPUTED_VALUE"""),2021.0)</f>
        <v>2021</v>
      </c>
      <c r="E84" s="9">
        <f>IFERROR(__xludf.DUMMYFUNCTION("""COMPUTED_VALUE"""),0.78)</f>
        <v>0.78</v>
      </c>
      <c r="F84" s="9">
        <f>IFERROR(__xludf.DUMMYFUNCTION("""COMPUTED_VALUE"""),152.0)</f>
        <v>152</v>
      </c>
    </row>
    <row r="85">
      <c r="A85" s="9" t="str">
        <f>IFERROR(__xludf.DUMMYFUNCTION("""COMPUTED_VALUE"""),"TRPL4")</f>
        <v>TRPL4</v>
      </c>
      <c r="B85" s="17">
        <f>IFERROR(__xludf.DUMMYFUNCTION("""COMPUTED_VALUE"""),44517.0)</f>
        <v>44517</v>
      </c>
      <c r="C85" s="9">
        <f>IFERROR(__xludf.DUMMYFUNCTION("""COMPUTED_VALUE"""),11.0)</f>
        <v>11</v>
      </c>
      <c r="D85" s="9">
        <f>IFERROR(__xludf.DUMMYFUNCTION("""COMPUTED_VALUE"""),2021.0)</f>
        <v>2021</v>
      </c>
      <c r="E85" s="9">
        <f>IFERROR(__xludf.DUMMYFUNCTION("""COMPUTED_VALUE"""),0.52)</f>
        <v>0.52</v>
      </c>
      <c r="F85" s="9">
        <f>IFERROR(__xludf.DUMMYFUNCTION("""COMPUTED_VALUE"""),121.22)</f>
        <v>121.22</v>
      </c>
    </row>
    <row r="86">
      <c r="A86" s="9" t="str">
        <f>IFERROR(__xludf.DUMMYFUNCTION("""COMPUTED_VALUE"""),"EUCA4")</f>
        <v>EUCA4</v>
      </c>
      <c r="B86" s="17">
        <f>IFERROR(__xludf.DUMMYFUNCTION("""COMPUTED_VALUE"""),44498.0)</f>
        <v>44498</v>
      </c>
      <c r="C86" s="9">
        <f>IFERROR(__xludf.DUMMYFUNCTION("""COMPUTED_VALUE"""),10.0)</f>
        <v>10</v>
      </c>
      <c r="D86" s="9">
        <f>IFERROR(__xludf.DUMMYFUNCTION("""COMPUTED_VALUE"""),2021.0)</f>
        <v>2021</v>
      </c>
      <c r="E86" s="9">
        <f>IFERROR(__xludf.DUMMYFUNCTION("""COMPUTED_VALUE"""),0.18)</f>
        <v>0.18</v>
      </c>
      <c r="F86" s="9">
        <f>IFERROR(__xludf.DUMMYFUNCTION("""COMPUTED_VALUE"""),112.18)</f>
        <v>112.18</v>
      </c>
    </row>
    <row r="87">
      <c r="A87" s="9" t="str">
        <f>IFERROR(__xludf.DUMMYFUNCTION("""COMPUTED_VALUE"""),"B3SA3")</f>
        <v>B3SA3</v>
      </c>
      <c r="B87" s="17">
        <f>IFERROR(__xludf.DUMMYFUNCTION("""COMPUTED_VALUE"""),44476.0)</f>
        <v>44476</v>
      </c>
      <c r="C87" s="9">
        <f>IFERROR(__xludf.DUMMYFUNCTION("""COMPUTED_VALUE"""),10.0)</f>
        <v>10</v>
      </c>
      <c r="D87" s="9">
        <f>IFERROR(__xludf.DUMMYFUNCTION("""COMPUTED_VALUE"""),2021.0)</f>
        <v>2021</v>
      </c>
      <c r="E87" s="9">
        <f>IFERROR(__xludf.DUMMYFUNCTION("""COMPUTED_VALUE"""),0.15)</f>
        <v>0.15</v>
      </c>
      <c r="F87" s="9">
        <f>IFERROR(__xludf.DUMMYFUNCTION("""COMPUTED_VALUE"""),55.49)</f>
        <v>55.49</v>
      </c>
    </row>
    <row r="88">
      <c r="A88" s="9" t="str">
        <f>IFERROR(__xludf.DUMMYFUNCTION("""COMPUTED_VALUE"""),"B3SA3")</f>
        <v>B3SA3</v>
      </c>
      <c r="B88" s="17">
        <f>IFERROR(__xludf.DUMMYFUNCTION("""COMPUTED_VALUE"""),44476.0)</f>
        <v>44476</v>
      </c>
      <c r="C88" s="9">
        <f>IFERROR(__xludf.DUMMYFUNCTION("""COMPUTED_VALUE"""),10.0)</f>
        <v>10</v>
      </c>
      <c r="D88" s="9">
        <f>IFERROR(__xludf.DUMMYFUNCTION("""COMPUTED_VALUE"""),2021.0)</f>
        <v>2021</v>
      </c>
      <c r="E88" s="9">
        <f>IFERROR(__xludf.DUMMYFUNCTION("""COMPUTED_VALUE"""),0.04)</f>
        <v>0.04</v>
      </c>
      <c r="F88" s="9">
        <f>IFERROR(__xludf.DUMMYFUNCTION("""COMPUTED_VALUE"""),13.87)</f>
        <v>13.87</v>
      </c>
    </row>
    <row r="89">
      <c r="A89" s="9" t="str">
        <f>IFERROR(__xludf.DUMMYFUNCTION("""COMPUTED_VALUE"""),"VALE3")</f>
        <v>VALE3</v>
      </c>
      <c r="B89" s="17">
        <f>IFERROR(__xludf.DUMMYFUNCTION("""COMPUTED_VALUE"""),44469.0)</f>
        <v>44469</v>
      </c>
      <c r="C89" s="9">
        <f>IFERROR(__xludf.DUMMYFUNCTION("""COMPUTED_VALUE"""),9.0)</f>
        <v>9</v>
      </c>
      <c r="D89" s="9">
        <f>IFERROR(__xludf.DUMMYFUNCTION("""COMPUTED_VALUE"""),2021.0)</f>
        <v>2021</v>
      </c>
      <c r="E89" s="9">
        <f>IFERROR(__xludf.DUMMYFUNCTION("""COMPUTED_VALUE"""),8.19)</f>
        <v>8.19</v>
      </c>
      <c r="F89" s="9">
        <f>IFERROR(__xludf.DUMMYFUNCTION("""COMPUTED_VALUE"""),401.66)</f>
        <v>401.66</v>
      </c>
    </row>
    <row r="90">
      <c r="A90" s="9" t="str">
        <f>IFERROR(__xludf.DUMMYFUNCTION("""COMPUTED_VALUE"""),"BBSE3")</f>
        <v>BBSE3</v>
      </c>
      <c r="B90" s="17">
        <f>IFERROR(__xludf.DUMMYFUNCTION("""COMPUTED_VALUE"""),44431.0)</f>
        <v>44431</v>
      </c>
      <c r="C90" s="9">
        <f>IFERROR(__xludf.DUMMYFUNCTION("""COMPUTED_VALUE"""),8.0)</f>
        <v>8</v>
      </c>
      <c r="D90" s="9">
        <f>IFERROR(__xludf.DUMMYFUNCTION("""COMPUTED_VALUE"""),2021.0)</f>
        <v>2021</v>
      </c>
      <c r="E90" s="9">
        <f>IFERROR(__xludf.DUMMYFUNCTION("""COMPUTED_VALUE"""),0.52)</f>
        <v>0.52</v>
      </c>
      <c r="F90" s="9">
        <f>IFERROR(__xludf.DUMMYFUNCTION("""COMPUTED_VALUE"""),130.21)</f>
        <v>130.21</v>
      </c>
    </row>
    <row r="91">
      <c r="A91" s="9" t="str">
        <f>IFERROR(__xludf.DUMMYFUNCTION("""COMPUTED_VALUE"""),"WEGE3")</f>
        <v>WEGE3</v>
      </c>
      <c r="B91" s="17">
        <f>IFERROR(__xludf.DUMMYFUNCTION("""COMPUTED_VALUE"""),44419.0)</f>
        <v>44419</v>
      </c>
      <c r="C91" s="9">
        <f>IFERROR(__xludf.DUMMYFUNCTION("""COMPUTED_VALUE"""),8.0)</f>
        <v>8</v>
      </c>
      <c r="D91" s="9">
        <f>IFERROR(__xludf.DUMMYFUNCTION("""COMPUTED_VALUE"""),2021.0)</f>
        <v>2021</v>
      </c>
      <c r="E91" s="9">
        <f>IFERROR(__xludf.DUMMYFUNCTION("""COMPUTED_VALUE"""),0.15)</f>
        <v>0.15</v>
      </c>
      <c r="F91" s="9">
        <f>IFERROR(__xludf.DUMMYFUNCTION("""COMPUTED_VALUE"""),24.83)</f>
        <v>24.83</v>
      </c>
    </row>
    <row r="92">
      <c r="A92" s="9" t="str">
        <f>IFERROR(__xludf.DUMMYFUNCTION("""COMPUTED_VALUE"""),"WEGE3")</f>
        <v>WEGE3</v>
      </c>
      <c r="B92" s="17">
        <f>IFERROR(__xludf.DUMMYFUNCTION("""COMPUTED_VALUE"""),44419.0)</f>
        <v>44419</v>
      </c>
      <c r="C92" s="9">
        <f>IFERROR(__xludf.DUMMYFUNCTION("""COMPUTED_VALUE"""),8.0)</f>
        <v>8</v>
      </c>
      <c r="D92" s="9">
        <f>IFERROR(__xludf.DUMMYFUNCTION("""COMPUTED_VALUE"""),2021.0)</f>
        <v>2021</v>
      </c>
      <c r="E92" s="9">
        <f>IFERROR(__xludf.DUMMYFUNCTION("""COMPUTED_VALUE"""),0.02)</f>
        <v>0.02</v>
      </c>
      <c r="F92" s="9">
        <f>IFERROR(__xludf.DUMMYFUNCTION("""COMPUTED_VALUE"""),2.74)</f>
        <v>2.74</v>
      </c>
    </row>
    <row r="93">
      <c r="A93" s="9" t="str">
        <f>IFERROR(__xludf.DUMMYFUNCTION("""COMPUTED_VALUE"""),"TRPL4")</f>
        <v>TRPL4</v>
      </c>
      <c r="B93" s="17">
        <f>IFERROR(__xludf.DUMMYFUNCTION("""COMPUTED_VALUE"""),44392.0)</f>
        <v>44392</v>
      </c>
      <c r="C93" s="9">
        <f>IFERROR(__xludf.DUMMYFUNCTION("""COMPUTED_VALUE"""),7.0)</f>
        <v>7</v>
      </c>
      <c r="D93" s="9">
        <f>IFERROR(__xludf.DUMMYFUNCTION("""COMPUTED_VALUE"""),2021.0)</f>
        <v>2021</v>
      </c>
      <c r="E93" s="9">
        <f>IFERROR(__xludf.DUMMYFUNCTION("""COMPUTED_VALUE"""),0.5)</f>
        <v>0.5</v>
      </c>
      <c r="F93" s="9">
        <f>IFERROR(__xludf.DUMMYFUNCTION("""COMPUTED_VALUE"""),100.5)</f>
        <v>100.5</v>
      </c>
    </row>
    <row r="94">
      <c r="A94" s="9" t="str">
        <f>IFERROR(__xludf.DUMMYFUNCTION("""COMPUTED_VALUE"""),"VIVT4")</f>
        <v>VIVT4</v>
      </c>
      <c r="B94" s="17">
        <f>IFERROR(__xludf.DUMMYFUNCTION("""COMPUTED_VALUE"""),44390.0)</f>
        <v>44390</v>
      </c>
      <c r="C94" s="9">
        <f>IFERROR(__xludf.DUMMYFUNCTION("""COMPUTED_VALUE"""),7.0)</f>
        <v>7</v>
      </c>
      <c r="D94" s="9">
        <f>IFERROR(__xludf.DUMMYFUNCTION("""COMPUTED_VALUE"""),2021.0)</f>
        <v>2021</v>
      </c>
      <c r="E94" s="9">
        <f>IFERROR(__xludf.DUMMYFUNCTION("""COMPUTED_VALUE"""),0.16)</f>
        <v>0.16</v>
      </c>
      <c r="F94" s="9">
        <f>IFERROR(__xludf.DUMMYFUNCTION("""COMPUTED_VALUE"""),4.48)</f>
        <v>4.48</v>
      </c>
    </row>
    <row r="95">
      <c r="A95" s="9" t="str">
        <f>IFERROR(__xludf.DUMMYFUNCTION("""COMPUTED_VALUE"""),"VIVT4")</f>
        <v>VIVT4</v>
      </c>
      <c r="B95" s="17">
        <f>IFERROR(__xludf.DUMMYFUNCTION("""COMPUTED_VALUE"""),44390.0)</f>
        <v>44390</v>
      </c>
      <c r="C95" s="9">
        <f>IFERROR(__xludf.DUMMYFUNCTION("""COMPUTED_VALUE"""),7.0)</f>
        <v>7</v>
      </c>
      <c r="D95" s="9">
        <f>IFERROR(__xludf.DUMMYFUNCTION("""COMPUTED_VALUE"""),2021.0)</f>
        <v>2021</v>
      </c>
      <c r="E95" s="9">
        <f>IFERROR(__xludf.DUMMYFUNCTION("""COMPUTED_VALUE"""),0.09)</f>
        <v>0.09</v>
      </c>
      <c r="F95" s="9">
        <f>IFERROR(__xludf.DUMMYFUNCTION("""COMPUTED_VALUE"""),2.96)</f>
        <v>2.96</v>
      </c>
    </row>
    <row r="96">
      <c r="A96" s="9" t="str">
        <f>IFERROR(__xludf.DUMMYFUNCTION("""COMPUTED_VALUE"""),"B3SA3")</f>
        <v>B3SA3</v>
      </c>
      <c r="B96" s="17">
        <f>IFERROR(__xludf.DUMMYFUNCTION("""COMPUTED_VALUE"""),44384.0)</f>
        <v>44384</v>
      </c>
      <c r="C96" s="9">
        <f>IFERROR(__xludf.DUMMYFUNCTION("""COMPUTED_VALUE"""),7.0)</f>
        <v>7</v>
      </c>
      <c r="D96" s="9">
        <f>IFERROR(__xludf.DUMMYFUNCTION("""COMPUTED_VALUE"""),2021.0)</f>
        <v>2021</v>
      </c>
      <c r="E96" s="9">
        <f>IFERROR(__xludf.DUMMYFUNCTION("""COMPUTED_VALUE"""),0.16)</f>
        <v>0.16</v>
      </c>
      <c r="F96" s="9">
        <f>IFERROR(__xludf.DUMMYFUNCTION("""COMPUTED_VALUE"""),52.92)</f>
        <v>52.92</v>
      </c>
    </row>
    <row r="97">
      <c r="A97" s="9" t="str">
        <f>IFERROR(__xludf.DUMMYFUNCTION("""COMPUTED_VALUE"""),"B3SA3")</f>
        <v>B3SA3</v>
      </c>
      <c r="B97" s="17">
        <f>IFERROR(__xludf.DUMMYFUNCTION("""COMPUTED_VALUE"""),44384.0)</f>
        <v>44384</v>
      </c>
      <c r="C97" s="9">
        <f>IFERROR(__xludf.DUMMYFUNCTION("""COMPUTED_VALUE"""),7.0)</f>
        <v>7</v>
      </c>
      <c r="D97" s="9">
        <f>IFERROR(__xludf.DUMMYFUNCTION("""COMPUTED_VALUE"""),2021.0)</f>
        <v>2021</v>
      </c>
      <c r="E97" s="9">
        <f>IFERROR(__xludf.DUMMYFUNCTION("""COMPUTED_VALUE"""),0.04)</f>
        <v>0.04</v>
      </c>
      <c r="F97" s="9">
        <f>IFERROR(__xludf.DUMMYFUNCTION("""COMPUTED_VALUE"""),12.3)</f>
        <v>12.3</v>
      </c>
    </row>
    <row r="98">
      <c r="A98" s="9" t="str">
        <f>IFERROR(__xludf.DUMMYFUNCTION("""COMPUTED_VALUE"""),"VALE3")</f>
        <v>VALE3</v>
      </c>
      <c r="B98" s="17">
        <f>IFERROR(__xludf.DUMMYFUNCTION("""COMPUTED_VALUE"""),44377.0)</f>
        <v>44377</v>
      </c>
      <c r="C98" s="9">
        <f>IFERROR(__xludf.DUMMYFUNCTION("""COMPUTED_VALUE"""),6.0)</f>
        <v>6</v>
      </c>
      <c r="D98" s="9">
        <f>IFERROR(__xludf.DUMMYFUNCTION("""COMPUTED_VALUE"""),2021.0)</f>
        <v>2021</v>
      </c>
      <c r="E98" s="9">
        <f>IFERROR(__xludf.DUMMYFUNCTION("""COMPUTED_VALUE"""),1.46)</f>
        <v>1.46</v>
      </c>
      <c r="F98" s="9">
        <f>IFERROR(__xludf.DUMMYFUNCTION("""COMPUTED_VALUE"""),66.11)</f>
        <v>66.11</v>
      </c>
    </row>
    <row r="99">
      <c r="A99" s="9" t="str">
        <f>IFERROR(__xludf.DUMMYFUNCTION("""COMPUTED_VALUE"""),"VALE3")</f>
        <v>VALE3</v>
      </c>
      <c r="B99" s="17">
        <f>IFERROR(__xludf.DUMMYFUNCTION("""COMPUTED_VALUE"""),44377.0)</f>
        <v>44377</v>
      </c>
      <c r="C99" s="9">
        <f>IFERROR(__xludf.DUMMYFUNCTION("""COMPUTED_VALUE"""),6.0)</f>
        <v>6</v>
      </c>
      <c r="D99" s="9">
        <f>IFERROR(__xludf.DUMMYFUNCTION("""COMPUTED_VALUE"""),2021.0)</f>
        <v>2021</v>
      </c>
      <c r="E99" s="9">
        <f>IFERROR(__xludf.DUMMYFUNCTION("""COMPUTED_VALUE"""),0.72)</f>
        <v>0.72</v>
      </c>
      <c r="F99" s="9">
        <f>IFERROR(__xludf.DUMMYFUNCTION("""COMPUTED_VALUE"""),32.41)</f>
        <v>32.41</v>
      </c>
    </row>
    <row r="100">
      <c r="A100" s="9" t="str">
        <f>IFERROR(__xludf.DUMMYFUNCTION("""COMPUTED_VALUE"""),"CYRE3")</f>
        <v>CYRE3</v>
      </c>
      <c r="B100" s="17">
        <f>IFERROR(__xludf.DUMMYFUNCTION("""COMPUTED_VALUE"""),44361.0)</f>
        <v>44361</v>
      </c>
      <c r="C100" s="9">
        <f>IFERROR(__xludf.DUMMYFUNCTION("""COMPUTED_VALUE"""),6.0)</f>
        <v>6</v>
      </c>
      <c r="D100" s="9">
        <f>IFERROR(__xludf.DUMMYFUNCTION("""COMPUTED_VALUE"""),2021.0)</f>
        <v>2021</v>
      </c>
      <c r="E100" s="9">
        <f>IFERROR(__xludf.DUMMYFUNCTION("""COMPUTED_VALUE"""),1.08)</f>
        <v>1.08</v>
      </c>
      <c r="F100" s="9">
        <f>IFERROR(__xludf.DUMMYFUNCTION("""COMPUTED_VALUE"""),316.39)</f>
        <v>316.39</v>
      </c>
    </row>
    <row r="101">
      <c r="A101" s="9" t="str">
        <f>IFERROR(__xludf.DUMMYFUNCTION("""COMPUTED_VALUE"""),"TRPL4")</f>
        <v>TRPL4</v>
      </c>
      <c r="B101" s="17">
        <f>IFERROR(__xludf.DUMMYFUNCTION("""COMPUTED_VALUE"""),44337.0)</f>
        <v>44337</v>
      </c>
      <c r="C101" s="9">
        <f>IFERROR(__xludf.DUMMYFUNCTION("""COMPUTED_VALUE"""),5.0)</f>
        <v>5</v>
      </c>
      <c r="D101" s="9">
        <f>IFERROR(__xludf.DUMMYFUNCTION("""COMPUTED_VALUE"""),2021.0)</f>
        <v>2021</v>
      </c>
      <c r="E101" s="9">
        <f>IFERROR(__xludf.DUMMYFUNCTION("""COMPUTED_VALUE"""),0.8)</f>
        <v>0.8</v>
      </c>
      <c r="F101" s="9">
        <f>IFERROR(__xludf.DUMMYFUNCTION("""COMPUTED_VALUE"""),237.0)</f>
        <v>237</v>
      </c>
    </row>
    <row r="102">
      <c r="A102" s="9" t="str">
        <f>IFERROR(__xludf.DUMMYFUNCTION("""COMPUTED_VALUE"""),"TRPL4")</f>
        <v>TRPL4</v>
      </c>
      <c r="B102" s="17">
        <f>IFERROR(__xludf.DUMMYFUNCTION("""COMPUTED_VALUE"""),44337.0)</f>
        <v>44337</v>
      </c>
      <c r="C102" s="9">
        <f>IFERROR(__xludf.DUMMYFUNCTION("""COMPUTED_VALUE"""),5.0)</f>
        <v>5</v>
      </c>
      <c r="D102" s="9">
        <f>IFERROR(__xludf.DUMMYFUNCTION("""COMPUTED_VALUE"""),2021.0)</f>
        <v>2021</v>
      </c>
      <c r="E102" s="9">
        <f>IFERROR(__xludf.DUMMYFUNCTION("""COMPUTED_VALUE"""),0.79)</f>
        <v>0.79</v>
      </c>
      <c r="F102" s="9">
        <f>IFERROR(__xludf.DUMMYFUNCTION("""COMPUTED_VALUE"""),234.01)</f>
        <v>234.01</v>
      </c>
    </row>
    <row r="103">
      <c r="A103" s="9" t="str">
        <f>IFERROR(__xludf.DUMMYFUNCTION("""COMPUTED_VALUE"""),"TOTS3")</f>
        <v>TOTS3</v>
      </c>
      <c r="B103" s="17">
        <f>IFERROR(__xludf.DUMMYFUNCTION("""COMPUTED_VALUE"""),44336.0)</f>
        <v>44336</v>
      </c>
      <c r="C103" s="9">
        <f>IFERROR(__xludf.DUMMYFUNCTION("""COMPUTED_VALUE"""),5.0)</f>
        <v>5</v>
      </c>
      <c r="D103" s="9">
        <f>IFERROR(__xludf.DUMMYFUNCTION("""COMPUTED_VALUE"""),2021.0)</f>
        <v>2021</v>
      </c>
      <c r="E103" s="9">
        <f>IFERROR(__xludf.DUMMYFUNCTION("""COMPUTED_VALUE"""),0.1)</f>
        <v>0.1</v>
      </c>
      <c r="F103" s="9">
        <f>IFERROR(__xludf.DUMMYFUNCTION("""COMPUTED_VALUE"""),10.12)</f>
        <v>10.12</v>
      </c>
    </row>
    <row r="104">
      <c r="A104" s="9" t="str">
        <f>IFERROR(__xludf.DUMMYFUNCTION("""COMPUTED_VALUE"""),"BPAN4")</f>
        <v>BPAN4</v>
      </c>
      <c r="B104" s="17">
        <f>IFERROR(__xludf.DUMMYFUNCTION("""COMPUTED_VALUE"""),44330.0)</f>
        <v>44330</v>
      </c>
      <c r="C104" s="9">
        <f>IFERROR(__xludf.DUMMYFUNCTION("""COMPUTED_VALUE"""),5.0)</f>
        <v>5</v>
      </c>
      <c r="D104" s="9">
        <f>IFERROR(__xludf.DUMMYFUNCTION("""COMPUTED_VALUE"""),2021.0)</f>
        <v>2021</v>
      </c>
      <c r="E104" s="9">
        <f>IFERROR(__xludf.DUMMYFUNCTION("""COMPUTED_VALUE"""),0.0)</f>
        <v>0</v>
      </c>
      <c r="F104" s="9">
        <f>IFERROR(__xludf.DUMMYFUNCTION("""COMPUTED_VALUE"""),1.2)</f>
        <v>1.2</v>
      </c>
    </row>
    <row r="105">
      <c r="A105" s="9" t="str">
        <f>IFERROR(__xludf.DUMMYFUNCTION("""COMPUTED_VALUE"""),"HGRE11")</f>
        <v>HGRE11</v>
      </c>
      <c r="B105" s="17">
        <f>IFERROR(__xludf.DUMMYFUNCTION("""COMPUTED_VALUE"""),44330.0)</f>
        <v>44330</v>
      </c>
      <c r="C105" s="9">
        <f>IFERROR(__xludf.DUMMYFUNCTION("""COMPUTED_VALUE"""),5.0)</f>
        <v>5</v>
      </c>
      <c r="D105" s="9">
        <f>IFERROR(__xludf.DUMMYFUNCTION("""COMPUTED_VALUE"""),2021.0)</f>
        <v>2021</v>
      </c>
      <c r="E105" s="9">
        <f>IFERROR(__xludf.DUMMYFUNCTION("""COMPUTED_VALUE"""),0.0)</f>
        <v>0</v>
      </c>
      <c r="F105" s="9">
        <f>IFERROR(__xludf.DUMMYFUNCTION("""COMPUTED_VALUE"""),18.09)</f>
        <v>18.09</v>
      </c>
    </row>
    <row r="106">
      <c r="A106" s="9" t="str">
        <f>IFERROR(__xludf.DUMMYFUNCTION("""COMPUTED_VALUE"""),"ENAT3")</f>
        <v>ENAT3</v>
      </c>
      <c r="B106" s="17">
        <f>IFERROR(__xludf.DUMMYFUNCTION("""COMPUTED_VALUE"""),44327.0)</f>
        <v>44327</v>
      </c>
      <c r="C106" s="9">
        <f>IFERROR(__xludf.DUMMYFUNCTION("""COMPUTED_VALUE"""),5.0)</f>
        <v>5</v>
      </c>
      <c r="D106" s="9">
        <f>IFERROR(__xludf.DUMMYFUNCTION("""COMPUTED_VALUE"""),2021.0)</f>
        <v>2021</v>
      </c>
      <c r="E106" s="9">
        <f>IFERROR(__xludf.DUMMYFUNCTION("""COMPUTED_VALUE"""),0.19)</f>
        <v>0.19</v>
      </c>
      <c r="F106" s="9">
        <f>IFERROR(__xludf.DUMMYFUNCTION("""COMPUTED_VALUE"""),122.9)</f>
        <v>122.9</v>
      </c>
    </row>
    <row r="107">
      <c r="A107" s="9" t="str">
        <f>IFERROR(__xludf.DUMMYFUNCTION("""COMPUTED_VALUE"""),"TGAR11")</f>
        <v>TGAR11</v>
      </c>
      <c r="B107" s="17">
        <f>IFERROR(__xludf.DUMMYFUNCTION("""COMPUTED_VALUE"""),44326.0)</f>
        <v>44326</v>
      </c>
      <c r="C107" s="9">
        <f>IFERROR(__xludf.DUMMYFUNCTION("""COMPUTED_VALUE"""),5.0)</f>
        <v>5</v>
      </c>
      <c r="D107" s="9">
        <f>IFERROR(__xludf.DUMMYFUNCTION("""COMPUTED_VALUE"""),2021.0)</f>
        <v>2021</v>
      </c>
      <c r="E107" s="9">
        <f>IFERROR(__xludf.DUMMYFUNCTION("""COMPUTED_VALUE"""),0.0)</f>
        <v>0</v>
      </c>
      <c r="F107" s="9">
        <f>IFERROR(__xludf.DUMMYFUNCTION("""COMPUTED_VALUE"""),15.12)</f>
        <v>15.12</v>
      </c>
    </row>
    <row r="108">
      <c r="A108" s="9" t="str">
        <f>IFERROR(__xludf.DUMMYFUNCTION("""COMPUTED_VALUE"""),"MGLU3")</f>
        <v>MGLU3</v>
      </c>
      <c r="B108" s="17">
        <f>IFERROR(__xludf.DUMMYFUNCTION("""COMPUTED_VALUE"""),44321.0)</f>
        <v>44321</v>
      </c>
      <c r="C108" s="9">
        <f>IFERROR(__xludf.DUMMYFUNCTION("""COMPUTED_VALUE"""),5.0)</f>
        <v>5</v>
      </c>
      <c r="D108" s="9">
        <f>IFERROR(__xludf.DUMMYFUNCTION("""COMPUTED_VALUE"""),2021.0)</f>
        <v>2021</v>
      </c>
      <c r="E108" s="9">
        <f>IFERROR(__xludf.DUMMYFUNCTION("""COMPUTED_VALUE"""),0.02)</f>
        <v>0.02</v>
      </c>
      <c r="F108" s="9">
        <f>IFERROR(__xludf.DUMMYFUNCTION("""COMPUTED_VALUE"""),4.11)</f>
        <v>4.11</v>
      </c>
    </row>
    <row r="109">
      <c r="A109" s="9" t="str">
        <f>IFERROR(__xludf.DUMMYFUNCTION("""COMPUTED_VALUE"""),"ROMI3")</f>
        <v>ROMI3</v>
      </c>
      <c r="B109" s="17">
        <f>IFERROR(__xludf.DUMMYFUNCTION("""COMPUTED_VALUE"""),44314.0)</f>
        <v>44314</v>
      </c>
      <c r="C109" s="9">
        <f>IFERROR(__xludf.DUMMYFUNCTION("""COMPUTED_VALUE"""),4.0)</f>
        <v>4</v>
      </c>
      <c r="D109" s="9">
        <f>IFERROR(__xludf.DUMMYFUNCTION("""COMPUTED_VALUE"""),2021.0)</f>
        <v>2021</v>
      </c>
      <c r="E109" s="9">
        <f>IFERROR(__xludf.DUMMYFUNCTION("""COMPUTED_VALUE"""),0.15)</f>
        <v>0.15</v>
      </c>
      <c r="F109" s="9">
        <f>IFERROR(__xludf.DUMMYFUNCTION("""COMPUTED_VALUE"""),58.27)</f>
        <v>58.27</v>
      </c>
    </row>
    <row r="110">
      <c r="A110" s="9" t="str">
        <f>IFERROR(__xludf.DUMMYFUNCTION("""COMPUTED_VALUE"""),"HGRE11")</f>
        <v>HGRE11</v>
      </c>
      <c r="B110" s="17">
        <f>IFERROR(__xludf.DUMMYFUNCTION("""COMPUTED_VALUE"""),44301.0)</f>
        <v>44301</v>
      </c>
      <c r="C110" s="9">
        <f>IFERROR(__xludf.DUMMYFUNCTION("""COMPUTED_VALUE"""),4.0)</f>
        <v>4</v>
      </c>
      <c r="D110" s="9">
        <f>IFERROR(__xludf.DUMMYFUNCTION("""COMPUTED_VALUE"""),2021.0)</f>
        <v>2021</v>
      </c>
      <c r="E110" s="9">
        <f>IFERROR(__xludf.DUMMYFUNCTION("""COMPUTED_VALUE"""),0.0)</f>
        <v>0</v>
      </c>
      <c r="F110" s="9">
        <f>IFERROR(__xludf.DUMMYFUNCTION("""COMPUTED_VALUE"""),18.09)</f>
        <v>18.09</v>
      </c>
    </row>
    <row r="111">
      <c r="A111" s="9" t="str">
        <f>IFERROR(__xludf.DUMMYFUNCTION("""COMPUTED_VALUE"""),"TGAR11")</f>
        <v>TGAR11</v>
      </c>
      <c r="B111" s="17">
        <f>IFERROR(__xludf.DUMMYFUNCTION("""COMPUTED_VALUE"""),44295.0)</f>
        <v>44295</v>
      </c>
      <c r="C111" s="9">
        <f>IFERROR(__xludf.DUMMYFUNCTION("""COMPUTED_VALUE"""),4.0)</f>
        <v>4</v>
      </c>
      <c r="D111" s="9">
        <f>IFERROR(__xludf.DUMMYFUNCTION("""COMPUTED_VALUE"""),2021.0)</f>
        <v>2021</v>
      </c>
      <c r="E111" s="9">
        <f>IFERROR(__xludf.DUMMYFUNCTION("""COMPUTED_VALUE"""),0.0)</f>
        <v>0</v>
      </c>
      <c r="F111" s="9">
        <f>IFERROR(__xludf.DUMMYFUNCTION("""COMPUTED_VALUE"""),15.6)</f>
        <v>15.6</v>
      </c>
    </row>
    <row r="112">
      <c r="A112" s="9" t="str">
        <f>IFERROR(__xludf.DUMMYFUNCTION("""COMPUTED_VALUE"""),"HGRE11")</f>
        <v>HGRE11</v>
      </c>
      <c r="B112" s="17">
        <f>IFERROR(__xludf.DUMMYFUNCTION("""COMPUTED_VALUE"""),44267.0)</f>
        <v>44267</v>
      </c>
      <c r="C112" s="9">
        <f>IFERROR(__xludf.DUMMYFUNCTION("""COMPUTED_VALUE"""),3.0)</f>
        <v>3</v>
      </c>
      <c r="D112" s="9">
        <f>IFERROR(__xludf.DUMMYFUNCTION("""COMPUTED_VALUE"""),2021.0)</f>
        <v>2021</v>
      </c>
      <c r="E112" s="9">
        <f>IFERROR(__xludf.DUMMYFUNCTION("""COMPUTED_VALUE"""),0.0)</f>
        <v>0</v>
      </c>
      <c r="F112" s="9">
        <f>IFERROR(__xludf.DUMMYFUNCTION("""COMPUTED_VALUE"""),18.09)</f>
        <v>18.09</v>
      </c>
    </row>
    <row r="113">
      <c r="A113" s="9" t="str">
        <f>IFERROR(__xludf.DUMMYFUNCTION("""COMPUTED_VALUE"""),"WEGE3")</f>
        <v>WEGE3</v>
      </c>
      <c r="B113" s="17">
        <f>IFERROR(__xludf.DUMMYFUNCTION("""COMPUTED_VALUE"""),44265.0)</f>
        <v>44265</v>
      </c>
      <c r="C113" s="9">
        <f>IFERROR(__xludf.DUMMYFUNCTION("""COMPUTED_VALUE"""),3.0)</f>
        <v>3</v>
      </c>
      <c r="D113" s="9">
        <f>IFERROR(__xludf.DUMMYFUNCTION("""COMPUTED_VALUE"""),2021.0)</f>
        <v>2021</v>
      </c>
      <c r="E113" s="9">
        <f>IFERROR(__xludf.DUMMYFUNCTION("""COMPUTED_VALUE"""),0.04)</f>
        <v>0.04</v>
      </c>
      <c r="F113" s="9">
        <f>IFERROR(__xludf.DUMMYFUNCTION("""COMPUTED_VALUE"""),2.57)</f>
        <v>2.57</v>
      </c>
    </row>
    <row r="114">
      <c r="A114" s="9" t="str">
        <f>IFERROR(__xludf.DUMMYFUNCTION("""COMPUTED_VALUE"""),"WEGE3")</f>
        <v>WEGE3</v>
      </c>
      <c r="B114" s="17">
        <f>IFERROR(__xludf.DUMMYFUNCTION("""COMPUTED_VALUE"""),44265.0)</f>
        <v>44265</v>
      </c>
      <c r="C114" s="9">
        <f>IFERROR(__xludf.DUMMYFUNCTION("""COMPUTED_VALUE"""),3.0)</f>
        <v>3</v>
      </c>
      <c r="D114" s="9">
        <f>IFERROR(__xludf.DUMMYFUNCTION("""COMPUTED_VALUE"""),2021.0)</f>
        <v>2021</v>
      </c>
      <c r="E114" s="9">
        <f>IFERROR(__xludf.DUMMYFUNCTION("""COMPUTED_VALUE"""),0.03)</f>
        <v>0.03</v>
      </c>
      <c r="F114" s="9">
        <f>IFERROR(__xludf.DUMMYFUNCTION("""COMPUTED_VALUE"""),3.13)</f>
        <v>3.13</v>
      </c>
    </row>
    <row r="115">
      <c r="A115" s="9" t="str">
        <f>IFERROR(__xludf.DUMMYFUNCTION("""COMPUTED_VALUE"""),"TGAR11")</f>
        <v>TGAR11</v>
      </c>
      <c r="B115" s="17">
        <f>IFERROR(__xludf.DUMMYFUNCTION("""COMPUTED_VALUE"""),44263.0)</f>
        <v>44263</v>
      </c>
      <c r="C115" s="9">
        <f>IFERROR(__xludf.DUMMYFUNCTION("""COMPUTED_VALUE"""),3.0)</f>
        <v>3</v>
      </c>
      <c r="D115" s="9">
        <f>IFERROR(__xludf.DUMMYFUNCTION("""COMPUTED_VALUE"""),2021.0)</f>
        <v>2021</v>
      </c>
      <c r="E115" s="9">
        <f>IFERROR(__xludf.DUMMYFUNCTION("""COMPUTED_VALUE"""),0.0)</f>
        <v>0</v>
      </c>
      <c r="F115" s="9">
        <f>IFERROR(__xludf.DUMMYFUNCTION("""COMPUTED_VALUE"""),13.8)</f>
        <v>13.8</v>
      </c>
    </row>
    <row r="116">
      <c r="A116" s="9" t="str">
        <f>IFERROR(__xludf.DUMMYFUNCTION("""COMPUTED_VALUE"""),"BBSE3")</f>
        <v>BBSE3</v>
      </c>
      <c r="B116" s="17">
        <f>IFERROR(__xludf.DUMMYFUNCTION("""COMPUTED_VALUE"""),44252.0)</f>
        <v>44252</v>
      </c>
      <c r="C116" s="9">
        <f>IFERROR(__xludf.DUMMYFUNCTION("""COMPUTED_VALUE"""),2.0)</f>
        <v>2</v>
      </c>
      <c r="D116" s="9">
        <f>IFERROR(__xludf.DUMMYFUNCTION("""COMPUTED_VALUE"""),2021.0)</f>
        <v>2021</v>
      </c>
      <c r="E116" s="9">
        <f>IFERROR(__xludf.DUMMYFUNCTION("""COMPUTED_VALUE"""),0.47)</f>
        <v>0.47</v>
      </c>
      <c r="F116" s="9">
        <f>IFERROR(__xludf.DUMMYFUNCTION("""COMPUTED_VALUE"""),125.82)</f>
        <v>125.82</v>
      </c>
    </row>
    <row r="117">
      <c r="A117" s="9" t="str">
        <f>IFERROR(__xludf.DUMMYFUNCTION("""COMPUTED_VALUE"""),"BBSE3")</f>
        <v>BBSE3</v>
      </c>
      <c r="B117" s="17">
        <f>IFERROR(__xludf.DUMMYFUNCTION("""COMPUTED_VALUE"""),44252.0)</f>
        <v>44252</v>
      </c>
      <c r="C117" s="9">
        <f>IFERROR(__xludf.DUMMYFUNCTION("""COMPUTED_VALUE"""),2.0)</f>
        <v>2</v>
      </c>
      <c r="D117" s="9">
        <f>IFERROR(__xludf.DUMMYFUNCTION("""COMPUTED_VALUE"""),2021.0)</f>
        <v>2021</v>
      </c>
      <c r="E117" s="9">
        <f>IFERROR(__xludf.DUMMYFUNCTION("""COMPUTED_VALUE"""),0.0)</f>
        <v>0</v>
      </c>
      <c r="F117" s="9">
        <f>IFERROR(__xludf.DUMMYFUNCTION("""COMPUTED_VALUE"""),0.27)</f>
        <v>0.27</v>
      </c>
    </row>
    <row r="118">
      <c r="A118" s="9" t="str">
        <f>IFERROR(__xludf.DUMMYFUNCTION("""COMPUTED_VALUE"""),"HGRE11")</f>
        <v>HGRE11</v>
      </c>
      <c r="B118" s="17">
        <f>IFERROR(__xludf.DUMMYFUNCTION("""COMPUTED_VALUE"""),44239.0)</f>
        <v>44239</v>
      </c>
      <c r="C118" s="9">
        <f>IFERROR(__xludf.DUMMYFUNCTION("""COMPUTED_VALUE"""),2.0)</f>
        <v>2</v>
      </c>
      <c r="D118" s="9">
        <f>IFERROR(__xludf.DUMMYFUNCTION("""COMPUTED_VALUE"""),2021.0)</f>
        <v>2021</v>
      </c>
      <c r="E118" s="9">
        <f>IFERROR(__xludf.DUMMYFUNCTION("""COMPUTED_VALUE"""),0.0)</f>
        <v>0</v>
      </c>
      <c r="F118" s="9">
        <f>IFERROR(__xludf.DUMMYFUNCTION("""COMPUTED_VALUE"""),18.09)</f>
        <v>18.09</v>
      </c>
    </row>
    <row r="119">
      <c r="A119" s="9" t="str">
        <f>IFERROR(__xludf.DUMMYFUNCTION("""COMPUTED_VALUE"""),"TGAR11")</f>
        <v>TGAR11</v>
      </c>
      <c r="B119" s="17">
        <f>IFERROR(__xludf.DUMMYFUNCTION("""COMPUTED_VALUE"""),44235.0)</f>
        <v>44235</v>
      </c>
      <c r="C119" s="9">
        <f>IFERROR(__xludf.DUMMYFUNCTION("""COMPUTED_VALUE"""),2.0)</f>
        <v>2</v>
      </c>
      <c r="D119" s="9">
        <f>IFERROR(__xludf.DUMMYFUNCTION("""COMPUTED_VALUE"""),2021.0)</f>
        <v>2021</v>
      </c>
      <c r="E119" s="9">
        <f>IFERROR(__xludf.DUMMYFUNCTION("""COMPUTED_VALUE"""),0.0)</f>
        <v>0</v>
      </c>
      <c r="F119" s="9">
        <f>IFERROR(__xludf.DUMMYFUNCTION("""COMPUTED_VALUE"""),12.0)</f>
        <v>12</v>
      </c>
    </row>
    <row r="120">
      <c r="A120" s="9" t="str">
        <f>IFERROR(__xludf.DUMMYFUNCTION("""COMPUTED_VALUE"""),"BPAC11")</f>
        <v>BPAC11</v>
      </c>
      <c r="B120" s="17">
        <f>IFERROR(__xludf.DUMMYFUNCTION("""COMPUTED_VALUE"""),44232.0)</f>
        <v>44232</v>
      </c>
      <c r="C120" s="9">
        <f>IFERROR(__xludf.DUMMYFUNCTION("""COMPUTED_VALUE"""),2.0)</f>
        <v>2</v>
      </c>
      <c r="D120" s="9">
        <f>IFERROR(__xludf.DUMMYFUNCTION("""COMPUTED_VALUE"""),2021.0)</f>
        <v>2021</v>
      </c>
      <c r="E120" s="9">
        <f>IFERROR(__xludf.DUMMYFUNCTION("""COMPUTED_VALUE"""),0.62)</f>
        <v>0.62</v>
      </c>
      <c r="F120" s="9">
        <f>IFERROR(__xludf.DUMMYFUNCTION("""COMPUTED_VALUE"""),6.88)</f>
        <v>6.88</v>
      </c>
    </row>
    <row r="121">
      <c r="A121" s="9" t="str">
        <f>IFERROR(__xludf.DUMMYFUNCTION("""COMPUTED_VALUE"""),"B3SA3")</f>
        <v>B3SA3</v>
      </c>
      <c r="B121" s="17">
        <f>IFERROR(__xludf.DUMMYFUNCTION("""COMPUTED_VALUE"""),44204.0)</f>
        <v>44204</v>
      </c>
      <c r="C121" s="9">
        <f>IFERROR(__xludf.DUMMYFUNCTION("""COMPUTED_VALUE"""),1.0)</f>
        <v>1</v>
      </c>
      <c r="D121" s="9">
        <f>IFERROR(__xludf.DUMMYFUNCTION("""COMPUTED_VALUE"""),2021.0)</f>
        <v>2021</v>
      </c>
      <c r="E121" s="9">
        <f>IFERROR(__xludf.DUMMYFUNCTION("""COMPUTED_VALUE"""),0.41)</f>
        <v>0.41</v>
      </c>
      <c r="F121" s="9">
        <f>IFERROR(__xludf.DUMMYFUNCTION("""COMPUTED_VALUE"""),45.56)</f>
        <v>45.56</v>
      </c>
    </row>
    <row r="122">
      <c r="A122" s="9" t="str">
        <f>IFERROR(__xludf.DUMMYFUNCTION("""COMPUTED_VALUE"""),"B3SA3")</f>
        <v>B3SA3</v>
      </c>
      <c r="B122" s="17">
        <f>IFERROR(__xludf.DUMMYFUNCTION("""COMPUTED_VALUE"""),44204.0)</f>
        <v>44204</v>
      </c>
      <c r="C122" s="9">
        <f>IFERROR(__xludf.DUMMYFUNCTION("""COMPUTED_VALUE"""),1.0)</f>
        <v>1</v>
      </c>
      <c r="D122" s="9">
        <f>IFERROR(__xludf.DUMMYFUNCTION("""COMPUTED_VALUE"""),2021.0)</f>
        <v>2021</v>
      </c>
      <c r="E122" s="9">
        <f>IFERROR(__xludf.DUMMYFUNCTION("""COMPUTED_VALUE"""),0.15)</f>
        <v>0.15</v>
      </c>
      <c r="F122" s="9">
        <f>IFERROR(__xludf.DUMMYFUNCTION("""COMPUTED_VALUE"""),13.86)</f>
        <v>13.86</v>
      </c>
    </row>
    <row r="123">
      <c r="A123" s="9" t="str">
        <f>IFERROR(__xludf.DUMMYFUNCTION("""COMPUTED_VALUE"""),"BBAS3")</f>
        <v>BBAS3</v>
      </c>
      <c r="B123" s="17">
        <f>IFERROR(__xludf.DUMMYFUNCTION("""COMPUTED_VALUE"""),44924.0)</f>
        <v>44924</v>
      </c>
      <c r="C123" s="9">
        <f>IFERROR(__xludf.DUMMYFUNCTION("""COMPUTED_VALUE"""),12.0)</f>
        <v>12</v>
      </c>
      <c r="D123" s="9">
        <f>IFERROR(__xludf.DUMMYFUNCTION("""COMPUTED_VALUE"""),2022.0)</f>
        <v>2022</v>
      </c>
      <c r="E123" s="9">
        <f>IFERROR(__xludf.DUMMYFUNCTION("""COMPUTED_VALUE"""),0.35)</f>
        <v>0.35</v>
      </c>
      <c r="F123" s="9">
        <f>IFERROR(__xludf.DUMMYFUNCTION("""COMPUTED_VALUE"""),170.04)</f>
        <v>170.04</v>
      </c>
    </row>
    <row r="124">
      <c r="A124" s="9" t="str">
        <f>IFERROR(__xludf.DUMMYFUNCTION("""COMPUTED_VALUE"""),"BRSR6")</f>
        <v>BRSR6</v>
      </c>
      <c r="B124" s="17">
        <f>IFERROR(__xludf.DUMMYFUNCTION("""COMPUTED_VALUE"""),44923.0)</f>
        <v>44923</v>
      </c>
      <c r="C124" s="9">
        <f>IFERROR(__xludf.DUMMYFUNCTION("""COMPUTED_VALUE"""),12.0)</f>
        <v>12</v>
      </c>
      <c r="D124" s="9">
        <f>IFERROR(__xludf.DUMMYFUNCTION("""COMPUTED_VALUE"""),2022.0)</f>
        <v>2022</v>
      </c>
      <c r="E124" s="9">
        <f>IFERROR(__xludf.DUMMYFUNCTION("""COMPUTED_VALUE"""),0.02)</f>
        <v>0.02</v>
      </c>
      <c r="F124" s="9">
        <f>IFERROR(__xludf.DUMMYFUNCTION("""COMPUTED_VALUE"""),15.11)</f>
        <v>15.11</v>
      </c>
    </row>
    <row r="125">
      <c r="A125" s="9" t="str">
        <f>IFERROR(__xludf.DUMMYFUNCTION("""COMPUTED_VALUE"""),"PETR4")</f>
        <v>PETR4</v>
      </c>
      <c r="B125" s="17">
        <f>IFERROR(__xludf.DUMMYFUNCTION("""COMPUTED_VALUE"""),44915.0)</f>
        <v>44915</v>
      </c>
      <c r="C125" s="9">
        <f>IFERROR(__xludf.DUMMYFUNCTION("""COMPUTED_VALUE"""),12.0)</f>
        <v>12</v>
      </c>
      <c r="D125" s="9">
        <f>IFERROR(__xludf.DUMMYFUNCTION("""COMPUTED_VALUE"""),2022.0)</f>
        <v>2022</v>
      </c>
      <c r="E125" s="9">
        <f>IFERROR(__xludf.DUMMYFUNCTION("""COMPUTED_VALUE"""),1.16)</f>
        <v>1.16</v>
      </c>
      <c r="F125" s="9">
        <f>IFERROR(__xludf.DUMMYFUNCTION("""COMPUTED_VALUE"""),243.87)</f>
        <v>243.87</v>
      </c>
    </row>
    <row r="126">
      <c r="A126" s="9" t="str">
        <f>IFERROR(__xludf.DUMMYFUNCTION("""COMPUTED_VALUE"""),"PETR4")</f>
        <v>PETR4</v>
      </c>
      <c r="B126" s="17">
        <f>IFERROR(__xludf.DUMMYFUNCTION("""COMPUTED_VALUE"""),44915.0)</f>
        <v>44915</v>
      </c>
      <c r="C126" s="9">
        <f>IFERROR(__xludf.DUMMYFUNCTION("""COMPUTED_VALUE"""),12.0)</f>
        <v>12</v>
      </c>
      <c r="D126" s="9">
        <f>IFERROR(__xludf.DUMMYFUNCTION("""COMPUTED_VALUE"""),2022.0)</f>
        <v>2022</v>
      </c>
      <c r="E126" s="9">
        <f>IFERROR(__xludf.DUMMYFUNCTION("""COMPUTED_VALUE"""),0.52)</f>
        <v>0.52</v>
      </c>
      <c r="F126" s="9">
        <f>IFERROR(__xludf.DUMMYFUNCTION("""COMPUTED_VALUE"""),93.02)</f>
        <v>93.02</v>
      </c>
    </row>
    <row r="127">
      <c r="A127" s="9" t="str">
        <f>IFERROR(__xludf.DUMMYFUNCTION("""COMPUTED_VALUE"""),"TAEE4")</f>
        <v>TAEE4</v>
      </c>
      <c r="B127" s="17">
        <f>IFERROR(__xludf.DUMMYFUNCTION("""COMPUTED_VALUE"""),44900.0)</f>
        <v>44900</v>
      </c>
      <c r="C127" s="9">
        <f>IFERROR(__xludf.DUMMYFUNCTION("""COMPUTED_VALUE"""),12.0)</f>
        <v>12</v>
      </c>
      <c r="D127" s="9">
        <f>IFERROR(__xludf.DUMMYFUNCTION("""COMPUTED_VALUE"""),2022.0)</f>
        <v>2022</v>
      </c>
      <c r="E127" s="9">
        <f>IFERROR(__xludf.DUMMYFUNCTION("""COMPUTED_VALUE"""),0.2)</f>
        <v>0.2</v>
      </c>
      <c r="F127" s="9">
        <f>IFERROR(__xludf.DUMMYFUNCTION("""COMPUTED_VALUE"""),132.51)</f>
        <v>132.51</v>
      </c>
    </row>
    <row r="128">
      <c r="A128" s="9" t="str">
        <f>IFERROR(__xludf.DUMMYFUNCTION("""COMPUTED_VALUE"""),"TAEE4")</f>
        <v>TAEE4</v>
      </c>
      <c r="B128" s="17">
        <f>IFERROR(__xludf.DUMMYFUNCTION("""COMPUTED_VALUE"""),44900.0)</f>
        <v>44900</v>
      </c>
      <c r="C128" s="9">
        <f>IFERROR(__xludf.DUMMYFUNCTION("""COMPUTED_VALUE"""),12.0)</f>
        <v>12</v>
      </c>
      <c r="D128" s="9">
        <f>IFERROR(__xludf.DUMMYFUNCTION("""COMPUTED_VALUE"""),2022.0)</f>
        <v>2022</v>
      </c>
      <c r="E128" s="9">
        <f>IFERROR(__xludf.DUMMYFUNCTION("""COMPUTED_VALUE"""),0.04)</f>
        <v>0.04</v>
      </c>
      <c r="F128" s="9">
        <f>IFERROR(__xludf.DUMMYFUNCTION("""COMPUTED_VALUE"""),34.03)</f>
        <v>34.03</v>
      </c>
    </row>
    <row r="129">
      <c r="A129" s="9" t="str">
        <f>IFERROR(__xludf.DUMMYFUNCTION("""COMPUTED_VALUE"""),"TAEE4")</f>
        <v>TAEE4</v>
      </c>
      <c r="B129" s="17">
        <f>IFERROR(__xludf.DUMMYFUNCTION("""COMPUTED_VALUE"""),44900.0)</f>
        <v>44900</v>
      </c>
      <c r="C129" s="9">
        <f>IFERROR(__xludf.DUMMYFUNCTION("""COMPUTED_VALUE"""),12.0)</f>
        <v>12</v>
      </c>
      <c r="D129" s="9">
        <f>IFERROR(__xludf.DUMMYFUNCTION("""COMPUTED_VALUE"""),2022.0)</f>
        <v>2022</v>
      </c>
      <c r="E129" s="9">
        <f>IFERROR(__xludf.DUMMYFUNCTION("""COMPUTED_VALUE"""),0.11)</f>
        <v>0.11</v>
      </c>
      <c r="F129" s="9">
        <f>IFERROR(__xludf.DUMMYFUNCTION("""COMPUTED_VALUE"""),85.47)</f>
        <v>85.47</v>
      </c>
    </row>
    <row r="130">
      <c r="A130" s="9" t="str">
        <f>IFERROR(__xludf.DUMMYFUNCTION("""COMPUTED_VALUE"""),"BBDC3")</f>
        <v>BBDC3</v>
      </c>
      <c r="B130" s="17">
        <f>IFERROR(__xludf.DUMMYFUNCTION("""COMPUTED_VALUE"""),44896.0)</f>
        <v>44896</v>
      </c>
      <c r="C130" s="9">
        <f>IFERROR(__xludf.DUMMYFUNCTION("""COMPUTED_VALUE"""),12.0)</f>
        <v>12</v>
      </c>
      <c r="D130" s="9">
        <f>IFERROR(__xludf.DUMMYFUNCTION("""COMPUTED_VALUE"""),2022.0)</f>
        <v>2022</v>
      </c>
      <c r="E130" s="9">
        <f>IFERROR(__xludf.DUMMYFUNCTION("""COMPUTED_VALUE"""),0.02)</f>
        <v>0.02</v>
      </c>
      <c r="F130" s="9">
        <f>IFERROR(__xludf.DUMMYFUNCTION("""COMPUTED_VALUE"""),5.64)</f>
        <v>5.64</v>
      </c>
    </row>
    <row r="131">
      <c r="A131" s="9" t="str">
        <f>IFERROR(__xludf.DUMMYFUNCTION("""COMPUTED_VALUE"""),"BBAS3")</f>
        <v>BBAS3</v>
      </c>
      <c r="B131" s="17">
        <f>IFERROR(__xludf.DUMMYFUNCTION("""COMPUTED_VALUE"""),44895.0)</f>
        <v>44895</v>
      </c>
      <c r="C131" s="9">
        <f>IFERROR(__xludf.DUMMYFUNCTION("""COMPUTED_VALUE"""),11.0)</f>
        <v>11</v>
      </c>
      <c r="D131" s="9">
        <f>IFERROR(__xludf.DUMMYFUNCTION("""COMPUTED_VALUE"""),2022.0)</f>
        <v>2022</v>
      </c>
      <c r="E131" s="9">
        <f>IFERROR(__xludf.DUMMYFUNCTION("""COMPUTED_VALUE"""),0.63)</f>
        <v>0.63</v>
      </c>
      <c r="F131" s="9">
        <f>IFERROR(__xludf.DUMMYFUNCTION("""COMPUTED_VALUE"""),289.07)</f>
        <v>289.07</v>
      </c>
    </row>
    <row r="132">
      <c r="A132" s="9" t="str">
        <f>IFERROR(__xludf.DUMMYFUNCTION("""COMPUTED_VALUE"""),"BBAS3")</f>
        <v>BBAS3</v>
      </c>
      <c r="B132" s="17">
        <f>IFERROR(__xludf.DUMMYFUNCTION("""COMPUTED_VALUE"""),44895.0)</f>
        <v>44895</v>
      </c>
      <c r="C132" s="9">
        <f>IFERROR(__xludf.DUMMYFUNCTION("""COMPUTED_VALUE"""),11.0)</f>
        <v>11</v>
      </c>
      <c r="D132" s="9">
        <f>IFERROR(__xludf.DUMMYFUNCTION("""COMPUTED_VALUE"""),2022.0)</f>
        <v>2022</v>
      </c>
      <c r="E132" s="9">
        <f>IFERROR(__xludf.DUMMYFUNCTION("""COMPUTED_VALUE"""),0.17)</f>
        <v>0.17</v>
      </c>
      <c r="F132" s="9">
        <f>IFERROR(__xludf.DUMMYFUNCTION("""COMPUTED_VALUE"""),91.23)</f>
        <v>91.23</v>
      </c>
    </row>
    <row r="133">
      <c r="A133" s="9" t="str">
        <f>IFERROR(__xludf.DUMMYFUNCTION("""COMPUTED_VALUE"""),"CPLE6")</f>
        <v>CPLE6</v>
      </c>
      <c r="B133" s="17">
        <f>IFERROR(__xludf.DUMMYFUNCTION("""COMPUTED_VALUE"""),44895.0)</f>
        <v>44895</v>
      </c>
      <c r="C133" s="9">
        <f>IFERROR(__xludf.DUMMYFUNCTION("""COMPUTED_VALUE"""),11.0)</f>
        <v>11</v>
      </c>
      <c r="D133" s="9">
        <f>IFERROR(__xludf.DUMMYFUNCTION("""COMPUTED_VALUE"""),2022.0)</f>
        <v>2022</v>
      </c>
      <c r="E133" s="9">
        <f>IFERROR(__xludf.DUMMYFUNCTION("""COMPUTED_VALUE"""),0.23)</f>
        <v>0.23</v>
      </c>
      <c r="F133" s="9">
        <f>IFERROR(__xludf.DUMMYFUNCTION("""COMPUTED_VALUE"""),108.54)</f>
        <v>108.54</v>
      </c>
    </row>
    <row r="134">
      <c r="A134" s="9" t="str">
        <f>IFERROR(__xludf.DUMMYFUNCTION("""COMPUTED_VALUE"""),"WIZS3")</f>
        <v>WIZS3</v>
      </c>
      <c r="B134" s="17">
        <f>IFERROR(__xludf.DUMMYFUNCTION("""COMPUTED_VALUE"""),44890.0)</f>
        <v>44890</v>
      </c>
      <c r="C134" s="9">
        <f>IFERROR(__xludf.DUMMYFUNCTION("""COMPUTED_VALUE"""),11.0)</f>
        <v>11</v>
      </c>
      <c r="D134" s="9">
        <f>IFERROR(__xludf.DUMMYFUNCTION("""COMPUTED_VALUE"""),2022.0)</f>
        <v>2022</v>
      </c>
      <c r="E134" s="9">
        <f>IFERROR(__xludf.DUMMYFUNCTION("""COMPUTED_VALUE"""),0.5)</f>
        <v>0.5</v>
      </c>
      <c r="F134" s="9">
        <f>IFERROR(__xludf.DUMMYFUNCTION("""COMPUTED_VALUE"""),208.89)</f>
        <v>208.89</v>
      </c>
    </row>
    <row r="135">
      <c r="A135" s="9" t="str">
        <f>IFERROR(__xludf.DUMMYFUNCTION("""COMPUTED_VALUE"""),"CIEL3")</f>
        <v>CIEL3</v>
      </c>
      <c r="B135" s="17">
        <f>IFERROR(__xludf.DUMMYFUNCTION("""COMPUTED_VALUE"""),44889.0)</f>
        <v>44889</v>
      </c>
      <c r="C135" s="9">
        <f>IFERROR(__xludf.DUMMYFUNCTION("""COMPUTED_VALUE"""),11.0)</f>
        <v>11</v>
      </c>
      <c r="D135" s="9">
        <f>IFERROR(__xludf.DUMMYFUNCTION("""COMPUTED_VALUE"""),2022.0)</f>
        <v>2022</v>
      </c>
      <c r="E135" s="9">
        <f>IFERROR(__xludf.DUMMYFUNCTION("""COMPUTED_VALUE"""),0.06)</f>
        <v>0.06</v>
      </c>
      <c r="F135" s="9">
        <f>IFERROR(__xludf.DUMMYFUNCTION("""COMPUTED_VALUE"""),51.65)</f>
        <v>51.65</v>
      </c>
    </row>
    <row r="136">
      <c r="A136" s="9" t="str">
        <f>IFERROR(__xludf.DUMMYFUNCTION("""COMPUTED_VALUE"""),"BBDC3")</f>
        <v>BBDC3</v>
      </c>
      <c r="B136" s="17">
        <f>IFERROR(__xludf.DUMMYFUNCTION("""COMPUTED_VALUE"""),44866.0)</f>
        <v>44866</v>
      </c>
      <c r="C136" s="9">
        <f>IFERROR(__xludf.DUMMYFUNCTION("""COMPUTED_VALUE"""),11.0)</f>
        <v>11</v>
      </c>
      <c r="D136" s="9">
        <f>IFERROR(__xludf.DUMMYFUNCTION("""COMPUTED_VALUE"""),2022.0)</f>
        <v>2022</v>
      </c>
      <c r="E136" s="9">
        <f>IFERROR(__xludf.DUMMYFUNCTION("""COMPUTED_VALUE"""),0.02)</f>
        <v>0.02</v>
      </c>
      <c r="F136" s="9">
        <f>IFERROR(__xludf.DUMMYFUNCTION("""COMPUTED_VALUE"""),5.64)</f>
        <v>5.64</v>
      </c>
    </row>
    <row r="137">
      <c r="A137" s="9" t="str">
        <f>IFERROR(__xludf.DUMMYFUNCTION("""COMPUTED_VALUE"""),"VIVT3")</f>
        <v>VIVT3</v>
      </c>
      <c r="B137" s="17">
        <f>IFERROR(__xludf.DUMMYFUNCTION("""COMPUTED_VALUE"""),44852.0)</f>
        <v>44852</v>
      </c>
      <c r="C137" s="9">
        <f>IFERROR(__xludf.DUMMYFUNCTION("""COMPUTED_VALUE"""),10.0)</f>
        <v>10</v>
      </c>
      <c r="D137" s="9">
        <f>IFERROR(__xludf.DUMMYFUNCTION("""COMPUTED_VALUE"""),2022.0)</f>
        <v>2022</v>
      </c>
      <c r="E137" s="9">
        <f>IFERROR(__xludf.DUMMYFUNCTION("""COMPUTED_VALUE"""),1.21)</f>
        <v>1.21</v>
      </c>
      <c r="F137" s="9">
        <f>IFERROR(__xludf.DUMMYFUNCTION("""COMPUTED_VALUE"""),166.04)</f>
        <v>166.04</v>
      </c>
    </row>
    <row r="138">
      <c r="A138" s="9" t="str">
        <f>IFERROR(__xludf.DUMMYFUNCTION("""COMPUTED_VALUE"""),"VIVT3")</f>
        <v>VIVT3</v>
      </c>
      <c r="B138" s="17">
        <f>IFERROR(__xludf.DUMMYFUNCTION("""COMPUTED_VALUE"""),44852.0)</f>
        <v>44852</v>
      </c>
      <c r="C138" s="9">
        <f>IFERROR(__xludf.DUMMYFUNCTION("""COMPUTED_VALUE"""),10.0)</f>
        <v>10</v>
      </c>
      <c r="D138" s="9">
        <f>IFERROR(__xludf.DUMMYFUNCTION("""COMPUTED_VALUE"""),2022.0)</f>
        <v>2022</v>
      </c>
      <c r="E138" s="9">
        <f>IFERROR(__xludf.DUMMYFUNCTION("""COMPUTED_VALUE"""),0.89)</f>
        <v>0.89</v>
      </c>
      <c r="F138" s="9">
        <f>IFERROR(__xludf.DUMMYFUNCTION("""COMPUTED_VALUE"""),116.28)</f>
        <v>116.28</v>
      </c>
    </row>
    <row r="139">
      <c r="A139" s="9" t="str">
        <f>IFERROR(__xludf.DUMMYFUNCTION("""COMPUTED_VALUE"""),"ABCB4")</f>
        <v>ABCB4</v>
      </c>
      <c r="B139" s="17">
        <f>IFERROR(__xludf.DUMMYFUNCTION("""COMPUTED_VALUE"""),44847.0)</f>
        <v>44847</v>
      </c>
      <c r="C139" s="9">
        <f>IFERROR(__xludf.DUMMYFUNCTION("""COMPUTED_VALUE"""),10.0)</f>
        <v>10</v>
      </c>
      <c r="D139" s="9">
        <f>IFERROR(__xludf.DUMMYFUNCTION("""COMPUTED_VALUE"""),2022.0)</f>
        <v>2022</v>
      </c>
      <c r="E139" s="9">
        <f>IFERROR(__xludf.DUMMYFUNCTION("""COMPUTED_VALUE"""),0.36)</f>
        <v>0.36</v>
      </c>
      <c r="F139" s="9">
        <f>IFERROR(__xludf.DUMMYFUNCTION("""COMPUTED_VALUE"""),15.39)</f>
        <v>15.39</v>
      </c>
    </row>
    <row r="140">
      <c r="A140" s="9" t="str">
        <f>IFERROR(__xludf.DUMMYFUNCTION("""COMPUTED_VALUE"""),"BBDC3")</f>
        <v>BBDC3</v>
      </c>
      <c r="B140" s="17">
        <f>IFERROR(__xludf.DUMMYFUNCTION("""COMPUTED_VALUE"""),44837.0)</f>
        <v>44837</v>
      </c>
      <c r="C140" s="9">
        <f>IFERROR(__xludf.DUMMYFUNCTION("""COMPUTED_VALUE"""),10.0)</f>
        <v>10</v>
      </c>
      <c r="D140" s="9">
        <f>IFERROR(__xludf.DUMMYFUNCTION("""COMPUTED_VALUE"""),2022.0)</f>
        <v>2022</v>
      </c>
      <c r="E140" s="9">
        <f>IFERROR(__xludf.DUMMYFUNCTION("""COMPUTED_VALUE"""),0.02)</f>
        <v>0.02</v>
      </c>
      <c r="F140" s="9">
        <f>IFERROR(__xludf.DUMMYFUNCTION("""COMPUTED_VALUE"""),5.64)</f>
        <v>5.64</v>
      </c>
    </row>
    <row r="141">
      <c r="A141" s="9" t="str">
        <f>IFERROR(__xludf.DUMMYFUNCTION("""COMPUTED_VALUE"""),"BBAS3")</f>
        <v>BBAS3</v>
      </c>
      <c r="B141" s="17">
        <f>IFERROR(__xludf.DUMMYFUNCTION("""COMPUTED_VALUE"""),44834.0)</f>
        <v>44834</v>
      </c>
      <c r="C141" s="9">
        <f>IFERROR(__xludf.DUMMYFUNCTION("""COMPUTED_VALUE"""),9.0)</f>
        <v>9</v>
      </c>
      <c r="D141" s="9">
        <f>IFERROR(__xludf.DUMMYFUNCTION("""COMPUTED_VALUE"""),2022.0)</f>
        <v>2022</v>
      </c>
      <c r="E141" s="9">
        <f>IFERROR(__xludf.DUMMYFUNCTION("""COMPUTED_VALUE"""),0.27)</f>
        <v>0.27</v>
      </c>
      <c r="F141" s="9">
        <f>IFERROR(__xludf.DUMMYFUNCTION("""COMPUTED_VALUE"""),66.08)</f>
        <v>66.08</v>
      </c>
    </row>
    <row r="142">
      <c r="A142" s="9" t="str">
        <f>IFERROR(__xludf.DUMMYFUNCTION("""COMPUTED_VALUE"""),"BRSR6")</f>
        <v>BRSR6</v>
      </c>
      <c r="B142" s="17">
        <f>IFERROR(__xludf.DUMMYFUNCTION("""COMPUTED_VALUE"""),44832.0)</f>
        <v>44832</v>
      </c>
      <c r="C142" s="9">
        <f>IFERROR(__xludf.DUMMYFUNCTION("""COMPUTED_VALUE"""),9.0)</f>
        <v>9</v>
      </c>
      <c r="D142" s="9">
        <f>IFERROR(__xludf.DUMMYFUNCTION("""COMPUTED_VALUE"""),2022.0)</f>
        <v>2022</v>
      </c>
      <c r="E142" s="9">
        <f>IFERROR(__xludf.DUMMYFUNCTION("""COMPUTED_VALUE"""),0.11)</f>
        <v>0.11</v>
      </c>
      <c r="F142" s="9">
        <f>IFERROR(__xludf.DUMMYFUNCTION("""COMPUTED_VALUE"""),61.99)</f>
        <v>61.99</v>
      </c>
    </row>
    <row r="143">
      <c r="A143" s="9" t="str">
        <f>IFERROR(__xludf.DUMMYFUNCTION("""COMPUTED_VALUE"""),"CIEL3")</f>
        <v>CIEL3</v>
      </c>
      <c r="B143" s="17">
        <f>IFERROR(__xludf.DUMMYFUNCTION("""COMPUTED_VALUE"""),44827.0)</f>
        <v>44827</v>
      </c>
      <c r="C143" s="9">
        <f>IFERROR(__xludf.DUMMYFUNCTION("""COMPUTED_VALUE"""),9.0)</f>
        <v>9</v>
      </c>
      <c r="D143" s="9">
        <f>IFERROR(__xludf.DUMMYFUNCTION("""COMPUTED_VALUE"""),2022.0)</f>
        <v>2022</v>
      </c>
      <c r="E143" s="9">
        <f>IFERROR(__xludf.DUMMYFUNCTION("""COMPUTED_VALUE"""),0.08)</f>
        <v>0.08</v>
      </c>
      <c r="F143" s="9">
        <f>IFERROR(__xludf.DUMMYFUNCTION("""COMPUTED_VALUE"""),77.81)</f>
        <v>77.81</v>
      </c>
    </row>
    <row r="144">
      <c r="A144" s="9" t="str">
        <f>IFERROR(__xludf.DUMMYFUNCTION("""COMPUTED_VALUE"""),"BBDC3")</f>
        <v>BBDC3</v>
      </c>
      <c r="B144" s="17">
        <f>IFERROR(__xludf.DUMMYFUNCTION("""COMPUTED_VALUE"""),44805.0)</f>
        <v>44805</v>
      </c>
      <c r="C144" s="9">
        <f>IFERROR(__xludf.DUMMYFUNCTION("""COMPUTED_VALUE"""),9.0)</f>
        <v>9</v>
      </c>
      <c r="D144" s="9">
        <f>IFERROR(__xludf.DUMMYFUNCTION("""COMPUTED_VALUE"""),2022.0)</f>
        <v>2022</v>
      </c>
      <c r="E144" s="9">
        <f>IFERROR(__xludf.DUMMYFUNCTION("""COMPUTED_VALUE"""),0.02)</f>
        <v>0.02</v>
      </c>
      <c r="F144" s="9">
        <f>IFERROR(__xludf.DUMMYFUNCTION("""COMPUTED_VALUE"""),2.62)</f>
        <v>2.62</v>
      </c>
    </row>
    <row r="145">
      <c r="A145" s="9" t="str">
        <f>IFERROR(__xludf.DUMMYFUNCTION("""COMPUTED_VALUE"""),"VALE3")</f>
        <v>VALE3</v>
      </c>
      <c r="B145" s="17">
        <f>IFERROR(__xludf.DUMMYFUNCTION("""COMPUTED_VALUE"""),44805.0)</f>
        <v>44805</v>
      </c>
      <c r="C145" s="9">
        <f>IFERROR(__xludf.DUMMYFUNCTION("""COMPUTED_VALUE"""),9.0)</f>
        <v>9</v>
      </c>
      <c r="D145" s="9">
        <f>IFERROR(__xludf.DUMMYFUNCTION("""COMPUTED_VALUE"""),2022.0)</f>
        <v>2022</v>
      </c>
      <c r="E145" s="9">
        <f>IFERROR(__xludf.DUMMYFUNCTION("""COMPUTED_VALUE"""),2.03)</f>
        <v>2.03</v>
      </c>
      <c r="F145" s="9">
        <f>IFERROR(__xludf.DUMMYFUNCTION("""COMPUTED_VALUE"""),148.38)</f>
        <v>148.38</v>
      </c>
    </row>
    <row r="146">
      <c r="A146" s="9" t="str">
        <f>IFERROR(__xludf.DUMMYFUNCTION("""COMPUTED_VALUE"""),"VALE3")</f>
        <v>VALE3</v>
      </c>
      <c r="B146" s="17">
        <f>IFERROR(__xludf.DUMMYFUNCTION("""COMPUTED_VALUE"""),44805.0)</f>
        <v>44805</v>
      </c>
      <c r="C146" s="9">
        <f>IFERROR(__xludf.DUMMYFUNCTION("""COMPUTED_VALUE"""),9.0)</f>
        <v>9</v>
      </c>
      <c r="D146" s="9">
        <f>IFERROR(__xludf.DUMMYFUNCTION("""COMPUTED_VALUE"""),2022.0)</f>
        <v>2022</v>
      </c>
      <c r="E146" s="9">
        <f>IFERROR(__xludf.DUMMYFUNCTION("""COMPUTED_VALUE"""),1.54)</f>
        <v>1.54</v>
      </c>
      <c r="F146" s="9">
        <f>IFERROR(__xludf.DUMMYFUNCTION("""COMPUTED_VALUE"""),95.52)</f>
        <v>95.52</v>
      </c>
    </row>
    <row r="147">
      <c r="A147" s="9" t="str">
        <f>IFERROR(__xludf.DUMMYFUNCTION("""COMPUTED_VALUE"""),"BBAS3")</f>
        <v>BBAS3</v>
      </c>
      <c r="B147" s="17">
        <f>IFERROR(__xludf.DUMMYFUNCTION("""COMPUTED_VALUE"""),44804.0)</f>
        <v>44804</v>
      </c>
      <c r="C147" s="9">
        <f>IFERROR(__xludf.DUMMYFUNCTION("""COMPUTED_VALUE"""),8.0)</f>
        <v>8</v>
      </c>
      <c r="D147" s="9">
        <f>IFERROR(__xludf.DUMMYFUNCTION("""COMPUTED_VALUE"""),2022.0)</f>
        <v>2022</v>
      </c>
      <c r="E147" s="9">
        <f>IFERROR(__xludf.DUMMYFUNCTION("""COMPUTED_VALUE"""),0.0)</f>
        <v>0</v>
      </c>
      <c r="F147" s="9">
        <f>IFERROR(__xludf.DUMMYFUNCTION("""COMPUTED_VALUE"""),0.97)</f>
        <v>0.97</v>
      </c>
    </row>
    <row r="148">
      <c r="A148" s="9" t="str">
        <f>IFERROR(__xludf.DUMMYFUNCTION("""COMPUTED_VALUE"""),"BBAS3")</f>
        <v>BBAS3</v>
      </c>
      <c r="B148" s="17">
        <f>IFERROR(__xludf.DUMMYFUNCTION("""COMPUTED_VALUE"""),44804.0)</f>
        <v>44804</v>
      </c>
      <c r="C148" s="9">
        <f>IFERROR(__xludf.DUMMYFUNCTION("""COMPUTED_VALUE"""),8.0)</f>
        <v>8</v>
      </c>
      <c r="D148" s="9">
        <f>IFERROR(__xludf.DUMMYFUNCTION("""COMPUTED_VALUE"""),2022.0)</f>
        <v>2022</v>
      </c>
      <c r="E148" s="9">
        <f>IFERROR(__xludf.DUMMYFUNCTION("""COMPUTED_VALUE"""),0.2)</f>
        <v>0.2</v>
      </c>
      <c r="F148" s="9">
        <f>IFERROR(__xludf.DUMMYFUNCTION("""COMPUTED_VALUE"""),56.85)</f>
        <v>56.85</v>
      </c>
    </row>
    <row r="149">
      <c r="A149" s="9" t="str">
        <f>IFERROR(__xludf.DUMMYFUNCTION("""COMPUTED_VALUE"""),"BBAS3")</f>
        <v>BBAS3</v>
      </c>
      <c r="B149" s="17">
        <f>IFERROR(__xludf.DUMMYFUNCTION("""COMPUTED_VALUE"""),44804.0)</f>
        <v>44804</v>
      </c>
      <c r="C149" s="9">
        <f>IFERROR(__xludf.DUMMYFUNCTION("""COMPUTED_VALUE"""),8.0)</f>
        <v>8</v>
      </c>
      <c r="D149" s="9">
        <f>IFERROR(__xludf.DUMMYFUNCTION("""COMPUTED_VALUE"""),2022.0)</f>
        <v>2022</v>
      </c>
      <c r="E149" s="9">
        <f>IFERROR(__xludf.DUMMYFUNCTION("""COMPUTED_VALUE"""),0.0)</f>
        <v>0</v>
      </c>
      <c r="F149" s="9">
        <f>IFERROR(__xludf.DUMMYFUNCTION("""COMPUTED_VALUE"""),2.78)</f>
        <v>2.78</v>
      </c>
    </row>
    <row r="150">
      <c r="A150" s="9" t="str">
        <f>IFERROR(__xludf.DUMMYFUNCTION("""COMPUTED_VALUE"""),"BBAS3")</f>
        <v>BBAS3</v>
      </c>
      <c r="B150" s="17">
        <f>IFERROR(__xludf.DUMMYFUNCTION("""COMPUTED_VALUE"""),44804.0)</f>
        <v>44804</v>
      </c>
      <c r="C150" s="9">
        <f>IFERROR(__xludf.DUMMYFUNCTION("""COMPUTED_VALUE"""),8.0)</f>
        <v>8</v>
      </c>
      <c r="D150" s="9">
        <f>IFERROR(__xludf.DUMMYFUNCTION("""COMPUTED_VALUE"""),2022.0)</f>
        <v>2022</v>
      </c>
      <c r="E150" s="9">
        <f>IFERROR(__xludf.DUMMYFUNCTION("""COMPUTED_VALUE"""),0.57)</f>
        <v>0.57</v>
      </c>
      <c r="F150" s="9">
        <f>IFERROR(__xludf.DUMMYFUNCTION("""COMPUTED_VALUE"""),137.76)</f>
        <v>137.76</v>
      </c>
    </row>
    <row r="151">
      <c r="A151" s="9" t="str">
        <f>IFERROR(__xludf.DUMMYFUNCTION("""COMPUTED_VALUE"""),"BBSE3")</f>
        <v>BBSE3</v>
      </c>
      <c r="B151" s="17">
        <f>IFERROR(__xludf.DUMMYFUNCTION("""COMPUTED_VALUE"""),44802.0)</f>
        <v>44802</v>
      </c>
      <c r="C151" s="9">
        <f>IFERROR(__xludf.DUMMYFUNCTION("""COMPUTED_VALUE"""),8.0)</f>
        <v>8</v>
      </c>
      <c r="D151" s="9">
        <f>IFERROR(__xludf.DUMMYFUNCTION("""COMPUTED_VALUE"""),2022.0)</f>
        <v>2022</v>
      </c>
      <c r="E151" s="9">
        <f>IFERROR(__xludf.DUMMYFUNCTION("""COMPUTED_VALUE"""),1.04)</f>
        <v>1.04</v>
      </c>
      <c r="F151" s="9">
        <f>IFERROR(__xludf.DUMMYFUNCTION("""COMPUTED_VALUE"""),306.66)</f>
        <v>306.66</v>
      </c>
    </row>
    <row r="152">
      <c r="A152" s="9" t="str">
        <f>IFERROR(__xludf.DUMMYFUNCTION("""COMPUTED_VALUE"""),"TAEE4")</f>
        <v>TAEE4</v>
      </c>
      <c r="B152" s="17">
        <f>IFERROR(__xludf.DUMMYFUNCTION("""COMPUTED_VALUE"""),44799.0)</f>
        <v>44799</v>
      </c>
      <c r="C152" s="9">
        <f>IFERROR(__xludf.DUMMYFUNCTION("""COMPUTED_VALUE"""),8.0)</f>
        <v>8</v>
      </c>
      <c r="D152" s="9">
        <f>IFERROR(__xludf.DUMMYFUNCTION("""COMPUTED_VALUE"""),2022.0)</f>
        <v>2022</v>
      </c>
      <c r="E152" s="9">
        <f>IFERROR(__xludf.DUMMYFUNCTION("""COMPUTED_VALUE"""),0.3)</f>
        <v>0.3</v>
      </c>
      <c r="F152" s="9">
        <f>IFERROR(__xludf.DUMMYFUNCTION("""COMPUTED_VALUE"""),232.75)</f>
        <v>232.75</v>
      </c>
    </row>
    <row r="153">
      <c r="A153" s="9" t="str">
        <f>IFERROR(__xludf.DUMMYFUNCTION("""COMPUTED_VALUE"""),"TAEE4")</f>
        <v>TAEE4</v>
      </c>
      <c r="B153" s="17">
        <f>IFERROR(__xludf.DUMMYFUNCTION("""COMPUTED_VALUE"""),44799.0)</f>
        <v>44799</v>
      </c>
      <c r="C153" s="9">
        <f>IFERROR(__xludf.DUMMYFUNCTION("""COMPUTED_VALUE"""),8.0)</f>
        <v>8</v>
      </c>
      <c r="D153" s="9">
        <f>IFERROR(__xludf.DUMMYFUNCTION("""COMPUTED_VALUE"""),2022.0)</f>
        <v>2022</v>
      </c>
      <c r="E153" s="9">
        <f>IFERROR(__xludf.DUMMYFUNCTION("""COMPUTED_VALUE"""),0.19)</f>
        <v>0.19</v>
      </c>
      <c r="F153" s="9">
        <f>IFERROR(__xludf.DUMMYFUNCTION("""COMPUTED_VALUE"""),126.81)</f>
        <v>126.81</v>
      </c>
    </row>
    <row r="154">
      <c r="A154" s="9" t="str">
        <f>IFERROR(__xludf.DUMMYFUNCTION("""COMPUTED_VALUE"""),"BBDC4")</f>
        <v>BBDC4</v>
      </c>
      <c r="B154" s="17">
        <f>IFERROR(__xludf.DUMMYFUNCTION("""COMPUTED_VALUE"""),44774.0)</f>
        <v>44774</v>
      </c>
      <c r="C154" s="9">
        <f>IFERROR(__xludf.DUMMYFUNCTION("""COMPUTED_VALUE"""),8.0)</f>
        <v>8</v>
      </c>
      <c r="D154" s="9">
        <f>IFERROR(__xludf.DUMMYFUNCTION("""COMPUTED_VALUE"""),2022.0)</f>
        <v>2022</v>
      </c>
      <c r="E154" s="9">
        <f>IFERROR(__xludf.DUMMYFUNCTION("""COMPUTED_VALUE"""),0.02)</f>
        <v>0.02</v>
      </c>
      <c r="F154" s="9">
        <f>IFERROR(__xludf.DUMMYFUNCTION("""COMPUTED_VALUE"""),4.74)</f>
        <v>4.74</v>
      </c>
    </row>
    <row r="155">
      <c r="A155" s="9" t="str">
        <f>IFERROR(__xludf.DUMMYFUNCTION("""COMPUTED_VALUE"""),"VIVT3")</f>
        <v>VIVT3</v>
      </c>
      <c r="B155" s="17">
        <f>IFERROR(__xludf.DUMMYFUNCTION("""COMPUTED_VALUE"""),44761.0)</f>
        <v>44761</v>
      </c>
      <c r="C155" s="9">
        <f>IFERROR(__xludf.DUMMYFUNCTION("""COMPUTED_VALUE"""),7.0)</f>
        <v>7</v>
      </c>
      <c r="D155" s="9">
        <f>IFERROR(__xludf.DUMMYFUNCTION("""COMPUTED_VALUE"""),2022.0)</f>
        <v>2022</v>
      </c>
      <c r="E155" s="9">
        <f>IFERROR(__xludf.DUMMYFUNCTION("""COMPUTED_VALUE"""),0.17)</f>
        <v>0.17</v>
      </c>
      <c r="F155" s="9">
        <f>IFERROR(__xludf.DUMMYFUNCTION("""COMPUTED_VALUE"""),1.41)</f>
        <v>1.41</v>
      </c>
    </row>
    <row r="156">
      <c r="A156" s="9" t="str">
        <f>IFERROR(__xludf.DUMMYFUNCTION("""COMPUTED_VALUE"""),"VIVT3")</f>
        <v>VIVT3</v>
      </c>
      <c r="B156" s="17">
        <f>IFERROR(__xludf.DUMMYFUNCTION("""COMPUTED_VALUE"""),44761.0)</f>
        <v>44761</v>
      </c>
      <c r="C156" s="9">
        <f>IFERROR(__xludf.DUMMYFUNCTION("""COMPUTED_VALUE"""),7.0)</f>
        <v>7</v>
      </c>
      <c r="D156" s="9">
        <f>IFERROR(__xludf.DUMMYFUNCTION("""COMPUTED_VALUE"""),2022.0)</f>
        <v>2022</v>
      </c>
      <c r="E156" s="9">
        <f>IFERROR(__xludf.DUMMYFUNCTION("""COMPUTED_VALUE"""),0.37)</f>
        <v>0.37</v>
      </c>
      <c r="F156" s="9">
        <f>IFERROR(__xludf.DUMMYFUNCTION("""COMPUTED_VALUE"""),38.45)</f>
        <v>38.45</v>
      </c>
    </row>
    <row r="157">
      <c r="A157" s="9" t="str">
        <f>IFERROR(__xludf.DUMMYFUNCTION("""COMPUTED_VALUE"""),"VIVT3")</f>
        <v>VIVT3</v>
      </c>
      <c r="B157" s="17">
        <f>IFERROR(__xludf.DUMMYFUNCTION("""COMPUTED_VALUE"""),44761.0)</f>
        <v>44761</v>
      </c>
      <c r="C157" s="9">
        <f>IFERROR(__xludf.DUMMYFUNCTION("""COMPUTED_VALUE"""),7.0)</f>
        <v>7</v>
      </c>
      <c r="D157" s="9">
        <f>IFERROR(__xludf.DUMMYFUNCTION("""COMPUTED_VALUE"""),2022.0)</f>
        <v>2022</v>
      </c>
      <c r="E157" s="9">
        <f>IFERROR(__xludf.DUMMYFUNCTION("""COMPUTED_VALUE"""),0.36)</f>
        <v>0.36</v>
      </c>
      <c r="F157" s="9">
        <f>IFERROR(__xludf.DUMMYFUNCTION("""COMPUTED_VALUE"""),39.47)</f>
        <v>39.47</v>
      </c>
    </row>
    <row r="158">
      <c r="A158" s="9" t="str">
        <f>IFERROR(__xludf.DUMMYFUNCTION("""COMPUTED_VALUE"""),"VIVT3")</f>
        <v>VIVT3</v>
      </c>
      <c r="B158" s="17">
        <f>IFERROR(__xludf.DUMMYFUNCTION("""COMPUTED_VALUE"""),44761.0)</f>
        <v>44761</v>
      </c>
      <c r="C158" s="9">
        <f>IFERROR(__xludf.DUMMYFUNCTION("""COMPUTED_VALUE"""),7.0)</f>
        <v>7</v>
      </c>
      <c r="D158" s="9">
        <f>IFERROR(__xludf.DUMMYFUNCTION("""COMPUTED_VALUE"""),2022.0)</f>
        <v>2022</v>
      </c>
      <c r="E158" s="9">
        <f>IFERROR(__xludf.DUMMYFUNCTION("""COMPUTED_VALUE"""),0.48)</f>
        <v>0.48</v>
      </c>
      <c r="F158" s="9">
        <f>IFERROR(__xludf.DUMMYFUNCTION("""COMPUTED_VALUE"""),53.04)</f>
        <v>53.04</v>
      </c>
    </row>
    <row r="159">
      <c r="A159" s="9" t="str">
        <f>IFERROR(__xludf.DUMMYFUNCTION("""COMPUTED_VALUE"""),"BBDC4")</f>
        <v>BBDC4</v>
      </c>
      <c r="B159" s="17">
        <f>IFERROR(__xludf.DUMMYFUNCTION("""COMPUTED_VALUE"""),44743.0)</f>
        <v>44743</v>
      </c>
      <c r="C159" s="9">
        <f>IFERROR(__xludf.DUMMYFUNCTION("""COMPUTED_VALUE"""),7.0)</f>
        <v>7</v>
      </c>
      <c r="D159" s="9">
        <f>IFERROR(__xludf.DUMMYFUNCTION("""COMPUTED_VALUE"""),2022.0)</f>
        <v>2022</v>
      </c>
      <c r="E159" s="9">
        <f>IFERROR(__xludf.DUMMYFUNCTION("""COMPUTED_VALUE"""),0.02)</f>
        <v>0.02</v>
      </c>
      <c r="F159" s="9">
        <f>IFERROR(__xludf.DUMMYFUNCTION("""COMPUTED_VALUE"""),4.74)</f>
        <v>4.74</v>
      </c>
    </row>
    <row r="160">
      <c r="A160" s="9" t="str">
        <f>IFERROR(__xludf.DUMMYFUNCTION("""COMPUTED_VALUE"""),"BBAS3")</f>
        <v>BBAS3</v>
      </c>
      <c r="B160" s="17">
        <f>IFERROR(__xludf.DUMMYFUNCTION("""COMPUTED_VALUE"""),44742.0)</f>
        <v>44742</v>
      </c>
      <c r="C160" s="9">
        <f>IFERROR(__xludf.DUMMYFUNCTION("""COMPUTED_VALUE"""),6.0)</f>
        <v>6</v>
      </c>
      <c r="D160" s="9">
        <f>IFERROR(__xludf.DUMMYFUNCTION("""COMPUTED_VALUE"""),2022.0)</f>
        <v>2022</v>
      </c>
      <c r="E160" s="9">
        <f>IFERROR(__xludf.DUMMYFUNCTION("""COMPUTED_VALUE"""),0.25)</f>
        <v>0.25</v>
      </c>
      <c r="F160" s="9">
        <f>IFERROR(__xludf.DUMMYFUNCTION("""COMPUTED_VALUE"""),49.99)</f>
        <v>49.99</v>
      </c>
    </row>
    <row r="161">
      <c r="A161" s="9" t="str">
        <f>IFERROR(__xludf.DUMMYFUNCTION("""COMPUTED_VALUE"""),"BBDC4")</f>
        <v>BBDC4</v>
      </c>
      <c r="B161" s="17">
        <f>IFERROR(__xludf.DUMMYFUNCTION("""COMPUTED_VALUE"""),44742.0)</f>
        <v>44742</v>
      </c>
      <c r="C161" s="9">
        <f>IFERROR(__xludf.DUMMYFUNCTION("""COMPUTED_VALUE"""),6.0)</f>
        <v>6</v>
      </c>
      <c r="D161" s="9">
        <f>IFERROR(__xludf.DUMMYFUNCTION("""COMPUTED_VALUE"""),2022.0)</f>
        <v>2022</v>
      </c>
      <c r="E161" s="9">
        <f>IFERROR(__xludf.DUMMYFUNCTION("""COMPUTED_VALUE"""),0.2)</f>
        <v>0.2</v>
      </c>
      <c r="F161" s="9">
        <f>IFERROR(__xludf.DUMMYFUNCTION("""COMPUTED_VALUE"""),49.12)</f>
        <v>49.12</v>
      </c>
    </row>
    <row r="162">
      <c r="A162" s="9" t="str">
        <f>IFERROR(__xludf.DUMMYFUNCTION("""COMPUTED_VALUE"""),"CPLE6")</f>
        <v>CPLE6</v>
      </c>
      <c r="B162" s="17">
        <f>IFERROR(__xludf.DUMMYFUNCTION("""COMPUTED_VALUE"""),44742.0)</f>
        <v>44742</v>
      </c>
      <c r="C162" s="9">
        <f>IFERROR(__xludf.DUMMYFUNCTION("""COMPUTED_VALUE"""),6.0)</f>
        <v>6</v>
      </c>
      <c r="D162" s="9">
        <f>IFERROR(__xludf.DUMMYFUNCTION("""COMPUTED_VALUE"""),2022.0)</f>
        <v>2022</v>
      </c>
      <c r="E162" s="9">
        <f>IFERROR(__xludf.DUMMYFUNCTION("""COMPUTED_VALUE"""),0.52)</f>
        <v>0.52</v>
      </c>
      <c r="F162" s="9">
        <f>IFERROR(__xludf.DUMMYFUNCTION("""COMPUTED_VALUE"""),239.97)</f>
        <v>239.97</v>
      </c>
    </row>
    <row r="163">
      <c r="A163" s="9" t="str">
        <f>IFERROR(__xludf.DUMMYFUNCTION("""COMPUTED_VALUE"""),"BRSR6")</f>
        <v>BRSR6</v>
      </c>
      <c r="B163" s="17">
        <f>IFERROR(__xludf.DUMMYFUNCTION("""COMPUTED_VALUE"""),44740.0)</f>
        <v>44740</v>
      </c>
      <c r="C163" s="9">
        <f>IFERROR(__xludf.DUMMYFUNCTION("""COMPUTED_VALUE"""),6.0)</f>
        <v>6</v>
      </c>
      <c r="D163" s="9">
        <f>IFERROR(__xludf.DUMMYFUNCTION("""COMPUTED_VALUE"""),2022.0)</f>
        <v>2022</v>
      </c>
      <c r="E163" s="9">
        <f>IFERROR(__xludf.DUMMYFUNCTION("""COMPUTED_VALUE"""),0.38)</f>
        <v>0.38</v>
      </c>
      <c r="F163" s="9">
        <f>IFERROR(__xludf.DUMMYFUNCTION("""COMPUTED_VALUE"""),197.44)</f>
        <v>197.44</v>
      </c>
    </row>
    <row r="164">
      <c r="A164" s="9" t="str">
        <f>IFERROR(__xludf.DUMMYFUNCTION("""COMPUTED_VALUE"""),"BBDC4")</f>
        <v>BBDC4</v>
      </c>
      <c r="B164" s="17">
        <f>IFERROR(__xludf.DUMMYFUNCTION("""COMPUTED_VALUE"""),44713.0)</f>
        <v>44713</v>
      </c>
      <c r="C164" s="9">
        <f>IFERROR(__xludf.DUMMYFUNCTION("""COMPUTED_VALUE"""),6.0)</f>
        <v>6</v>
      </c>
      <c r="D164" s="9">
        <f>IFERROR(__xludf.DUMMYFUNCTION("""COMPUTED_VALUE"""),2022.0)</f>
        <v>2022</v>
      </c>
      <c r="E164" s="9">
        <f>IFERROR(__xludf.DUMMYFUNCTION("""COMPUTED_VALUE"""),0.02)</f>
        <v>0.02</v>
      </c>
      <c r="F164" s="9">
        <f>IFERROR(__xludf.DUMMYFUNCTION("""COMPUTED_VALUE"""),3.92)</f>
        <v>3.92</v>
      </c>
    </row>
    <row r="165">
      <c r="A165" s="9" t="str">
        <f>IFERROR(__xludf.DUMMYFUNCTION("""COMPUTED_VALUE"""),"BBAS3")</f>
        <v>BBAS3</v>
      </c>
      <c r="B165" s="17">
        <f>IFERROR(__xludf.DUMMYFUNCTION("""COMPUTED_VALUE"""),44712.0)</f>
        <v>44712</v>
      </c>
      <c r="C165" s="9">
        <f>IFERROR(__xludf.DUMMYFUNCTION("""COMPUTED_VALUE"""),5.0)</f>
        <v>5</v>
      </c>
      <c r="D165" s="9">
        <f>IFERROR(__xludf.DUMMYFUNCTION("""COMPUTED_VALUE"""),2022.0)</f>
        <v>2022</v>
      </c>
      <c r="E165" s="9">
        <f>IFERROR(__xludf.DUMMYFUNCTION("""COMPUTED_VALUE"""),0.16)</f>
        <v>0.16</v>
      </c>
      <c r="F165" s="9">
        <f>IFERROR(__xludf.DUMMYFUNCTION("""COMPUTED_VALUE"""),36.5)</f>
        <v>36.5</v>
      </c>
    </row>
    <row r="166">
      <c r="A166" s="9" t="str">
        <f>IFERROR(__xludf.DUMMYFUNCTION("""COMPUTED_VALUE"""),"BBAS3")</f>
        <v>BBAS3</v>
      </c>
      <c r="B166" s="17">
        <f>IFERROR(__xludf.DUMMYFUNCTION("""COMPUTED_VALUE"""),44712.0)</f>
        <v>44712</v>
      </c>
      <c r="C166" s="9">
        <f>IFERROR(__xludf.DUMMYFUNCTION("""COMPUTED_VALUE"""),5.0)</f>
        <v>5</v>
      </c>
      <c r="D166" s="9">
        <f>IFERROR(__xludf.DUMMYFUNCTION("""COMPUTED_VALUE"""),2022.0)</f>
        <v>2022</v>
      </c>
      <c r="E166" s="9">
        <f>IFERROR(__xludf.DUMMYFUNCTION("""COMPUTED_VALUE"""),0.52)</f>
        <v>0.52</v>
      </c>
      <c r="F166" s="9">
        <f>IFERROR(__xludf.DUMMYFUNCTION("""COMPUTED_VALUE"""),103.41)</f>
        <v>103.41</v>
      </c>
    </row>
    <row r="167">
      <c r="A167" s="9" t="str">
        <f>IFERROR(__xludf.DUMMYFUNCTION("""COMPUTED_VALUE"""),"TAEE4")</f>
        <v>TAEE4</v>
      </c>
      <c r="B167" s="17">
        <f>IFERROR(__xludf.DUMMYFUNCTION("""COMPUTED_VALUE"""),44712.0)</f>
        <v>44712</v>
      </c>
      <c r="C167" s="9">
        <f>IFERROR(__xludf.DUMMYFUNCTION("""COMPUTED_VALUE"""),5.0)</f>
        <v>5</v>
      </c>
      <c r="D167" s="9">
        <f>IFERROR(__xludf.DUMMYFUNCTION("""COMPUTED_VALUE"""),2022.0)</f>
        <v>2022</v>
      </c>
      <c r="E167" s="9">
        <f>IFERROR(__xludf.DUMMYFUNCTION("""COMPUTED_VALUE"""),0.14)</f>
        <v>0.14</v>
      </c>
      <c r="F167" s="9">
        <f>IFERROR(__xludf.DUMMYFUNCTION("""COMPUTED_VALUE"""),110.8)</f>
        <v>110.8</v>
      </c>
    </row>
    <row r="168">
      <c r="A168" s="9" t="str">
        <f>IFERROR(__xludf.DUMMYFUNCTION("""COMPUTED_VALUE"""),"TAEE4")</f>
        <v>TAEE4</v>
      </c>
      <c r="B168" s="17">
        <f>IFERROR(__xludf.DUMMYFUNCTION("""COMPUTED_VALUE"""),44712.0)</f>
        <v>44712</v>
      </c>
      <c r="C168" s="9">
        <f>IFERROR(__xludf.DUMMYFUNCTION("""COMPUTED_VALUE"""),5.0)</f>
        <v>5</v>
      </c>
      <c r="D168" s="9">
        <f>IFERROR(__xludf.DUMMYFUNCTION("""COMPUTED_VALUE"""),2022.0)</f>
        <v>2022</v>
      </c>
      <c r="E168" s="9">
        <f>IFERROR(__xludf.DUMMYFUNCTION("""COMPUTED_VALUE"""),0.63)</f>
        <v>0.63</v>
      </c>
      <c r="F168" s="9">
        <f>IFERROR(__xludf.DUMMYFUNCTION("""COMPUTED_VALUE"""),492.41)</f>
        <v>492.41</v>
      </c>
    </row>
    <row r="169">
      <c r="A169" s="9" t="str">
        <f>IFERROR(__xludf.DUMMYFUNCTION("""COMPUTED_VALUE"""),"CIEL3")</f>
        <v>CIEL3</v>
      </c>
      <c r="B169" s="17">
        <f>IFERROR(__xludf.DUMMYFUNCTION("""COMPUTED_VALUE"""),44705.0)</f>
        <v>44705</v>
      </c>
      <c r="C169" s="9">
        <f>IFERROR(__xludf.DUMMYFUNCTION("""COMPUTED_VALUE"""),5.0)</f>
        <v>5</v>
      </c>
      <c r="D169" s="9">
        <f>IFERROR(__xludf.DUMMYFUNCTION("""COMPUTED_VALUE"""),2022.0)</f>
        <v>2022</v>
      </c>
      <c r="E169" s="9">
        <f>IFERROR(__xludf.DUMMYFUNCTION("""COMPUTED_VALUE"""),0.02)</f>
        <v>0.02</v>
      </c>
      <c r="F169" s="9">
        <f>IFERROR(__xludf.DUMMYFUNCTION("""COMPUTED_VALUE"""),22.63)</f>
        <v>22.63</v>
      </c>
    </row>
    <row r="170">
      <c r="A170" s="9" t="str">
        <f>IFERROR(__xludf.DUMMYFUNCTION("""COMPUTED_VALUE"""),"BRSR6")</f>
        <v>BRSR6</v>
      </c>
      <c r="B170" s="17">
        <f>IFERROR(__xludf.DUMMYFUNCTION("""COMPUTED_VALUE"""),44700.0)</f>
        <v>44700</v>
      </c>
      <c r="C170" s="9">
        <f>IFERROR(__xludf.DUMMYFUNCTION("""COMPUTED_VALUE"""),5.0)</f>
        <v>5</v>
      </c>
      <c r="D170" s="9">
        <f>IFERROR(__xludf.DUMMYFUNCTION("""COMPUTED_VALUE"""),2022.0)</f>
        <v>2022</v>
      </c>
      <c r="E170" s="9">
        <f>IFERROR(__xludf.DUMMYFUNCTION("""COMPUTED_VALUE"""),0.04)</f>
        <v>0.04</v>
      </c>
      <c r="F170" s="9">
        <f>IFERROR(__xludf.DUMMYFUNCTION("""COMPUTED_VALUE"""),10.98)</f>
        <v>10.98</v>
      </c>
    </row>
    <row r="171">
      <c r="A171" s="9" t="str">
        <f>IFERROR(__xludf.DUMMYFUNCTION("""COMPUTED_VALUE"""),"CSMG3")</f>
        <v>CSMG3</v>
      </c>
      <c r="B171" s="17">
        <f>IFERROR(__xludf.DUMMYFUNCTION("""COMPUTED_VALUE"""),44697.0)</f>
        <v>44697</v>
      </c>
      <c r="C171" s="9">
        <f>IFERROR(__xludf.DUMMYFUNCTION("""COMPUTED_VALUE"""),5.0)</f>
        <v>5</v>
      </c>
      <c r="D171" s="9">
        <f>IFERROR(__xludf.DUMMYFUNCTION("""COMPUTED_VALUE"""),2022.0)</f>
        <v>2022</v>
      </c>
      <c r="E171" s="9">
        <f>IFERROR(__xludf.DUMMYFUNCTION("""COMPUTED_VALUE"""),0.09)</f>
        <v>0.09</v>
      </c>
      <c r="F171" s="9">
        <f>IFERROR(__xludf.DUMMYFUNCTION("""COMPUTED_VALUE"""),35.46)</f>
        <v>35.46</v>
      </c>
    </row>
    <row r="172">
      <c r="A172" s="9" t="str">
        <f>IFERROR(__xludf.DUMMYFUNCTION("""COMPUTED_VALUE"""),"BBDC4")</f>
        <v>BBDC4</v>
      </c>
      <c r="B172" s="17">
        <f>IFERROR(__xludf.DUMMYFUNCTION("""COMPUTED_VALUE"""),44683.0)</f>
        <v>44683</v>
      </c>
      <c r="C172" s="9">
        <f>IFERROR(__xludf.DUMMYFUNCTION("""COMPUTED_VALUE"""),5.0)</f>
        <v>5</v>
      </c>
      <c r="D172" s="9">
        <f>IFERROR(__xludf.DUMMYFUNCTION("""COMPUTED_VALUE"""),2022.0)</f>
        <v>2022</v>
      </c>
      <c r="E172" s="9">
        <f>IFERROR(__xludf.DUMMYFUNCTION("""COMPUTED_VALUE"""),0.02)</f>
        <v>0.02</v>
      </c>
      <c r="F172" s="9">
        <f>IFERROR(__xludf.DUMMYFUNCTION("""COMPUTED_VALUE"""),3.56)</f>
        <v>3.56</v>
      </c>
    </row>
    <row r="173">
      <c r="A173" s="9" t="str">
        <f>IFERROR(__xludf.DUMMYFUNCTION("""COMPUTED_VALUE"""),"WIZS3")</f>
        <v>WIZS3</v>
      </c>
      <c r="B173" s="17">
        <f>IFERROR(__xludf.DUMMYFUNCTION("""COMPUTED_VALUE"""),44680.0)</f>
        <v>44680</v>
      </c>
      <c r="C173" s="9">
        <f>IFERROR(__xludf.DUMMYFUNCTION("""COMPUTED_VALUE"""),4.0)</f>
        <v>4</v>
      </c>
      <c r="D173" s="9">
        <f>IFERROR(__xludf.DUMMYFUNCTION("""COMPUTED_VALUE"""),2022.0)</f>
        <v>2022</v>
      </c>
      <c r="E173" s="9">
        <f>IFERROR(__xludf.DUMMYFUNCTION("""COMPUTED_VALUE"""),0.09)</f>
        <v>0.09</v>
      </c>
      <c r="F173" s="9">
        <f>IFERROR(__xludf.DUMMYFUNCTION("""COMPUTED_VALUE"""),36.86)</f>
        <v>36.86</v>
      </c>
    </row>
    <row r="174">
      <c r="A174" s="9" t="str">
        <f>IFERROR(__xludf.DUMMYFUNCTION("""COMPUTED_VALUE"""),"BBDC4")</f>
        <v>BBDC4</v>
      </c>
      <c r="B174" s="17">
        <f>IFERROR(__xludf.DUMMYFUNCTION("""COMPUTED_VALUE"""),44652.0)</f>
        <v>44652</v>
      </c>
      <c r="C174" s="9">
        <f>IFERROR(__xludf.DUMMYFUNCTION("""COMPUTED_VALUE"""),4.0)</f>
        <v>4</v>
      </c>
      <c r="D174" s="9">
        <f>IFERROR(__xludf.DUMMYFUNCTION("""COMPUTED_VALUE"""),2022.0)</f>
        <v>2022</v>
      </c>
      <c r="E174" s="9">
        <f>IFERROR(__xludf.DUMMYFUNCTION("""COMPUTED_VALUE"""),0.02)</f>
        <v>0.02</v>
      </c>
      <c r="F174" s="9">
        <f>IFERROR(__xludf.DUMMYFUNCTION("""COMPUTED_VALUE"""),3.56)</f>
        <v>3.56</v>
      </c>
    </row>
    <row r="175">
      <c r="A175" s="9" t="str">
        <f>IFERROR(__xludf.DUMMYFUNCTION("""COMPUTED_VALUE"""),"BBAS3")</f>
        <v>BBAS3</v>
      </c>
      <c r="B175" s="17">
        <f>IFERROR(__xludf.DUMMYFUNCTION("""COMPUTED_VALUE"""),44651.0)</f>
        <v>44651</v>
      </c>
      <c r="C175" s="9">
        <f>IFERROR(__xludf.DUMMYFUNCTION("""COMPUTED_VALUE"""),3.0)</f>
        <v>3</v>
      </c>
      <c r="D175" s="9">
        <f>IFERROR(__xludf.DUMMYFUNCTION("""COMPUTED_VALUE"""),2022.0)</f>
        <v>2022</v>
      </c>
      <c r="E175" s="9">
        <f>IFERROR(__xludf.DUMMYFUNCTION("""COMPUTED_VALUE"""),0.21)</f>
        <v>0.21</v>
      </c>
      <c r="F175" s="9">
        <f>IFERROR(__xludf.DUMMYFUNCTION("""COMPUTED_VALUE"""),40.28)</f>
        <v>40.28</v>
      </c>
    </row>
    <row r="176">
      <c r="A176" s="9" t="str">
        <f>IFERROR(__xludf.DUMMYFUNCTION("""COMPUTED_VALUE"""),"VALE3")</f>
        <v>VALE3</v>
      </c>
      <c r="B176" s="17">
        <f>IFERROR(__xludf.DUMMYFUNCTION("""COMPUTED_VALUE"""),44636.0)</f>
        <v>44636</v>
      </c>
      <c r="C176" s="9">
        <f>IFERROR(__xludf.DUMMYFUNCTION("""COMPUTED_VALUE"""),3.0)</f>
        <v>3</v>
      </c>
      <c r="D176" s="9">
        <f>IFERROR(__xludf.DUMMYFUNCTION("""COMPUTED_VALUE"""),2022.0)</f>
        <v>2022</v>
      </c>
      <c r="E176" s="9">
        <f>IFERROR(__xludf.DUMMYFUNCTION("""COMPUTED_VALUE"""),3.72)</f>
        <v>3.72</v>
      </c>
      <c r="F176" s="9">
        <f>IFERROR(__xludf.DUMMYFUNCTION("""COMPUTED_VALUE"""),271.5)</f>
        <v>271.5</v>
      </c>
    </row>
    <row r="177">
      <c r="A177" s="9" t="str">
        <f>IFERROR(__xludf.DUMMYFUNCTION("""COMPUTED_VALUE"""),"WEGE3")</f>
        <v>WEGE3</v>
      </c>
      <c r="B177" s="17">
        <f>IFERROR(__xludf.DUMMYFUNCTION("""COMPUTED_VALUE"""),44636.0)</f>
        <v>44636</v>
      </c>
      <c r="C177" s="9">
        <f>IFERROR(__xludf.DUMMYFUNCTION("""COMPUTED_VALUE"""),3.0)</f>
        <v>3</v>
      </c>
      <c r="D177" s="9">
        <f>IFERROR(__xludf.DUMMYFUNCTION("""COMPUTED_VALUE"""),2022.0)</f>
        <v>2022</v>
      </c>
      <c r="E177" s="9">
        <f>IFERROR(__xludf.DUMMYFUNCTION("""COMPUTED_VALUE"""),0.03)</f>
        <v>0.03</v>
      </c>
      <c r="F177" s="9">
        <f>IFERROR(__xludf.DUMMYFUNCTION("""COMPUTED_VALUE"""),3.21)</f>
        <v>3.21</v>
      </c>
    </row>
    <row r="178">
      <c r="A178" s="9" t="str">
        <f>IFERROR(__xludf.DUMMYFUNCTION("""COMPUTED_VALUE"""),"WEGE3")</f>
        <v>WEGE3</v>
      </c>
      <c r="B178" s="17">
        <f>IFERROR(__xludf.DUMMYFUNCTION("""COMPUTED_VALUE"""),44636.0)</f>
        <v>44636</v>
      </c>
      <c r="C178" s="9">
        <f>IFERROR(__xludf.DUMMYFUNCTION("""COMPUTED_VALUE"""),3.0)</f>
        <v>3</v>
      </c>
      <c r="D178" s="9">
        <f>IFERROR(__xludf.DUMMYFUNCTION("""COMPUTED_VALUE"""),2022.0)</f>
        <v>2022</v>
      </c>
      <c r="E178" s="9">
        <f>IFERROR(__xludf.DUMMYFUNCTION("""COMPUTED_VALUE"""),0.02)</f>
        <v>0.02</v>
      </c>
      <c r="F178" s="9">
        <f>IFERROR(__xludf.DUMMYFUNCTION("""COMPUTED_VALUE"""),2.76)</f>
        <v>2.76</v>
      </c>
    </row>
    <row r="179">
      <c r="A179" s="9" t="str">
        <f>IFERROR(__xludf.DUMMYFUNCTION("""COMPUTED_VALUE"""),"BBAS3")</f>
        <v>BBAS3</v>
      </c>
      <c r="B179" s="17">
        <f>IFERROR(__xludf.DUMMYFUNCTION("""COMPUTED_VALUE"""),44631.0)</f>
        <v>44631</v>
      </c>
      <c r="C179" s="9">
        <f>IFERROR(__xludf.DUMMYFUNCTION("""COMPUTED_VALUE"""),3.0)</f>
        <v>3</v>
      </c>
      <c r="D179" s="9">
        <f>IFERROR(__xludf.DUMMYFUNCTION("""COMPUTED_VALUE"""),2022.0)</f>
        <v>2022</v>
      </c>
      <c r="E179" s="9">
        <f>IFERROR(__xludf.DUMMYFUNCTION("""COMPUTED_VALUE"""),0.36)</f>
        <v>0.36</v>
      </c>
      <c r="F179" s="9">
        <f>IFERROR(__xludf.DUMMYFUNCTION("""COMPUTED_VALUE"""),80.06)</f>
        <v>80.06</v>
      </c>
    </row>
    <row r="180">
      <c r="A180" s="9" t="str">
        <f>IFERROR(__xludf.DUMMYFUNCTION("""COMPUTED_VALUE"""),"BBAS3")</f>
        <v>BBAS3</v>
      </c>
      <c r="B180" s="17">
        <f>IFERROR(__xludf.DUMMYFUNCTION("""COMPUTED_VALUE"""),44631.0)</f>
        <v>44631</v>
      </c>
      <c r="C180" s="9">
        <f>IFERROR(__xludf.DUMMYFUNCTION("""COMPUTED_VALUE"""),3.0)</f>
        <v>3</v>
      </c>
      <c r="D180" s="9">
        <f>IFERROR(__xludf.DUMMYFUNCTION("""COMPUTED_VALUE"""),2022.0)</f>
        <v>2022</v>
      </c>
      <c r="E180" s="9">
        <f>IFERROR(__xludf.DUMMYFUNCTION("""COMPUTED_VALUE"""),0.45)</f>
        <v>0.45</v>
      </c>
      <c r="F180" s="9">
        <f>IFERROR(__xludf.DUMMYFUNCTION("""COMPUTED_VALUE"""),86.86)</f>
        <v>86.86</v>
      </c>
    </row>
    <row r="181">
      <c r="A181" s="9" t="str">
        <f>IFERROR(__xludf.DUMMYFUNCTION("""COMPUTED_VALUE"""),"BBAS3")</f>
        <v>BBAS3</v>
      </c>
      <c r="B181" s="17">
        <f>IFERROR(__xludf.DUMMYFUNCTION("""COMPUTED_VALUE"""),44631.0)</f>
        <v>44631</v>
      </c>
      <c r="C181" s="9">
        <f>IFERROR(__xludf.DUMMYFUNCTION("""COMPUTED_VALUE"""),3.0)</f>
        <v>3</v>
      </c>
      <c r="D181" s="9">
        <f>IFERROR(__xludf.DUMMYFUNCTION("""COMPUTED_VALUE"""),2022.0)</f>
        <v>2022</v>
      </c>
      <c r="E181" s="9">
        <f>IFERROR(__xludf.DUMMYFUNCTION("""COMPUTED_VALUE"""),0.0)</f>
        <v>0</v>
      </c>
      <c r="F181" s="9">
        <f>IFERROR(__xludf.DUMMYFUNCTION("""COMPUTED_VALUE"""),1.12)</f>
        <v>1.12</v>
      </c>
    </row>
    <row r="182">
      <c r="A182" s="9" t="str">
        <f>IFERROR(__xludf.DUMMYFUNCTION("""COMPUTED_VALUE"""),"BBAS3")</f>
        <v>BBAS3</v>
      </c>
      <c r="B182" s="17">
        <f>IFERROR(__xludf.DUMMYFUNCTION("""COMPUTED_VALUE"""),44631.0)</f>
        <v>44631</v>
      </c>
      <c r="C182" s="9">
        <f>IFERROR(__xludf.DUMMYFUNCTION("""COMPUTED_VALUE"""),3.0)</f>
        <v>3</v>
      </c>
      <c r="D182" s="9">
        <f>IFERROR(__xludf.DUMMYFUNCTION("""COMPUTED_VALUE"""),2022.0)</f>
        <v>2022</v>
      </c>
      <c r="E182" s="9">
        <f>IFERROR(__xludf.DUMMYFUNCTION("""COMPUTED_VALUE"""),0.0)</f>
        <v>0</v>
      </c>
      <c r="F182" s="9">
        <f>IFERROR(__xludf.DUMMYFUNCTION("""COMPUTED_VALUE"""),1.43)</f>
        <v>1.43</v>
      </c>
    </row>
    <row r="183">
      <c r="A183" s="9" t="str">
        <f>IFERROR(__xludf.DUMMYFUNCTION("""COMPUTED_VALUE"""),"BBDC4")</f>
        <v>BBDC4</v>
      </c>
      <c r="B183" s="17">
        <f>IFERROR(__xludf.DUMMYFUNCTION("""COMPUTED_VALUE"""),44622.0)</f>
        <v>44622</v>
      </c>
      <c r="C183" s="9">
        <f>IFERROR(__xludf.DUMMYFUNCTION("""COMPUTED_VALUE"""),3.0)</f>
        <v>3</v>
      </c>
      <c r="D183" s="9">
        <f>IFERROR(__xludf.DUMMYFUNCTION("""COMPUTED_VALUE"""),2022.0)</f>
        <v>2022</v>
      </c>
      <c r="E183" s="9">
        <f>IFERROR(__xludf.DUMMYFUNCTION("""COMPUTED_VALUE"""),0.02)</f>
        <v>0.02</v>
      </c>
      <c r="F183" s="9">
        <f>IFERROR(__xludf.DUMMYFUNCTION("""COMPUTED_VALUE"""),3.56)</f>
        <v>3.56</v>
      </c>
    </row>
    <row r="184">
      <c r="A184" s="9" t="str">
        <f>IFERROR(__xludf.DUMMYFUNCTION("""COMPUTED_VALUE"""),"BBSE3")</f>
        <v>BBSE3</v>
      </c>
      <c r="B184" s="17">
        <f>IFERROR(__xludf.DUMMYFUNCTION("""COMPUTED_VALUE"""),44615.0)</f>
        <v>44615</v>
      </c>
      <c r="C184" s="9">
        <f>IFERROR(__xludf.DUMMYFUNCTION("""COMPUTED_VALUE"""),2.0)</f>
        <v>2</v>
      </c>
      <c r="D184" s="9">
        <f>IFERROR(__xludf.DUMMYFUNCTION("""COMPUTED_VALUE"""),2022.0)</f>
        <v>2022</v>
      </c>
      <c r="E184" s="9">
        <f>IFERROR(__xludf.DUMMYFUNCTION("""COMPUTED_VALUE"""),0.0)</f>
        <v>0</v>
      </c>
      <c r="F184" s="9">
        <f>IFERROR(__xludf.DUMMYFUNCTION("""COMPUTED_VALUE"""),2.95)</f>
        <v>2.95</v>
      </c>
    </row>
    <row r="185">
      <c r="A185" s="9" t="str">
        <f>IFERROR(__xludf.DUMMYFUNCTION("""COMPUTED_VALUE"""),"BBSE3")</f>
        <v>BBSE3</v>
      </c>
      <c r="B185" s="17">
        <f>IFERROR(__xludf.DUMMYFUNCTION("""COMPUTED_VALUE"""),44615.0)</f>
        <v>44615</v>
      </c>
      <c r="C185" s="9">
        <f>IFERROR(__xludf.DUMMYFUNCTION("""COMPUTED_VALUE"""),2.0)</f>
        <v>2</v>
      </c>
      <c r="D185" s="9">
        <f>IFERROR(__xludf.DUMMYFUNCTION("""COMPUTED_VALUE"""),2022.0)</f>
        <v>2022</v>
      </c>
      <c r="E185" s="9">
        <f>IFERROR(__xludf.DUMMYFUNCTION("""COMPUTED_VALUE"""),0.92)</f>
        <v>0.92</v>
      </c>
      <c r="F185" s="9">
        <f>IFERROR(__xludf.DUMMYFUNCTION("""COMPUTED_VALUE"""),271.47)</f>
        <v>271.47</v>
      </c>
    </row>
    <row r="186">
      <c r="A186" s="9" t="str">
        <f>IFERROR(__xludf.DUMMYFUNCTION("""COMPUTED_VALUE"""),"BBDC4")</f>
        <v>BBDC4</v>
      </c>
      <c r="B186" s="17">
        <f>IFERROR(__xludf.DUMMYFUNCTION("""COMPUTED_VALUE"""),44593.0)</f>
        <v>44593</v>
      </c>
      <c r="C186" s="9">
        <f>IFERROR(__xludf.DUMMYFUNCTION("""COMPUTED_VALUE"""),2.0)</f>
        <v>2</v>
      </c>
      <c r="D186" s="9">
        <f>IFERROR(__xludf.DUMMYFUNCTION("""COMPUTED_VALUE"""),2022.0)</f>
        <v>2022</v>
      </c>
      <c r="E186" s="9">
        <f>IFERROR(__xludf.DUMMYFUNCTION("""COMPUTED_VALUE"""),0.02)</f>
        <v>0.02</v>
      </c>
      <c r="F186" s="9">
        <f>IFERROR(__xludf.DUMMYFUNCTION("""COMPUTED_VALUE"""),1.08)</f>
        <v>1.08</v>
      </c>
    </row>
    <row r="187">
      <c r="A187" s="9" t="str">
        <f>IFERROR(__xludf.DUMMYFUNCTION("""COMPUTED_VALUE"""),"TRPL4")</f>
        <v>TRPL4</v>
      </c>
      <c r="B187" s="17">
        <f>IFERROR(__xludf.DUMMYFUNCTION("""COMPUTED_VALUE"""),44579.0)</f>
        <v>44579</v>
      </c>
      <c r="C187" s="9">
        <f>IFERROR(__xludf.DUMMYFUNCTION("""COMPUTED_VALUE"""),1.0)</f>
        <v>1</v>
      </c>
      <c r="D187" s="9">
        <f>IFERROR(__xludf.DUMMYFUNCTION("""COMPUTED_VALUE"""),2022.0)</f>
        <v>2022</v>
      </c>
      <c r="E187" s="9">
        <f>IFERROR(__xludf.DUMMYFUNCTION("""COMPUTED_VALUE"""),0.17)</f>
        <v>0.17</v>
      </c>
      <c r="F187" s="9">
        <f>IFERROR(__xludf.DUMMYFUNCTION("""COMPUTED_VALUE"""),33.85)</f>
        <v>33.85</v>
      </c>
    </row>
    <row r="188">
      <c r="A188" s="9" t="str">
        <f>IFERROR(__xludf.DUMMYFUNCTION("""COMPUTED_VALUE"""),"B3SA3")</f>
        <v>B3SA3</v>
      </c>
      <c r="B188" s="17">
        <f>IFERROR(__xludf.DUMMYFUNCTION("""COMPUTED_VALUE"""),44568.0)</f>
        <v>44568</v>
      </c>
      <c r="C188" s="9">
        <f>IFERROR(__xludf.DUMMYFUNCTION("""COMPUTED_VALUE"""),1.0)</f>
        <v>1</v>
      </c>
      <c r="D188" s="9">
        <f>IFERROR(__xludf.DUMMYFUNCTION("""COMPUTED_VALUE"""),2022.0)</f>
        <v>2022</v>
      </c>
      <c r="E188" s="9">
        <f>IFERROR(__xludf.DUMMYFUNCTION("""COMPUTED_VALUE"""),0.05)</f>
        <v>0.05</v>
      </c>
      <c r="F188" s="9">
        <f>IFERROR(__xludf.DUMMYFUNCTION("""COMPUTED_VALUE"""),16.92)</f>
        <v>16.92</v>
      </c>
    </row>
    <row r="189">
      <c r="A189" s="9" t="str">
        <f>IFERROR(__xludf.DUMMYFUNCTION("""COMPUTED_VALUE"""),"BBAS3")</f>
        <v>BBAS3</v>
      </c>
      <c r="B189" s="17">
        <f>IFERROR(__xludf.DUMMYFUNCTION("""COMPUTED_VALUE"""),45288.0)</f>
        <v>45288</v>
      </c>
      <c r="C189" s="9">
        <f>IFERROR(__xludf.DUMMYFUNCTION("""COMPUTED_VALUE"""),12.0)</f>
        <v>12</v>
      </c>
      <c r="D189" s="9">
        <f>IFERROR(__xludf.DUMMYFUNCTION("""COMPUTED_VALUE"""),2023.0)</f>
        <v>2023</v>
      </c>
      <c r="E189" s="9">
        <f>IFERROR(__xludf.DUMMYFUNCTION("""COMPUTED_VALUE"""),0.34)</f>
        <v>0.34</v>
      </c>
      <c r="F189" s="9">
        <f>IFERROR(__xludf.DUMMYFUNCTION("""COMPUTED_VALUE"""),228.99)</f>
        <v>228.99</v>
      </c>
    </row>
    <row r="190">
      <c r="A190" s="9" t="str">
        <f>IFERROR(__xludf.DUMMYFUNCTION("""COMPUTED_VALUE"""),"PETR4")</f>
        <v>PETR4</v>
      </c>
      <c r="B190" s="17">
        <f>IFERROR(__xludf.DUMMYFUNCTION("""COMPUTED_VALUE"""),45287.0)</f>
        <v>45287</v>
      </c>
      <c r="C190" s="9">
        <f>IFERROR(__xludf.DUMMYFUNCTION("""COMPUTED_VALUE"""),12.0)</f>
        <v>12</v>
      </c>
      <c r="D190" s="9">
        <f>IFERROR(__xludf.DUMMYFUNCTION("""COMPUTED_VALUE"""),2023.0)</f>
        <v>2023</v>
      </c>
      <c r="E190" s="9">
        <f>IFERROR(__xludf.DUMMYFUNCTION("""COMPUTED_VALUE"""),0.5)</f>
        <v>0.5</v>
      </c>
      <c r="F190" s="9">
        <f>IFERROR(__xludf.DUMMYFUNCTION("""COMPUTED_VALUE"""),114.05)</f>
        <v>114.05</v>
      </c>
    </row>
    <row r="191">
      <c r="A191" s="9" t="str">
        <f>IFERROR(__xludf.DUMMYFUNCTION("""COMPUTED_VALUE"""),"PETR4")</f>
        <v>PETR4</v>
      </c>
      <c r="B191" s="17">
        <f>IFERROR(__xludf.DUMMYFUNCTION("""COMPUTED_VALUE"""),45287.0)</f>
        <v>45287</v>
      </c>
      <c r="C191" s="9">
        <f>IFERROR(__xludf.DUMMYFUNCTION("""COMPUTED_VALUE"""),12.0)</f>
        <v>12</v>
      </c>
      <c r="D191" s="9">
        <f>IFERROR(__xludf.DUMMYFUNCTION("""COMPUTED_VALUE"""),2023.0)</f>
        <v>2023</v>
      </c>
      <c r="E191" s="9">
        <f>IFERROR(__xludf.DUMMYFUNCTION("""COMPUTED_VALUE"""),0.0)</f>
        <v>0</v>
      </c>
      <c r="F191" s="9">
        <f>IFERROR(__xludf.DUMMYFUNCTION("""COMPUTED_VALUE"""),12.17)</f>
        <v>12.17</v>
      </c>
    </row>
    <row r="192">
      <c r="A192" s="9" t="str">
        <f>IFERROR(__xludf.DUMMYFUNCTION("""COMPUTED_VALUE"""),"PETR4")</f>
        <v>PETR4</v>
      </c>
      <c r="B192" s="17">
        <f>IFERROR(__xludf.DUMMYFUNCTION("""COMPUTED_VALUE"""),45275.0)</f>
        <v>45275</v>
      </c>
      <c r="C192" s="9">
        <f>IFERROR(__xludf.DUMMYFUNCTION("""COMPUTED_VALUE"""),12.0)</f>
        <v>12</v>
      </c>
      <c r="D192" s="9">
        <f>IFERROR(__xludf.DUMMYFUNCTION("""COMPUTED_VALUE"""),2023.0)</f>
        <v>2023</v>
      </c>
      <c r="E192" s="9">
        <f>IFERROR(__xludf.DUMMYFUNCTION("""COMPUTED_VALUE"""),0.58)</f>
        <v>0.58</v>
      </c>
      <c r="F192" s="9">
        <f>IFERROR(__xludf.DUMMYFUNCTION("""COMPUTED_VALUE"""),131.59)</f>
        <v>131.59</v>
      </c>
    </row>
    <row r="193">
      <c r="A193" s="9" t="str">
        <f>IFERROR(__xludf.DUMMYFUNCTION("""COMPUTED_VALUE"""),"TAEE4")</f>
        <v>TAEE4</v>
      </c>
      <c r="B193" s="17">
        <f>IFERROR(__xludf.DUMMYFUNCTION("""COMPUTED_VALUE"""),45275.0)</f>
        <v>45275</v>
      </c>
      <c r="C193" s="9">
        <f>IFERROR(__xludf.DUMMYFUNCTION("""COMPUTED_VALUE"""),12.0)</f>
        <v>12</v>
      </c>
      <c r="D193" s="9">
        <f>IFERROR(__xludf.DUMMYFUNCTION("""COMPUTED_VALUE"""),2023.0)</f>
        <v>2023</v>
      </c>
      <c r="E193" s="9">
        <f>IFERROR(__xludf.DUMMYFUNCTION("""COMPUTED_VALUE"""),0.0)</f>
        <v>0</v>
      </c>
      <c r="F193" s="9">
        <f>IFERROR(__xludf.DUMMYFUNCTION("""COMPUTED_VALUE"""),6.02)</f>
        <v>6.02</v>
      </c>
    </row>
    <row r="194">
      <c r="A194" s="9" t="str">
        <f>IFERROR(__xludf.DUMMYFUNCTION("""COMPUTED_VALUE"""),"TAEE4")</f>
        <v>TAEE4</v>
      </c>
      <c r="B194" s="17">
        <f>IFERROR(__xludf.DUMMYFUNCTION("""COMPUTED_VALUE"""),45275.0)</f>
        <v>45275</v>
      </c>
      <c r="C194" s="9">
        <f>IFERROR(__xludf.DUMMYFUNCTION("""COMPUTED_VALUE"""),12.0)</f>
        <v>12</v>
      </c>
      <c r="D194" s="9">
        <f>IFERROR(__xludf.DUMMYFUNCTION("""COMPUTED_VALUE"""),2023.0)</f>
        <v>2023</v>
      </c>
      <c r="E194" s="9">
        <f>IFERROR(__xludf.DUMMYFUNCTION("""COMPUTED_VALUE"""),0.19)</f>
        <v>0.19</v>
      </c>
      <c r="F194" s="9">
        <f>IFERROR(__xludf.DUMMYFUNCTION("""COMPUTED_VALUE"""),251.94)</f>
        <v>251.94</v>
      </c>
    </row>
    <row r="195">
      <c r="A195" s="9" t="str">
        <f>IFERROR(__xludf.DUMMYFUNCTION("""COMPUTED_VALUE"""),"WIZC3")</f>
        <v>WIZC3</v>
      </c>
      <c r="B195" s="17">
        <f>IFERROR(__xludf.DUMMYFUNCTION("""COMPUTED_VALUE"""),45272.0)</f>
        <v>45272</v>
      </c>
      <c r="C195" s="9">
        <f>IFERROR(__xludf.DUMMYFUNCTION("""COMPUTED_VALUE"""),12.0)</f>
        <v>12</v>
      </c>
      <c r="D195" s="9">
        <f>IFERROR(__xludf.DUMMYFUNCTION("""COMPUTED_VALUE"""),2023.0)</f>
        <v>2023</v>
      </c>
      <c r="E195" s="9">
        <f>IFERROR(__xludf.DUMMYFUNCTION("""COMPUTED_VALUE"""),0.14)</f>
        <v>0.14</v>
      </c>
      <c r="F195" s="9">
        <f>IFERROR(__xludf.DUMMYFUNCTION("""COMPUTED_VALUE"""),55.16)</f>
        <v>55.16</v>
      </c>
    </row>
    <row r="196">
      <c r="A196" s="9" t="str">
        <f>IFERROR(__xludf.DUMMYFUNCTION("""COMPUTED_VALUE"""),"WIZC3")</f>
        <v>WIZC3</v>
      </c>
      <c r="B196" s="17">
        <f>IFERROR(__xludf.DUMMYFUNCTION("""COMPUTED_VALUE"""),45272.0)</f>
        <v>45272</v>
      </c>
      <c r="C196" s="9">
        <f>IFERROR(__xludf.DUMMYFUNCTION("""COMPUTED_VALUE"""),12.0)</f>
        <v>12</v>
      </c>
      <c r="D196" s="9">
        <f>IFERROR(__xludf.DUMMYFUNCTION("""COMPUTED_VALUE"""),2023.0)</f>
        <v>2023</v>
      </c>
      <c r="E196" s="9">
        <f>IFERROR(__xludf.DUMMYFUNCTION("""COMPUTED_VALUE"""),0.24)</f>
        <v>0.24</v>
      </c>
      <c r="F196" s="9">
        <f>IFERROR(__xludf.DUMMYFUNCTION("""COMPUTED_VALUE"""),115.21)</f>
        <v>115.21</v>
      </c>
    </row>
    <row r="197">
      <c r="A197" s="9" t="str">
        <f>IFERROR(__xludf.DUMMYFUNCTION("""COMPUTED_VALUE"""),"BBDC3")</f>
        <v>BBDC3</v>
      </c>
      <c r="B197" s="17">
        <f>IFERROR(__xludf.DUMMYFUNCTION("""COMPUTED_VALUE"""),45261.0)</f>
        <v>45261</v>
      </c>
      <c r="C197" s="9">
        <f>IFERROR(__xludf.DUMMYFUNCTION("""COMPUTED_VALUE"""),12.0)</f>
        <v>12</v>
      </c>
      <c r="D197" s="9">
        <f>IFERROR(__xludf.DUMMYFUNCTION("""COMPUTED_VALUE"""),2023.0)</f>
        <v>2023</v>
      </c>
      <c r="E197" s="9">
        <f>IFERROR(__xludf.DUMMYFUNCTION("""COMPUTED_VALUE"""),0.02)</f>
        <v>0.02</v>
      </c>
      <c r="F197" s="9">
        <f>IFERROR(__xludf.DUMMYFUNCTION("""COMPUTED_VALUE"""),13.4)</f>
        <v>13.4</v>
      </c>
    </row>
    <row r="198">
      <c r="A198" s="9" t="str">
        <f>IFERROR(__xludf.DUMMYFUNCTION("""COMPUTED_VALUE"""),"BBAS3")</f>
        <v>BBAS3</v>
      </c>
      <c r="B198" s="17">
        <f>IFERROR(__xludf.DUMMYFUNCTION("""COMPUTED_VALUE"""),45260.0)</f>
        <v>45260</v>
      </c>
      <c r="C198" s="9">
        <f>IFERROR(__xludf.DUMMYFUNCTION("""COMPUTED_VALUE"""),11.0)</f>
        <v>11</v>
      </c>
      <c r="D198" s="9">
        <f>IFERROR(__xludf.DUMMYFUNCTION("""COMPUTED_VALUE"""),2023.0)</f>
        <v>2023</v>
      </c>
      <c r="E198" s="9">
        <f>IFERROR(__xludf.DUMMYFUNCTION("""COMPUTED_VALUE"""),0.1)</f>
        <v>0.1</v>
      </c>
      <c r="F198" s="9">
        <f>IFERROR(__xludf.DUMMYFUNCTION("""COMPUTED_VALUE"""),80.26)</f>
        <v>80.26</v>
      </c>
    </row>
    <row r="199">
      <c r="A199" s="9" t="str">
        <f>IFERROR(__xludf.DUMMYFUNCTION("""COMPUTED_VALUE"""),"BBAS3")</f>
        <v>BBAS3</v>
      </c>
      <c r="B199" s="17">
        <f>IFERROR(__xludf.DUMMYFUNCTION("""COMPUTED_VALUE"""),45260.0)</f>
        <v>45260</v>
      </c>
      <c r="C199" s="9">
        <f>IFERROR(__xludf.DUMMYFUNCTION("""COMPUTED_VALUE"""),11.0)</f>
        <v>11</v>
      </c>
      <c r="D199" s="9">
        <f>IFERROR(__xludf.DUMMYFUNCTION("""COMPUTED_VALUE"""),2023.0)</f>
        <v>2023</v>
      </c>
      <c r="E199" s="9">
        <f>IFERROR(__xludf.DUMMYFUNCTION("""COMPUTED_VALUE"""),0.69)</f>
        <v>0.69</v>
      </c>
      <c r="F199" s="9">
        <f>IFERROR(__xludf.DUMMYFUNCTION("""COMPUTED_VALUE"""),459.04)</f>
        <v>459.04</v>
      </c>
    </row>
    <row r="200">
      <c r="A200" s="9" t="str">
        <f>IFERROR(__xludf.DUMMYFUNCTION("""COMPUTED_VALUE"""),"CPLE6")</f>
        <v>CPLE6</v>
      </c>
      <c r="B200" s="17">
        <f>IFERROR(__xludf.DUMMYFUNCTION("""COMPUTED_VALUE"""),45260.0)</f>
        <v>45260</v>
      </c>
      <c r="C200" s="9">
        <f>IFERROR(__xludf.DUMMYFUNCTION("""COMPUTED_VALUE"""),11.0)</f>
        <v>11</v>
      </c>
      <c r="D200" s="9">
        <f>IFERROR(__xludf.DUMMYFUNCTION("""COMPUTED_VALUE"""),2023.0)</f>
        <v>2023</v>
      </c>
      <c r="E200" s="9">
        <f>IFERROR(__xludf.DUMMYFUNCTION("""COMPUTED_VALUE"""),0.16)</f>
        <v>0.16</v>
      </c>
      <c r="F200" s="9">
        <f>IFERROR(__xludf.DUMMYFUNCTION("""COMPUTED_VALUE"""),98.16)</f>
        <v>98.16</v>
      </c>
    </row>
    <row r="201">
      <c r="A201" s="9" t="str">
        <f>IFERROR(__xludf.DUMMYFUNCTION("""COMPUTED_VALUE"""),"PETR4")</f>
        <v>PETR4</v>
      </c>
      <c r="B201" s="17">
        <f>IFERROR(__xludf.DUMMYFUNCTION("""COMPUTED_VALUE"""),45251.0)</f>
        <v>45251</v>
      </c>
      <c r="C201" s="9">
        <f>IFERROR(__xludf.DUMMYFUNCTION("""COMPUTED_VALUE"""),11.0)</f>
        <v>11</v>
      </c>
      <c r="D201" s="9">
        <f>IFERROR(__xludf.DUMMYFUNCTION("""COMPUTED_VALUE"""),2023.0)</f>
        <v>2023</v>
      </c>
      <c r="E201" s="9">
        <f>IFERROR(__xludf.DUMMYFUNCTION("""COMPUTED_VALUE"""),0.37)</f>
        <v>0.37</v>
      </c>
      <c r="F201" s="9">
        <f>IFERROR(__xludf.DUMMYFUNCTION("""COMPUTED_VALUE"""),71.14)</f>
        <v>71.14</v>
      </c>
    </row>
    <row r="202">
      <c r="A202" s="9" t="str">
        <f>IFERROR(__xludf.DUMMYFUNCTION("""COMPUTED_VALUE"""),"PETR4")</f>
        <v>PETR4</v>
      </c>
      <c r="B202" s="17">
        <f>IFERROR(__xludf.DUMMYFUNCTION("""COMPUTED_VALUE"""),45251.0)</f>
        <v>45251</v>
      </c>
      <c r="C202" s="9">
        <f>IFERROR(__xludf.DUMMYFUNCTION("""COMPUTED_VALUE"""),11.0)</f>
        <v>11</v>
      </c>
      <c r="D202" s="9">
        <f>IFERROR(__xludf.DUMMYFUNCTION("""COMPUTED_VALUE"""),2023.0)</f>
        <v>2023</v>
      </c>
      <c r="E202" s="9">
        <f>IFERROR(__xludf.DUMMYFUNCTION("""COMPUTED_VALUE"""),0.21)</f>
        <v>0.21</v>
      </c>
      <c r="F202" s="9">
        <f>IFERROR(__xludf.DUMMYFUNCTION("""COMPUTED_VALUE"""),47.9)</f>
        <v>47.9</v>
      </c>
    </row>
    <row r="203">
      <c r="A203" s="9" t="str">
        <f>IFERROR(__xludf.DUMMYFUNCTION("""COMPUTED_VALUE"""),"KLBN4")</f>
        <v>KLBN4</v>
      </c>
      <c r="B203" s="17">
        <f>IFERROR(__xludf.DUMMYFUNCTION("""COMPUTED_VALUE"""),45244.0)</f>
        <v>45244</v>
      </c>
      <c r="C203" s="9">
        <f>IFERROR(__xludf.DUMMYFUNCTION("""COMPUTED_VALUE"""),11.0)</f>
        <v>11</v>
      </c>
      <c r="D203" s="9">
        <f>IFERROR(__xludf.DUMMYFUNCTION("""COMPUTED_VALUE"""),2023.0)</f>
        <v>2023</v>
      </c>
      <c r="E203" s="9">
        <f>IFERROR(__xludf.DUMMYFUNCTION("""COMPUTED_VALUE"""),0.06)</f>
        <v>0.06</v>
      </c>
      <c r="F203" s="9">
        <f>IFERROR(__xludf.DUMMYFUNCTION("""COMPUTED_VALUE"""),90.63)</f>
        <v>90.63</v>
      </c>
    </row>
    <row r="204">
      <c r="A204" s="9" t="str">
        <f>IFERROR(__xludf.DUMMYFUNCTION("""COMPUTED_VALUE"""),"CXSE3")</f>
        <v>CXSE3</v>
      </c>
      <c r="B204" s="17">
        <f>IFERROR(__xludf.DUMMYFUNCTION("""COMPUTED_VALUE"""),45236.0)</f>
        <v>45236</v>
      </c>
      <c r="C204" s="9">
        <f>IFERROR(__xludf.DUMMYFUNCTION("""COMPUTED_VALUE"""),11.0)</f>
        <v>11</v>
      </c>
      <c r="D204" s="9">
        <f>IFERROR(__xludf.DUMMYFUNCTION("""COMPUTED_VALUE"""),2023.0)</f>
        <v>2023</v>
      </c>
      <c r="E204" s="9">
        <f>IFERROR(__xludf.DUMMYFUNCTION("""COMPUTED_VALUE"""),0.5)</f>
        <v>0.5</v>
      </c>
      <c r="F204" s="9">
        <f>IFERROR(__xludf.DUMMYFUNCTION("""COMPUTED_VALUE"""),252.0)</f>
        <v>252</v>
      </c>
    </row>
    <row r="205">
      <c r="A205" s="9" t="str">
        <f>IFERROR(__xludf.DUMMYFUNCTION("""COMPUTED_VALUE"""),"BBDC3")</f>
        <v>BBDC3</v>
      </c>
      <c r="B205" s="17">
        <f>IFERROR(__xludf.DUMMYFUNCTION("""COMPUTED_VALUE"""),45231.0)</f>
        <v>45231</v>
      </c>
      <c r="C205" s="9">
        <f>IFERROR(__xludf.DUMMYFUNCTION("""COMPUTED_VALUE"""),11.0)</f>
        <v>11</v>
      </c>
      <c r="D205" s="9">
        <f>IFERROR(__xludf.DUMMYFUNCTION("""COMPUTED_VALUE"""),2023.0)</f>
        <v>2023</v>
      </c>
      <c r="E205" s="9">
        <f>IFERROR(__xludf.DUMMYFUNCTION("""COMPUTED_VALUE"""),0.02)</f>
        <v>0.02</v>
      </c>
      <c r="F205" s="9">
        <f>IFERROR(__xludf.DUMMYFUNCTION("""COMPUTED_VALUE"""),13.4)</f>
        <v>13.4</v>
      </c>
    </row>
    <row r="206">
      <c r="A206" s="9" t="str">
        <f>IFERROR(__xludf.DUMMYFUNCTION("""COMPUTED_VALUE"""),"VIVT3")</f>
        <v>VIVT3</v>
      </c>
      <c r="B206" s="17">
        <f>IFERROR(__xludf.DUMMYFUNCTION("""COMPUTED_VALUE"""),45217.0)</f>
        <v>45217</v>
      </c>
      <c r="C206" s="9">
        <f>IFERROR(__xludf.DUMMYFUNCTION("""COMPUTED_VALUE"""),10.0)</f>
        <v>10</v>
      </c>
      <c r="D206" s="9">
        <f>IFERROR(__xludf.DUMMYFUNCTION("""COMPUTED_VALUE"""),2023.0)</f>
        <v>2023</v>
      </c>
      <c r="E206" s="9">
        <f>IFERROR(__xludf.DUMMYFUNCTION("""COMPUTED_VALUE"""),0.06)</f>
        <v>0.06</v>
      </c>
      <c r="F206" s="9">
        <f>IFERROR(__xludf.DUMMYFUNCTION("""COMPUTED_VALUE"""),12.57)</f>
        <v>12.57</v>
      </c>
    </row>
    <row r="207">
      <c r="A207" s="9" t="str">
        <f>IFERROR(__xludf.DUMMYFUNCTION("""COMPUTED_VALUE"""),"VIVT3")</f>
        <v>VIVT3</v>
      </c>
      <c r="B207" s="17">
        <f>IFERROR(__xludf.DUMMYFUNCTION("""COMPUTED_VALUE"""),45217.0)</f>
        <v>45217</v>
      </c>
      <c r="C207" s="9">
        <f>IFERROR(__xludf.DUMMYFUNCTION("""COMPUTED_VALUE"""),10.0)</f>
        <v>10</v>
      </c>
      <c r="D207" s="9">
        <f>IFERROR(__xludf.DUMMYFUNCTION("""COMPUTED_VALUE"""),2023.0)</f>
        <v>2023</v>
      </c>
      <c r="E207" s="9">
        <f>IFERROR(__xludf.DUMMYFUNCTION("""COMPUTED_VALUE"""),0.18)</f>
        <v>0.18</v>
      </c>
      <c r="F207" s="9">
        <f>IFERROR(__xludf.DUMMYFUNCTION("""COMPUTED_VALUE"""),34.42)</f>
        <v>34.42</v>
      </c>
    </row>
    <row r="208">
      <c r="A208" s="9" t="str">
        <f>IFERROR(__xludf.DUMMYFUNCTION("""COMPUTED_VALUE"""),"BBDC3")</f>
        <v>BBDC3</v>
      </c>
      <c r="B208" s="17">
        <f>IFERROR(__xludf.DUMMYFUNCTION("""COMPUTED_VALUE"""),45201.0)</f>
        <v>45201</v>
      </c>
      <c r="C208" s="9">
        <f>IFERROR(__xludf.DUMMYFUNCTION("""COMPUTED_VALUE"""),10.0)</f>
        <v>10</v>
      </c>
      <c r="D208" s="9">
        <f>IFERROR(__xludf.DUMMYFUNCTION("""COMPUTED_VALUE"""),2023.0)</f>
        <v>2023</v>
      </c>
      <c r="E208" s="9">
        <f>IFERROR(__xludf.DUMMYFUNCTION("""COMPUTED_VALUE"""),0.02)</f>
        <v>0.02</v>
      </c>
      <c r="F208" s="9">
        <f>IFERROR(__xludf.DUMMYFUNCTION("""COMPUTED_VALUE"""),13.4)</f>
        <v>13.4</v>
      </c>
    </row>
    <row r="209">
      <c r="A209" s="9" t="str">
        <f>IFERROR(__xludf.DUMMYFUNCTION("""COMPUTED_VALUE"""),"BBAS3")</f>
        <v>BBAS3</v>
      </c>
      <c r="B209" s="17">
        <f>IFERROR(__xludf.DUMMYFUNCTION("""COMPUTED_VALUE"""),45198.0)</f>
        <v>45198</v>
      </c>
      <c r="C209" s="9">
        <f>IFERROR(__xludf.DUMMYFUNCTION("""COMPUTED_VALUE"""),9.0)</f>
        <v>9</v>
      </c>
      <c r="D209" s="9">
        <f>IFERROR(__xludf.DUMMYFUNCTION("""COMPUTED_VALUE"""),2023.0)</f>
        <v>2023</v>
      </c>
      <c r="E209" s="9">
        <f>IFERROR(__xludf.DUMMYFUNCTION("""COMPUTED_VALUE"""),0.33)</f>
        <v>0.33</v>
      </c>
      <c r="F209" s="9">
        <f>IFERROR(__xludf.DUMMYFUNCTION("""COMPUTED_VALUE"""),223.56)</f>
        <v>223.56</v>
      </c>
    </row>
    <row r="210">
      <c r="A210" s="9" t="str">
        <f>IFERROR(__xludf.DUMMYFUNCTION("""COMPUTED_VALUE"""),"BRSR6")</f>
        <v>BRSR6</v>
      </c>
      <c r="B210" s="17">
        <f>IFERROR(__xludf.DUMMYFUNCTION("""COMPUTED_VALUE"""),45198.0)</f>
        <v>45198</v>
      </c>
      <c r="C210" s="9">
        <f>IFERROR(__xludf.DUMMYFUNCTION("""COMPUTED_VALUE"""),9.0)</f>
        <v>9</v>
      </c>
      <c r="D210" s="9">
        <f>IFERROR(__xludf.DUMMYFUNCTION("""COMPUTED_VALUE"""),2023.0)</f>
        <v>2023</v>
      </c>
      <c r="E210" s="9">
        <f>IFERROR(__xludf.DUMMYFUNCTION("""COMPUTED_VALUE"""),0.17)</f>
        <v>0.17</v>
      </c>
      <c r="F210" s="9">
        <f>IFERROR(__xludf.DUMMYFUNCTION("""COMPUTED_VALUE"""),133.33)</f>
        <v>133.33</v>
      </c>
    </row>
    <row r="211">
      <c r="A211" s="9" t="str">
        <f>IFERROR(__xludf.DUMMYFUNCTION("""COMPUTED_VALUE"""),"PETR4")</f>
        <v>PETR4</v>
      </c>
      <c r="B211" s="17">
        <f>IFERROR(__xludf.DUMMYFUNCTION("""COMPUTED_VALUE"""),45189.0)</f>
        <v>45189</v>
      </c>
      <c r="C211" s="9">
        <f>IFERROR(__xludf.DUMMYFUNCTION("""COMPUTED_VALUE"""),9.0)</f>
        <v>9</v>
      </c>
      <c r="D211" s="9">
        <f>IFERROR(__xludf.DUMMYFUNCTION("""COMPUTED_VALUE"""),2023.0)</f>
        <v>2023</v>
      </c>
      <c r="E211" s="9">
        <f>IFERROR(__xludf.DUMMYFUNCTION("""COMPUTED_VALUE"""),0.95)</f>
        <v>0.95</v>
      </c>
      <c r="F211" s="9">
        <f>IFERROR(__xludf.DUMMYFUNCTION("""COMPUTED_VALUE"""),216.81)</f>
        <v>216.81</v>
      </c>
    </row>
    <row r="212">
      <c r="A212" s="9" t="str">
        <f>IFERROR(__xludf.DUMMYFUNCTION("""COMPUTED_VALUE"""),"BBDC3")</f>
        <v>BBDC3</v>
      </c>
      <c r="B212" s="17">
        <f>IFERROR(__xludf.DUMMYFUNCTION("""COMPUTED_VALUE"""),45170.0)</f>
        <v>45170</v>
      </c>
      <c r="C212" s="9">
        <f>IFERROR(__xludf.DUMMYFUNCTION("""COMPUTED_VALUE"""),9.0)</f>
        <v>9</v>
      </c>
      <c r="D212" s="9">
        <f>IFERROR(__xludf.DUMMYFUNCTION("""COMPUTED_VALUE"""),2023.0)</f>
        <v>2023</v>
      </c>
      <c r="E212" s="9">
        <f>IFERROR(__xludf.DUMMYFUNCTION("""COMPUTED_VALUE"""),0.02)</f>
        <v>0.02</v>
      </c>
      <c r="F212" s="9">
        <f>IFERROR(__xludf.DUMMYFUNCTION("""COMPUTED_VALUE"""),13.4)</f>
        <v>13.4</v>
      </c>
    </row>
    <row r="213">
      <c r="A213" s="9" t="str">
        <f>IFERROR(__xludf.DUMMYFUNCTION("""COMPUTED_VALUE"""),"BBAS3")</f>
        <v>BBAS3</v>
      </c>
      <c r="B213" s="17">
        <f>IFERROR(__xludf.DUMMYFUNCTION("""COMPUTED_VALUE"""),45168.0)</f>
        <v>45168</v>
      </c>
      <c r="C213" s="9">
        <f>IFERROR(__xludf.DUMMYFUNCTION("""COMPUTED_VALUE"""),8.0)</f>
        <v>8</v>
      </c>
      <c r="D213" s="9">
        <f>IFERROR(__xludf.DUMMYFUNCTION("""COMPUTED_VALUE"""),2023.0)</f>
        <v>2023</v>
      </c>
      <c r="E213" s="9">
        <f>IFERROR(__xludf.DUMMYFUNCTION("""COMPUTED_VALUE"""),0.0)</f>
        <v>0</v>
      </c>
      <c r="F213" s="9">
        <f>IFERROR(__xludf.DUMMYFUNCTION("""COMPUTED_VALUE"""),1.9)</f>
        <v>1.9</v>
      </c>
    </row>
    <row r="214">
      <c r="A214" s="9" t="str">
        <f>IFERROR(__xludf.DUMMYFUNCTION("""COMPUTED_VALUE"""),"BBAS3")</f>
        <v>BBAS3</v>
      </c>
      <c r="B214" s="17">
        <f>IFERROR(__xludf.DUMMYFUNCTION("""COMPUTED_VALUE"""),45168.0)</f>
        <v>45168</v>
      </c>
      <c r="C214" s="9">
        <f>IFERROR(__xludf.DUMMYFUNCTION("""COMPUTED_VALUE"""),8.0)</f>
        <v>8</v>
      </c>
      <c r="D214" s="9">
        <f>IFERROR(__xludf.DUMMYFUNCTION("""COMPUTED_VALUE"""),2023.0)</f>
        <v>2023</v>
      </c>
      <c r="E214" s="9">
        <f>IFERROR(__xludf.DUMMYFUNCTION("""COMPUTED_VALUE"""),0.14)</f>
        <v>0.14</v>
      </c>
      <c r="F214" s="9">
        <f>IFERROR(__xludf.DUMMYFUNCTION("""COMPUTED_VALUE"""),113.1)</f>
        <v>113.1</v>
      </c>
    </row>
    <row r="215">
      <c r="A215" s="9" t="str">
        <f>IFERROR(__xludf.DUMMYFUNCTION("""COMPUTED_VALUE"""),"BBAS3")</f>
        <v>BBAS3</v>
      </c>
      <c r="B215" s="17">
        <f>IFERROR(__xludf.DUMMYFUNCTION("""COMPUTED_VALUE"""),45168.0)</f>
        <v>45168</v>
      </c>
      <c r="C215" s="9">
        <f>IFERROR(__xludf.DUMMYFUNCTION("""COMPUTED_VALUE"""),8.0)</f>
        <v>8</v>
      </c>
      <c r="D215" s="9">
        <f>IFERROR(__xludf.DUMMYFUNCTION("""COMPUTED_VALUE"""),2023.0)</f>
        <v>2023</v>
      </c>
      <c r="E215" s="9">
        <f>IFERROR(__xludf.DUMMYFUNCTION("""COMPUTED_VALUE"""),0.0)</f>
        <v>0</v>
      </c>
      <c r="F215" s="9">
        <f>IFERROR(__xludf.DUMMYFUNCTION("""COMPUTED_VALUE"""),8.67)</f>
        <v>8.67</v>
      </c>
    </row>
    <row r="216">
      <c r="A216" s="9" t="str">
        <f>IFERROR(__xludf.DUMMYFUNCTION("""COMPUTED_VALUE"""),"BBAS3")</f>
        <v>BBAS3</v>
      </c>
      <c r="B216" s="17">
        <f>IFERROR(__xludf.DUMMYFUNCTION("""COMPUTED_VALUE"""),45168.0)</f>
        <v>45168</v>
      </c>
      <c r="C216" s="9">
        <f>IFERROR(__xludf.DUMMYFUNCTION("""COMPUTED_VALUE"""),8.0)</f>
        <v>8</v>
      </c>
      <c r="D216" s="9">
        <f>IFERROR(__xludf.DUMMYFUNCTION("""COMPUTED_VALUE"""),2023.0)</f>
        <v>2023</v>
      </c>
      <c r="E216" s="9">
        <f>IFERROR(__xludf.DUMMYFUNCTION("""COMPUTED_VALUE"""),0.66)</f>
        <v>0.66</v>
      </c>
      <c r="F216" s="9">
        <f>IFERROR(__xludf.DUMMYFUNCTION("""COMPUTED_VALUE"""),437.93)</f>
        <v>437.93</v>
      </c>
    </row>
    <row r="217">
      <c r="A217" s="9" t="str">
        <f>IFERROR(__xludf.DUMMYFUNCTION("""COMPUTED_VALUE"""),"TAEE4")</f>
        <v>TAEE4</v>
      </c>
      <c r="B217" s="17">
        <f>IFERROR(__xludf.DUMMYFUNCTION("""COMPUTED_VALUE"""),45167.0)</f>
        <v>45167</v>
      </c>
      <c r="C217" s="9">
        <f>IFERROR(__xludf.DUMMYFUNCTION("""COMPUTED_VALUE"""),8.0)</f>
        <v>8</v>
      </c>
      <c r="D217" s="9">
        <f>IFERROR(__xludf.DUMMYFUNCTION("""COMPUTED_VALUE"""),2023.0)</f>
        <v>2023</v>
      </c>
      <c r="E217" s="9">
        <f>IFERROR(__xludf.DUMMYFUNCTION("""COMPUTED_VALUE"""),0.21)</f>
        <v>0.21</v>
      </c>
      <c r="F217" s="9">
        <f>IFERROR(__xludf.DUMMYFUNCTION("""COMPUTED_VALUE"""),236.18)</f>
        <v>236.18</v>
      </c>
    </row>
    <row r="218">
      <c r="A218" s="9" t="str">
        <f>IFERROR(__xludf.DUMMYFUNCTION("""COMPUTED_VALUE"""),"TAEE4")</f>
        <v>TAEE4</v>
      </c>
      <c r="B218" s="17">
        <f>IFERROR(__xludf.DUMMYFUNCTION("""COMPUTED_VALUE"""),45167.0)</f>
        <v>45167</v>
      </c>
      <c r="C218" s="9">
        <f>IFERROR(__xludf.DUMMYFUNCTION("""COMPUTED_VALUE"""),8.0)</f>
        <v>8</v>
      </c>
      <c r="D218" s="9">
        <f>IFERROR(__xludf.DUMMYFUNCTION("""COMPUTED_VALUE"""),2023.0)</f>
        <v>2023</v>
      </c>
      <c r="E218" s="9">
        <f>IFERROR(__xludf.DUMMYFUNCTION("""COMPUTED_VALUE"""),0.09)</f>
        <v>0.09</v>
      </c>
      <c r="F218" s="9">
        <f>IFERROR(__xludf.DUMMYFUNCTION("""COMPUTED_VALUE"""),124.88)</f>
        <v>124.88</v>
      </c>
    </row>
    <row r="219">
      <c r="A219" s="9" t="str">
        <f>IFERROR(__xludf.DUMMYFUNCTION("""COMPUTED_VALUE"""),"TAEE4")</f>
        <v>TAEE4</v>
      </c>
      <c r="B219" s="17">
        <f>IFERROR(__xludf.DUMMYFUNCTION("""COMPUTED_VALUE"""),45167.0)</f>
        <v>45167</v>
      </c>
      <c r="C219" s="9">
        <f>IFERROR(__xludf.DUMMYFUNCTION("""COMPUTED_VALUE"""),8.0)</f>
        <v>8</v>
      </c>
      <c r="D219" s="9">
        <f>IFERROR(__xludf.DUMMYFUNCTION("""COMPUTED_VALUE"""),2023.0)</f>
        <v>2023</v>
      </c>
      <c r="E219" s="9">
        <f>IFERROR(__xludf.DUMMYFUNCTION("""COMPUTED_VALUE"""),0.03)</f>
        <v>0.03</v>
      </c>
      <c r="F219" s="9">
        <f>IFERROR(__xludf.DUMMYFUNCTION("""COMPUTED_VALUE"""),32.26)</f>
        <v>32.26</v>
      </c>
    </row>
    <row r="220">
      <c r="A220" s="9" t="str">
        <f>IFERROR(__xludf.DUMMYFUNCTION("""COMPUTED_VALUE"""),"BBSE3")</f>
        <v>BBSE3</v>
      </c>
      <c r="B220" s="17">
        <f>IFERROR(__xludf.DUMMYFUNCTION("""COMPUTED_VALUE"""),45166.0)</f>
        <v>45166</v>
      </c>
      <c r="C220" s="9">
        <f>IFERROR(__xludf.DUMMYFUNCTION("""COMPUTED_VALUE"""),8.0)</f>
        <v>8</v>
      </c>
      <c r="D220" s="9">
        <f>IFERROR(__xludf.DUMMYFUNCTION("""COMPUTED_VALUE"""),2023.0)</f>
        <v>2023</v>
      </c>
      <c r="E220" s="9">
        <f>IFERROR(__xludf.DUMMYFUNCTION("""COMPUTED_VALUE"""),1.61)</f>
        <v>1.61</v>
      </c>
      <c r="F220" s="9">
        <f>IFERROR(__xludf.DUMMYFUNCTION("""COMPUTED_VALUE"""),450.13)</f>
        <v>450.13</v>
      </c>
    </row>
    <row r="221">
      <c r="A221" s="9" t="str">
        <f>IFERROR(__xludf.DUMMYFUNCTION("""COMPUTED_VALUE"""),"PETR4")</f>
        <v>PETR4</v>
      </c>
      <c r="B221" s="17">
        <f>IFERROR(__xludf.DUMMYFUNCTION("""COMPUTED_VALUE"""),45156.0)</f>
        <v>45156</v>
      </c>
      <c r="C221" s="9">
        <f>IFERROR(__xludf.DUMMYFUNCTION("""COMPUTED_VALUE"""),8.0)</f>
        <v>8</v>
      </c>
      <c r="D221" s="9">
        <f>IFERROR(__xludf.DUMMYFUNCTION("""COMPUTED_VALUE"""),2023.0)</f>
        <v>2023</v>
      </c>
      <c r="E221" s="9">
        <f>IFERROR(__xludf.DUMMYFUNCTION("""COMPUTED_VALUE"""),0.28)</f>
        <v>0.28</v>
      </c>
      <c r="F221" s="9">
        <f>IFERROR(__xludf.DUMMYFUNCTION("""COMPUTED_VALUE"""),63.7)</f>
        <v>63.7</v>
      </c>
    </row>
    <row r="222">
      <c r="A222" s="9" t="str">
        <f>IFERROR(__xludf.DUMMYFUNCTION("""COMPUTED_VALUE"""),"PETR4")</f>
        <v>PETR4</v>
      </c>
      <c r="B222" s="17">
        <f>IFERROR(__xludf.DUMMYFUNCTION("""COMPUTED_VALUE"""),45156.0)</f>
        <v>45156</v>
      </c>
      <c r="C222" s="9">
        <f>IFERROR(__xludf.DUMMYFUNCTION("""COMPUTED_VALUE"""),8.0)</f>
        <v>8</v>
      </c>
      <c r="D222" s="9">
        <f>IFERROR(__xludf.DUMMYFUNCTION("""COMPUTED_VALUE"""),2023.0)</f>
        <v>2023</v>
      </c>
      <c r="E222" s="9">
        <f>IFERROR(__xludf.DUMMYFUNCTION("""COMPUTED_VALUE"""),0.67)</f>
        <v>0.67</v>
      </c>
      <c r="F222" s="9">
        <f>IFERROR(__xludf.DUMMYFUNCTION("""COMPUTED_VALUE"""),130.14)</f>
        <v>130.14</v>
      </c>
    </row>
    <row r="223">
      <c r="A223" s="9" t="str">
        <f>IFERROR(__xludf.DUMMYFUNCTION("""COMPUTED_VALUE"""),"KLBN4")</f>
        <v>KLBN4</v>
      </c>
      <c r="B223" s="17">
        <f>IFERROR(__xludf.DUMMYFUNCTION("""COMPUTED_VALUE"""),45153.0)</f>
        <v>45153</v>
      </c>
      <c r="C223" s="9">
        <f>IFERROR(__xludf.DUMMYFUNCTION("""COMPUTED_VALUE"""),8.0)</f>
        <v>8</v>
      </c>
      <c r="D223" s="9">
        <f>IFERROR(__xludf.DUMMYFUNCTION("""COMPUTED_VALUE"""),2023.0)</f>
        <v>2023</v>
      </c>
      <c r="E223" s="9">
        <f>IFERROR(__xludf.DUMMYFUNCTION("""COMPUTED_VALUE"""),0.05)</f>
        <v>0.05</v>
      </c>
      <c r="F223" s="9">
        <f>IFERROR(__xludf.DUMMYFUNCTION("""COMPUTED_VALUE"""),89.9)</f>
        <v>89.9</v>
      </c>
    </row>
    <row r="224">
      <c r="A224" s="9" t="str">
        <f>IFERROR(__xludf.DUMMYFUNCTION("""COMPUTED_VALUE"""),"BBDC3")</f>
        <v>BBDC3</v>
      </c>
      <c r="B224" s="17">
        <f>IFERROR(__xludf.DUMMYFUNCTION("""COMPUTED_VALUE"""),45139.0)</f>
        <v>45139</v>
      </c>
      <c r="C224" s="9">
        <f>IFERROR(__xludf.DUMMYFUNCTION("""COMPUTED_VALUE"""),8.0)</f>
        <v>8</v>
      </c>
      <c r="D224" s="9">
        <f>IFERROR(__xludf.DUMMYFUNCTION("""COMPUTED_VALUE"""),2023.0)</f>
        <v>2023</v>
      </c>
      <c r="E224" s="9">
        <f>IFERROR(__xludf.DUMMYFUNCTION("""COMPUTED_VALUE"""),0.02)</f>
        <v>0.02</v>
      </c>
      <c r="F224" s="9">
        <f>IFERROR(__xludf.DUMMYFUNCTION("""COMPUTED_VALUE"""),13.4)</f>
        <v>13.4</v>
      </c>
    </row>
    <row r="225">
      <c r="A225" s="9" t="str">
        <f>IFERROR(__xludf.DUMMYFUNCTION("""COMPUTED_VALUE"""),"VIVT3")</f>
        <v>VIVT3</v>
      </c>
      <c r="B225" s="17">
        <f>IFERROR(__xludf.DUMMYFUNCTION("""COMPUTED_VALUE"""),45125.0)</f>
        <v>45125</v>
      </c>
      <c r="C225" s="9">
        <f>IFERROR(__xludf.DUMMYFUNCTION("""COMPUTED_VALUE"""),7.0)</f>
        <v>7</v>
      </c>
      <c r="D225" s="9">
        <f>IFERROR(__xludf.DUMMYFUNCTION("""COMPUTED_VALUE"""),2023.0)</f>
        <v>2023</v>
      </c>
      <c r="E225" s="9">
        <f>IFERROR(__xludf.DUMMYFUNCTION("""COMPUTED_VALUE"""),0.6)</f>
        <v>0.6</v>
      </c>
      <c r="F225" s="9">
        <f>IFERROR(__xludf.DUMMYFUNCTION("""COMPUTED_VALUE"""),132.84)</f>
        <v>132.84</v>
      </c>
    </row>
    <row r="226">
      <c r="A226" s="9" t="str">
        <f>IFERROR(__xludf.DUMMYFUNCTION("""COMPUTED_VALUE"""),"VIVT3")</f>
        <v>VIVT3</v>
      </c>
      <c r="B226" s="17">
        <f>IFERROR(__xludf.DUMMYFUNCTION("""COMPUTED_VALUE"""),45125.0)</f>
        <v>45125</v>
      </c>
      <c r="C226" s="9">
        <f>IFERROR(__xludf.DUMMYFUNCTION("""COMPUTED_VALUE"""),7.0)</f>
        <v>7</v>
      </c>
      <c r="D226" s="9">
        <f>IFERROR(__xludf.DUMMYFUNCTION("""COMPUTED_VALUE"""),2023.0)</f>
        <v>2023</v>
      </c>
      <c r="E226" s="9">
        <f>IFERROR(__xludf.DUMMYFUNCTION("""COMPUTED_VALUE"""),0.5)</f>
        <v>0.5</v>
      </c>
      <c r="F226" s="9">
        <f>IFERROR(__xludf.DUMMYFUNCTION("""COMPUTED_VALUE"""),115.42)</f>
        <v>115.42</v>
      </c>
    </row>
    <row r="227">
      <c r="A227" s="9" t="str">
        <f>IFERROR(__xludf.DUMMYFUNCTION("""COMPUTED_VALUE"""),"BBDC3")</f>
        <v>BBDC3</v>
      </c>
      <c r="B227" s="17">
        <f>IFERROR(__xludf.DUMMYFUNCTION("""COMPUTED_VALUE"""),45113.0)</f>
        <v>45113</v>
      </c>
      <c r="C227" s="9">
        <f>IFERROR(__xludf.DUMMYFUNCTION("""COMPUTED_VALUE"""),7.0)</f>
        <v>7</v>
      </c>
      <c r="D227" s="9">
        <f>IFERROR(__xludf.DUMMYFUNCTION("""COMPUTED_VALUE"""),2023.0)</f>
        <v>2023</v>
      </c>
      <c r="E227" s="9">
        <f>IFERROR(__xludf.DUMMYFUNCTION("""COMPUTED_VALUE"""),0.18)</f>
        <v>0.18</v>
      </c>
      <c r="F227" s="9">
        <f>IFERROR(__xludf.DUMMYFUNCTION("""COMPUTED_VALUE"""),139.06)</f>
        <v>139.06</v>
      </c>
    </row>
    <row r="228">
      <c r="A228" s="9" t="str">
        <f>IFERROR(__xludf.DUMMYFUNCTION("""COMPUTED_VALUE"""),"BBDC3")</f>
        <v>BBDC3</v>
      </c>
      <c r="B228" s="17">
        <f>IFERROR(__xludf.DUMMYFUNCTION("""COMPUTED_VALUE"""),45110.0)</f>
        <v>45110</v>
      </c>
      <c r="C228" s="9">
        <f>IFERROR(__xludf.DUMMYFUNCTION("""COMPUTED_VALUE"""),7.0)</f>
        <v>7</v>
      </c>
      <c r="D228" s="9">
        <f>IFERROR(__xludf.DUMMYFUNCTION("""COMPUTED_VALUE"""),2023.0)</f>
        <v>2023</v>
      </c>
      <c r="E228" s="9">
        <f>IFERROR(__xludf.DUMMYFUNCTION("""COMPUTED_VALUE"""),0.02)</f>
        <v>0.02</v>
      </c>
      <c r="F228" s="9">
        <f>IFERROR(__xludf.DUMMYFUNCTION("""COMPUTED_VALUE"""),13.4)</f>
        <v>13.4</v>
      </c>
    </row>
    <row r="229">
      <c r="A229" s="9" t="str">
        <f>IFERROR(__xludf.DUMMYFUNCTION("""COMPUTED_VALUE"""),"BBAS3")</f>
        <v>BBAS3</v>
      </c>
      <c r="B229" s="17">
        <f>IFERROR(__xludf.DUMMYFUNCTION("""COMPUTED_VALUE"""),45107.0)</f>
        <v>45107</v>
      </c>
      <c r="C229" s="9">
        <f>IFERROR(__xludf.DUMMYFUNCTION("""COMPUTED_VALUE"""),6.0)</f>
        <v>6</v>
      </c>
      <c r="D229" s="9">
        <f>IFERROR(__xludf.DUMMYFUNCTION("""COMPUTED_VALUE"""),2023.0)</f>
        <v>2023</v>
      </c>
      <c r="E229" s="9">
        <f>IFERROR(__xludf.DUMMYFUNCTION("""COMPUTED_VALUE"""),0.34)</f>
        <v>0.34</v>
      </c>
      <c r="F229" s="9">
        <f>IFERROR(__xludf.DUMMYFUNCTION("""COMPUTED_VALUE"""),219.33)</f>
        <v>219.33</v>
      </c>
    </row>
    <row r="230">
      <c r="A230" s="9" t="str">
        <f>IFERROR(__xludf.DUMMYFUNCTION("""COMPUTED_VALUE"""),"CPLE6")</f>
        <v>CPLE6</v>
      </c>
      <c r="B230" s="17">
        <f>IFERROR(__xludf.DUMMYFUNCTION("""COMPUTED_VALUE"""),45107.0)</f>
        <v>45107</v>
      </c>
      <c r="C230" s="9">
        <f>IFERROR(__xludf.DUMMYFUNCTION("""COMPUTED_VALUE"""),6.0)</f>
        <v>6</v>
      </c>
      <c r="D230" s="9">
        <f>IFERROR(__xludf.DUMMYFUNCTION("""COMPUTED_VALUE"""),2023.0)</f>
        <v>2023</v>
      </c>
      <c r="E230" s="9">
        <f>IFERROR(__xludf.DUMMYFUNCTION("""COMPUTED_VALUE"""),0.14)</f>
        <v>0.14</v>
      </c>
      <c r="F230" s="9">
        <f>IFERROR(__xludf.DUMMYFUNCTION("""COMPUTED_VALUE"""),66.93)</f>
        <v>66.93</v>
      </c>
    </row>
    <row r="231">
      <c r="A231" s="9" t="str">
        <f>IFERROR(__xludf.DUMMYFUNCTION("""COMPUTED_VALUE"""),"BRSR6")</f>
        <v>BRSR6</v>
      </c>
      <c r="B231" s="17">
        <f>IFERROR(__xludf.DUMMYFUNCTION("""COMPUTED_VALUE"""),45106.0)</f>
        <v>45106</v>
      </c>
      <c r="C231" s="9">
        <f>IFERROR(__xludf.DUMMYFUNCTION("""COMPUTED_VALUE"""),6.0)</f>
        <v>6</v>
      </c>
      <c r="D231" s="9">
        <f>IFERROR(__xludf.DUMMYFUNCTION("""COMPUTED_VALUE"""),2023.0)</f>
        <v>2023</v>
      </c>
      <c r="E231" s="9">
        <f>IFERROR(__xludf.DUMMYFUNCTION("""COMPUTED_VALUE"""),0.34)</f>
        <v>0.34</v>
      </c>
      <c r="F231" s="9">
        <f>IFERROR(__xludf.DUMMYFUNCTION("""COMPUTED_VALUE"""),266.17)</f>
        <v>266.17</v>
      </c>
    </row>
    <row r="232">
      <c r="A232" s="9" t="str">
        <f>IFERROR(__xludf.DUMMYFUNCTION("""COMPUTED_VALUE"""),"SAPR4")</f>
        <v>SAPR4</v>
      </c>
      <c r="B232" s="17">
        <f>IFERROR(__xludf.DUMMYFUNCTION("""COMPUTED_VALUE"""),45104.0)</f>
        <v>45104</v>
      </c>
      <c r="C232" s="9">
        <f>IFERROR(__xludf.DUMMYFUNCTION("""COMPUTED_VALUE"""),6.0)</f>
        <v>6</v>
      </c>
      <c r="D232" s="9">
        <f>IFERROR(__xludf.DUMMYFUNCTION("""COMPUTED_VALUE"""),2023.0)</f>
        <v>2023</v>
      </c>
      <c r="E232" s="9">
        <f>IFERROR(__xludf.DUMMYFUNCTION("""COMPUTED_VALUE"""),0.19)</f>
        <v>0.19</v>
      </c>
      <c r="F232" s="9">
        <f>IFERROR(__xludf.DUMMYFUNCTION("""COMPUTED_VALUE"""),378.54)</f>
        <v>378.54</v>
      </c>
    </row>
    <row r="233">
      <c r="A233" s="9" t="str">
        <f>IFERROR(__xludf.DUMMYFUNCTION("""COMPUTED_VALUE"""),"SAPR4")</f>
        <v>SAPR4</v>
      </c>
      <c r="B233" s="17">
        <f>IFERROR(__xludf.DUMMYFUNCTION("""COMPUTED_VALUE"""),45104.0)</f>
        <v>45104</v>
      </c>
      <c r="C233" s="9">
        <f>IFERROR(__xludf.DUMMYFUNCTION("""COMPUTED_VALUE"""),6.0)</f>
        <v>6</v>
      </c>
      <c r="D233" s="9">
        <f>IFERROR(__xludf.DUMMYFUNCTION("""COMPUTED_VALUE"""),2023.0)</f>
        <v>2023</v>
      </c>
      <c r="E233" s="9">
        <f>IFERROR(__xludf.DUMMYFUNCTION("""COMPUTED_VALUE"""),0.11)</f>
        <v>0.11</v>
      </c>
      <c r="F233" s="9">
        <f>IFERROR(__xludf.DUMMYFUNCTION("""COMPUTED_VALUE"""),134.7)</f>
        <v>134.7</v>
      </c>
    </row>
    <row r="234">
      <c r="A234" s="9" t="str">
        <f>IFERROR(__xludf.DUMMYFUNCTION("""COMPUTED_VALUE"""),"PETR4")</f>
        <v>PETR4</v>
      </c>
      <c r="B234" s="17">
        <f>IFERROR(__xludf.DUMMYFUNCTION("""COMPUTED_VALUE"""),45093.0)</f>
        <v>45093</v>
      </c>
      <c r="C234" s="9">
        <f>IFERROR(__xludf.DUMMYFUNCTION("""COMPUTED_VALUE"""),6.0)</f>
        <v>6</v>
      </c>
      <c r="D234" s="9">
        <f>IFERROR(__xludf.DUMMYFUNCTION("""COMPUTED_VALUE"""),2023.0)</f>
        <v>2023</v>
      </c>
      <c r="E234" s="9">
        <f>IFERROR(__xludf.DUMMYFUNCTION("""COMPUTED_VALUE"""),0.0)</f>
        <v>0</v>
      </c>
      <c r="F234" s="9">
        <f>IFERROR(__xludf.DUMMYFUNCTION("""COMPUTED_VALUE"""),9.25)</f>
        <v>9.25</v>
      </c>
    </row>
    <row r="235">
      <c r="A235" s="9" t="str">
        <f>IFERROR(__xludf.DUMMYFUNCTION("""COMPUTED_VALUE"""),"PETR4")</f>
        <v>PETR4</v>
      </c>
      <c r="B235" s="17">
        <f>IFERROR(__xludf.DUMMYFUNCTION("""COMPUTED_VALUE"""),45093.0)</f>
        <v>45093</v>
      </c>
      <c r="C235" s="9">
        <f>IFERROR(__xludf.DUMMYFUNCTION("""COMPUTED_VALUE"""),6.0)</f>
        <v>6</v>
      </c>
      <c r="D235" s="9">
        <f>IFERROR(__xludf.DUMMYFUNCTION("""COMPUTED_VALUE"""),2023.0)</f>
        <v>2023</v>
      </c>
      <c r="E235" s="9">
        <f>IFERROR(__xludf.DUMMYFUNCTION("""COMPUTED_VALUE"""),0.88)</f>
        <v>0.88</v>
      </c>
      <c r="F235" s="9">
        <f>IFERROR(__xludf.DUMMYFUNCTION("""COMPUTED_VALUE"""),200.32)</f>
        <v>200.32</v>
      </c>
    </row>
    <row r="236">
      <c r="A236" s="9" t="str">
        <f>IFERROR(__xludf.DUMMYFUNCTION("""COMPUTED_VALUE"""),"WIZC3")</f>
        <v>WIZC3</v>
      </c>
      <c r="B236" s="17">
        <f>IFERROR(__xludf.DUMMYFUNCTION("""COMPUTED_VALUE"""),45092.0)</f>
        <v>45092</v>
      </c>
      <c r="C236" s="9">
        <f>IFERROR(__xludf.DUMMYFUNCTION("""COMPUTED_VALUE"""),6.0)</f>
        <v>6</v>
      </c>
      <c r="D236" s="9">
        <f>IFERROR(__xludf.DUMMYFUNCTION("""COMPUTED_VALUE"""),2023.0)</f>
        <v>2023</v>
      </c>
      <c r="E236" s="9">
        <f>IFERROR(__xludf.DUMMYFUNCTION("""COMPUTED_VALUE"""),0.04)</f>
        <v>0.04</v>
      </c>
      <c r="F236" s="9">
        <f>IFERROR(__xludf.DUMMYFUNCTION("""COMPUTED_VALUE"""),20.33)</f>
        <v>20.33</v>
      </c>
    </row>
    <row r="237">
      <c r="A237" s="9" t="str">
        <f>IFERROR(__xludf.DUMMYFUNCTION("""COMPUTED_VALUE"""),"WIZC3")</f>
        <v>WIZC3</v>
      </c>
      <c r="B237" s="17">
        <f>IFERROR(__xludf.DUMMYFUNCTION("""COMPUTED_VALUE"""),45092.0)</f>
        <v>45092</v>
      </c>
      <c r="C237" s="9">
        <f>IFERROR(__xludf.DUMMYFUNCTION("""COMPUTED_VALUE"""),6.0)</f>
        <v>6</v>
      </c>
      <c r="D237" s="9">
        <f>IFERROR(__xludf.DUMMYFUNCTION("""COMPUTED_VALUE"""),2023.0)</f>
        <v>2023</v>
      </c>
      <c r="E237" s="9">
        <f>IFERROR(__xludf.DUMMYFUNCTION("""COMPUTED_VALUE"""),0.02)</f>
        <v>0.02</v>
      </c>
      <c r="F237" s="9">
        <f>IFERROR(__xludf.DUMMYFUNCTION("""COMPUTED_VALUE"""),9.73)</f>
        <v>9.73</v>
      </c>
    </row>
    <row r="238">
      <c r="A238" s="9" t="str">
        <f>IFERROR(__xludf.DUMMYFUNCTION("""COMPUTED_VALUE"""),"BBAS3")</f>
        <v>BBAS3</v>
      </c>
      <c r="B238" s="17">
        <f>IFERROR(__xludf.DUMMYFUNCTION("""COMPUTED_VALUE"""),45089.0)</f>
        <v>45089</v>
      </c>
      <c r="C238" s="9">
        <f>IFERROR(__xludf.DUMMYFUNCTION("""COMPUTED_VALUE"""),6.0)</f>
        <v>6</v>
      </c>
      <c r="D238" s="9">
        <f>IFERROR(__xludf.DUMMYFUNCTION("""COMPUTED_VALUE"""),2023.0)</f>
        <v>2023</v>
      </c>
      <c r="E238" s="9">
        <f>IFERROR(__xludf.DUMMYFUNCTION("""COMPUTED_VALUE"""),0.65)</f>
        <v>0.65</v>
      </c>
      <c r="F238" s="9">
        <f>IFERROR(__xludf.DUMMYFUNCTION("""COMPUTED_VALUE"""),423.86)</f>
        <v>423.86</v>
      </c>
    </row>
    <row r="239">
      <c r="A239" s="9" t="str">
        <f>IFERROR(__xludf.DUMMYFUNCTION("""COMPUTED_VALUE"""),"BBAS3")</f>
        <v>BBAS3</v>
      </c>
      <c r="B239" s="17">
        <f>IFERROR(__xludf.DUMMYFUNCTION("""COMPUTED_VALUE"""),45089.0)</f>
        <v>45089</v>
      </c>
      <c r="C239" s="9">
        <f>IFERROR(__xludf.DUMMYFUNCTION("""COMPUTED_VALUE"""),6.0)</f>
        <v>6</v>
      </c>
      <c r="D239" s="9">
        <f>IFERROR(__xludf.DUMMYFUNCTION("""COMPUTED_VALUE"""),2023.0)</f>
        <v>2023</v>
      </c>
      <c r="E239" s="9">
        <f>IFERROR(__xludf.DUMMYFUNCTION("""COMPUTED_VALUE"""),0.12)</f>
        <v>0.12</v>
      </c>
      <c r="F239" s="9">
        <f>IFERROR(__xludf.DUMMYFUNCTION("""COMPUTED_VALUE"""),93.73)</f>
        <v>93.73</v>
      </c>
    </row>
    <row r="240">
      <c r="A240" s="9" t="str">
        <f>IFERROR(__xludf.DUMMYFUNCTION("""COMPUTED_VALUE"""),"BBDC3")</f>
        <v>BBDC3</v>
      </c>
      <c r="B240" s="17">
        <f>IFERROR(__xludf.DUMMYFUNCTION("""COMPUTED_VALUE"""),45078.0)</f>
        <v>45078</v>
      </c>
      <c r="C240" s="9">
        <f>IFERROR(__xludf.DUMMYFUNCTION("""COMPUTED_VALUE"""),6.0)</f>
        <v>6</v>
      </c>
      <c r="D240" s="9">
        <f>IFERROR(__xludf.DUMMYFUNCTION("""COMPUTED_VALUE"""),2023.0)</f>
        <v>2023</v>
      </c>
      <c r="E240" s="9">
        <f>IFERROR(__xludf.DUMMYFUNCTION("""COMPUTED_VALUE"""),0.02)</f>
        <v>0.02</v>
      </c>
      <c r="F240" s="9">
        <f>IFERROR(__xludf.DUMMYFUNCTION("""COMPUTED_VALUE"""),12.12)</f>
        <v>12.12</v>
      </c>
    </row>
    <row r="241">
      <c r="A241" s="9" t="str">
        <f>IFERROR(__xludf.DUMMYFUNCTION("""COMPUTED_VALUE"""),"BRSR6")</f>
        <v>BRSR6</v>
      </c>
      <c r="B241" s="17">
        <f>IFERROR(__xludf.DUMMYFUNCTION("""COMPUTED_VALUE"""),45065.0)</f>
        <v>45065</v>
      </c>
      <c r="C241" s="9">
        <f>IFERROR(__xludf.DUMMYFUNCTION("""COMPUTED_VALUE"""),5.0)</f>
        <v>5</v>
      </c>
      <c r="D241" s="9">
        <f>IFERROR(__xludf.DUMMYFUNCTION("""COMPUTED_VALUE"""),2023.0)</f>
        <v>2023</v>
      </c>
      <c r="E241" s="9">
        <f>IFERROR(__xludf.DUMMYFUNCTION("""COMPUTED_VALUE"""),0.04)</f>
        <v>0.04</v>
      </c>
      <c r="F241" s="9">
        <f>IFERROR(__xludf.DUMMYFUNCTION("""COMPUTED_VALUE"""),33.14)</f>
        <v>33.14</v>
      </c>
    </row>
    <row r="242">
      <c r="A242" s="9" t="str">
        <f>IFERROR(__xludf.DUMMYFUNCTION("""COMPUTED_VALUE"""),"PETR4")</f>
        <v>PETR4</v>
      </c>
      <c r="B242" s="17">
        <f>IFERROR(__xludf.DUMMYFUNCTION("""COMPUTED_VALUE"""),45065.0)</f>
        <v>45065</v>
      </c>
      <c r="C242" s="9">
        <f>IFERROR(__xludf.DUMMYFUNCTION("""COMPUTED_VALUE"""),5.0)</f>
        <v>5</v>
      </c>
      <c r="D242" s="9">
        <f>IFERROR(__xludf.DUMMYFUNCTION("""COMPUTED_VALUE"""),2023.0)</f>
        <v>2023</v>
      </c>
      <c r="E242" s="9">
        <f>IFERROR(__xludf.DUMMYFUNCTION("""COMPUTED_VALUE"""),1.37)</f>
        <v>1.37</v>
      </c>
      <c r="F242" s="9">
        <f>IFERROR(__xludf.DUMMYFUNCTION("""COMPUTED_VALUE"""),314.38)</f>
        <v>314.38</v>
      </c>
    </row>
    <row r="243">
      <c r="A243" s="9" t="str">
        <f>IFERROR(__xludf.DUMMYFUNCTION("""COMPUTED_VALUE"""),"PETR4")</f>
        <v>PETR4</v>
      </c>
      <c r="B243" s="17">
        <f>IFERROR(__xludf.DUMMYFUNCTION("""COMPUTED_VALUE"""),45065.0)</f>
        <v>45065</v>
      </c>
      <c r="C243" s="9">
        <f>IFERROR(__xludf.DUMMYFUNCTION("""COMPUTED_VALUE"""),5.0)</f>
        <v>5</v>
      </c>
      <c r="D243" s="9">
        <f>IFERROR(__xludf.DUMMYFUNCTION("""COMPUTED_VALUE"""),2023.0)</f>
        <v>2023</v>
      </c>
      <c r="E243" s="9">
        <f>IFERROR(__xludf.DUMMYFUNCTION("""COMPUTED_VALUE"""),0.0)</f>
        <v>0</v>
      </c>
      <c r="F243" s="9">
        <f>IFERROR(__xludf.DUMMYFUNCTION("""COMPUTED_VALUE"""),12.04)</f>
        <v>12.04</v>
      </c>
    </row>
    <row r="244">
      <c r="A244" s="9" t="str">
        <f>IFERROR(__xludf.DUMMYFUNCTION("""COMPUTED_VALUE"""),"KLBN4")</f>
        <v>KLBN4</v>
      </c>
      <c r="B244" s="17">
        <f>IFERROR(__xludf.DUMMYFUNCTION("""COMPUTED_VALUE"""),45062.0)</f>
        <v>45062</v>
      </c>
      <c r="C244" s="9">
        <f>IFERROR(__xludf.DUMMYFUNCTION("""COMPUTED_VALUE"""),5.0)</f>
        <v>5</v>
      </c>
      <c r="D244" s="9">
        <f>IFERROR(__xludf.DUMMYFUNCTION("""COMPUTED_VALUE"""),2023.0)</f>
        <v>2023</v>
      </c>
      <c r="E244" s="9">
        <f>IFERROR(__xludf.DUMMYFUNCTION("""COMPUTED_VALUE"""),0.07)</f>
        <v>0.07</v>
      </c>
      <c r="F244" s="9">
        <f>IFERROR(__xludf.DUMMYFUNCTION("""COMPUTED_VALUE"""),129.93)</f>
        <v>129.93</v>
      </c>
    </row>
    <row r="245">
      <c r="A245" s="9" t="str">
        <f>IFERROR(__xludf.DUMMYFUNCTION("""COMPUTED_VALUE"""),"BBDC3")</f>
        <v>BBDC3</v>
      </c>
      <c r="B245" s="17">
        <f>IFERROR(__xludf.DUMMYFUNCTION("""COMPUTED_VALUE"""),45048.0)</f>
        <v>45048</v>
      </c>
      <c r="C245" s="9">
        <f>IFERROR(__xludf.DUMMYFUNCTION("""COMPUTED_VALUE"""),5.0)</f>
        <v>5</v>
      </c>
      <c r="D245" s="9">
        <f>IFERROR(__xludf.DUMMYFUNCTION("""COMPUTED_VALUE"""),2023.0)</f>
        <v>2023</v>
      </c>
      <c r="E245" s="9">
        <f>IFERROR(__xludf.DUMMYFUNCTION("""COMPUTED_VALUE"""),0.02)</f>
        <v>0.02</v>
      </c>
      <c r="F245" s="9">
        <f>IFERROR(__xludf.DUMMYFUNCTION("""COMPUTED_VALUE"""),10.66)</f>
        <v>10.66</v>
      </c>
    </row>
    <row r="246">
      <c r="A246" s="9" t="str">
        <f>IFERROR(__xludf.DUMMYFUNCTION("""COMPUTED_VALUE"""),"VIVT3")</f>
        <v>VIVT3</v>
      </c>
      <c r="B246" s="17">
        <f>IFERROR(__xludf.DUMMYFUNCTION("""COMPUTED_VALUE"""),45034.0)</f>
        <v>45034</v>
      </c>
      <c r="C246" s="9">
        <f>IFERROR(__xludf.DUMMYFUNCTION("""COMPUTED_VALUE"""),4.0)</f>
        <v>4</v>
      </c>
      <c r="D246" s="9">
        <f>IFERROR(__xludf.DUMMYFUNCTION("""COMPUTED_VALUE"""),2023.0)</f>
        <v>2023</v>
      </c>
      <c r="E246" s="9">
        <f>IFERROR(__xludf.DUMMYFUNCTION("""COMPUTED_VALUE"""),0.11)</f>
        <v>0.11</v>
      </c>
      <c r="F246" s="9">
        <f>IFERROR(__xludf.DUMMYFUNCTION("""COMPUTED_VALUE"""),12.5)</f>
        <v>12.5</v>
      </c>
    </row>
    <row r="247">
      <c r="A247" s="9" t="str">
        <f>IFERROR(__xludf.DUMMYFUNCTION("""COMPUTED_VALUE"""),"VIVT3")</f>
        <v>VIVT3</v>
      </c>
      <c r="B247" s="17">
        <f>IFERROR(__xludf.DUMMYFUNCTION("""COMPUTED_VALUE"""),45034.0)</f>
        <v>45034</v>
      </c>
      <c r="C247" s="9">
        <f>IFERROR(__xludf.DUMMYFUNCTION("""COMPUTED_VALUE"""),4.0)</f>
        <v>4</v>
      </c>
      <c r="D247" s="9">
        <f>IFERROR(__xludf.DUMMYFUNCTION("""COMPUTED_VALUE"""),2023.0)</f>
        <v>2023</v>
      </c>
      <c r="E247" s="9">
        <f>IFERROR(__xludf.DUMMYFUNCTION("""COMPUTED_VALUE"""),0.15)</f>
        <v>0.15</v>
      </c>
      <c r="F247" s="9">
        <f>IFERROR(__xludf.DUMMYFUNCTION("""COMPUTED_VALUE"""),17.38)</f>
        <v>17.38</v>
      </c>
    </row>
    <row r="248">
      <c r="A248" s="9" t="str">
        <f>IFERROR(__xludf.DUMMYFUNCTION("""COMPUTED_VALUE"""),"VIVT3")</f>
        <v>VIVT3</v>
      </c>
      <c r="B248" s="17">
        <f>IFERROR(__xludf.DUMMYFUNCTION("""COMPUTED_VALUE"""),45034.0)</f>
        <v>45034</v>
      </c>
      <c r="C248" s="9">
        <f>IFERROR(__xludf.DUMMYFUNCTION("""COMPUTED_VALUE"""),4.0)</f>
        <v>4</v>
      </c>
      <c r="D248" s="9">
        <f>IFERROR(__xludf.DUMMYFUNCTION("""COMPUTED_VALUE"""),2023.0)</f>
        <v>2023</v>
      </c>
      <c r="E248" s="9">
        <f>IFERROR(__xludf.DUMMYFUNCTION("""COMPUTED_VALUE"""),0.43)</f>
        <v>0.43</v>
      </c>
      <c r="F248" s="9">
        <f>IFERROR(__xludf.DUMMYFUNCTION("""COMPUTED_VALUE"""),80.73)</f>
        <v>80.73</v>
      </c>
    </row>
    <row r="249">
      <c r="A249" s="9" t="str">
        <f>IFERROR(__xludf.DUMMYFUNCTION("""COMPUTED_VALUE"""),"VIVT3")</f>
        <v>VIVT3</v>
      </c>
      <c r="B249" s="17">
        <f>IFERROR(__xludf.DUMMYFUNCTION("""COMPUTED_VALUE"""),45034.0)</f>
        <v>45034</v>
      </c>
      <c r="C249" s="9">
        <f>IFERROR(__xludf.DUMMYFUNCTION("""COMPUTED_VALUE"""),4.0)</f>
        <v>4</v>
      </c>
      <c r="D249" s="9">
        <f>IFERROR(__xludf.DUMMYFUNCTION("""COMPUTED_VALUE"""),2023.0)</f>
        <v>2023</v>
      </c>
      <c r="E249" s="9">
        <f>IFERROR(__xludf.DUMMYFUNCTION("""COMPUTED_VALUE"""),0.29)</f>
        <v>0.29</v>
      </c>
      <c r="F249" s="9">
        <f>IFERROR(__xludf.DUMMYFUNCTION("""COMPUTED_VALUE"""),33.46)</f>
        <v>33.46</v>
      </c>
    </row>
    <row r="250">
      <c r="A250" s="9" t="str">
        <f>IFERROR(__xludf.DUMMYFUNCTION("""COMPUTED_VALUE"""),"VIVT3")</f>
        <v>VIVT3</v>
      </c>
      <c r="B250" s="17">
        <f>IFERROR(__xludf.DUMMYFUNCTION("""COMPUTED_VALUE"""),45034.0)</f>
        <v>45034</v>
      </c>
      <c r="C250" s="9">
        <f>IFERROR(__xludf.DUMMYFUNCTION("""COMPUTED_VALUE"""),4.0)</f>
        <v>4</v>
      </c>
      <c r="D250" s="9">
        <f>IFERROR(__xludf.DUMMYFUNCTION("""COMPUTED_VALUE"""),2023.0)</f>
        <v>2023</v>
      </c>
      <c r="E250" s="9">
        <f>IFERROR(__xludf.DUMMYFUNCTION("""COMPUTED_VALUE"""),0.18)</f>
        <v>0.18</v>
      </c>
      <c r="F250" s="9">
        <f>IFERROR(__xludf.DUMMYFUNCTION("""COMPUTED_VALUE"""),23.99)</f>
        <v>23.99</v>
      </c>
    </row>
    <row r="251">
      <c r="A251" s="9" t="str">
        <f>IFERROR(__xludf.DUMMYFUNCTION("""COMPUTED_VALUE"""),"VIVT3")</f>
        <v>VIVT3</v>
      </c>
      <c r="B251" s="17">
        <f>IFERROR(__xludf.DUMMYFUNCTION("""COMPUTED_VALUE"""),45034.0)</f>
        <v>45034</v>
      </c>
      <c r="C251" s="9">
        <f>IFERROR(__xludf.DUMMYFUNCTION("""COMPUTED_VALUE"""),4.0)</f>
        <v>4</v>
      </c>
      <c r="D251" s="9">
        <f>IFERROR(__xludf.DUMMYFUNCTION("""COMPUTED_VALUE"""),2023.0)</f>
        <v>2023</v>
      </c>
      <c r="E251" s="9">
        <f>IFERROR(__xludf.DUMMYFUNCTION("""COMPUTED_VALUE"""),0.09)</f>
        <v>0.09</v>
      </c>
      <c r="F251" s="9">
        <f>IFERROR(__xludf.DUMMYFUNCTION("""COMPUTED_VALUE"""),10.43)</f>
        <v>10.43</v>
      </c>
    </row>
    <row r="252">
      <c r="A252" s="9" t="str">
        <f>IFERROR(__xludf.DUMMYFUNCTION("""COMPUTED_VALUE"""),"TRPL4")</f>
        <v>TRPL4</v>
      </c>
      <c r="B252" s="17">
        <f>IFERROR(__xludf.DUMMYFUNCTION("""COMPUTED_VALUE"""),45027.0)</f>
        <v>45027</v>
      </c>
      <c r="C252" s="9">
        <f>IFERROR(__xludf.DUMMYFUNCTION("""COMPUTED_VALUE"""),4.0)</f>
        <v>4</v>
      </c>
      <c r="D252" s="9">
        <f>IFERROR(__xludf.DUMMYFUNCTION("""COMPUTED_VALUE"""),2023.0)</f>
        <v>2023</v>
      </c>
      <c r="E252" s="9">
        <f>IFERROR(__xludf.DUMMYFUNCTION("""COMPUTED_VALUE"""),1.06)</f>
        <v>1.06</v>
      </c>
      <c r="F252" s="9">
        <f>IFERROR(__xludf.DUMMYFUNCTION("""COMPUTED_VALUE"""),529.18)</f>
        <v>529.18</v>
      </c>
    </row>
    <row r="253">
      <c r="A253" s="9" t="str">
        <f>IFERROR(__xludf.DUMMYFUNCTION("""COMPUTED_VALUE"""),"BBDC3")</f>
        <v>BBDC3</v>
      </c>
      <c r="B253" s="17">
        <f>IFERROR(__xludf.DUMMYFUNCTION("""COMPUTED_VALUE"""),45019.0)</f>
        <v>45019</v>
      </c>
      <c r="C253" s="9">
        <f>IFERROR(__xludf.DUMMYFUNCTION("""COMPUTED_VALUE"""),4.0)</f>
        <v>4</v>
      </c>
      <c r="D253" s="9">
        <f>IFERROR(__xludf.DUMMYFUNCTION("""COMPUTED_VALUE"""),2023.0)</f>
        <v>2023</v>
      </c>
      <c r="E253" s="9">
        <f>IFERROR(__xludf.DUMMYFUNCTION("""COMPUTED_VALUE"""),0.02)</f>
        <v>0.02</v>
      </c>
      <c r="F253" s="9">
        <f>IFERROR(__xludf.DUMMYFUNCTION("""COMPUTED_VALUE"""),10.66)</f>
        <v>10.66</v>
      </c>
    </row>
    <row r="254">
      <c r="A254" s="9" t="str">
        <f>IFERROR(__xludf.DUMMYFUNCTION("""COMPUTED_VALUE"""),"BBAS3")</f>
        <v>BBAS3</v>
      </c>
      <c r="B254" s="17">
        <f>IFERROR(__xludf.DUMMYFUNCTION("""COMPUTED_VALUE"""),45016.0)</f>
        <v>45016</v>
      </c>
      <c r="C254" s="9">
        <f>IFERROR(__xludf.DUMMYFUNCTION("""COMPUTED_VALUE"""),3.0)</f>
        <v>3</v>
      </c>
      <c r="D254" s="9">
        <f>IFERROR(__xludf.DUMMYFUNCTION("""COMPUTED_VALUE"""),2023.0)</f>
        <v>2023</v>
      </c>
      <c r="E254" s="9">
        <f>IFERROR(__xludf.DUMMYFUNCTION("""COMPUTED_VALUE"""),0.35)</f>
        <v>0.35</v>
      </c>
      <c r="F254" s="9">
        <f>IFERROR(__xludf.DUMMYFUNCTION("""COMPUTED_VALUE"""),216.64)</f>
        <v>216.64</v>
      </c>
    </row>
    <row r="255">
      <c r="A255" s="9" t="str">
        <f>IFERROR(__xludf.DUMMYFUNCTION("""COMPUTED_VALUE"""),"BRSR6")</f>
        <v>BRSR6</v>
      </c>
      <c r="B255" s="17">
        <f>IFERROR(__xludf.DUMMYFUNCTION("""COMPUTED_VALUE"""),45015.0)</f>
        <v>45015</v>
      </c>
      <c r="C255" s="9">
        <f>IFERROR(__xludf.DUMMYFUNCTION("""COMPUTED_VALUE"""),3.0)</f>
        <v>3</v>
      </c>
      <c r="D255" s="9">
        <f>IFERROR(__xludf.DUMMYFUNCTION("""COMPUTED_VALUE"""),2023.0)</f>
        <v>2023</v>
      </c>
      <c r="E255" s="9">
        <f>IFERROR(__xludf.DUMMYFUNCTION("""COMPUTED_VALUE"""),0.37)</f>
        <v>0.37</v>
      </c>
      <c r="F255" s="9">
        <f>IFERROR(__xludf.DUMMYFUNCTION("""COMPUTED_VALUE"""),284.94)</f>
        <v>284.94</v>
      </c>
    </row>
    <row r="256">
      <c r="A256" s="9" t="str">
        <f>IFERROR(__xludf.DUMMYFUNCTION("""COMPUTED_VALUE"""),"BBDC3")</f>
        <v>BBDC3</v>
      </c>
      <c r="B256" s="17">
        <f>IFERROR(__xludf.DUMMYFUNCTION("""COMPUTED_VALUE"""),44993.0)</f>
        <v>44993</v>
      </c>
      <c r="C256" s="9">
        <f>IFERROR(__xludf.DUMMYFUNCTION("""COMPUTED_VALUE"""),3.0)</f>
        <v>3</v>
      </c>
      <c r="D256" s="9">
        <f>IFERROR(__xludf.DUMMYFUNCTION("""COMPUTED_VALUE"""),2023.0)</f>
        <v>2023</v>
      </c>
      <c r="E256" s="9">
        <f>IFERROR(__xludf.DUMMYFUNCTION("""COMPUTED_VALUE"""),0.53)</f>
        <v>0.53</v>
      </c>
      <c r="F256" s="9">
        <f>IFERROR(__xludf.DUMMYFUNCTION("""COMPUTED_VALUE"""),323.23)</f>
        <v>323.23</v>
      </c>
    </row>
    <row r="257">
      <c r="A257" s="9" t="str">
        <f>IFERROR(__xludf.DUMMYFUNCTION("""COMPUTED_VALUE"""),"BBAS3")</f>
        <v>BBAS3</v>
      </c>
      <c r="B257" s="17">
        <f>IFERROR(__xludf.DUMMYFUNCTION("""COMPUTED_VALUE"""),44988.0)</f>
        <v>44988</v>
      </c>
      <c r="C257" s="9">
        <f>IFERROR(__xludf.DUMMYFUNCTION("""COMPUTED_VALUE"""),3.0)</f>
        <v>3</v>
      </c>
      <c r="D257" s="9">
        <f>IFERROR(__xludf.DUMMYFUNCTION("""COMPUTED_VALUE"""),2023.0)</f>
        <v>2023</v>
      </c>
      <c r="E257" s="9">
        <f>IFERROR(__xludf.DUMMYFUNCTION("""COMPUTED_VALUE"""),0.0)</f>
        <v>0</v>
      </c>
      <c r="F257" s="9">
        <f>IFERROR(__xludf.DUMMYFUNCTION("""COMPUTED_VALUE"""),7.1)</f>
        <v>7.1</v>
      </c>
    </row>
    <row r="258">
      <c r="A258" s="9" t="str">
        <f>IFERROR(__xludf.DUMMYFUNCTION("""COMPUTED_VALUE"""),"BBAS3")</f>
        <v>BBAS3</v>
      </c>
      <c r="B258" s="17">
        <f>IFERROR(__xludf.DUMMYFUNCTION("""COMPUTED_VALUE"""),44988.0)</f>
        <v>44988</v>
      </c>
      <c r="C258" s="9">
        <f>IFERROR(__xludf.DUMMYFUNCTION("""COMPUTED_VALUE"""),3.0)</f>
        <v>3</v>
      </c>
      <c r="D258" s="9">
        <f>IFERROR(__xludf.DUMMYFUNCTION("""COMPUTED_VALUE"""),2023.0)</f>
        <v>2023</v>
      </c>
      <c r="E258" s="9">
        <f>IFERROR(__xludf.DUMMYFUNCTION("""COMPUTED_VALUE"""),0.24)</f>
        <v>0.24</v>
      </c>
      <c r="F258" s="9">
        <f>IFERROR(__xludf.DUMMYFUNCTION("""COMPUTED_VALUE"""),170.49)</f>
        <v>170.49</v>
      </c>
    </row>
    <row r="259">
      <c r="A259" s="9" t="str">
        <f>IFERROR(__xludf.DUMMYFUNCTION("""COMPUTED_VALUE"""),"BBAS3")</f>
        <v>BBAS3</v>
      </c>
      <c r="B259" s="17">
        <f>IFERROR(__xludf.DUMMYFUNCTION("""COMPUTED_VALUE"""),44988.0)</f>
        <v>44988</v>
      </c>
      <c r="C259" s="9">
        <f>IFERROR(__xludf.DUMMYFUNCTION("""COMPUTED_VALUE"""),3.0)</f>
        <v>3</v>
      </c>
      <c r="D259" s="9">
        <f>IFERROR(__xludf.DUMMYFUNCTION("""COMPUTED_VALUE"""),2023.0)</f>
        <v>2023</v>
      </c>
      <c r="E259" s="9">
        <f>IFERROR(__xludf.DUMMYFUNCTION("""COMPUTED_VALUE"""),0.0)</f>
        <v>0</v>
      </c>
      <c r="F259" s="9">
        <f>IFERROR(__xludf.DUMMYFUNCTION("""COMPUTED_VALUE"""),2.91)</f>
        <v>2.91</v>
      </c>
    </row>
    <row r="260">
      <c r="A260" s="9" t="str">
        <f>IFERROR(__xludf.DUMMYFUNCTION("""COMPUTED_VALUE"""),"BBAS3")</f>
        <v>BBAS3</v>
      </c>
      <c r="B260" s="17">
        <f>IFERROR(__xludf.DUMMYFUNCTION("""COMPUTED_VALUE"""),44988.0)</f>
        <v>44988</v>
      </c>
      <c r="C260" s="9">
        <f>IFERROR(__xludf.DUMMYFUNCTION("""COMPUTED_VALUE"""),3.0)</f>
        <v>3</v>
      </c>
      <c r="D260" s="9">
        <f>IFERROR(__xludf.DUMMYFUNCTION("""COMPUTED_VALUE"""),2023.0)</f>
        <v>2023</v>
      </c>
      <c r="E260" s="9">
        <f>IFERROR(__xludf.DUMMYFUNCTION("""COMPUTED_VALUE"""),0.57)</f>
        <v>0.57</v>
      </c>
      <c r="F260" s="9">
        <f>IFERROR(__xludf.DUMMYFUNCTION("""COMPUTED_VALUE"""),352.95)</f>
        <v>352.95</v>
      </c>
    </row>
    <row r="261">
      <c r="A261" s="9" t="str">
        <f>IFERROR(__xludf.DUMMYFUNCTION("""COMPUTED_VALUE"""),"BBDC3")</f>
        <v>BBDC3</v>
      </c>
      <c r="B261" s="17">
        <f>IFERROR(__xludf.DUMMYFUNCTION("""COMPUTED_VALUE"""),44986.0)</f>
        <v>44986</v>
      </c>
      <c r="C261" s="9">
        <f>IFERROR(__xludf.DUMMYFUNCTION("""COMPUTED_VALUE"""),3.0)</f>
        <v>3</v>
      </c>
      <c r="D261" s="9">
        <f>IFERROR(__xludf.DUMMYFUNCTION("""COMPUTED_VALUE"""),2023.0)</f>
        <v>2023</v>
      </c>
      <c r="E261" s="9">
        <f>IFERROR(__xludf.DUMMYFUNCTION("""COMPUTED_VALUE"""),0.02)</f>
        <v>0.02</v>
      </c>
      <c r="F261" s="9">
        <f>IFERROR(__xludf.DUMMYFUNCTION("""COMPUTED_VALUE"""),10.51)</f>
        <v>10.51</v>
      </c>
    </row>
    <row r="262">
      <c r="A262" s="9" t="str">
        <f>IFERROR(__xludf.DUMMYFUNCTION("""COMPUTED_VALUE"""),"BBDC3")</f>
        <v>BBDC3</v>
      </c>
      <c r="B262" s="17">
        <f>IFERROR(__xludf.DUMMYFUNCTION("""COMPUTED_VALUE"""),44958.0)</f>
        <v>44958</v>
      </c>
      <c r="C262" s="9">
        <f>IFERROR(__xludf.DUMMYFUNCTION("""COMPUTED_VALUE"""),2.0)</f>
        <v>2</v>
      </c>
      <c r="D262" s="9">
        <f>IFERROR(__xludf.DUMMYFUNCTION("""COMPUTED_VALUE"""),2023.0)</f>
        <v>2023</v>
      </c>
      <c r="E262" s="9">
        <f>IFERROR(__xludf.DUMMYFUNCTION("""COMPUTED_VALUE"""),0.02)</f>
        <v>0.02</v>
      </c>
      <c r="F262" s="9">
        <f>IFERROR(__xludf.DUMMYFUNCTION("""COMPUTED_VALUE"""),9.89)</f>
        <v>9.89</v>
      </c>
    </row>
    <row r="263">
      <c r="A263" s="9" t="str">
        <f>IFERROR(__xludf.DUMMYFUNCTION("""COMPUTED_VALUE"""),"CIEL3")</f>
        <v>CIEL3</v>
      </c>
      <c r="B263" s="17">
        <f>IFERROR(__xludf.DUMMYFUNCTION("""COMPUTED_VALUE"""),44953.0)</f>
        <v>44953</v>
      </c>
      <c r="C263" s="9">
        <f>IFERROR(__xludf.DUMMYFUNCTION("""COMPUTED_VALUE"""),1.0)</f>
        <v>1</v>
      </c>
      <c r="D263" s="9">
        <f>IFERROR(__xludf.DUMMYFUNCTION("""COMPUTED_VALUE"""),2023.0)</f>
        <v>2023</v>
      </c>
      <c r="E263" s="9">
        <f>IFERROR(__xludf.DUMMYFUNCTION("""COMPUTED_VALUE"""),0.09)</f>
        <v>0.09</v>
      </c>
      <c r="F263" s="9">
        <f>IFERROR(__xludf.DUMMYFUNCTION("""COMPUTED_VALUE"""),82.93)</f>
        <v>82.93</v>
      </c>
    </row>
    <row r="264">
      <c r="A264" s="9" t="str">
        <f>IFERROR(__xludf.DUMMYFUNCTION("""COMPUTED_VALUE"""),"TAEE4")</f>
        <v>TAEE4</v>
      </c>
      <c r="B264" s="17">
        <f>IFERROR(__xludf.DUMMYFUNCTION("""COMPUTED_VALUE"""),44949.0)</f>
        <v>44949</v>
      </c>
      <c r="C264" s="9">
        <f>IFERROR(__xludf.DUMMYFUNCTION("""COMPUTED_VALUE"""),1.0)</f>
        <v>1</v>
      </c>
      <c r="D264" s="9">
        <f>IFERROR(__xludf.DUMMYFUNCTION("""COMPUTED_VALUE"""),2023.0)</f>
        <v>2023</v>
      </c>
      <c r="E264" s="9">
        <f>IFERROR(__xludf.DUMMYFUNCTION("""COMPUTED_VALUE"""),0.45)</f>
        <v>0.45</v>
      </c>
      <c r="F264" s="9">
        <f>IFERROR(__xludf.DUMMYFUNCTION("""COMPUTED_VALUE"""),373.43)</f>
        <v>373.43</v>
      </c>
    </row>
    <row r="265">
      <c r="A265" s="9" t="str">
        <f>IFERROR(__xludf.DUMMYFUNCTION("""COMPUTED_VALUE"""),"PETR4")</f>
        <v>PETR4</v>
      </c>
      <c r="B265" s="17">
        <f>IFERROR(__xludf.DUMMYFUNCTION("""COMPUTED_VALUE"""),44945.0)</f>
        <v>44945</v>
      </c>
      <c r="C265" s="9">
        <f>IFERROR(__xludf.DUMMYFUNCTION("""COMPUTED_VALUE"""),1.0)</f>
        <v>1</v>
      </c>
      <c r="D265" s="9">
        <f>IFERROR(__xludf.DUMMYFUNCTION("""COMPUTED_VALUE"""),2023.0)</f>
        <v>2023</v>
      </c>
      <c r="E265" s="9">
        <f>IFERROR(__xludf.DUMMYFUNCTION("""COMPUTED_VALUE"""),0.0)</f>
        <v>0</v>
      </c>
      <c r="F265" s="9">
        <f>IFERROR(__xludf.DUMMYFUNCTION("""COMPUTED_VALUE"""),1.86)</f>
        <v>1.86</v>
      </c>
    </row>
    <row r="266">
      <c r="A266" s="9" t="str">
        <f>IFERROR(__xludf.DUMMYFUNCTION("""COMPUTED_VALUE"""),"PETR4")</f>
        <v>PETR4</v>
      </c>
      <c r="B266" s="17">
        <f>IFERROR(__xludf.DUMMYFUNCTION("""COMPUTED_VALUE"""),44945.0)</f>
        <v>44945</v>
      </c>
      <c r="C266" s="9">
        <f>IFERROR(__xludf.DUMMYFUNCTION("""COMPUTED_VALUE"""),1.0)</f>
        <v>1</v>
      </c>
      <c r="D266" s="9">
        <f>IFERROR(__xludf.DUMMYFUNCTION("""COMPUTED_VALUE"""),2023.0)</f>
        <v>2023</v>
      </c>
      <c r="E266" s="9">
        <f>IFERROR(__xludf.DUMMYFUNCTION("""COMPUTED_VALUE"""),1.6)</f>
        <v>1.6</v>
      </c>
      <c r="F266" s="9">
        <f>IFERROR(__xludf.DUMMYFUNCTION("""COMPUTED_VALUE"""),337.64)</f>
        <v>337.64</v>
      </c>
    </row>
    <row r="267">
      <c r="A267" s="9" t="str">
        <f>IFERROR(__xludf.DUMMYFUNCTION("""COMPUTED_VALUE"""),"PETR4")</f>
        <v>PETR4</v>
      </c>
      <c r="B267" s="17">
        <f>IFERROR(__xludf.DUMMYFUNCTION("""COMPUTED_VALUE"""),44945.0)</f>
        <v>44945</v>
      </c>
      <c r="C267" s="9">
        <f>IFERROR(__xludf.DUMMYFUNCTION("""COMPUTED_VALUE"""),1.0)</f>
        <v>1</v>
      </c>
      <c r="D267" s="9">
        <f>IFERROR(__xludf.DUMMYFUNCTION("""COMPUTED_VALUE"""),2023.0)</f>
        <v>2023</v>
      </c>
      <c r="E267" s="9">
        <f>IFERROR(__xludf.DUMMYFUNCTION("""COMPUTED_VALUE"""),0.0)</f>
        <v>0</v>
      </c>
      <c r="F267" s="9">
        <f>IFERROR(__xludf.DUMMYFUNCTION("""COMPUTED_VALUE"""),0.09)</f>
        <v>0.09</v>
      </c>
    </row>
    <row r="268">
      <c r="A268" s="9" t="str">
        <f>IFERROR(__xludf.DUMMYFUNCTION("""COMPUTED_VALUE"""),"PETR4")</f>
        <v>PETR4</v>
      </c>
      <c r="B268" s="17">
        <f>IFERROR(__xludf.DUMMYFUNCTION("""COMPUTED_VALUE"""),44945.0)</f>
        <v>44945</v>
      </c>
      <c r="C268" s="9">
        <f>IFERROR(__xludf.DUMMYFUNCTION("""COMPUTED_VALUE"""),1.0)</f>
        <v>1</v>
      </c>
      <c r="D268" s="9">
        <f>IFERROR(__xludf.DUMMYFUNCTION("""COMPUTED_VALUE"""),2023.0)</f>
        <v>2023</v>
      </c>
      <c r="E268" s="9">
        <f>IFERROR(__xludf.DUMMYFUNCTION("""COMPUTED_VALUE"""),0.07)</f>
        <v>0.07</v>
      </c>
      <c r="F268" s="9">
        <f>IFERROR(__xludf.DUMMYFUNCTION("""COMPUTED_VALUE"""),13.31)</f>
        <v>13.31</v>
      </c>
    </row>
    <row r="269">
      <c r="A269" s="9" t="str">
        <f>IFERROR(__xludf.DUMMYFUNCTION("""COMPUTED_VALUE"""),"BBDC3")</f>
        <v>BBDC3</v>
      </c>
      <c r="B269" s="17">
        <f>IFERROR(__xludf.DUMMYFUNCTION("""COMPUTED_VALUE"""),44928.0)</f>
        <v>44928</v>
      </c>
      <c r="C269" s="9">
        <f>IFERROR(__xludf.DUMMYFUNCTION("""COMPUTED_VALUE"""),1.0)</f>
        <v>1</v>
      </c>
      <c r="D269" s="9">
        <f>IFERROR(__xludf.DUMMYFUNCTION("""COMPUTED_VALUE"""),2023.0)</f>
        <v>2023</v>
      </c>
      <c r="E269" s="9">
        <f>IFERROR(__xludf.DUMMYFUNCTION("""COMPUTED_VALUE"""),0.02)</f>
        <v>0.02</v>
      </c>
      <c r="F269" s="9">
        <f>IFERROR(__xludf.DUMMYFUNCTION("""COMPUTED_VALUE"""),7.45)</f>
        <v>7.45</v>
      </c>
    </row>
    <row r="270">
      <c r="A270" s="9" t="str">
        <f>IFERROR(__xludf.DUMMYFUNCTION("""COMPUTED_VALUE"""),"BRSR6")</f>
        <v>BRSR6</v>
      </c>
      <c r="B270" s="17">
        <f>IFERROR(__xludf.DUMMYFUNCTION("""COMPUTED_VALUE"""),45656.0)</f>
        <v>45656</v>
      </c>
      <c r="C270" s="9">
        <f>IFERROR(__xludf.DUMMYFUNCTION("""COMPUTED_VALUE"""),12.0)</f>
        <v>12</v>
      </c>
      <c r="D270" s="9">
        <f>IFERROR(__xludf.DUMMYFUNCTION("""COMPUTED_VALUE"""),2024.0)</f>
        <v>2024</v>
      </c>
      <c r="E270" s="9">
        <f>IFERROR(__xludf.DUMMYFUNCTION("""COMPUTED_VALUE"""),0.2)</f>
        <v>0.2</v>
      </c>
      <c r="F270" s="9">
        <f>IFERROR(__xludf.DUMMYFUNCTION("""COMPUTED_VALUE"""),223.94)</f>
        <v>223.94</v>
      </c>
    </row>
    <row r="271">
      <c r="A271" s="9" t="str">
        <f>IFERROR(__xludf.DUMMYFUNCTION("""COMPUTED_VALUE"""),"BBAS3")</f>
        <v>BBAS3</v>
      </c>
      <c r="B271" s="17">
        <f>IFERROR(__xludf.DUMMYFUNCTION("""COMPUTED_VALUE"""),45653.0)</f>
        <v>45653</v>
      </c>
      <c r="C271" s="9">
        <f>IFERROR(__xludf.DUMMYFUNCTION("""COMPUTED_VALUE"""),12.0)</f>
        <v>12</v>
      </c>
      <c r="D271" s="9">
        <f>IFERROR(__xludf.DUMMYFUNCTION("""COMPUTED_VALUE"""),2024.0)</f>
        <v>2024</v>
      </c>
      <c r="E271" s="9">
        <f>IFERROR(__xludf.DUMMYFUNCTION("""COMPUTED_VALUE"""),0.18)</f>
        <v>0.18</v>
      </c>
      <c r="F271" s="9">
        <f>IFERROR(__xludf.DUMMYFUNCTION("""COMPUTED_VALUE"""),480.36)</f>
        <v>480.36</v>
      </c>
    </row>
    <row r="272">
      <c r="A272" s="9" t="str">
        <f>IFERROR(__xludf.DUMMYFUNCTION("""COMPUTED_VALUE"""),"PETR4")</f>
        <v>PETR4</v>
      </c>
      <c r="B272" s="17">
        <f>IFERROR(__xludf.DUMMYFUNCTION("""COMPUTED_VALUE"""),45646.0)</f>
        <v>45646</v>
      </c>
      <c r="C272" s="9">
        <f>IFERROR(__xludf.DUMMYFUNCTION("""COMPUTED_VALUE"""),12.0)</f>
        <v>12</v>
      </c>
      <c r="D272" s="9">
        <f>IFERROR(__xludf.DUMMYFUNCTION("""COMPUTED_VALUE"""),2024.0)</f>
        <v>2024</v>
      </c>
      <c r="E272" s="9">
        <f>IFERROR(__xludf.DUMMYFUNCTION("""COMPUTED_VALUE"""),0.0)</f>
        <v>0</v>
      </c>
      <c r="F272" s="9">
        <f>IFERROR(__xludf.DUMMYFUNCTION("""COMPUTED_VALUE"""),120.59)</f>
        <v>120.59</v>
      </c>
    </row>
    <row r="273">
      <c r="A273" s="9" t="str">
        <f>IFERROR(__xludf.DUMMYFUNCTION("""COMPUTED_VALUE"""),"LEVE3")</f>
        <v>LEVE3</v>
      </c>
      <c r="B273" s="17">
        <f>IFERROR(__xludf.DUMMYFUNCTION("""COMPUTED_VALUE"""),45644.0)</f>
        <v>45644</v>
      </c>
      <c r="C273" s="9">
        <f>IFERROR(__xludf.DUMMYFUNCTION("""COMPUTED_VALUE"""),12.0)</f>
        <v>12</v>
      </c>
      <c r="D273" s="9">
        <f>IFERROR(__xludf.DUMMYFUNCTION("""COMPUTED_VALUE"""),2024.0)</f>
        <v>2024</v>
      </c>
      <c r="E273" s="9">
        <f>IFERROR(__xludf.DUMMYFUNCTION("""COMPUTED_VALUE"""),0.54)</f>
        <v>0.54</v>
      </c>
      <c r="F273" s="9">
        <f>IFERROR(__xludf.DUMMYFUNCTION("""COMPUTED_VALUE"""),164.08)</f>
        <v>164.08</v>
      </c>
    </row>
    <row r="274">
      <c r="A274" s="9" t="str">
        <f>IFERROR(__xludf.DUMMYFUNCTION("""COMPUTED_VALUE"""),"BRSR6")</f>
        <v>BRSR6</v>
      </c>
      <c r="B274" s="17">
        <f>IFERROR(__xludf.DUMMYFUNCTION("""COMPUTED_VALUE"""),45637.0)</f>
        <v>45637</v>
      </c>
      <c r="C274" s="9">
        <f>IFERROR(__xludf.DUMMYFUNCTION("""COMPUTED_VALUE"""),12.0)</f>
        <v>12</v>
      </c>
      <c r="D274" s="9">
        <f>IFERROR(__xludf.DUMMYFUNCTION("""COMPUTED_VALUE"""),2024.0)</f>
        <v>2024</v>
      </c>
      <c r="E274" s="9">
        <f>IFERROR(__xludf.DUMMYFUNCTION("""COMPUTED_VALUE"""),0.25)</f>
        <v>0.25</v>
      </c>
      <c r="F274" s="9">
        <f>IFERROR(__xludf.DUMMYFUNCTION("""COMPUTED_VALUE"""),273.1)</f>
        <v>273.1</v>
      </c>
    </row>
    <row r="275">
      <c r="A275" s="9" t="str">
        <f>IFERROR(__xludf.DUMMYFUNCTION("""COMPUTED_VALUE"""),"BBAS3")</f>
        <v>BBAS3</v>
      </c>
      <c r="B275" s="17">
        <f>IFERROR(__xludf.DUMMYFUNCTION("""COMPUTED_VALUE"""),45632.0)</f>
        <v>45632</v>
      </c>
      <c r="C275" s="9">
        <f>IFERROR(__xludf.DUMMYFUNCTION("""COMPUTED_VALUE"""),12.0)</f>
        <v>12</v>
      </c>
      <c r="D275" s="9">
        <f>IFERROR(__xludf.DUMMYFUNCTION("""COMPUTED_VALUE"""),2024.0)</f>
        <v>2024</v>
      </c>
      <c r="E275" s="9">
        <f>IFERROR(__xludf.DUMMYFUNCTION("""COMPUTED_VALUE"""),0.48)</f>
        <v>0.48</v>
      </c>
      <c r="F275" s="9">
        <f>IFERROR(__xludf.DUMMYFUNCTION("""COMPUTED_VALUE"""),1015.52)</f>
        <v>1015.52</v>
      </c>
    </row>
    <row r="276">
      <c r="A276" s="9" t="str">
        <f>IFERROR(__xludf.DUMMYFUNCTION("""COMPUTED_VALUE"""),"BBDC3")</f>
        <v>BBDC3</v>
      </c>
      <c r="B276" s="17">
        <f>IFERROR(__xludf.DUMMYFUNCTION("""COMPUTED_VALUE"""),45628.0)</f>
        <v>45628</v>
      </c>
      <c r="C276" s="9">
        <f>IFERROR(__xludf.DUMMYFUNCTION("""COMPUTED_VALUE"""),12.0)</f>
        <v>12</v>
      </c>
      <c r="D276" s="9">
        <f>IFERROR(__xludf.DUMMYFUNCTION("""COMPUTED_VALUE"""),2024.0)</f>
        <v>2024</v>
      </c>
      <c r="E276" s="9">
        <f>IFERROR(__xludf.DUMMYFUNCTION("""COMPUTED_VALUE"""),0.02)</f>
        <v>0.02</v>
      </c>
      <c r="F276" s="9">
        <f>IFERROR(__xludf.DUMMYFUNCTION("""COMPUTED_VALUE"""),0.21)</f>
        <v>0.21</v>
      </c>
    </row>
    <row r="277">
      <c r="A277" s="9" t="str">
        <f>IFERROR(__xludf.DUMMYFUNCTION("""COMPUTED_VALUE"""),"CPLE6")</f>
        <v>CPLE6</v>
      </c>
      <c r="B277" s="17">
        <f>IFERROR(__xludf.DUMMYFUNCTION("""COMPUTED_VALUE"""),45625.0)</f>
        <v>45625</v>
      </c>
      <c r="C277" s="9">
        <f>IFERROR(__xludf.DUMMYFUNCTION("""COMPUTED_VALUE"""),11.0)</f>
        <v>11</v>
      </c>
      <c r="D277" s="9">
        <f>IFERROR(__xludf.DUMMYFUNCTION("""COMPUTED_VALUE"""),2024.0)</f>
        <v>2024</v>
      </c>
      <c r="E277" s="9">
        <f>IFERROR(__xludf.DUMMYFUNCTION("""COMPUTED_VALUE"""),0.07)</f>
        <v>0.07</v>
      </c>
      <c r="F277" s="9">
        <f>IFERROR(__xludf.DUMMYFUNCTION("""COMPUTED_VALUE"""),1.69)</f>
        <v>1.69</v>
      </c>
    </row>
    <row r="278">
      <c r="A278" s="9" t="str">
        <f>IFERROR(__xludf.DUMMYFUNCTION("""COMPUTED_VALUE"""),"CPLE6")</f>
        <v>CPLE6</v>
      </c>
      <c r="B278" s="17">
        <f>IFERROR(__xludf.DUMMYFUNCTION("""COMPUTED_VALUE"""),45625.0)</f>
        <v>45625</v>
      </c>
      <c r="C278" s="9">
        <f>IFERROR(__xludf.DUMMYFUNCTION("""COMPUTED_VALUE"""),11.0)</f>
        <v>11</v>
      </c>
      <c r="D278" s="9">
        <f>IFERROR(__xludf.DUMMYFUNCTION("""COMPUTED_VALUE"""),2024.0)</f>
        <v>2024</v>
      </c>
      <c r="E278" s="9">
        <f>IFERROR(__xludf.DUMMYFUNCTION("""COMPUTED_VALUE"""),0.1)</f>
        <v>0.1</v>
      </c>
      <c r="F278" s="9">
        <f>IFERROR(__xludf.DUMMYFUNCTION("""COMPUTED_VALUE"""),2.02)</f>
        <v>2.02</v>
      </c>
    </row>
    <row r="279">
      <c r="A279" s="9" t="str">
        <f>IFERROR(__xludf.DUMMYFUNCTION("""COMPUTED_VALUE"""),"TAEE4")</f>
        <v>TAEE4</v>
      </c>
      <c r="B279" s="17">
        <f>IFERROR(__xludf.DUMMYFUNCTION("""COMPUTED_VALUE"""),45623.0)</f>
        <v>45623</v>
      </c>
      <c r="C279" s="9">
        <f>IFERROR(__xludf.DUMMYFUNCTION("""COMPUTED_VALUE"""),11.0)</f>
        <v>11</v>
      </c>
      <c r="D279" s="9">
        <f>IFERROR(__xludf.DUMMYFUNCTION("""COMPUTED_VALUE"""),2024.0)</f>
        <v>2024</v>
      </c>
      <c r="E279" s="9">
        <f>IFERROR(__xludf.DUMMYFUNCTION("""COMPUTED_VALUE"""),0.11)</f>
        <v>0.11</v>
      </c>
      <c r="F279" s="9">
        <f>IFERROR(__xludf.DUMMYFUNCTION("""COMPUTED_VALUE"""),169.34)</f>
        <v>169.34</v>
      </c>
    </row>
    <row r="280">
      <c r="A280" s="9" t="str">
        <f>IFERROR(__xludf.DUMMYFUNCTION("""COMPUTED_VALUE"""),"TAEE4")</f>
        <v>TAEE4</v>
      </c>
      <c r="B280" s="17">
        <f>IFERROR(__xludf.DUMMYFUNCTION("""COMPUTED_VALUE"""),45623.0)</f>
        <v>45623</v>
      </c>
      <c r="C280" s="9">
        <f>IFERROR(__xludf.DUMMYFUNCTION("""COMPUTED_VALUE"""),11.0)</f>
        <v>11</v>
      </c>
      <c r="D280" s="9">
        <f>IFERROR(__xludf.DUMMYFUNCTION("""COMPUTED_VALUE"""),2024.0)</f>
        <v>2024</v>
      </c>
      <c r="E280" s="9">
        <f>IFERROR(__xludf.DUMMYFUNCTION("""COMPUTED_VALUE"""),0.1)</f>
        <v>0.1</v>
      </c>
      <c r="F280" s="9">
        <f>IFERROR(__xludf.DUMMYFUNCTION("""COMPUTED_VALUE"""),177.12)</f>
        <v>177.12</v>
      </c>
    </row>
    <row r="281">
      <c r="A281" s="9" t="str">
        <f>IFERROR(__xludf.DUMMYFUNCTION("""COMPUTED_VALUE"""),"KLBN4")</f>
        <v>KLBN4</v>
      </c>
      <c r="B281" s="17">
        <f>IFERROR(__xludf.DUMMYFUNCTION("""COMPUTED_VALUE"""),45617.0)</f>
        <v>45617</v>
      </c>
      <c r="C281" s="9">
        <f>IFERROR(__xludf.DUMMYFUNCTION("""COMPUTED_VALUE"""),11.0)</f>
        <v>11</v>
      </c>
      <c r="D281" s="9">
        <f>IFERROR(__xludf.DUMMYFUNCTION("""COMPUTED_VALUE"""),2024.0)</f>
        <v>2024</v>
      </c>
      <c r="E281" s="9">
        <f>IFERROR(__xludf.DUMMYFUNCTION("""COMPUTED_VALUE"""),0.07)</f>
        <v>0.07</v>
      </c>
      <c r="F281" s="9">
        <f>IFERROR(__xludf.DUMMYFUNCTION("""COMPUTED_VALUE"""),120.51)</f>
        <v>120.51</v>
      </c>
    </row>
    <row r="282">
      <c r="A282" s="9" t="str">
        <f>IFERROR(__xludf.DUMMYFUNCTION("""COMPUTED_VALUE"""),"PETR4")</f>
        <v>PETR4</v>
      </c>
      <c r="B282" s="17">
        <f>IFERROR(__xludf.DUMMYFUNCTION("""COMPUTED_VALUE"""),45617.0)</f>
        <v>45617</v>
      </c>
      <c r="C282" s="9">
        <f>IFERROR(__xludf.DUMMYFUNCTION("""COMPUTED_VALUE"""),11.0)</f>
        <v>11</v>
      </c>
      <c r="D282" s="9">
        <f>IFERROR(__xludf.DUMMYFUNCTION("""COMPUTED_VALUE"""),2024.0)</f>
        <v>2024</v>
      </c>
      <c r="E282" s="9">
        <f>IFERROR(__xludf.DUMMYFUNCTION("""COMPUTED_VALUE"""),0.0)</f>
        <v>0</v>
      </c>
      <c r="F282" s="9">
        <f>IFERROR(__xludf.DUMMYFUNCTION("""COMPUTED_VALUE"""),106.42)</f>
        <v>106.42</v>
      </c>
    </row>
    <row r="283">
      <c r="A283" s="9" t="str">
        <f>IFERROR(__xludf.DUMMYFUNCTION("""COMPUTED_VALUE"""),"CXSE3")</f>
        <v>CXSE3</v>
      </c>
      <c r="B283" s="17">
        <f>IFERROR(__xludf.DUMMYFUNCTION("""COMPUTED_VALUE"""),45614.0)</f>
        <v>45614</v>
      </c>
      <c r="C283" s="9">
        <f>IFERROR(__xludf.DUMMYFUNCTION("""COMPUTED_VALUE"""),11.0)</f>
        <v>11</v>
      </c>
      <c r="D283" s="9">
        <f>IFERROR(__xludf.DUMMYFUNCTION("""COMPUTED_VALUE"""),2024.0)</f>
        <v>2024</v>
      </c>
      <c r="E283" s="9">
        <f>IFERROR(__xludf.DUMMYFUNCTION("""COMPUTED_VALUE"""),0.23)</f>
        <v>0.23</v>
      </c>
      <c r="F283" s="9">
        <f>IFERROR(__xludf.DUMMYFUNCTION("""COMPUTED_VALUE"""),126.59)</f>
        <v>126.59</v>
      </c>
    </row>
    <row r="284">
      <c r="A284" s="9" t="str">
        <f>IFERROR(__xludf.DUMMYFUNCTION("""COMPUTED_VALUE"""),"BBDC3")</f>
        <v>BBDC3</v>
      </c>
      <c r="B284" s="17">
        <f>IFERROR(__xludf.DUMMYFUNCTION("""COMPUTED_VALUE"""),45597.0)</f>
        <v>45597</v>
      </c>
      <c r="C284" s="9">
        <f>IFERROR(__xludf.DUMMYFUNCTION("""COMPUTED_VALUE"""),11.0)</f>
        <v>11</v>
      </c>
      <c r="D284" s="9">
        <f>IFERROR(__xludf.DUMMYFUNCTION("""COMPUTED_VALUE"""),2024.0)</f>
        <v>2024</v>
      </c>
      <c r="E284" s="9">
        <f>IFERROR(__xludf.DUMMYFUNCTION("""COMPUTED_VALUE"""),0.02)</f>
        <v>0.02</v>
      </c>
      <c r="F284" s="9">
        <f>IFERROR(__xludf.DUMMYFUNCTION("""COMPUTED_VALUE"""),0.21)</f>
        <v>0.21</v>
      </c>
    </row>
    <row r="285">
      <c r="A285" s="9" t="str">
        <f>IFERROR(__xludf.DUMMYFUNCTION("""COMPUTED_VALUE"""),"BBDC3")</f>
        <v>BBDC3</v>
      </c>
      <c r="B285" s="17">
        <f>IFERROR(__xludf.DUMMYFUNCTION("""COMPUTED_VALUE"""),45566.0)</f>
        <v>45566</v>
      </c>
      <c r="C285" s="9">
        <f>IFERROR(__xludf.DUMMYFUNCTION("""COMPUTED_VALUE"""),10.0)</f>
        <v>10</v>
      </c>
      <c r="D285" s="9">
        <f>IFERROR(__xludf.DUMMYFUNCTION("""COMPUTED_VALUE"""),2024.0)</f>
        <v>2024</v>
      </c>
      <c r="E285" s="9">
        <f>IFERROR(__xludf.DUMMYFUNCTION("""COMPUTED_VALUE"""),0.02)</f>
        <v>0.02</v>
      </c>
      <c r="F285" s="9">
        <f>IFERROR(__xludf.DUMMYFUNCTION("""COMPUTED_VALUE"""),13.4)</f>
        <v>13.4</v>
      </c>
    </row>
    <row r="286">
      <c r="A286" s="9" t="str">
        <f>IFERROR(__xludf.DUMMYFUNCTION("""COMPUTED_VALUE"""),"BBAS3")</f>
        <v>BBAS3</v>
      </c>
      <c r="B286" s="17">
        <f>IFERROR(__xludf.DUMMYFUNCTION("""COMPUTED_VALUE"""),45562.0)</f>
        <v>45562</v>
      </c>
      <c r="C286" s="9">
        <f>IFERROR(__xludf.DUMMYFUNCTION("""COMPUTED_VALUE"""),9.0)</f>
        <v>9</v>
      </c>
      <c r="D286" s="9">
        <f>IFERROR(__xludf.DUMMYFUNCTION("""COMPUTED_VALUE"""),2024.0)</f>
        <v>2024</v>
      </c>
      <c r="E286" s="9">
        <f>IFERROR(__xludf.DUMMYFUNCTION("""COMPUTED_VALUE"""),0.19)</f>
        <v>0.19</v>
      </c>
      <c r="F286" s="9">
        <f>IFERROR(__xludf.DUMMYFUNCTION("""COMPUTED_VALUE"""),249.66)</f>
        <v>249.66</v>
      </c>
    </row>
    <row r="287">
      <c r="A287" s="9" t="str">
        <f>IFERROR(__xludf.DUMMYFUNCTION("""COMPUTED_VALUE"""),"BRSR6")</f>
        <v>BRSR6</v>
      </c>
      <c r="B287" s="17">
        <f>IFERROR(__xludf.DUMMYFUNCTION("""COMPUTED_VALUE"""),45562.0)</f>
        <v>45562</v>
      </c>
      <c r="C287" s="9">
        <f>IFERROR(__xludf.DUMMYFUNCTION("""COMPUTED_VALUE"""),9.0)</f>
        <v>9</v>
      </c>
      <c r="D287" s="9">
        <f>IFERROR(__xludf.DUMMYFUNCTION("""COMPUTED_VALUE"""),2024.0)</f>
        <v>2024</v>
      </c>
      <c r="E287" s="9">
        <f>IFERROR(__xludf.DUMMYFUNCTION("""COMPUTED_VALUE"""),0.12)</f>
        <v>0.12</v>
      </c>
      <c r="F287" s="9">
        <f>IFERROR(__xludf.DUMMYFUNCTION("""COMPUTED_VALUE"""),136.55)</f>
        <v>136.55</v>
      </c>
    </row>
    <row r="288">
      <c r="A288" s="9" t="str">
        <f>IFERROR(__xludf.DUMMYFUNCTION("""COMPUTED_VALUE"""),"PETR4")</f>
        <v>PETR4</v>
      </c>
      <c r="B288" s="17">
        <f>IFERROR(__xludf.DUMMYFUNCTION("""COMPUTED_VALUE"""),45555.0)</f>
        <v>45555</v>
      </c>
      <c r="C288" s="9">
        <f>IFERROR(__xludf.DUMMYFUNCTION("""COMPUTED_VALUE"""),9.0)</f>
        <v>9</v>
      </c>
      <c r="D288" s="9">
        <f>IFERROR(__xludf.DUMMYFUNCTION("""COMPUTED_VALUE"""),2024.0)</f>
        <v>2024</v>
      </c>
      <c r="E288" s="9">
        <f>IFERROR(__xludf.DUMMYFUNCTION("""COMPUTED_VALUE"""),0.0)</f>
        <v>0</v>
      </c>
      <c r="F288" s="9">
        <f>IFERROR(__xludf.DUMMYFUNCTION("""COMPUTED_VALUE"""),116.92)</f>
        <v>116.92</v>
      </c>
    </row>
    <row r="289">
      <c r="A289" s="9" t="str">
        <f>IFERROR(__xludf.DUMMYFUNCTION("""COMPUTED_VALUE"""),"BBDC3")</f>
        <v>BBDC3</v>
      </c>
      <c r="B289" s="17">
        <f>IFERROR(__xludf.DUMMYFUNCTION("""COMPUTED_VALUE"""),45537.0)</f>
        <v>45537</v>
      </c>
      <c r="C289" s="9">
        <f>IFERROR(__xludf.DUMMYFUNCTION("""COMPUTED_VALUE"""),9.0)</f>
        <v>9</v>
      </c>
      <c r="D289" s="9">
        <f>IFERROR(__xludf.DUMMYFUNCTION("""COMPUTED_VALUE"""),2024.0)</f>
        <v>2024</v>
      </c>
      <c r="E289" s="9">
        <f>IFERROR(__xludf.DUMMYFUNCTION("""COMPUTED_VALUE"""),0.02)</f>
        <v>0.02</v>
      </c>
      <c r="F289" s="9">
        <f>IFERROR(__xludf.DUMMYFUNCTION("""COMPUTED_VALUE"""),13.4)</f>
        <v>13.4</v>
      </c>
    </row>
    <row r="290">
      <c r="A290" s="9" t="str">
        <f>IFERROR(__xludf.DUMMYFUNCTION("""COMPUTED_VALUE"""),"BBAS3")</f>
        <v>BBAS3</v>
      </c>
      <c r="B290" s="17">
        <f>IFERROR(__xludf.DUMMYFUNCTION("""COMPUTED_VALUE"""),45534.0)</f>
        <v>45534</v>
      </c>
      <c r="C290" s="9">
        <f>IFERROR(__xludf.DUMMYFUNCTION("""COMPUTED_VALUE"""),8.0)</f>
        <v>8</v>
      </c>
      <c r="D290" s="9">
        <f>IFERROR(__xludf.DUMMYFUNCTION("""COMPUTED_VALUE"""),2024.0)</f>
        <v>2024</v>
      </c>
      <c r="E290" s="9">
        <f>IFERROR(__xludf.DUMMYFUNCTION("""COMPUTED_VALUE"""),0.0)</f>
        <v>0</v>
      </c>
      <c r="F290" s="9">
        <f>IFERROR(__xludf.DUMMYFUNCTION("""COMPUTED_VALUE"""),6.84)</f>
        <v>6.84</v>
      </c>
    </row>
    <row r="291">
      <c r="A291" s="9" t="str">
        <f>IFERROR(__xludf.DUMMYFUNCTION("""COMPUTED_VALUE"""),"BBAS3")</f>
        <v>BBAS3</v>
      </c>
      <c r="B291" s="17">
        <f>IFERROR(__xludf.DUMMYFUNCTION("""COMPUTED_VALUE"""),45534.0)</f>
        <v>45534</v>
      </c>
      <c r="C291" s="9">
        <f>IFERROR(__xludf.DUMMYFUNCTION("""COMPUTED_VALUE"""),8.0)</f>
        <v>8</v>
      </c>
      <c r="D291" s="9">
        <f>IFERROR(__xludf.DUMMYFUNCTION("""COMPUTED_VALUE"""),2024.0)</f>
        <v>2024</v>
      </c>
      <c r="E291" s="9">
        <f>IFERROR(__xludf.DUMMYFUNCTION("""COMPUTED_VALUE"""),0.15)</f>
        <v>0.15</v>
      </c>
      <c r="F291" s="9">
        <f>IFERROR(__xludf.DUMMYFUNCTION("""COMPUTED_VALUE"""),239.02)</f>
        <v>239.02</v>
      </c>
    </row>
    <row r="292">
      <c r="A292" s="9" t="str">
        <f>IFERROR(__xludf.DUMMYFUNCTION("""COMPUTED_VALUE"""),"BBAS3")</f>
        <v>BBAS3</v>
      </c>
      <c r="B292" s="17">
        <f>IFERROR(__xludf.DUMMYFUNCTION("""COMPUTED_VALUE"""),45534.0)</f>
        <v>45534</v>
      </c>
      <c r="C292" s="9">
        <f>IFERROR(__xludf.DUMMYFUNCTION("""COMPUTED_VALUE"""),8.0)</f>
        <v>8</v>
      </c>
      <c r="D292" s="9">
        <f>IFERROR(__xludf.DUMMYFUNCTION("""COMPUTED_VALUE"""),2024.0)</f>
        <v>2024</v>
      </c>
      <c r="E292" s="9">
        <f>IFERROR(__xludf.DUMMYFUNCTION("""COMPUTED_VALUE"""),0.0)</f>
        <v>0</v>
      </c>
      <c r="F292" s="9">
        <f>IFERROR(__xludf.DUMMYFUNCTION("""COMPUTED_VALUE"""),3.31)</f>
        <v>3.31</v>
      </c>
    </row>
    <row r="293">
      <c r="A293" s="9" t="str">
        <f>IFERROR(__xludf.DUMMYFUNCTION("""COMPUTED_VALUE"""),"BBAS3")</f>
        <v>BBAS3</v>
      </c>
      <c r="B293" s="17">
        <f>IFERROR(__xludf.DUMMYFUNCTION("""COMPUTED_VALUE"""),45534.0)</f>
        <v>45534</v>
      </c>
      <c r="C293" s="9">
        <f>IFERROR(__xludf.DUMMYFUNCTION("""COMPUTED_VALUE"""),8.0)</f>
        <v>8</v>
      </c>
      <c r="D293" s="9">
        <f>IFERROR(__xludf.DUMMYFUNCTION("""COMPUTED_VALUE"""),2024.0)</f>
        <v>2024</v>
      </c>
      <c r="E293" s="9">
        <f>IFERROR(__xludf.DUMMYFUNCTION("""COMPUTED_VALUE"""),0.31)</f>
        <v>0.31</v>
      </c>
      <c r="F293" s="9">
        <f>IFERROR(__xludf.DUMMYFUNCTION("""COMPUTED_VALUE"""),420.75)</f>
        <v>420.75</v>
      </c>
    </row>
    <row r="294">
      <c r="A294" s="9" t="str">
        <f>IFERROR(__xludf.DUMMYFUNCTION("""COMPUTED_VALUE"""),"BBSE3")</f>
        <v>BBSE3</v>
      </c>
      <c r="B294" s="17">
        <f>IFERROR(__xludf.DUMMYFUNCTION("""COMPUTED_VALUE"""),45534.0)</f>
        <v>45534</v>
      </c>
      <c r="C294" s="9">
        <f>IFERROR(__xludf.DUMMYFUNCTION("""COMPUTED_VALUE"""),8.0)</f>
        <v>8</v>
      </c>
      <c r="D294" s="9">
        <f>IFERROR(__xludf.DUMMYFUNCTION("""COMPUTED_VALUE"""),2024.0)</f>
        <v>2024</v>
      </c>
      <c r="E294" s="9">
        <f>IFERROR(__xludf.DUMMYFUNCTION("""COMPUTED_VALUE"""),1.39)</f>
        <v>1.39</v>
      </c>
      <c r="F294" s="9">
        <f>IFERROR(__xludf.DUMMYFUNCTION("""COMPUTED_VALUE"""),1593.98)</f>
        <v>1593.98</v>
      </c>
    </row>
    <row r="295">
      <c r="A295" s="9" t="str">
        <f>IFERROR(__xludf.DUMMYFUNCTION("""COMPUTED_VALUE"""),"PETR4")</f>
        <v>PETR4</v>
      </c>
      <c r="B295" s="17">
        <f>IFERROR(__xludf.DUMMYFUNCTION("""COMPUTED_VALUE"""),45524.0)</f>
        <v>45524</v>
      </c>
      <c r="C295" s="9">
        <f>IFERROR(__xludf.DUMMYFUNCTION("""COMPUTED_VALUE"""),8.0)</f>
        <v>8</v>
      </c>
      <c r="D295" s="9">
        <f>IFERROR(__xludf.DUMMYFUNCTION("""COMPUTED_VALUE"""),2024.0)</f>
        <v>2024</v>
      </c>
      <c r="E295" s="9">
        <f>IFERROR(__xludf.DUMMYFUNCTION("""COMPUTED_VALUE"""),0.0)</f>
        <v>0</v>
      </c>
      <c r="F295" s="9">
        <f>IFERROR(__xludf.DUMMYFUNCTION("""COMPUTED_VALUE"""),101.54)</f>
        <v>101.54</v>
      </c>
    </row>
    <row r="296">
      <c r="A296" s="9" t="str">
        <f>IFERROR(__xludf.DUMMYFUNCTION("""COMPUTED_VALUE"""),"CXSE3")</f>
        <v>CXSE3</v>
      </c>
      <c r="B296" s="17">
        <f>IFERROR(__xludf.DUMMYFUNCTION("""COMPUTED_VALUE"""),45519.0)</f>
        <v>45519</v>
      </c>
      <c r="C296" s="9">
        <f>IFERROR(__xludf.DUMMYFUNCTION("""COMPUTED_VALUE"""),8.0)</f>
        <v>8</v>
      </c>
      <c r="D296" s="9">
        <f>IFERROR(__xludf.DUMMYFUNCTION("""COMPUTED_VALUE"""),2024.0)</f>
        <v>2024</v>
      </c>
      <c r="E296" s="9">
        <f>IFERROR(__xludf.DUMMYFUNCTION("""COMPUTED_VALUE"""),0.28)</f>
        <v>0.28</v>
      </c>
      <c r="F296" s="9">
        <f>IFERROR(__xludf.DUMMYFUNCTION("""COMPUTED_VALUE"""),141.12)</f>
        <v>141.12</v>
      </c>
    </row>
    <row r="297">
      <c r="A297" s="9" t="str">
        <f>IFERROR(__xludf.DUMMYFUNCTION("""COMPUTED_VALUE"""),"KLBN4")</f>
        <v>KLBN4</v>
      </c>
      <c r="B297" s="17">
        <f>IFERROR(__xludf.DUMMYFUNCTION("""COMPUTED_VALUE"""),45519.0)</f>
        <v>45519</v>
      </c>
      <c r="C297" s="9">
        <f>IFERROR(__xludf.DUMMYFUNCTION("""COMPUTED_VALUE"""),8.0)</f>
        <v>8</v>
      </c>
      <c r="D297" s="9">
        <f>IFERROR(__xludf.DUMMYFUNCTION("""COMPUTED_VALUE"""),2024.0)</f>
        <v>2024</v>
      </c>
      <c r="E297" s="9">
        <f>IFERROR(__xludf.DUMMYFUNCTION("""COMPUTED_VALUE"""),0.07)</f>
        <v>0.07</v>
      </c>
      <c r="F297" s="9">
        <f>IFERROR(__xludf.DUMMYFUNCTION("""COMPUTED_VALUE"""),136.76)</f>
        <v>136.76</v>
      </c>
    </row>
    <row r="298">
      <c r="A298" s="9" t="str">
        <f>IFERROR(__xludf.DUMMYFUNCTION("""COMPUTED_VALUE"""),"BBDC3")</f>
        <v>BBDC3</v>
      </c>
      <c r="B298" s="17">
        <f>IFERROR(__xludf.DUMMYFUNCTION("""COMPUTED_VALUE"""),45505.0)</f>
        <v>45505</v>
      </c>
      <c r="C298" s="9">
        <f>IFERROR(__xludf.DUMMYFUNCTION("""COMPUTED_VALUE"""),8.0)</f>
        <v>8</v>
      </c>
      <c r="D298" s="9">
        <f>IFERROR(__xludf.DUMMYFUNCTION("""COMPUTED_VALUE"""),2024.0)</f>
        <v>2024</v>
      </c>
      <c r="E298" s="9">
        <f>IFERROR(__xludf.DUMMYFUNCTION("""COMPUTED_VALUE"""),0.02)</f>
        <v>0.02</v>
      </c>
      <c r="F298" s="9">
        <f>IFERROR(__xludf.DUMMYFUNCTION("""COMPUTED_VALUE"""),13.4)</f>
        <v>13.4</v>
      </c>
    </row>
    <row r="299">
      <c r="A299" s="9" t="str">
        <f>IFERROR(__xludf.DUMMYFUNCTION("""COMPUTED_VALUE"""),"ABCB4")</f>
        <v>ABCB4</v>
      </c>
      <c r="B299" s="17">
        <f>IFERROR(__xludf.DUMMYFUNCTION("""COMPUTED_VALUE"""),45485.0)</f>
        <v>45485</v>
      </c>
      <c r="C299" s="9">
        <f>IFERROR(__xludf.DUMMYFUNCTION("""COMPUTED_VALUE"""),7.0)</f>
        <v>7</v>
      </c>
      <c r="D299" s="9">
        <f>IFERROR(__xludf.DUMMYFUNCTION("""COMPUTED_VALUE"""),2024.0)</f>
        <v>2024</v>
      </c>
      <c r="E299" s="9">
        <f>IFERROR(__xludf.DUMMYFUNCTION("""COMPUTED_VALUE"""),0.79)</f>
        <v>0.79</v>
      </c>
      <c r="F299" s="9">
        <f>IFERROR(__xludf.DUMMYFUNCTION("""COMPUTED_VALUE"""),98.09)</f>
        <v>98.09</v>
      </c>
    </row>
    <row r="300">
      <c r="A300" s="9" t="str">
        <f>IFERROR(__xludf.DUMMYFUNCTION("""COMPUTED_VALUE"""),"BBDC3")</f>
        <v>BBDC3</v>
      </c>
      <c r="B300" s="17">
        <f>IFERROR(__xludf.DUMMYFUNCTION("""COMPUTED_VALUE"""),45474.0)</f>
        <v>45474</v>
      </c>
      <c r="C300" s="9">
        <f>IFERROR(__xludf.DUMMYFUNCTION("""COMPUTED_VALUE"""),7.0)</f>
        <v>7</v>
      </c>
      <c r="D300" s="9">
        <f>IFERROR(__xludf.DUMMYFUNCTION("""COMPUTED_VALUE"""),2024.0)</f>
        <v>2024</v>
      </c>
      <c r="E300" s="9">
        <f>IFERROR(__xludf.DUMMYFUNCTION("""COMPUTED_VALUE"""),0.02)</f>
        <v>0.02</v>
      </c>
      <c r="F300" s="9">
        <f>IFERROR(__xludf.DUMMYFUNCTION("""COMPUTED_VALUE"""),13.4)</f>
        <v>13.4</v>
      </c>
    </row>
    <row r="301">
      <c r="A301" s="9" t="str">
        <f>IFERROR(__xludf.DUMMYFUNCTION("""COMPUTED_VALUE"""),"BBAS3")</f>
        <v>BBAS3</v>
      </c>
      <c r="B301" s="17">
        <f>IFERROR(__xludf.DUMMYFUNCTION("""COMPUTED_VALUE"""),45471.0)</f>
        <v>45471</v>
      </c>
      <c r="C301" s="9">
        <f>IFERROR(__xludf.DUMMYFUNCTION("""COMPUTED_VALUE"""),6.0)</f>
        <v>6</v>
      </c>
      <c r="D301" s="9">
        <f>IFERROR(__xludf.DUMMYFUNCTION("""COMPUTED_VALUE"""),2024.0)</f>
        <v>2024</v>
      </c>
      <c r="E301" s="9">
        <f>IFERROR(__xludf.DUMMYFUNCTION("""COMPUTED_VALUE"""),0.2)</f>
        <v>0.2</v>
      </c>
      <c r="F301" s="9">
        <f>IFERROR(__xludf.DUMMYFUNCTION("""COMPUTED_VALUE"""),273.25)</f>
        <v>273.25</v>
      </c>
    </row>
    <row r="302">
      <c r="A302" s="9" t="str">
        <f>IFERROR(__xludf.DUMMYFUNCTION("""COMPUTED_VALUE"""),"BBDC3")</f>
        <v>BBDC3</v>
      </c>
      <c r="B302" s="17">
        <f>IFERROR(__xludf.DUMMYFUNCTION("""COMPUTED_VALUE"""),45471.0)</f>
        <v>45471</v>
      </c>
      <c r="C302" s="9">
        <f>IFERROR(__xludf.DUMMYFUNCTION("""COMPUTED_VALUE"""),6.0)</f>
        <v>6</v>
      </c>
      <c r="D302" s="9">
        <f>IFERROR(__xludf.DUMMYFUNCTION("""COMPUTED_VALUE"""),2024.0)</f>
        <v>2024</v>
      </c>
      <c r="E302" s="9">
        <f>IFERROR(__xludf.DUMMYFUNCTION("""COMPUTED_VALUE"""),0.45)</f>
        <v>0.45</v>
      </c>
      <c r="F302" s="9">
        <f>IFERROR(__xludf.DUMMYFUNCTION("""COMPUTED_VALUE"""),347.52)</f>
        <v>347.52</v>
      </c>
    </row>
    <row r="303">
      <c r="A303" s="9" t="str">
        <f>IFERROR(__xludf.DUMMYFUNCTION("""COMPUTED_VALUE"""),"CPLE6")</f>
        <v>CPLE6</v>
      </c>
      <c r="B303" s="17">
        <f>IFERROR(__xludf.DUMMYFUNCTION("""COMPUTED_VALUE"""),45471.0)</f>
        <v>45471</v>
      </c>
      <c r="C303" s="9">
        <f>IFERROR(__xludf.DUMMYFUNCTION("""COMPUTED_VALUE"""),6.0)</f>
        <v>6</v>
      </c>
      <c r="D303" s="9">
        <f>IFERROR(__xludf.DUMMYFUNCTION("""COMPUTED_VALUE"""),2024.0)</f>
        <v>2024</v>
      </c>
      <c r="E303" s="9">
        <f>IFERROR(__xludf.DUMMYFUNCTION("""COMPUTED_VALUE"""),0.05)</f>
        <v>0.05</v>
      </c>
      <c r="F303" s="9">
        <f>IFERROR(__xludf.DUMMYFUNCTION("""COMPUTED_VALUE"""),33.08)</f>
        <v>33.08</v>
      </c>
    </row>
    <row r="304">
      <c r="A304" s="9" t="str">
        <f>IFERROR(__xludf.DUMMYFUNCTION("""COMPUTED_VALUE"""),"CPLE6")</f>
        <v>CPLE6</v>
      </c>
      <c r="B304" s="17">
        <f>IFERROR(__xludf.DUMMYFUNCTION("""COMPUTED_VALUE"""),45471.0)</f>
        <v>45471</v>
      </c>
      <c r="C304" s="9">
        <f>IFERROR(__xludf.DUMMYFUNCTION("""COMPUTED_VALUE"""),6.0)</f>
        <v>6</v>
      </c>
      <c r="D304" s="9">
        <f>IFERROR(__xludf.DUMMYFUNCTION("""COMPUTED_VALUE"""),2024.0)</f>
        <v>2024</v>
      </c>
      <c r="E304" s="9">
        <f>IFERROR(__xludf.DUMMYFUNCTION("""COMPUTED_VALUE"""),0.18)</f>
        <v>0.18</v>
      </c>
      <c r="F304" s="9">
        <f>IFERROR(__xludf.DUMMYFUNCTION("""COMPUTED_VALUE"""),107.65)</f>
        <v>107.65</v>
      </c>
    </row>
    <row r="305">
      <c r="A305" s="9" t="str">
        <f>IFERROR(__xludf.DUMMYFUNCTION("""COMPUTED_VALUE"""),"BRSR6")</f>
        <v>BRSR6</v>
      </c>
      <c r="B305" s="17">
        <f>IFERROR(__xludf.DUMMYFUNCTION("""COMPUTED_VALUE"""),45470.0)</f>
        <v>45470</v>
      </c>
      <c r="C305" s="9">
        <f>IFERROR(__xludf.DUMMYFUNCTION("""COMPUTED_VALUE"""),6.0)</f>
        <v>6</v>
      </c>
      <c r="D305" s="9">
        <f>IFERROR(__xludf.DUMMYFUNCTION("""COMPUTED_VALUE"""),2024.0)</f>
        <v>2024</v>
      </c>
      <c r="E305" s="9">
        <f>IFERROR(__xludf.DUMMYFUNCTION("""COMPUTED_VALUE"""),0.12)</f>
        <v>0.12</v>
      </c>
      <c r="F305" s="9">
        <f>IFERROR(__xludf.DUMMYFUNCTION("""COMPUTED_VALUE"""),110.57)</f>
        <v>110.57</v>
      </c>
    </row>
    <row r="306">
      <c r="A306" s="9" t="str">
        <f>IFERROR(__xludf.DUMMYFUNCTION("""COMPUTED_VALUE"""),"SAPR4")</f>
        <v>SAPR4</v>
      </c>
      <c r="B306" s="17">
        <f>IFERROR(__xludf.DUMMYFUNCTION("""COMPUTED_VALUE"""),45470.0)</f>
        <v>45470</v>
      </c>
      <c r="C306" s="9">
        <f>IFERROR(__xludf.DUMMYFUNCTION("""COMPUTED_VALUE"""),6.0)</f>
        <v>6</v>
      </c>
      <c r="D306" s="9">
        <f>IFERROR(__xludf.DUMMYFUNCTION("""COMPUTED_VALUE"""),2024.0)</f>
        <v>2024</v>
      </c>
      <c r="E306" s="9">
        <f>IFERROR(__xludf.DUMMYFUNCTION("""COMPUTED_VALUE"""),0.18)</f>
        <v>0.18</v>
      </c>
      <c r="F306" s="9">
        <f>IFERROR(__xludf.DUMMYFUNCTION("""COMPUTED_VALUE"""),393.29)</f>
        <v>393.29</v>
      </c>
    </row>
    <row r="307">
      <c r="A307" s="9" t="str">
        <f>IFERROR(__xludf.DUMMYFUNCTION("""COMPUTED_VALUE"""),"SAPR4")</f>
        <v>SAPR4</v>
      </c>
      <c r="B307" s="17">
        <f>IFERROR(__xludf.DUMMYFUNCTION("""COMPUTED_VALUE"""),45470.0)</f>
        <v>45470</v>
      </c>
      <c r="C307" s="9">
        <f>IFERROR(__xludf.DUMMYFUNCTION("""COMPUTED_VALUE"""),6.0)</f>
        <v>6</v>
      </c>
      <c r="D307" s="9">
        <f>IFERROR(__xludf.DUMMYFUNCTION("""COMPUTED_VALUE"""),2024.0)</f>
        <v>2024</v>
      </c>
      <c r="E307" s="9">
        <f>IFERROR(__xludf.DUMMYFUNCTION("""COMPUTED_VALUE"""),0.13)</f>
        <v>0.13</v>
      </c>
      <c r="F307" s="9">
        <f>IFERROR(__xludf.DUMMYFUNCTION("""COMPUTED_VALUE"""),268.47)</f>
        <v>268.47</v>
      </c>
    </row>
    <row r="308">
      <c r="A308" s="9" t="str">
        <f>IFERROR(__xludf.DUMMYFUNCTION("""COMPUTED_VALUE"""),"TAEE4")</f>
        <v>TAEE4</v>
      </c>
      <c r="B308" s="17">
        <f>IFERROR(__xludf.DUMMYFUNCTION("""COMPUTED_VALUE"""),45470.0)</f>
        <v>45470</v>
      </c>
      <c r="C308" s="9">
        <f>IFERROR(__xludf.DUMMYFUNCTION("""COMPUTED_VALUE"""),6.0)</f>
        <v>6</v>
      </c>
      <c r="D308" s="9">
        <f>IFERROR(__xludf.DUMMYFUNCTION("""COMPUTED_VALUE"""),2024.0)</f>
        <v>2024</v>
      </c>
      <c r="E308" s="9">
        <f>IFERROR(__xludf.DUMMYFUNCTION("""COMPUTED_VALUE"""),0.14)</f>
        <v>0.14</v>
      </c>
      <c r="F308" s="9">
        <f>IFERROR(__xludf.DUMMYFUNCTION("""COMPUTED_VALUE"""),182.09)</f>
        <v>182.09</v>
      </c>
    </row>
    <row r="309">
      <c r="A309" s="9" t="str">
        <f>IFERROR(__xludf.DUMMYFUNCTION("""COMPUTED_VALUE"""),"BBAS3")</f>
        <v>BBAS3</v>
      </c>
      <c r="B309" s="17">
        <f>IFERROR(__xludf.DUMMYFUNCTION("""COMPUTED_VALUE"""),45464.0)</f>
        <v>45464</v>
      </c>
      <c r="C309" s="9">
        <f>IFERROR(__xludf.DUMMYFUNCTION("""COMPUTED_VALUE"""),6.0)</f>
        <v>6</v>
      </c>
      <c r="D309" s="9">
        <f>IFERROR(__xludf.DUMMYFUNCTION("""COMPUTED_VALUE"""),2024.0)</f>
        <v>2024</v>
      </c>
      <c r="E309" s="9">
        <f>IFERROR(__xludf.DUMMYFUNCTION("""COMPUTED_VALUE"""),0.29)</f>
        <v>0.29</v>
      </c>
      <c r="F309" s="9">
        <f>IFERROR(__xludf.DUMMYFUNCTION("""COMPUTED_VALUE"""),392.22)</f>
        <v>392.22</v>
      </c>
    </row>
    <row r="310">
      <c r="A310" s="9" t="str">
        <f>IFERROR(__xludf.DUMMYFUNCTION("""COMPUTED_VALUE"""),"BBAS3")</f>
        <v>BBAS3</v>
      </c>
      <c r="B310" s="17">
        <f>IFERROR(__xludf.DUMMYFUNCTION("""COMPUTED_VALUE"""),45464.0)</f>
        <v>45464</v>
      </c>
      <c r="C310" s="9">
        <f>IFERROR(__xludf.DUMMYFUNCTION("""COMPUTED_VALUE"""),6.0)</f>
        <v>6</v>
      </c>
      <c r="D310" s="9">
        <f>IFERROR(__xludf.DUMMYFUNCTION("""COMPUTED_VALUE"""),2024.0)</f>
        <v>2024</v>
      </c>
      <c r="E310" s="9">
        <f>IFERROR(__xludf.DUMMYFUNCTION("""COMPUTED_VALUE"""),0.17)</f>
        <v>0.17</v>
      </c>
      <c r="F310" s="9">
        <f>IFERROR(__xludf.DUMMYFUNCTION("""COMPUTED_VALUE"""),259.37)</f>
        <v>259.37</v>
      </c>
    </row>
    <row r="311">
      <c r="A311" s="9" t="str">
        <f>IFERROR(__xludf.DUMMYFUNCTION("""COMPUTED_VALUE"""),"PETR4")</f>
        <v>PETR4</v>
      </c>
      <c r="B311" s="17">
        <f>IFERROR(__xludf.DUMMYFUNCTION("""COMPUTED_VALUE"""),45463.0)</f>
        <v>45463</v>
      </c>
      <c r="C311" s="9">
        <f>IFERROR(__xludf.DUMMYFUNCTION("""COMPUTED_VALUE"""),6.0)</f>
        <v>6</v>
      </c>
      <c r="D311" s="9">
        <f>IFERROR(__xludf.DUMMYFUNCTION("""COMPUTED_VALUE"""),2024.0)</f>
        <v>2024</v>
      </c>
      <c r="E311" s="9">
        <f>IFERROR(__xludf.DUMMYFUNCTION("""COMPUTED_VALUE"""),0.0)</f>
        <v>0</v>
      </c>
      <c r="F311" s="9">
        <f>IFERROR(__xludf.DUMMYFUNCTION("""COMPUTED_VALUE"""),332.89)</f>
        <v>332.89</v>
      </c>
    </row>
    <row r="312">
      <c r="A312" s="9" t="str">
        <f>IFERROR(__xludf.DUMMYFUNCTION("""COMPUTED_VALUE"""),"BBDC3")</f>
        <v>BBDC3</v>
      </c>
      <c r="B312" s="17">
        <f>IFERROR(__xludf.DUMMYFUNCTION("""COMPUTED_VALUE"""),45446.0)</f>
        <v>45446</v>
      </c>
      <c r="C312" s="9">
        <f>IFERROR(__xludf.DUMMYFUNCTION("""COMPUTED_VALUE"""),6.0)</f>
        <v>6</v>
      </c>
      <c r="D312" s="9">
        <f>IFERROR(__xludf.DUMMYFUNCTION("""COMPUTED_VALUE"""),2024.0)</f>
        <v>2024</v>
      </c>
      <c r="E312" s="9">
        <f>IFERROR(__xludf.DUMMYFUNCTION("""COMPUTED_VALUE"""),0.02)</f>
        <v>0.02</v>
      </c>
      <c r="F312" s="9">
        <f>IFERROR(__xludf.DUMMYFUNCTION("""COMPUTED_VALUE"""),13.4)</f>
        <v>13.4</v>
      </c>
    </row>
    <row r="313">
      <c r="A313" s="9" t="str">
        <f>IFERROR(__xludf.DUMMYFUNCTION("""COMPUTED_VALUE"""),"LEVE3")</f>
        <v>LEVE3</v>
      </c>
      <c r="B313" s="17">
        <f>IFERROR(__xludf.DUMMYFUNCTION("""COMPUTED_VALUE"""),45441.0)</f>
        <v>45441</v>
      </c>
      <c r="C313" s="9">
        <f>IFERROR(__xludf.DUMMYFUNCTION("""COMPUTED_VALUE"""),5.0)</f>
        <v>5</v>
      </c>
      <c r="D313" s="9">
        <f>IFERROR(__xludf.DUMMYFUNCTION("""COMPUTED_VALUE"""),2024.0)</f>
        <v>2024</v>
      </c>
      <c r="E313" s="9">
        <f>IFERROR(__xludf.DUMMYFUNCTION("""COMPUTED_VALUE"""),1.63)</f>
        <v>1.63</v>
      </c>
      <c r="F313" s="9">
        <f>IFERROR(__xludf.DUMMYFUNCTION("""COMPUTED_VALUE"""),440.76)</f>
        <v>440.76</v>
      </c>
    </row>
    <row r="314">
      <c r="A314" s="9" t="str">
        <f>IFERROR(__xludf.DUMMYFUNCTION("""COMPUTED_VALUE"""),"PETR4")</f>
        <v>PETR4</v>
      </c>
      <c r="B314" s="17">
        <f>IFERROR(__xludf.DUMMYFUNCTION("""COMPUTED_VALUE"""),45432.0)</f>
        <v>45432</v>
      </c>
      <c r="C314" s="9">
        <f>IFERROR(__xludf.DUMMYFUNCTION("""COMPUTED_VALUE"""),5.0)</f>
        <v>5</v>
      </c>
      <c r="D314" s="9">
        <f>IFERROR(__xludf.DUMMYFUNCTION("""COMPUTED_VALUE"""),2024.0)</f>
        <v>2024</v>
      </c>
      <c r="E314" s="9">
        <f>IFERROR(__xludf.DUMMYFUNCTION("""COMPUTED_VALUE"""),0.0)</f>
        <v>0</v>
      </c>
      <c r="F314" s="9">
        <f>IFERROR(__xludf.DUMMYFUNCTION("""COMPUTED_VALUE"""),330.65)</f>
        <v>330.65</v>
      </c>
    </row>
    <row r="315">
      <c r="A315" s="9" t="str">
        <f>IFERROR(__xludf.DUMMYFUNCTION("""COMPUTED_VALUE"""),"BRSR6")</f>
        <v>BRSR6</v>
      </c>
      <c r="B315" s="17">
        <f>IFERROR(__xludf.DUMMYFUNCTION("""COMPUTED_VALUE"""),45429.0)</f>
        <v>45429</v>
      </c>
      <c r="C315" s="9">
        <f>IFERROR(__xludf.DUMMYFUNCTION("""COMPUTED_VALUE"""),5.0)</f>
        <v>5</v>
      </c>
      <c r="D315" s="9">
        <f>IFERROR(__xludf.DUMMYFUNCTION("""COMPUTED_VALUE"""),2024.0)</f>
        <v>2024</v>
      </c>
      <c r="E315" s="9">
        <f>IFERROR(__xludf.DUMMYFUNCTION("""COMPUTED_VALUE"""),0.18)</f>
        <v>0.18</v>
      </c>
      <c r="F315" s="9">
        <f>IFERROR(__xludf.DUMMYFUNCTION("""COMPUTED_VALUE"""),176.55)</f>
        <v>176.55</v>
      </c>
    </row>
    <row r="316">
      <c r="A316" s="9" t="str">
        <f>IFERROR(__xludf.DUMMYFUNCTION("""COMPUTED_VALUE"""),"KLBN4")</f>
        <v>KLBN4</v>
      </c>
      <c r="B316" s="17">
        <f>IFERROR(__xludf.DUMMYFUNCTION("""COMPUTED_VALUE"""),45428.0)</f>
        <v>45428</v>
      </c>
      <c r="C316" s="9">
        <f>IFERROR(__xludf.DUMMYFUNCTION("""COMPUTED_VALUE"""),5.0)</f>
        <v>5</v>
      </c>
      <c r="D316" s="9">
        <f>IFERROR(__xludf.DUMMYFUNCTION("""COMPUTED_VALUE"""),2024.0)</f>
        <v>2024</v>
      </c>
      <c r="E316" s="9">
        <f>IFERROR(__xludf.DUMMYFUNCTION("""COMPUTED_VALUE"""),0.06)</f>
        <v>0.06</v>
      </c>
      <c r="F316" s="9">
        <f>IFERROR(__xludf.DUMMYFUNCTION("""COMPUTED_VALUE"""),110.1)</f>
        <v>110.1</v>
      </c>
    </row>
    <row r="317">
      <c r="A317" s="9" t="str">
        <f>IFERROR(__xludf.DUMMYFUNCTION("""COMPUTED_VALUE"""),"TAEE4")</f>
        <v>TAEE4</v>
      </c>
      <c r="B317" s="17">
        <f>IFERROR(__xludf.DUMMYFUNCTION("""COMPUTED_VALUE"""),45428.0)</f>
        <v>45428</v>
      </c>
      <c r="C317" s="9">
        <f>IFERROR(__xludf.DUMMYFUNCTION("""COMPUTED_VALUE"""),5.0)</f>
        <v>5</v>
      </c>
      <c r="D317" s="9">
        <f>IFERROR(__xludf.DUMMYFUNCTION("""COMPUTED_VALUE"""),2024.0)</f>
        <v>2024</v>
      </c>
      <c r="E317" s="9">
        <f>IFERROR(__xludf.DUMMYFUNCTION("""COMPUTED_VALUE"""),0.38)</f>
        <v>0.38</v>
      </c>
      <c r="F317" s="9">
        <f>IFERROR(__xludf.DUMMYFUNCTION("""COMPUTED_VALUE"""),577.02)</f>
        <v>577.02</v>
      </c>
    </row>
    <row r="318">
      <c r="A318" s="9" t="str">
        <f>IFERROR(__xludf.DUMMYFUNCTION("""COMPUTED_VALUE"""),"CXSE3")</f>
        <v>CXSE3</v>
      </c>
      <c r="B318" s="17">
        <f>IFERROR(__xludf.DUMMYFUNCTION("""COMPUTED_VALUE"""),45420.0)</f>
        <v>45420</v>
      </c>
      <c r="C318" s="9">
        <f>IFERROR(__xludf.DUMMYFUNCTION("""COMPUTED_VALUE"""),5.0)</f>
        <v>5</v>
      </c>
      <c r="D318" s="9">
        <f>IFERROR(__xludf.DUMMYFUNCTION("""COMPUTED_VALUE"""),2024.0)</f>
        <v>2024</v>
      </c>
      <c r="E318" s="9">
        <f>IFERROR(__xludf.DUMMYFUNCTION("""COMPUTED_VALUE"""),0.0)</f>
        <v>0</v>
      </c>
      <c r="F318" s="9">
        <f>IFERROR(__xludf.DUMMYFUNCTION("""COMPUTED_VALUE"""),6.16)</f>
        <v>6.16</v>
      </c>
    </row>
    <row r="319">
      <c r="A319" s="9" t="str">
        <f>IFERROR(__xludf.DUMMYFUNCTION("""COMPUTED_VALUE"""),"CXSE3")</f>
        <v>CXSE3</v>
      </c>
      <c r="B319" s="17">
        <f>IFERROR(__xludf.DUMMYFUNCTION("""COMPUTED_VALUE"""),45420.0)</f>
        <v>45420</v>
      </c>
      <c r="C319" s="9">
        <f>IFERROR(__xludf.DUMMYFUNCTION("""COMPUTED_VALUE"""),5.0)</f>
        <v>5</v>
      </c>
      <c r="D319" s="9">
        <f>IFERROR(__xludf.DUMMYFUNCTION("""COMPUTED_VALUE"""),2024.0)</f>
        <v>2024</v>
      </c>
      <c r="E319" s="9">
        <f>IFERROR(__xludf.DUMMYFUNCTION("""COMPUTED_VALUE"""),0.55)</f>
        <v>0.55</v>
      </c>
      <c r="F319" s="9">
        <f>IFERROR(__xludf.DUMMYFUNCTION("""COMPUTED_VALUE"""),277.49)</f>
        <v>277.49</v>
      </c>
    </row>
    <row r="320">
      <c r="A320" s="9" t="str">
        <f>IFERROR(__xludf.DUMMYFUNCTION("""COMPUTED_VALUE"""),"BBDC3")</f>
        <v>BBDC3</v>
      </c>
      <c r="B320" s="17">
        <f>IFERROR(__xludf.DUMMYFUNCTION("""COMPUTED_VALUE"""),45414.0)</f>
        <v>45414</v>
      </c>
      <c r="C320" s="9">
        <f>IFERROR(__xludf.DUMMYFUNCTION("""COMPUTED_VALUE"""),5.0)</f>
        <v>5</v>
      </c>
      <c r="D320" s="9">
        <f>IFERROR(__xludf.DUMMYFUNCTION("""COMPUTED_VALUE"""),2024.0)</f>
        <v>2024</v>
      </c>
      <c r="E320" s="9">
        <f>IFERROR(__xludf.DUMMYFUNCTION("""COMPUTED_VALUE"""),0.02)</f>
        <v>0.02</v>
      </c>
      <c r="F320" s="9">
        <f>IFERROR(__xludf.DUMMYFUNCTION("""COMPUTED_VALUE"""),13.4)</f>
        <v>13.4</v>
      </c>
    </row>
    <row r="321">
      <c r="A321" s="9" t="str">
        <f>IFERROR(__xludf.DUMMYFUNCTION("""COMPUTED_VALUE"""),"VIVT3")</f>
        <v>VIVT3</v>
      </c>
      <c r="B321" s="17">
        <f>IFERROR(__xludf.DUMMYFUNCTION("""COMPUTED_VALUE"""),45405.0)</f>
        <v>45405</v>
      </c>
      <c r="C321" s="9">
        <f>IFERROR(__xludf.DUMMYFUNCTION("""COMPUTED_VALUE"""),4.0)</f>
        <v>4</v>
      </c>
      <c r="D321" s="9">
        <f>IFERROR(__xludf.DUMMYFUNCTION("""COMPUTED_VALUE"""),2024.0)</f>
        <v>2024</v>
      </c>
      <c r="E321" s="9">
        <f>IFERROR(__xludf.DUMMYFUNCTION("""COMPUTED_VALUE"""),0.24)</f>
        <v>0.24</v>
      </c>
      <c r="F321" s="9">
        <f>IFERROR(__xludf.DUMMYFUNCTION("""COMPUTED_VALUE"""),48.17)</f>
        <v>48.17</v>
      </c>
    </row>
    <row r="322">
      <c r="A322" s="9" t="str">
        <f>IFERROR(__xludf.DUMMYFUNCTION("""COMPUTED_VALUE"""),"VIVT3")</f>
        <v>VIVT3</v>
      </c>
      <c r="B322" s="17">
        <f>IFERROR(__xludf.DUMMYFUNCTION("""COMPUTED_VALUE"""),45405.0)</f>
        <v>45405</v>
      </c>
      <c r="C322" s="9">
        <f>IFERROR(__xludf.DUMMYFUNCTION("""COMPUTED_VALUE"""),4.0)</f>
        <v>4</v>
      </c>
      <c r="D322" s="9">
        <f>IFERROR(__xludf.DUMMYFUNCTION("""COMPUTED_VALUE"""),2024.0)</f>
        <v>2024</v>
      </c>
      <c r="E322" s="9">
        <f>IFERROR(__xludf.DUMMYFUNCTION("""COMPUTED_VALUE"""),0.19)</f>
        <v>0.19</v>
      </c>
      <c r="F322" s="9">
        <f>IFERROR(__xludf.DUMMYFUNCTION("""COMPUTED_VALUE"""),38.02)</f>
        <v>38.02</v>
      </c>
    </row>
    <row r="323">
      <c r="A323" s="9" t="str">
        <f>IFERROR(__xludf.DUMMYFUNCTION("""COMPUTED_VALUE"""),"TRPL4")</f>
        <v>TRPL4</v>
      </c>
      <c r="B323" s="17">
        <f>IFERROR(__xludf.DUMMYFUNCTION("""COMPUTED_VALUE"""),45392.0)</f>
        <v>45392</v>
      </c>
      <c r="C323" s="9">
        <f>IFERROR(__xludf.DUMMYFUNCTION("""COMPUTED_VALUE"""),4.0)</f>
        <v>4</v>
      </c>
      <c r="D323" s="9">
        <f>IFERROR(__xludf.DUMMYFUNCTION("""COMPUTED_VALUE"""),2024.0)</f>
        <v>2024</v>
      </c>
      <c r="E323" s="9">
        <f>IFERROR(__xludf.DUMMYFUNCTION("""COMPUTED_VALUE"""),1.96)</f>
        <v>1.96</v>
      </c>
      <c r="F323" s="9">
        <f>IFERROR(__xludf.DUMMYFUNCTION("""COMPUTED_VALUE"""),1243.63)</f>
        <v>1243.63</v>
      </c>
    </row>
    <row r="324">
      <c r="A324" s="9" t="str">
        <f>IFERROR(__xludf.DUMMYFUNCTION("""COMPUTED_VALUE"""),"BBDC3")</f>
        <v>BBDC3</v>
      </c>
      <c r="B324" s="17">
        <f>IFERROR(__xludf.DUMMYFUNCTION("""COMPUTED_VALUE"""),45383.0)</f>
        <v>45383</v>
      </c>
      <c r="C324" s="9">
        <f>IFERROR(__xludf.DUMMYFUNCTION("""COMPUTED_VALUE"""),4.0)</f>
        <v>4</v>
      </c>
      <c r="D324" s="9">
        <f>IFERROR(__xludf.DUMMYFUNCTION("""COMPUTED_VALUE"""),2024.0)</f>
        <v>2024</v>
      </c>
      <c r="E324" s="9">
        <f>IFERROR(__xludf.DUMMYFUNCTION("""COMPUTED_VALUE"""),0.02)</f>
        <v>0.02</v>
      </c>
      <c r="F324" s="9">
        <f>IFERROR(__xludf.DUMMYFUNCTION("""COMPUTED_VALUE"""),13.4)</f>
        <v>13.4</v>
      </c>
    </row>
    <row r="325">
      <c r="A325" s="9" t="str">
        <f>IFERROR(__xludf.DUMMYFUNCTION("""COMPUTED_VALUE"""),"BBAS3")</f>
        <v>BBAS3</v>
      </c>
      <c r="B325" s="17">
        <f>IFERROR(__xludf.DUMMYFUNCTION("""COMPUTED_VALUE"""),45378.0)</f>
        <v>45378</v>
      </c>
      <c r="C325" s="9">
        <f>IFERROR(__xludf.DUMMYFUNCTION("""COMPUTED_VALUE"""),3.0)</f>
        <v>3</v>
      </c>
      <c r="D325" s="9">
        <f>IFERROR(__xludf.DUMMYFUNCTION("""COMPUTED_VALUE"""),2024.0)</f>
        <v>2024</v>
      </c>
      <c r="E325" s="9">
        <f>IFERROR(__xludf.DUMMYFUNCTION("""COMPUTED_VALUE"""),0.41)</f>
        <v>0.41</v>
      </c>
      <c r="F325" s="9">
        <f>IFERROR(__xludf.DUMMYFUNCTION("""COMPUTED_VALUE"""),274.29)</f>
        <v>274.29</v>
      </c>
    </row>
    <row r="326">
      <c r="A326" s="9" t="str">
        <f>IFERROR(__xludf.DUMMYFUNCTION("""COMPUTED_VALUE"""),"BRSR6")</f>
        <v>BRSR6</v>
      </c>
      <c r="B326" s="17">
        <f>IFERROR(__xludf.DUMMYFUNCTION("""COMPUTED_VALUE"""),45378.0)</f>
        <v>45378</v>
      </c>
      <c r="C326" s="9">
        <f>IFERROR(__xludf.DUMMYFUNCTION("""COMPUTED_VALUE"""),3.0)</f>
        <v>3</v>
      </c>
      <c r="D326" s="9">
        <f>IFERROR(__xludf.DUMMYFUNCTION("""COMPUTED_VALUE"""),2024.0)</f>
        <v>2024</v>
      </c>
      <c r="E326" s="9">
        <f>IFERROR(__xludf.DUMMYFUNCTION("""COMPUTED_VALUE"""),0.12)</f>
        <v>0.12</v>
      </c>
      <c r="F326" s="9">
        <f>IFERROR(__xludf.DUMMYFUNCTION("""COMPUTED_VALUE"""),100.18)</f>
        <v>100.18</v>
      </c>
    </row>
    <row r="327">
      <c r="A327" s="9" t="str">
        <f>IFERROR(__xludf.DUMMYFUNCTION("""COMPUTED_VALUE"""),"PETR4")</f>
        <v>PETR4</v>
      </c>
      <c r="B327" s="17">
        <f>IFERROR(__xludf.DUMMYFUNCTION("""COMPUTED_VALUE"""),45371.0)</f>
        <v>45371</v>
      </c>
      <c r="C327" s="9">
        <f>IFERROR(__xludf.DUMMYFUNCTION("""COMPUTED_VALUE"""),3.0)</f>
        <v>3</v>
      </c>
      <c r="D327" s="9">
        <f>IFERROR(__xludf.DUMMYFUNCTION("""COMPUTED_VALUE"""),2024.0)</f>
        <v>2024</v>
      </c>
      <c r="E327" s="9">
        <f>IFERROR(__xludf.DUMMYFUNCTION("""COMPUTED_VALUE"""),0.0)</f>
        <v>0</v>
      </c>
      <c r="F327" s="9">
        <f>IFERROR(__xludf.DUMMYFUNCTION("""COMPUTED_VALUE"""),156.87)</f>
        <v>156.87</v>
      </c>
    </row>
    <row r="328">
      <c r="A328" s="9" t="str">
        <f>IFERROR(__xludf.DUMMYFUNCTION("""COMPUTED_VALUE"""),"BBDC3")</f>
        <v>BBDC3</v>
      </c>
      <c r="B328" s="17">
        <f>IFERROR(__xludf.DUMMYFUNCTION("""COMPUTED_VALUE"""),45352.0)</f>
        <v>45352</v>
      </c>
      <c r="C328" s="9">
        <f>IFERROR(__xludf.DUMMYFUNCTION("""COMPUTED_VALUE"""),3.0)</f>
        <v>3</v>
      </c>
      <c r="D328" s="9">
        <f>IFERROR(__xludf.DUMMYFUNCTION("""COMPUTED_VALUE"""),2024.0)</f>
        <v>2024</v>
      </c>
      <c r="E328" s="9">
        <f>IFERROR(__xludf.DUMMYFUNCTION("""COMPUTED_VALUE"""),0.02)</f>
        <v>0.02</v>
      </c>
      <c r="F328" s="9">
        <f>IFERROR(__xludf.DUMMYFUNCTION("""COMPUTED_VALUE"""),13.4)</f>
        <v>13.4</v>
      </c>
    </row>
    <row r="329">
      <c r="A329" s="9" t="str">
        <f>IFERROR(__xludf.DUMMYFUNCTION("""COMPUTED_VALUE"""),"BBAS3")</f>
        <v>BBAS3</v>
      </c>
      <c r="B329" s="17">
        <f>IFERROR(__xludf.DUMMYFUNCTION("""COMPUTED_VALUE"""),45351.0)</f>
        <v>45351</v>
      </c>
      <c r="C329" s="9">
        <f>IFERROR(__xludf.DUMMYFUNCTION("""COMPUTED_VALUE"""),2.0)</f>
        <v>2</v>
      </c>
      <c r="D329" s="9">
        <f>IFERROR(__xludf.DUMMYFUNCTION("""COMPUTED_VALUE"""),2024.0)</f>
        <v>2024</v>
      </c>
      <c r="E329" s="9">
        <f>IFERROR(__xludf.DUMMYFUNCTION("""COMPUTED_VALUE"""),0.61)</f>
        <v>0.61</v>
      </c>
      <c r="F329" s="9">
        <f>IFERROR(__xludf.DUMMYFUNCTION("""COMPUTED_VALUE"""),410.5)</f>
        <v>410.5</v>
      </c>
    </row>
    <row r="330">
      <c r="A330" s="9" t="str">
        <f>IFERROR(__xludf.DUMMYFUNCTION("""COMPUTED_VALUE"""),"BBAS3")</f>
        <v>BBAS3</v>
      </c>
      <c r="B330" s="17">
        <f>IFERROR(__xludf.DUMMYFUNCTION("""COMPUTED_VALUE"""),45351.0)</f>
        <v>45351</v>
      </c>
      <c r="C330" s="9">
        <f>IFERROR(__xludf.DUMMYFUNCTION("""COMPUTED_VALUE"""),2.0)</f>
        <v>2</v>
      </c>
      <c r="D330" s="9">
        <f>IFERROR(__xludf.DUMMYFUNCTION("""COMPUTED_VALUE"""),2024.0)</f>
        <v>2024</v>
      </c>
      <c r="E330" s="9">
        <f>IFERROR(__xludf.DUMMYFUNCTION("""COMPUTED_VALUE"""),0.22)</f>
        <v>0.22</v>
      </c>
      <c r="F330" s="9">
        <f>IFERROR(__xludf.DUMMYFUNCTION("""COMPUTED_VALUE"""),173.78)</f>
        <v>173.78</v>
      </c>
    </row>
    <row r="331">
      <c r="A331" s="9" t="str">
        <f>IFERROR(__xludf.DUMMYFUNCTION("""COMPUTED_VALUE"""),"BBAS3")</f>
        <v>BBAS3</v>
      </c>
      <c r="B331" s="17">
        <f>IFERROR(__xludf.DUMMYFUNCTION("""COMPUTED_VALUE"""),45351.0)</f>
        <v>45351</v>
      </c>
      <c r="C331" s="9">
        <f>IFERROR(__xludf.DUMMYFUNCTION("""COMPUTED_VALUE"""),2.0)</f>
        <v>2</v>
      </c>
      <c r="D331" s="9">
        <f>IFERROR(__xludf.DUMMYFUNCTION("""COMPUTED_VALUE"""),2024.0)</f>
        <v>2024</v>
      </c>
      <c r="E331" s="9">
        <f>IFERROR(__xludf.DUMMYFUNCTION("""COMPUTED_VALUE"""),0.0)</f>
        <v>0</v>
      </c>
      <c r="F331" s="9">
        <f>IFERROR(__xludf.DUMMYFUNCTION("""COMPUTED_VALUE"""),2.39)</f>
        <v>2.39</v>
      </c>
    </row>
    <row r="332">
      <c r="A332" s="9" t="str">
        <f>IFERROR(__xludf.DUMMYFUNCTION("""COMPUTED_VALUE"""),"BBAS3")</f>
        <v>BBAS3</v>
      </c>
      <c r="B332" s="17">
        <f>IFERROR(__xludf.DUMMYFUNCTION("""COMPUTED_VALUE"""),45351.0)</f>
        <v>45351</v>
      </c>
      <c r="C332" s="9">
        <f>IFERROR(__xludf.DUMMYFUNCTION("""COMPUTED_VALUE"""),2.0)</f>
        <v>2</v>
      </c>
      <c r="D332" s="9">
        <f>IFERROR(__xludf.DUMMYFUNCTION("""COMPUTED_VALUE"""),2024.0)</f>
        <v>2024</v>
      </c>
      <c r="E332" s="9">
        <f>IFERROR(__xludf.DUMMYFUNCTION("""COMPUTED_VALUE"""),0.0)</f>
        <v>0</v>
      </c>
      <c r="F332" s="9">
        <f>IFERROR(__xludf.DUMMYFUNCTION("""COMPUTED_VALUE"""),6.65)</f>
        <v>6.65</v>
      </c>
    </row>
    <row r="333">
      <c r="A333" s="9" t="str">
        <f>IFERROR(__xludf.DUMMYFUNCTION("""COMPUTED_VALUE"""),"KLBN4")</f>
        <v>KLBN4</v>
      </c>
      <c r="B333" s="17">
        <f>IFERROR(__xludf.DUMMYFUNCTION("""COMPUTED_VALUE"""),45348.0)</f>
        <v>45348</v>
      </c>
      <c r="C333" s="9">
        <f>IFERROR(__xludf.DUMMYFUNCTION("""COMPUTED_VALUE"""),2.0)</f>
        <v>2</v>
      </c>
      <c r="D333" s="9">
        <f>IFERROR(__xludf.DUMMYFUNCTION("""COMPUTED_VALUE"""),2024.0)</f>
        <v>2024</v>
      </c>
      <c r="E333" s="9">
        <f>IFERROR(__xludf.DUMMYFUNCTION("""COMPUTED_VALUE"""),0.04)</f>
        <v>0.04</v>
      </c>
      <c r="F333" s="9">
        <f>IFERROR(__xludf.DUMMYFUNCTION("""COMPUTED_VALUE"""),64.17)</f>
        <v>64.17</v>
      </c>
    </row>
    <row r="334">
      <c r="A334" s="9" t="str">
        <f>IFERROR(__xludf.DUMMYFUNCTION("""COMPUTED_VALUE"""),"KLBN4")</f>
        <v>KLBN4</v>
      </c>
      <c r="B334" s="17">
        <f>IFERROR(__xludf.DUMMYFUNCTION("""COMPUTED_VALUE"""),45348.0)</f>
        <v>45348</v>
      </c>
      <c r="C334" s="9">
        <f>IFERROR(__xludf.DUMMYFUNCTION("""COMPUTED_VALUE"""),2.0)</f>
        <v>2</v>
      </c>
      <c r="D334" s="9">
        <f>IFERROR(__xludf.DUMMYFUNCTION("""COMPUTED_VALUE"""),2024.0)</f>
        <v>2024</v>
      </c>
      <c r="E334" s="9">
        <f>IFERROR(__xludf.DUMMYFUNCTION("""COMPUTED_VALUE"""),0.03)</f>
        <v>0.03</v>
      </c>
      <c r="F334" s="9">
        <f>IFERROR(__xludf.DUMMYFUNCTION("""COMPUTED_VALUE"""),48.58)</f>
        <v>48.58</v>
      </c>
    </row>
    <row r="335">
      <c r="A335" s="9" t="str">
        <f>IFERROR(__xludf.DUMMYFUNCTION("""COMPUTED_VALUE"""),"BBSE3")</f>
        <v>BBSE3</v>
      </c>
      <c r="B335" s="17">
        <f>IFERROR(__xludf.DUMMYFUNCTION("""COMPUTED_VALUE"""),45344.0)</f>
        <v>45344</v>
      </c>
      <c r="C335" s="9">
        <f>IFERROR(__xludf.DUMMYFUNCTION("""COMPUTED_VALUE"""),2.0)</f>
        <v>2</v>
      </c>
      <c r="D335" s="9">
        <f>IFERROR(__xludf.DUMMYFUNCTION("""COMPUTED_VALUE"""),2024.0)</f>
        <v>2024</v>
      </c>
      <c r="E335" s="9">
        <f>IFERROR(__xludf.DUMMYFUNCTION("""COMPUTED_VALUE"""),0.0)</f>
        <v>0</v>
      </c>
      <c r="F335" s="9">
        <f>IFERROR(__xludf.DUMMYFUNCTION("""COMPUTED_VALUE"""),16.41)</f>
        <v>16.41</v>
      </c>
    </row>
    <row r="336">
      <c r="A336" s="9" t="str">
        <f>IFERROR(__xludf.DUMMYFUNCTION("""COMPUTED_VALUE"""),"BBSE3")</f>
        <v>BBSE3</v>
      </c>
      <c r="B336" s="17">
        <f>IFERROR(__xludf.DUMMYFUNCTION("""COMPUTED_VALUE"""),45344.0)</f>
        <v>45344</v>
      </c>
      <c r="C336" s="9">
        <f>IFERROR(__xludf.DUMMYFUNCTION("""COMPUTED_VALUE"""),2.0)</f>
        <v>2</v>
      </c>
      <c r="D336" s="9">
        <f>IFERROR(__xludf.DUMMYFUNCTION("""COMPUTED_VALUE"""),2024.0)</f>
        <v>2024</v>
      </c>
      <c r="E336" s="9">
        <f>IFERROR(__xludf.DUMMYFUNCTION("""COMPUTED_VALUE"""),1.24)</f>
        <v>1.24</v>
      </c>
      <c r="F336" s="9">
        <f>IFERROR(__xludf.DUMMYFUNCTION("""COMPUTED_VALUE"""),1354.88)</f>
        <v>1354.88</v>
      </c>
    </row>
    <row r="337">
      <c r="A337" s="9" t="str">
        <f>IFERROR(__xludf.DUMMYFUNCTION("""COMPUTED_VALUE"""),"ABCB4")</f>
        <v>ABCB4</v>
      </c>
      <c r="B337" s="17">
        <f>IFERROR(__xludf.DUMMYFUNCTION("""COMPUTED_VALUE"""),45342.0)</f>
        <v>45342</v>
      </c>
      <c r="C337" s="9">
        <f>IFERROR(__xludf.DUMMYFUNCTION("""COMPUTED_VALUE"""),2.0)</f>
        <v>2</v>
      </c>
      <c r="D337" s="9">
        <f>IFERROR(__xludf.DUMMYFUNCTION("""COMPUTED_VALUE"""),2024.0)</f>
        <v>2024</v>
      </c>
      <c r="E337" s="9">
        <f>IFERROR(__xludf.DUMMYFUNCTION("""COMPUTED_VALUE"""),0.74)</f>
        <v>0.74</v>
      </c>
      <c r="F337" s="9">
        <f>IFERROR(__xludf.DUMMYFUNCTION("""COMPUTED_VALUE"""),92.59)</f>
        <v>92.59</v>
      </c>
    </row>
    <row r="338">
      <c r="A338" s="9" t="str">
        <f>IFERROR(__xludf.DUMMYFUNCTION("""COMPUTED_VALUE"""),"PETR4")</f>
        <v>PETR4</v>
      </c>
      <c r="B338" s="17">
        <f>IFERROR(__xludf.DUMMYFUNCTION("""COMPUTED_VALUE"""),45342.0)</f>
        <v>45342</v>
      </c>
      <c r="C338" s="9">
        <f>IFERROR(__xludf.DUMMYFUNCTION("""COMPUTED_VALUE"""),2.0)</f>
        <v>2</v>
      </c>
      <c r="D338" s="9">
        <f>IFERROR(__xludf.DUMMYFUNCTION("""COMPUTED_VALUE"""),2024.0)</f>
        <v>2024</v>
      </c>
      <c r="E338" s="9">
        <f>IFERROR(__xludf.DUMMYFUNCTION("""COMPUTED_VALUE"""),0.0)</f>
        <v>0</v>
      </c>
      <c r="F338" s="9">
        <f>IFERROR(__xludf.DUMMYFUNCTION("""COMPUTED_VALUE"""),141.06)</f>
        <v>141.06</v>
      </c>
    </row>
    <row r="339">
      <c r="A339" s="9" t="str">
        <f>IFERROR(__xludf.DUMMYFUNCTION("""COMPUTED_VALUE"""),"BBDC3")</f>
        <v>BBDC3</v>
      </c>
      <c r="B339" s="17">
        <f>IFERROR(__xludf.DUMMYFUNCTION("""COMPUTED_VALUE"""),45323.0)</f>
        <v>45323</v>
      </c>
      <c r="C339" s="9">
        <f>IFERROR(__xludf.DUMMYFUNCTION("""COMPUTED_VALUE"""),2.0)</f>
        <v>2</v>
      </c>
      <c r="D339" s="9">
        <f>IFERROR(__xludf.DUMMYFUNCTION("""COMPUTED_VALUE"""),2024.0)</f>
        <v>2024</v>
      </c>
      <c r="E339" s="9">
        <f>IFERROR(__xludf.DUMMYFUNCTION("""COMPUTED_VALUE"""),0.02)</f>
        <v>0.02</v>
      </c>
      <c r="F339" s="9">
        <f>IFERROR(__xludf.DUMMYFUNCTION("""COMPUTED_VALUE"""),13.4)</f>
        <v>13.4</v>
      </c>
    </row>
    <row r="340">
      <c r="A340" s="9" t="str">
        <f>IFERROR(__xludf.DUMMYFUNCTION("""COMPUTED_VALUE"""),"TAEE4")</f>
        <v>TAEE4</v>
      </c>
      <c r="B340" s="17">
        <f>IFERROR(__xludf.DUMMYFUNCTION("""COMPUTED_VALUE"""),45307.0)</f>
        <v>45307</v>
      </c>
      <c r="C340" s="9">
        <f>IFERROR(__xludf.DUMMYFUNCTION("""COMPUTED_VALUE"""),1.0)</f>
        <v>1</v>
      </c>
      <c r="D340" s="9">
        <f>IFERROR(__xludf.DUMMYFUNCTION("""COMPUTED_VALUE"""),2024.0)</f>
        <v>2024</v>
      </c>
      <c r="E340" s="9">
        <f>IFERROR(__xludf.DUMMYFUNCTION("""COMPUTED_VALUE"""),0.22)</f>
        <v>0.22</v>
      </c>
      <c r="F340" s="9">
        <f>IFERROR(__xludf.DUMMYFUNCTION("""COMPUTED_VALUE"""),337.09)</f>
        <v>337.09</v>
      </c>
    </row>
    <row r="341">
      <c r="A341" s="9" t="str">
        <f>IFERROR(__xludf.DUMMYFUNCTION("""COMPUTED_VALUE"""),"TRPL4")</f>
        <v>TRPL4</v>
      </c>
      <c r="B341" s="17">
        <f>IFERROR(__xludf.DUMMYFUNCTION("""COMPUTED_VALUE"""),45306.0)</f>
        <v>45306</v>
      </c>
      <c r="C341" s="9">
        <f>IFERROR(__xludf.DUMMYFUNCTION("""COMPUTED_VALUE"""),1.0)</f>
        <v>1</v>
      </c>
      <c r="D341" s="9">
        <f>IFERROR(__xludf.DUMMYFUNCTION("""COMPUTED_VALUE"""),2024.0)</f>
        <v>2024</v>
      </c>
      <c r="E341" s="9">
        <f>IFERROR(__xludf.DUMMYFUNCTION("""COMPUTED_VALUE"""),0.24)</f>
        <v>0.24</v>
      </c>
      <c r="F341" s="9">
        <f>IFERROR(__xludf.DUMMYFUNCTION("""COMPUTED_VALUE"""),153.98)</f>
        <v>153.98</v>
      </c>
    </row>
    <row r="342">
      <c r="A342" s="9" t="str">
        <f>IFERROR(__xludf.DUMMYFUNCTION("""COMPUTED_VALUE"""),"BBDC3")</f>
        <v>BBDC3</v>
      </c>
      <c r="B342" s="17">
        <f>IFERROR(__xludf.DUMMYFUNCTION("""COMPUTED_VALUE"""),45293.0)</f>
        <v>45293</v>
      </c>
      <c r="C342" s="9">
        <f>IFERROR(__xludf.DUMMYFUNCTION("""COMPUTED_VALUE"""),1.0)</f>
        <v>1</v>
      </c>
      <c r="D342" s="9">
        <f>IFERROR(__xludf.DUMMYFUNCTION("""COMPUTED_VALUE"""),2024.0)</f>
        <v>2024</v>
      </c>
      <c r="E342" s="9">
        <f>IFERROR(__xludf.DUMMYFUNCTION("""COMPUTED_VALUE"""),0.18)</f>
        <v>0.18</v>
      </c>
      <c r="F342" s="9">
        <f>IFERROR(__xludf.DUMMYFUNCTION("""COMPUTED_VALUE"""),139.06)</f>
        <v>139.06</v>
      </c>
    </row>
    <row r="343">
      <c r="A343" s="9" t="str">
        <f>IFERROR(__xludf.DUMMYFUNCTION("""COMPUTED_VALUE"""),"BBDC3")</f>
        <v>BBDC3</v>
      </c>
      <c r="B343" s="17">
        <f>IFERROR(__xludf.DUMMYFUNCTION("""COMPUTED_VALUE"""),45293.0)</f>
        <v>45293</v>
      </c>
      <c r="C343" s="9">
        <f>IFERROR(__xludf.DUMMYFUNCTION("""COMPUTED_VALUE"""),1.0)</f>
        <v>1</v>
      </c>
      <c r="D343" s="9">
        <f>IFERROR(__xludf.DUMMYFUNCTION("""COMPUTED_VALUE"""),2024.0)</f>
        <v>2024</v>
      </c>
      <c r="E343" s="9">
        <f>IFERROR(__xludf.DUMMYFUNCTION("""COMPUTED_VALUE"""),0.02)</f>
        <v>0.02</v>
      </c>
      <c r="F343" s="9">
        <f>IFERROR(__xludf.DUMMYFUNCTION("""COMPUTED_VALUE"""),13.4)</f>
        <v>13.4</v>
      </c>
    </row>
    <row r="344">
      <c r="A344" s="9" t="str">
        <f>IFERROR(__xludf.DUMMYFUNCTION("""COMPUTED_VALUE"""),"BBAS3")</f>
        <v>BBAS3</v>
      </c>
      <c r="B344" s="17">
        <f>IFERROR(__xludf.DUMMYFUNCTION("""COMPUTED_VALUE"""),46003.0)</f>
        <v>46003</v>
      </c>
      <c r="C344" s="9">
        <f>IFERROR(__xludf.DUMMYFUNCTION("""COMPUTED_VALUE"""),12.0)</f>
        <v>12</v>
      </c>
      <c r="D344" s="9">
        <f>IFERROR(__xludf.DUMMYFUNCTION("""COMPUTED_VALUE"""),2025.0)</f>
        <v>2025</v>
      </c>
      <c r="E344" s="9">
        <f>IFERROR(__xludf.DUMMYFUNCTION("""COMPUTED_VALUE"""),0.05)</f>
        <v>0.05</v>
      </c>
      <c r="F344" s="9">
        <f>IFERROR(__xludf.DUMMYFUNCTION("""COMPUTED_VALUE"""),162.34)</f>
        <v>162.34</v>
      </c>
    </row>
    <row r="345">
      <c r="A345" s="9" t="str">
        <f>IFERROR(__xludf.DUMMYFUNCTION("""COMPUTED_VALUE"""),"BBAS3")</f>
        <v>BBAS3</v>
      </c>
      <c r="B345" s="17">
        <f>IFERROR(__xludf.DUMMYFUNCTION("""COMPUTED_VALUE"""),46002.0)</f>
        <v>46002</v>
      </c>
      <c r="C345" s="9">
        <f>IFERROR(__xludf.DUMMYFUNCTION("""COMPUTED_VALUE"""),12.0)</f>
        <v>12</v>
      </c>
      <c r="D345" s="9">
        <f>IFERROR(__xludf.DUMMYFUNCTION("""COMPUTED_VALUE"""),2025.0)</f>
        <v>2025</v>
      </c>
      <c r="E345" s="9">
        <f>IFERROR(__xludf.DUMMYFUNCTION("""COMPUTED_VALUE"""),0.07)</f>
        <v>0.07</v>
      </c>
      <c r="F345" s="9">
        <f>IFERROR(__xludf.DUMMYFUNCTION("""COMPUTED_VALUE"""),254.77)</f>
        <v>254.77</v>
      </c>
    </row>
    <row r="346">
      <c r="A346" s="9" t="str">
        <f>IFERROR(__xludf.DUMMYFUNCTION("""COMPUTED_VALUE"""),"VULC3")</f>
        <v>VULC3</v>
      </c>
      <c r="B346" s="17">
        <f>IFERROR(__xludf.DUMMYFUNCTION("""COMPUTED_VALUE"""),45992.0)</f>
        <v>45992</v>
      </c>
      <c r="C346" s="9">
        <f>IFERROR(__xludf.DUMMYFUNCTION("""COMPUTED_VALUE"""),12.0)</f>
        <v>12</v>
      </c>
      <c r="D346" s="9">
        <f>IFERROR(__xludf.DUMMYFUNCTION("""COMPUTED_VALUE"""),2025.0)</f>
        <v>2025</v>
      </c>
      <c r="E346" s="9">
        <f>IFERROR(__xludf.DUMMYFUNCTION("""COMPUTED_VALUE"""),0.13)</f>
        <v>0.13</v>
      </c>
      <c r="F346" s="9">
        <f>IFERROR(__xludf.DUMMYFUNCTION("""COMPUTED_VALUE"""),105.25)</f>
        <v>105.25</v>
      </c>
    </row>
    <row r="347">
      <c r="A347" s="9" t="str">
        <f>IFERROR(__xludf.DUMMYFUNCTION("""COMPUTED_VALUE"""),"CGAS5")</f>
        <v>CGAS5</v>
      </c>
      <c r="B347" s="17">
        <f>IFERROR(__xludf.DUMMYFUNCTION("""COMPUTED_VALUE"""),45987.0)</f>
        <v>45987</v>
      </c>
      <c r="C347" s="9">
        <f>IFERROR(__xludf.DUMMYFUNCTION("""COMPUTED_VALUE"""),11.0)</f>
        <v>11</v>
      </c>
      <c r="D347" s="9">
        <f>IFERROR(__xludf.DUMMYFUNCTION("""COMPUTED_VALUE"""),2025.0)</f>
        <v>2025</v>
      </c>
      <c r="E347" s="9">
        <f>IFERROR(__xludf.DUMMYFUNCTION("""COMPUTED_VALUE"""),0.41)</f>
        <v>0.41</v>
      </c>
      <c r="F347" s="9">
        <f>IFERROR(__xludf.DUMMYFUNCTION("""COMPUTED_VALUE"""),16.24)</f>
        <v>16.24</v>
      </c>
    </row>
    <row r="348">
      <c r="A348" s="9" t="str">
        <f>IFERROR(__xludf.DUMMYFUNCTION("""COMPUTED_VALUE"""),"CGAS5")</f>
        <v>CGAS5</v>
      </c>
      <c r="B348" s="17">
        <f>IFERROR(__xludf.DUMMYFUNCTION("""COMPUTED_VALUE"""),45987.0)</f>
        <v>45987</v>
      </c>
      <c r="C348" s="9">
        <f>IFERROR(__xludf.DUMMYFUNCTION("""COMPUTED_VALUE"""),11.0)</f>
        <v>11</v>
      </c>
      <c r="D348" s="9">
        <f>IFERROR(__xludf.DUMMYFUNCTION("""COMPUTED_VALUE"""),2025.0)</f>
        <v>2025</v>
      </c>
      <c r="E348" s="9">
        <f>IFERROR(__xludf.DUMMYFUNCTION("""COMPUTED_VALUE"""),2.84)</f>
        <v>2.84</v>
      </c>
      <c r="F348" s="9">
        <f>IFERROR(__xludf.DUMMYFUNCTION("""COMPUTED_VALUE"""),96.68)</f>
        <v>96.68</v>
      </c>
    </row>
    <row r="349">
      <c r="A349" s="9" t="str">
        <f>IFERROR(__xludf.DUMMYFUNCTION("""COMPUTED_VALUE"""),"RANI3")</f>
        <v>RANI3</v>
      </c>
      <c r="B349" s="17">
        <f>IFERROR(__xludf.DUMMYFUNCTION("""COMPUTED_VALUE"""),45986.0)</f>
        <v>45986</v>
      </c>
      <c r="C349" s="9">
        <f>IFERROR(__xludf.DUMMYFUNCTION("""COMPUTED_VALUE"""),11.0)</f>
        <v>11</v>
      </c>
      <c r="D349" s="9">
        <f>IFERROR(__xludf.DUMMYFUNCTION("""COMPUTED_VALUE"""),2025.0)</f>
        <v>2025</v>
      </c>
      <c r="E349" s="9">
        <f>IFERROR(__xludf.DUMMYFUNCTION("""COMPUTED_VALUE"""),0.05)</f>
        <v>0.05</v>
      </c>
      <c r="F349" s="9">
        <f>IFERROR(__xludf.DUMMYFUNCTION("""COMPUTED_VALUE"""),65.38)</f>
        <v>65.38</v>
      </c>
    </row>
    <row r="350">
      <c r="A350" s="9" t="str">
        <f>IFERROR(__xludf.DUMMYFUNCTION("""COMPUTED_VALUE"""),"PETR4")</f>
        <v>PETR4</v>
      </c>
      <c r="B350" s="17">
        <f>IFERROR(__xludf.DUMMYFUNCTION("""COMPUTED_VALUE"""),45982.0)</f>
        <v>45982</v>
      </c>
      <c r="C350" s="9">
        <f>IFERROR(__xludf.DUMMYFUNCTION("""COMPUTED_VALUE"""),11.0)</f>
        <v>11</v>
      </c>
      <c r="D350" s="9">
        <f>IFERROR(__xludf.DUMMYFUNCTION("""COMPUTED_VALUE"""),2025.0)</f>
        <v>2025</v>
      </c>
      <c r="E350" s="9">
        <f>IFERROR(__xludf.DUMMYFUNCTION("""COMPUTED_VALUE"""),0.34)</f>
        <v>0.34</v>
      </c>
      <c r="F350" s="9">
        <f>IFERROR(__xludf.DUMMYFUNCTION("""COMPUTED_VALUE"""),82.53)</f>
        <v>82.53</v>
      </c>
    </row>
    <row r="351">
      <c r="A351" s="9" t="str">
        <f>IFERROR(__xludf.DUMMYFUNCTION("""COMPUTED_VALUE"""),"CXSE3")</f>
        <v>CXSE3</v>
      </c>
      <c r="B351" s="17">
        <f>IFERROR(__xludf.DUMMYFUNCTION("""COMPUTED_VALUE"""),45978.0)</f>
        <v>45978</v>
      </c>
      <c r="C351" s="9">
        <f>IFERROR(__xludf.DUMMYFUNCTION("""COMPUTED_VALUE"""),11.0)</f>
        <v>11</v>
      </c>
      <c r="D351" s="9">
        <f>IFERROR(__xludf.DUMMYFUNCTION("""COMPUTED_VALUE"""),2025.0)</f>
        <v>2025</v>
      </c>
      <c r="E351" s="9">
        <f>IFERROR(__xludf.DUMMYFUNCTION("""COMPUTED_VALUE"""),0.32)</f>
        <v>0.32</v>
      </c>
      <c r="F351" s="9">
        <f>IFERROR(__xludf.DUMMYFUNCTION("""COMPUTED_VALUE"""),558.72)</f>
        <v>558.72</v>
      </c>
    </row>
    <row r="352">
      <c r="A352" s="9" t="str">
        <f>IFERROR(__xludf.DUMMYFUNCTION("""COMPUTED_VALUE"""),"VULC3")</f>
        <v>VULC3</v>
      </c>
      <c r="B352" s="17">
        <f>IFERROR(__xludf.DUMMYFUNCTION("""COMPUTED_VALUE"""),45964.0)</f>
        <v>45964</v>
      </c>
      <c r="C352" s="9">
        <f>IFERROR(__xludf.DUMMYFUNCTION("""COMPUTED_VALUE"""),11.0)</f>
        <v>11</v>
      </c>
      <c r="D352" s="9">
        <f>IFERROR(__xludf.DUMMYFUNCTION("""COMPUTED_VALUE"""),2025.0)</f>
        <v>2025</v>
      </c>
      <c r="E352" s="9">
        <f>IFERROR(__xludf.DUMMYFUNCTION("""COMPUTED_VALUE"""),0.13)</f>
        <v>0.13</v>
      </c>
      <c r="F352" s="9">
        <f>IFERROR(__xludf.DUMMYFUNCTION("""COMPUTED_VALUE"""),59.0)</f>
        <v>59</v>
      </c>
    </row>
    <row r="353">
      <c r="A353" s="9" t="str">
        <f>IFERROR(__xludf.DUMMYFUNCTION("""COMPUTED_VALUE"""),"BBDC3")</f>
        <v>BBDC3</v>
      </c>
      <c r="B353" s="17">
        <f>IFERROR(__xludf.DUMMYFUNCTION("""COMPUTED_VALUE"""),45961.0)</f>
        <v>45961</v>
      </c>
      <c r="C353" s="9">
        <f>IFERROR(__xludf.DUMMYFUNCTION("""COMPUTED_VALUE"""),10.0)</f>
        <v>10</v>
      </c>
      <c r="D353" s="9">
        <f>IFERROR(__xludf.DUMMYFUNCTION("""COMPUTED_VALUE"""),2025.0)</f>
        <v>2025</v>
      </c>
      <c r="E353" s="9">
        <f>IFERROR(__xludf.DUMMYFUNCTION("""COMPUTED_VALUE"""),0.21)</f>
        <v>0.21</v>
      </c>
      <c r="F353" s="9">
        <f>IFERROR(__xludf.DUMMYFUNCTION("""COMPUTED_VALUE"""),2.46)</f>
        <v>2.46</v>
      </c>
    </row>
    <row r="354">
      <c r="A354" s="9" t="str">
        <f>IFERROR(__xludf.DUMMYFUNCTION("""COMPUTED_VALUE"""),"CGAS5")</f>
        <v>CGAS5</v>
      </c>
      <c r="B354" s="17">
        <f>IFERROR(__xludf.DUMMYFUNCTION("""COMPUTED_VALUE"""),45961.0)</f>
        <v>45961</v>
      </c>
      <c r="C354" s="9">
        <f>IFERROR(__xludf.DUMMYFUNCTION("""COMPUTED_VALUE"""),10.0)</f>
        <v>10</v>
      </c>
      <c r="D354" s="9">
        <f>IFERROR(__xludf.DUMMYFUNCTION("""COMPUTED_VALUE"""),2025.0)</f>
        <v>2025</v>
      </c>
      <c r="E354" s="9">
        <f>IFERROR(__xludf.DUMMYFUNCTION("""COMPUTED_VALUE"""),0.0)</f>
        <v>0</v>
      </c>
      <c r="F354" s="9">
        <f>IFERROR(__xludf.DUMMYFUNCTION("""COMPUTED_VALUE"""),227.49)</f>
        <v>227.49</v>
      </c>
    </row>
    <row r="355">
      <c r="A355" s="9" t="str">
        <f>IFERROR(__xludf.DUMMYFUNCTION("""COMPUTED_VALUE"""),"BRSR6")</f>
        <v>BRSR6</v>
      </c>
      <c r="B355" s="17">
        <f>IFERROR(__xludf.DUMMYFUNCTION("""COMPUTED_VALUE"""),45929.0)</f>
        <v>45929</v>
      </c>
      <c r="C355" s="9">
        <f>IFERROR(__xludf.DUMMYFUNCTION("""COMPUTED_VALUE"""),9.0)</f>
        <v>9</v>
      </c>
      <c r="D355" s="9">
        <f>IFERROR(__xludf.DUMMYFUNCTION("""COMPUTED_VALUE"""),2025.0)</f>
        <v>2025</v>
      </c>
      <c r="E355" s="9">
        <f>IFERROR(__xludf.DUMMYFUNCTION("""COMPUTED_VALUE"""),0.27)</f>
        <v>0.27</v>
      </c>
      <c r="F355" s="9">
        <f>IFERROR(__xludf.DUMMYFUNCTION("""COMPUTED_VALUE"""),300.41)</f>
        <v>300.41</v>
      </c>
    </row>
    <row r="356">
      <c r="A356" s="9" t="str">
        <f>IFERROR(__xludf.DUMMYFUNCTION("""COMPUTED_VALUE"""),"PETR4")</f>
        <v>PETR4</v>
      </c>
      <c r="B356" s="17">
        <f>IFERROR(__xludf.DUMMYFUNCTION("""COMPUTED_VALUE"""),45922.0)</f>
        <v>45922</v>
      </c>
      <c r="C356" s="9">
        <f>IFERROR(__xludf.DUMMYFUNCTION("""COMPUTED_VALUE"""),9.0)</f>
        <v>9</v>
      </c>
      <c r="D356" s="9">
        <f>IFERROR(__xludf.DUMMYFUNCTION("""COMPUTED_VALUE"""),2025.0)</f>
        <v>2025</v>
      </c>
      <c r="E356" s="9">
        <f>IFERROR(__xludf.DUMMYFUNCTION("""COMPUTED_VALUE"""),0.15)</f>
        <v>0.15</v>
      </c>
      <c r="F356" s="9">
        <f>IFERROR(__xludf.DUMMYFUNCTION("""COMPUTED_VALUE"""),35.9)</f>
        <v>35.9</v>
      </c>
    </row>
    <row r="357">
      <c r="A357" s="9" t="str">
        <f>IFERROR(__xludf.DUMMYFUNCTION("""COMPUTED_VALUE"""),"PETR4")</f>
        <v>PETR4</v>
      </c>
      <c r="B357" s="17">
        <f>IFERROR(__xludf.DUMMYFUNCTION("""COMPUTED_VALUE"""),45922.0)</f>
        <v>45922</v>
      </c>
      <c r="C357" s="9">
        <f>IFERROR(__xludf.DUMMYFUNCTION("""COMPUTED_VALUE"""),9.0)</f>
        <v>9</v>
      </c>
      <c r="D357" s="9">
        <f>IFERROR(__xludf.DUMMYFUNCTION("""COMPUTED_VALUE"""),2025.0)</f>
        <v>2025</v>
      </c>
      <c r="E357" s="9">
        <f>IFERROR(__xludf.DUMMYFUNCTION("""COMPUTED_VALUE"""),0.31)</f>
        <v>0.31</v>
      </c>
      <c r="F357" s="9">
        <f>IFERROR(__xludf.DUMMYFUNCTION("""COMPUTED_VALUE"""),89.14)</f>
        <v>89.14</v>
      </c>
    </row>
    <row r="358">
      <c r="A358" s="9" t="str">
        <f>IFERROR(__xludf.DUMMYFUNCTION("""COMPUTED_VALUE"""),"CEBR6")</f>
        <v>CEBR6</v>
      </c>
      <c r="B358" s="17">
        <f>IFERROR(__xludf.DUMMYFUNCTION("""COMPUTED_VALUE"""),45917.0)</f>
        <v>45917</v>
      </c>
      <c r="C358" s="9">
        <f>IFERROR(__xludf.DUMMYFUNCTION("""COMPUTED_VALUE"""),9.0)</f>
        <v>9</v>
      </c>
      <c r="D358" s="9">
        <f>IFERROR(__xludf.DUMMYFUNCTION("""COMPUTED_VALUE"""),2025.0)</f>
        <v>2025</v>
      </c>
      <c r="E358" s="9">
        <f>IFERROR(__xludf.DUMMYFUNCTION("""COMPUTED_VALUE"""),1.83)</f>
        <v>1.83</v>
      </c>
      <c r="F358" s="9">
        <f>IFERROR(__xludf.DUMMYFUNCTION("""COMPUTED_VALUE"""),1181.84)</f>
        <v>1181.84</v>
      </c>
    </row>
    <row r="359">
      <c r="A359" s="9" t="str">
        <f>IFERROR(__xludf.DUMMYFUNCTION("""COMPUTED_VALUE"""),"BBSE3")</f>
        <v>BBSE3</v>
      </c>
      <c r="B359" s="17">
        <f>IFERROR(__xludf.DUMMYFUNCTION("""COMPUTED_VALUE"""),45895.0)</f>
        <v>45895</v>
      </c>
      <c r="C359" s="9">
        <f>IFERROR(__xludf.DUMMYFUNCTION("""COMPUTED_VALUE"""),8.0)</f>
        <v>8</v>
      </c>
      <c r="D359" s="9">
        <f>IFERROR(__xludf.DUMMYFUNCTION("""COMPUTED_VALUE"""),2025.0)</f>
        <v>2025</v>
      </c>
      <c r="E359" s="9">
        <f>IFERROR(__xludf.DUMMYFUNCTION("""COMPUTED_VALUE"""),1.94)</f>
        <v>1.94</v>
      </c>
      <c r="F359" s="9">
        <f>IFERROR(__xludf.DUMMYFUNCTION("""COMPUTED_VALUE"""),38.84)</f>
        <v>38.84</v>
      </c>
    </row>
    <row r="360">
      <c r="A360" s="9" t="str">
        <f>IFERROR(__xludf.DUMMYFUNCTION("""COMPUTED_VALUE"""),"BBSE3")</f>
        <v>BBSE3</v>
      </c>
      <c r="B360" s="17">
        <f>IFERROR(__xludf.DUMMYFUNCTION("""COMPUTED_VALUE"""),45895.0)</f>
        <v>45895</v>
      </c>
      <c r="C360" s="9">
        <f>IFERROR(__xludf.DUMMYFUNCTION("""COMPUTED_VALUE"""),8.0)</f>
        <v>8</v>
      </c>
      <c r="D360" s="9">
        <f>IFERROR(__xludf.DUMMYFUNCTION("""COMPUTED_VALUE"""),2025.0)</f>
        <v>2025</v>
      </c>
      <c r="E360" s="9">
        <f>IFERROR(__xludf.DUMMYFUNCTION("""COMPUTED_VALUE"""),0.0)</f>
        <v>0</v>
      </c>
      <c r="F360" s="9">
        <f>IFERROR(__xludf.DUMMYFUNCTION("""COMPUTED_VALUE"""),6214.7)</f>
        <v>6214.7</v>
      </c>
    </row>
    <row r="361">
      <c r="A361" s="9" t="str">
        <f>IFERROR(__xludf.DUMMYFUNCTION("""COMPUTED_VALUE"""),"RANI3")</f>
        <v>RANI3</v>
      </c>
      <c r="B361" s="17">
        <f>IFERROR(__xludf.DUMMYFUNCTION("""COMPUTED_VALUE"""),45891.0)</f>
        <v>45891</v>
      </c>
      <c r="C361" s="9">
        <f>IFERROR(__xludf.DUMMYFUNCTION("""COMPUTED_VALUE"""),8.0)</f>
        <v>8</v>
      </c>
      <c r="D361" s="9">
        <f>IFERROR(__xludf.DUMMYFUNCTION("""COMPUTED_VALUE"""),2025.0)</f>
        <v>2025</v>
      </c>
      <c r="E361" s="9">
        <f>IFERROR(__xludf.DUMMYFUNCTION("""COMPUTED_VALUE"""),0.11)</f>
        <v>0.11</v>
      </c>
      <c r="F361" s="9">
        <f>IFERROR(__xludf.DUMMYFUNCTION("""COMPUTED_VALUE"""),160.25)</f>
        <v>160.25</v>
      </c>
    </row>
    <row r="362">
      <c r="A362" s="9" t="str">
        <f>IFERROR(__xludf.DUMMYFUNCTION("""COMPUTED_VALUE"""),"PETR4")</f>
        <v>PETR4</v>
      </c>
      <c r="B362" s="17">
        <f>IFERROR(__xludf.DUMMYFUNCTION("""COMPUTED_VALUE"""),45889.0)</f>
        <v>45889</v>
      </c>
      <c r="C362" s="9">
        <f>IFERROR(__xludf.DUMMYFUNCTION("""COMPUTED_VALUE"""),8.0)</f>
        <v>8</v>
      </c>
      <c r="D362" s="9">
        <f>IFERROR(__xludf.DUMMYFUNCTION("""COMPUTED_VALUE"""),2025.0)</f>
        <v>2025</v>
      </c>
      <c r="E362" s="9">
        <f>IFERROR(__xludf.DUMMYFUNCTION("""COMPUTED_VALUE"""),0.46)</f>
        <v>0.46</v>
      </c>
      <c r="F362" s="9">
        <f>IFERROR(__xludf.DUMMYFUNCTION("""COMPUTED_VALUE"""),111.67)</f>
        <v>111.67</v>
      </c>
    </row>
    <row r="363">
      <c r="A363" s="9" t="str">
        <f>IFERROR(__xludf.DUMMYFUNCTION("""COMPUTED_VALUE"""),"CXSE3")</f>
        <v>CXSE3</v>
      </c>
      <c r="B363" s="17">
        <f>IFERROR(__xludf.DUMMYFUNCTION("""COMPUTED_VALUE"""),45884.0)</f>
        <v>45884</v>
      </c>
      <c r="C363" s="9">
        <f>IFERROR(__xludf.DUMMYFUNCTION("""COMPUTED_VALUE"""),8.0)</f>
        <v>8</v>
      </c>
      <c r="D363" s="9">
        <f>IFERROR(__xludf.DUMMYFUNCTION("""COMPUTED_VALUE"""),2025.0)</f>
        <v>2025</v>
      </c>
      <c r="E363" s="9">
        <f>IFERROR(__xludf.DUMMYFUNCTION("""COMPUTED_VALUE"""),0.31)</f>
        <v>0.31</v>
      </c>
      <c r="F363" s="9">
        <f>IFERROR(__xludf.DUMMYFUNCTION("""COMPUTED_VALUE"""),437.1)</f>
        <v>437.1</v>
      </c>
    </row>
    <row r="364">
      <c r="A364" s="9" t="str">
        <f>IFERROR(__xludf.DUMMYFUNCTION("""COMPUTED_VALUE"""),"BBDC3")</f>
        <v>BBDC3</v>
      </c>
      <c r="B364" s="17">
        <f>IFERROR(__xludf.DUMMYFUNCTION("""COMPUTED_VALUE"""),45869.0)</f>
        <v>45869</v>
      </c>
      <c r="C364" s="9">
        <f>IFERROR(__xludf.DUMMYFUNCTION("""COMPUTED_VALUE"""),7.0)</f>
        <v>7</v>
      </c>
      <c r="D364" s="9">
        <f>IFERROR(__xludf.DUMMYFUNCTION("""COMPUTED_VALUE"""),2025.0)</f>
        <v>2025</v>
      </c>
      <c r="E364" s="9">
        <f>IFERROR(__xludf.DUMMYFUNCTION("""COMPUTED_VALUE"""),0.27)</f>
        <v>0.27</v>
      </c>
      <c r="F364" s="9">
        <f>IFERROR(__xludf.DUMMYFUNCTION("""COMPUTED_VALUE"""),3.18)</f>
        <v>3.18</v>
      </c>
    </row>
    <row r="365">
      <c r="A365" s="9" t="str">
        <f>IFERROR(__xludf.DUMMYFUNCTION("""COMPUTED_VALUE"""),"BRSR6")</f>
        <v>BRSR6</v>
      </c>
      <c r="B365" s="17">
        <f>IFERROR(__xludf.DUMMYFUNCTION("""COMPUTED_VALUE"""),45834.0)</f>
        <v>45834</v>
      </c>
      <c r="C365" s="9">
        <f>IFERROR(__xludf.DUMMYFUNCTION("""COMPUTED_VALUE"""),6.0)</f>
        <v>6</v>
      </c>
      <c r="D365" s="9">
        <f>IFERROR(__xludf.DUMMYFUNCTION("""COMPUTED_VALUE"""),2025.0)</f>
        <v>2025</v>
      </c>
      <c r="E365" s="9">
        <f>IFERROR(__xludf.DUMMYFUNCTION("""COMPUTED_VALUE"""),0.22)</f>
        <v>0.22</v>
      </c>
      <c r="F365" s="9">
        <f>IFERROR(__xludf.DUMMYFUNCTION("""COMPUTED_VALUE"""),245.79)</f>
        <v>245.79</v>
      </c>
    </row>
    <row r="366">
      <c r="A366" s="9" t="str">
        <f>IFERROR(__xludf.DUMMYFUNCTION("""COMPUTED_VALUE"""),"SAPR4")</f>
        <v>SAPR4</v>
      </c>
      <c r="B366" s="17">
        <f>IFERROR(__xludf.DUMMYFUNCTION("""COMPUTED_VALUE"""),45834.0)</f>
        <v>45834</v>
      </c>
      <c r="C366" s="9">
        <f>IFERROR(__xludf.DUMMYFUNCTION("""COMPUTED_VALUE"""),6.0)</f>
        <v>6</v>
      </c>
      <c r="D366" s="9">
        <f>IFERROR(__xludf.DUMMYFUNCTION("""COMPUTED_VALUE"""),2025.0)</f>
        <v>2025</v>
      </c>
      <c r="E366" s="9">
        <f>IFERROR(__xludf.DUMMYFUNCTION("""COMPUTED_VALUE"""),0.15)</f>
        <v>0.15</v>
      </c>
      <c r="F366" s="9">
        <f>IFERROR(__xludf.DUMMYFUNCTION("""COMPUTED_VALUE"""),327.71)</f>
        <v>327.71</v>
      </c>
    </row>
    <row r="367">
      <c r="A367" s="9" t="str">
        <f>IFERROR(__xludf.DUMMYFUNCTION("""COMPUTED_VALUE"""),"SAPR4")</f>
        <v>SAPR4</v>
      </c>
      <c r="B367" s="17">
        <f>IFERROR(__xludf.DUMMYFUNCTION("""COMPUTED_VALUE"""),45834.0)</f>
        <v>45834</v>
      </c>
      <c r="C367" s="9">
        <f>IFERROR(__xludf.DUMMYFUNCTION("""COMPUTED_VALUE"""),6.0)</f>
        <v>6</v>
      </c>
      <c r="D367" s="9">
        <f>IFERROR(__xludf.DUMMYFUNCTION("""COMPUTED_VALUE"""),2025.0)</f>
        <v>2025</v>
      </c>
      <c r="E367" s="9">
        <f>IFERROR(__xludf.DUMMYFUNCTION("""COMPUTED_VALUE"""),0.16)</f>
        <v>0.16</v>
      </c>
      <c r="F367" s="9">
        <f>IFERROR(__xludf.DUMMYFUNCTION("""COMPUTED_VALUE"""),349.41)</f>
        <v>349.41</v>
      </c>
    </row>
    <row r="368">
      <c r="A368" s="9" t="str">
        <f>IFERROR(__xludf.DUMMYFUNCTION("""COMPUTED_VALUE"""),"PETR4")</f>
        <v>PETR4</v>
      </c>
      <c r="B368" s="17">
        <f>IFERROR(__xludf.DUMMYFUNCTION("""COMPUTED_VALUE"""),45828.0)</f>
        <v>45828</v>
      </c>
      <c r="C368" s="9">
        <f>IFERROR(__xludf.DUMMYFUNCTION("""COMPUTED_VALUE"""),6.0)</f>
        <v>6</v>
      </c>
      <c r="D368" s="9">
        <f>IFERROR(__xludf.DUMMYFUNCTION("""COMPUTED_VALUE"""),2025.0)</f>
        <v>2025</v>
      </c>
      <c r="E368" s="9">
        <f>IFERROR(__xludf.DUMMYFUNCTION("""COMPUTED_VALUE"""),0.0)</f>
        <v>0</v>
      </c>
      <c r="F368" s="9">
        <f>IFERROR(__xludf.DUMMYFUNCTION("""COMPUTED_VALUE"""),1.49)</f>
        <v>1.49</v>
      </c>
    </row>
    <row r="369">
      <c r="A369" s="9" t="str">
        <f>IFERROR(__xludf.DUMMYFUNCTION("""COMPUTED_VALUE"""),"PETR4")</f>
        <v>PETR4</v>
      </c>
      <c r="B369" s="17">
        <f>IFERROR(__xludf.DUMMYFUNCTION("""COMPUTED_VALUE"""),45828.0)</f>
        <v>45828</v>
      </c>
      <c r="C369" s="9">
        <f>IFERROR(__xludf.DUMMYFUNCTION("""COMPUTED_VALUE"""),6.0)</f>
        <v>6</v>
      </c>
      <c r="D369" s="9">
        <f>IFERROR(__xludf.DUMMYFUNCTION("""COMPUTED_VALUE"""),2025.0)</f>
        <v>2025</v>
      </c>
      <c r="E369" s="9">
        <f>IFERROR(__xludf.DUMMYFUNCTION("""COMPUTED_VALUE"""),0.36)</f>
        <v>0.36</v>
      </c>
      <c r="F369" s="9">
        <f>IFERROR(__xludf.DUMMYFUNCTION("""COMPUTED_VALUE"""),31.57)</f>
        <v>31.57</v>
      </c>
    </row>
    <row r="370">
      <c r="A370" s="9" t="str">
        <f>IFERROR(__xludf.DUMMYFUNCTION("""COMPUTED_VALUE"""),"BBAS3")</f>
        <v>BBAS3</v>
      </c>
      <c r="B370" s="17">
        <f>IFERROR(__xludf.DUMMYFUNCTION("""COMPUTED_VALUE"""),45820.0)</f>
        <v>45820</v>
      </c>
      <c r="C370" s="9">
        <f>IFERROR(__xludf.DUMMYFUNCTION("""COMPUTED_VALUE"""),6.0)</f>
        <v>6</v>
      </c>
      <c r="D370" s="9">
        <f>IFERROR(__xludf.DUMMYFUNCTION("""COMPUTED_VALUE"""),2025.0)</f>
        <v>2025</v>
      </c>
      <c r="E370" s="9">
        <f>IFERROR(__xludf.DUMMYFUNCTION("""COMPUTED_VALUE"""),0.09)</f>
        <v>0.09</v>
      </c>
      <c r="F370" s="9">
        <f>IFERROR(__xludf.DUMMYFUNCTION("""COMPUTED_VALUE"""),371.87)</f>
        <v>371.87</v>
      </c>
    </row>
    <row r="371">
      <c r="A371" s="9" t="str">
        <f>IFERROR(__xludf.DUMMYFUNCTION("""COMPUTED_VALUE"""),"BBAS3")</f>
        <v>BBAS3</v>
      </c>
      <c r="B371" s="17">
        <f>IFERROR(__xludf.DUMMYFUNCTION("""COMPUTED_VALUE"""),45820.0)</f>
        <v>45820</v>
      </c>
      <c r="C371" s="9">
        <f>IFERROR(__xludf.DUMMYFUNCTION("""COMPUTED_VALUE"""),6.0)</f>
        <v>6</v>
      </c>
      <c r="D371" s="9">
        <f>IFERROR(__xludf.DUMMYFUNCTION("""COMPUTED_VALUE"""),2025.0)</f>
        <v>2025</v>
      </c>
      <c r="E371" s="9">
        <f>IFERROR(__xludf.DUMMYFUNCTION("""COMPUTED_VALUE"""),0.33)</f>
        <v>0.33</v>
      </c>
      <c r="F371" s="9">
        <f>IFERROR(__xludf.DUMMYFUNCTION("""COMPUTED_VALUE"""),1374.28)</f>
        <v>1374.28</v>
      </c>
    </row>
    <row r="372">
      <c r="A372" s="9" t="str">
        <f>IFERROR(__xludf.DUMMYFUNCTION("""COMPUTED_VALUE"""),"CEBR6")</f>
        <v>CEBR6</v>
      </c>
      <c r="B372" s="17">
        <f>IFERROR(__xludf.DUMMYFUNCTION("""COMPUTED_VALUE"""),45807.0)</f>
        <v>45807</v>
      </c>
      <c r="C372" s="9">
        <f>IFERROR(__xludf.DUMMYFUNCTION("""COMPUTED_VALUE"""),5.0)</f>
        <v>5</v>
      </c>
      <c r="D372" s="9">
        <f>IFERROR(__xludf.DUMMYFUNCTION("""COMPUTED_VALUE"""),2025.0)</f>
        <v>2025</v>
      </c>
      <c r="E372" s="9">
        <f>IFERROR(__xludf.DUMMYFUNCTION("""COMPUTED_VALUE"""),1.27)</f>
        <v>1.27</v>
      </c>
      <c r="F372" s="9">
        <f>IFERROR(__xludf.DUMMYFUNCTION("""COMPUTED_VALUE"""),562.75)</f>
        <v>562.75</v>
      </c>
    </row>
    <row r="373">
      <c r="A373" s="9" t="str">
        <f>IFERROR(__xludf.DUMMYFUNCTION("""COMPUTED_VALUE"""),"LEVE3")</f>
        <v>LEVE3</v>
      </c>
      <c r="B373" s="17">
        <f>IFERROR(__xludf.DUMMYFUNCTION("""COMPUTED_VALUE"""),45805.0)</f>
        <v>45805</v>
      </c>
      <c r="C373" s="9">
        <f>IFERROR(__xludf.DUMMYFUNCTION("""COMPUTED_VALUE"""),5.0)</f>
        <v>5</v>
      </c>
      <c r="D373" s="9">
        <f>IFERROR(__xludf.DUMMYFUNCTION("""COMPUTED_VALUE"""),2025.0)</f>
        <v>2025</v>
      </c>
      <c r="E373" s="9">
        <f>IFERROR(__xludf.DUMMYFUNCTION("""COMPUTED_VALUE"""),0.22)</f>
        <v>0.22</v>
      </c>
      <c r="F373" s="9">
        <f>IFERROR(__xludf.DUMMYFUNCTION("""COMPUTED_VALUE"""),139.55)</f>
        <v>139.55</v>
      </c>
    </row>
    <row r="374">
      <c r="A374" s="9" t="str">
        <f>IFERROR(__xludf.DUMMYFUNCTION("""COMPUTED_VALUE"""),"LEVE3")</f>
        <v>LEVE3</v>
      </c>
      <c r="B374" s="17">
        <f>IFERROR(__xludf.DUMMYFUNCTION("""COMPUTED_VALUE"""),45805.0)</f>
        <v>45805</v>
      </c>
      <c r="C374" s="9">
        <f>IFERROR(__xludf.DUMMYFUNCTION("""COMPUTED_VALUE"""),5.0)</f>
        <v>5</v>
      </c>
      <c r="D374" s="9">
        <f>IFERROR(__xludf.DUMMYFUNCTION("""COMPUTED_VALUE"""),2025.0)</f>
        <v>2025</v>
      </c>
      <c r="E374" s="9">
        <f>IFERROR(__xludf.DUMMYFUNCTION("""COMPUTED_VALUE"""),1.69)</f>
        <v>1.69</v>
      </c>
      <c r="F374" s="9">
        <f>IFERROR(__xludf.DUMMYFUNCTION("""COMPUTED_VALUE"""),1069.38)</f>
        <v>1069.38</v>
      </c>
    </row>
    <row r="375">
      <c r="A375" s="9" t="str">
        <f>IFERROR(__xludf.DUMMYFUNCTION("""COMPUTED_VALUE"""),"LEVE3")</f>
        <v>LEVE3</v>
      </c>
      <c r="B375" s="17">
        <f>IFERROR(__xludf.DUMMYFUNCTION("""COMPUTED_VALUE"""),45805.0)</f>
        <v>45805</v>
      </c>
      <c r="C375" s="9">
        <f>IFERROR(__xludf.DUMMYFUNCTION("""COMPUTED_VALUE"""),5.0)</f>
        <v>5</v>
      </c>
      <c r="D375" s="9">
        <f>IFERROR(__xludf.DUMMYFUNCTION("""COMPUTED_VALUE"""),2025.0)</f>
        <v>2025</v>
      </c>
      <c r="E375" s="9">
        <f>IFERROR(__xludf.DUMMYFUNCTION("""COMPUTED_VALUE"""),0.19)</f>
        <v>0.19</v>
      </c>
      <c r="F375" s="9">
        <f>IFERROR(__xludf.DUMMYFUNCTION("""COMPUTED_VALUE"""),63.69)</f>
        <v>63.69</v>
      </c>
    </row>
    <row r="376">
      <c r="A376" s="9" t="str">
        <f>IFERROR(__xludf.DUMMYFUNCTION("""COMPUTED_VALUE"""),"RANI3")</f>
        <v>RANI3</v>
      </c>
      <c r="B376" s="17">
        <f>IFERROR(__xludf.DUMMYFUNCTION("""COMPUTED_VALUE"""),45798.0)</f>
        <v>45798</v>
      </c>
      <c r="C376" s="9">
        <f>IFERROR(__xludf.DUMMYFUNCTION("""COMPUTED_VALUE"""),5.0)</f>
        <v>5</v>
      </c>
      <c r="D376" s="9">
        <f>IFERROR(__xludf.DUMMYFUNCTION("""COMPUTED_VALUE"""),2025.0)</f>
        <v>2025</v>
      </c>
      <c r="E376" s="9">
        <f>IFERROR(__xludf.DUMMYFUNCTION("""COMPUTED_VALUE"""),0.06)</f>
        <v>0.06</v>
      </c>
      <c r="F376" s="9">
        <f>IFERROR(__xludf.DUMMYFUNCTION("""COMPUTED_VALUE"""),91.36)</f>
        <v>91.36</v>
      </c>
    </row>
    <row r="377">
      <c r="A377" s="9" t="str">
        <f>IFERROR(__xludf.DUMMYFUNCTION("""COMPUTED_VALUE"""),"RANI3")</f>
        <v>RANI3</v>
      </c>
      <c r="B377" s="17">
        <f>IFERROR(__xludf.DUMMYFUNCTION("""COMPUTED_VALUE"""),45798.0)</f>
        <v>45798</v>
      </c>
      <c r="C377" s="9">
        <f>IFERROR(__xludf.DUMMYFUNCTION("""COMPUTED_VALUE"""),5.0)</f>
        <v>5</v>
      </c>
      <c r="D377" s="9">
        <f>IFERROR(__xludf.DUMMYFUNCTION("""COMPUTED_VALUE"""),2025.0)</f>
        <v>2025</v>
      </c>
      <c r="E377" s="9">
        <f>IFERROR(__xludf.DUMMYFUNCTION("""COMPUTED_VALUE"""),0.32)</f>
        <v>0.32</v>
      </c>
      <c r="F377" s="9">
        <f>IFERROR(__xludf.DUMMYFUNCTION("""COMPUTED_VALUE"""),471.83)</f>
        <v>471.83</v>
      </c>
    </row>
    <row r="378">
      <c r="A378" s="9" t="str">
        <f>IFERROR(__xludf.DUMMYFUNCTION("""COMPUTED_VALUE"""),"PETR4")</f>
        <v>PETR4</v>
      </c>
      <c r="B378" s="17">
        <f>IFERROR(__xludf.DUMMYFUNCTION("""COMPUTED_VALUE"""),45797.0)</f>
        <v>45797</v>
      </c>
      <c r="C378" s="9">
        <f>IFERROR(__xludf.DUMMYFUNCTION("""COMPUTED_VALUE"""),5.0)</f>
        <v>5</v>
      </c>
      <c r="D378" s="9">
        <f>IFERROR(__xludf.DUMMYFUNCTION("""COMPUTED_VALUE"""),2025.0)</f>
        <v>2025</v>
      </c>
      <c r="E378" s="9">
        <f>IFERROR(__xludf.DUMMYFUNCTION("""COMPUTED_VALUE"""),0.0)</f>
        <v>0</v>
      </c>
      <c r="F378" s="9">
        <f>IFERROR(__xludf.DUMMYFUNCTION("""COMPUTED_VALUE"""),1.18)</f>
        <v>1.18</v>
      </c>
    </row>
    <row r="379">
      <c r="A379" s="9" t="str">
        <f>IFERROR(__xludf.DUMMYFUNCTION("""COMPUTED_VALUE"""),"PETR4")</f>
        <v>PETR4</v>
      </c>
      <c r="B379" s="17">
        <f>IFERROR(__xludf.DUMMYFUNCTION("""COMPUTED_VALUE"""),45797.0)</f>
        <v>45797</v>
      </c>
      <c r="C379" s="9">
        <f>IFERROR(__xludf.DUMMYFUNCTION("""COMPUTED_VALUE"""),5.0)</f>
        <v>5</v>
      </c>
      <c r="D379" s="9">
        <f>IFERROR(__xludf.DUMMYFUNCTION("""COMPUTED_VALUE"""),2025.0)</f>
        <v>2025</v>
      </c>
      <c r="E379" s="9">
        <f>IFERROR(__xludf.DUMMYFUNCTION("""COMPUTED_VALUE"""),0.36)</f>
        <v>0.36</v>
      </c>
      <c r="F379" s="9">
        <f>IFERROR(__xludf.DUMMYFUNCTION("""COMPUTED_VALUE"""),31.57)</f>
        <v>31.57</v>
      </c>
    </row>
    <row r="380">
      <c r="A380" s="9" t="str">
        <f>IFERROR(__xludf.DUMMYFUNCTION("""COMPUTED_VALUE"""),"BRSR6")</f>
        <v>BRSR6</v>
      </c>
      <c r="B380" s="17">
        <f>IFERROR(__xludf.DUMMYFUNCTION("""COMPUTED_VALUE"""),45793.0)</f>
        <v>45793</v>
      </c>
      <c r="C380" s="9">
        <f>IFERROR(__xludf.DUMMYFUNCTION("""COMPUTED_VALUE"""),5.0)</f>
        <v>5</v>
      </c>
      <c r="D380" s="9">
        <f>IFERROR(__xludf.DUMMYFUNCTION("""COMPUTED_VALUE"""),2025.0)</f>
        <v>2025</v>
      </c>
      <c r="E380" s="9">
        <f>IFERROR(__xludf.DUMMYFUNCTION("""COMPUTED_VALUE"""),0.09)</f>
        <v>0.09</v>
      </c>
      <c r="F380" s="9">
        <f>IFERROR(__xludf.DUMMYFUNCTION("""COMPUTED_VALUE"""),114.38)</f>
        <v>114.38</v>
      </c>
    </row>
    <row r="381">
      <c r="A381" s="9" t="str">
        <f>IFERROR(__xludf.DUMMYFUNCTION("""COMPUTED_VALUE"""),"CXSE3")</f>
        <v>CXSE3</v>
      </c>
      <c r="B381" s="17">
        <f>IFERROR(__xludf.DUMMYFUNCTION("""COMPUTED_VALUE"""),45792.0)</f>
        <v>45792</v>
      </c>
      <c r="C381" s="9">
        <f>IFERROR(__xludf.DUMMYFUNCTION("""COMPUTED_VALUE"""),5.0)</f>
        <v>5</v>
      </c>
      <c r="D381" s="9">
        <f>IFERROR(__xludf.DUMMYFUNCTION("""COMPUTED_VALUE"""),2025.0)</f>
        <v>2025</v>
      </c>
      <c r="E381" s="9">
        <f>IFERROR(__xludf.DUMMYFUNCTION("""COMPUTED_VALUE"""),0.32)</f>
        <v>0.32</v>
      </c>
      <c r="F381" s="9">
        <f>IFERROR(__xludf.DUMMYFUNCTION("""COMPUTED_VALUE"""),188.16)</f>
        <v>188.16</v>
      </c>
    </row>
    <row r="382">
      <c r="A382" s="9" t="str">
        <f>IFERROR(__xludf.DUMMYFUNCTION("""COMPUTED_VALUE"""),"CXSE3")</f>
        <v>CXSE3</v>
      </c>
      <c r="B382" s="17">
        <f>IFERROR(__xludf.DUMMYFUNCTION("""COMPUTED_VALUE"""),45792.0)</f>
        <v>45792</v>
      </c>
      <c r="C382" s="9">
        <f>IFERROR(__xludf.DUMMYFUNCTION("""COMPUTED_VALUE"""),5.0)</f>
        <v>5</v>
      </c>
      <c r="D382" s="9">
        <f>IFERROR(__xludf.DUMMYFUNCTION("""COMPUTED_VALUE"""),2025.0)</f>
        <v>2025</v>
      </c>
      <c r="E382" s="9">
        <f>IFERROR(__xludf.DUMMYFUNCTION("""COMPUTED_VALUE"""),0.0)</f>
        <v>0</v>
      </c>
      <c r="F382" s="9">
        <f>IFERROR(__xludf.DUMMYFUNCTION("""COMPUTED_VALUE"""),0.08)</f>
        <v>0.08</v>
      </c>
    </row>
    <row r="383">
      <c r="A383" s="9" t="str">
        <f>IFERROR(__xludf.DUMMYFUNCTION("""COMPUTED_VALUE"""),"BBDC3")</f>
        <v>BBDC3</v>
      </c>
      <c r="B383" s="17">
        <f>IFERROR(__xludf.DUMMYFUNCTION("""COMPUTED_VALUE"""),45779.0)</f>
        <v>45779</v>
      </c>
      <c r="C383" s="9">
        <f>IFERROR(__xludf.DUMMYFUNCTION("""COMPUTED_VALUE"""),5.0)</f>
        <v>5</v>
      </c>
      <c r="D383" s="9">
        <f>IFERROR(__xludf.DUMMYFUNCTION("""COMPUTED_VALUE"""),2025.0)</f>
        <v>2025</v>
      </c>
      <c r="E383" s="9">
        <f>IFERROR(__xludf.DUMMYFUNCTION("""COMPUTED_VALUE"""),0.02)</f>
        <v>0.02</v>
      </c>
      <c r="F383" s="9">
        <f>IFERROR(__xludf.DUMMYFUNCTION("""COMPUTED_VALUE"""),0.21)</f>
        <v>0.21</v>
      </c>
    </row>
    <row r="384">
      <c r="A384" s="9" t="str">
        <f>IFERROR(__xludf.DUMMYFUNCTION("""COMPUTED_VALUE"""),"BBDC3")</f>
        <v>BBDC3</v>
      </c>
      <c r="B384" s="17">
        <f>IFERROR(__xludf.DUMMYFUNCTION("""COMPUTED_VALUE"""),45777.0)</f>
        <v>45777</v>
      </c>
      <c r="C384" s="9">
        <f>IFERROR(__xludf.DUMMYFUNCTION("""COMPUTED_VALUE"""),4.0)</f>
        <v>4</v>
      </c>
      <c r="D384" s="9">
        <f>IFERROR(__xludf.DUMMYFUNCTION("""COMPUTED_VALUE"""),2025.0)</f>
        <v>2025</v>
      </c>
      <c r="E384" s="9">
        <f>IFERROR(__xludf.DUMMYFUNCTION("""COMPUTED_VALUE"""),0.18)</f>
        <v>0.18</v>
      </c>
      <c r="F384" s="9">
        <f>IFERROR(__xludf.DUMMYFUNCTION("""COMPUTED_VALUE"""),2.14)</f>
        <v>2.14</v>
      </c>
    </row>
    <row r="385">
      <c r="A385" s="9" t="str">
        <f>IFERROR(__xludf.DUMMYFUNCTION("""COMPUTED_VALUE"""),"BBDC3")</f>
        <v>BBDC3</v>
      </c>
      <c r="B385" s="17">
        <f>IFERROR(__xludf.DUMMYFUNCTION("""COMPUTED_VALUE"""),45748.0)</f>
        <v>45748</v>
      </c>
      <c r="C385" s="9">
        <f>IFERROR(__xludf.DUMMYFUNCTION("""COMPUTED_VALUE"""),4.0)</f>
        <v>4</v>
      </c>
      <c r="D385" s="9">
        <f>IFERROR(__xludf.DUMMYFUNCTION("""COMPUTED_VALUE"""),2025.0)</f>
        <v>2025</v>
      </c>
      <c r="E385" s="9">
        <f>IFERROR(__xludf.DUMMYFUNCTION("""COMPUTED_VALUE"""),0.02)</f>
        <v>0.02</v>
      </c>
      <c r="F385" s="9">
        <f>IFERROR(__xludf.DUMMYFUNCTION("""COMPUTED_VALUE"""),0.21)</f>
        <v>0.21</v>
      </c>
    </row>
    <row r="386">
      <c r="A386" s="9" t="str">
        <f>IFERROR(__xludf.DUMMYFUNCTION("""COMPUTED_VALUE"""),"BRSR6")</f>
        <v>BRSR6</v>
      </c>
      <c r="B386" s="17">
        <f>IFERROR(__xludf.DUMMYFUNCTION("""COMPUTED_VALUE"""),45742.0)</f>
        <v>45742</v>
      </c>
      <c r="C386" s="9">
        <f>IFERROR(__xludf.DUMMYFUNCTION("""COMPUTED_VALUE"""),3.0)</f>
        <v>3</v>
      </c>
      <c r="D386" s="9">
        <f>IFERROR(__xludf.DUMMYFUNCTION("""COMPUTED_VALUE"""),2025.0)</f>
        <v>2025</v>
      </c>
      <c r="E386" s="9">
        <f>IFERROR(__xludf.DUMMYFUNCTION("""COMPUTED_VALUE"""),0.22)</f>
        <v>0.22</v>
      </c>
      <c r="F386" s="9">
        <f>IFERROR(__xludf.DUMMYFUNCTION("""COMPUTED_VALUE"""),245.79)</f>
        <v>245.79</v>
      </c>
    </row>
    <row r="387">
      <c r="A387" s="9" t="str">
        <f>IFERROR(__xludf.DUMMYFUNCTION("""COMPUTED_VALUE"""),"RANI3")</f>
        <v>RANI3</v>
      </c>
      <c r="B387" s="17">
        <f>IFERROR(__xludf.DUMMYFUNCTION("""COMPUTED_VALUE"""),45742.0)</f>
        <v>45742</v>
      </c>
      <c r="C387" s="9">
        <f>IFERROR(__xludf.DUMMYFUNCTION("""COMPUTED_VALUE"""),3.0)</f>
        <v>3</v>
      </c>
      <c r="D387" s="9">
        <f>IFERROR(__xludf.DUMMYFUNCTION("""COMPUTED_VALUE"""),2025.0)</f>
        <v>2025</v>
      </c>
      <c r="E387" s="9">
        <f>IFERROR(__xludf.DUMMYFUNCTION("""COMPUTED_VALUE"""),0.19)</f>
        <v>0.19</v>
      </c>
      <c r="F387" s="9">
        <f>IFERROR(__xludf.DUMMYFUNCTION("""COMPUTED_VALUE"""),282.16)</f>
        <v>282.16</v>
      </c>
    </row>
    <row r="388">
      <c r="A388" s="9" t="str">
        <f>IFERROR(__xludf.DUMMYFUNCTION("""COMPUTED_VALUE"""),"BBAS3")</f>
        <v>BBAS3</v>
      </c>
      <c r="B388" s="17">
        <f>IFERROR(__xludf.DUMMYFUNCTION("""COMPUTED_VALUE"""),45737.0)</f>
        <v>45737</v>
      </c>
      <c r="C388" s="9">
        <f>IFERROR(__xludf.DUMMYFUNCTION("""COMPUTED_VALUE"""),3.0)</f>
        <v>3</v>
      </c>
      <c r="D388" s="9">
        <f>IFERROR(__xludf.DUMMYFUNCTION("""COMPUTED_VALUE"""),2025.0)</f>
        <v>2025</v>
      </c>
      <c r="E388" s="9">
        <f>IFERROR(__xludf.DUMMYFUNCTION("""COMPUTED_VALUE"""),0.15)</f>
        <v>0.15</v>
      </c>
      <c r="F388" s="9">
        <f>IFERROR(__xludf.DUMMYFUNCTION("""COMPUTED_VALUE"""),12.7)</f>
        <v>12.7</v>
      </c>
    </row>
    <row r="389">
      <c r="A389" s="9" t="str">
        <f>IFERROR(__xludf.DUMMYFUNCTION("""COMPUTED_VALUE"""),"BBAS3")</f>
        <v>BBAS3</v>
      </c>
      <c r="B389" s="17">
        <f>IFERROR(__xludf.DUMMYFUNCTION("""COMPUTED_VALUE"""),45737.0)</f>
        <v>45737</v>
      </c>
      <c r="C389" s="9">
        <f>IFERROR(__xludf.DUMMYFUNCTION("""COMPUTED_VALUE"""),3.0)</f>
        <v>3</v>
      </c>
      <c r="D389" s="9">
        <f>IFERROR(__xludf.DUMMYFUNCTION("""COMPUTED_VALUE"""),2025.0)</f>
        <v>2025</v>
      </c>
      <c r="E389" s="9">
        <f>IFERROR(__xludf.DUMMYFUNCTION("""COMPUTED_VALUE"""),0.0)</f>
        <v>0</v>
      </c>
      <c r="F389" s="9">
        <f>IFERROR(__xludf.DUMMYFUNCTION("""COMPUTED_VALUE"""),575.96)</f>
        <v>575.96</v>
      </c>
    </row>
    <row r="390">
      <c r="A390" s="9" t="str">
        <f>IFERROR(__xludf.DUMMYFUNCTION("""COMPUTED_VALUE"""),"ISAE4")</f>
        <v>ISAE4</v>
      </c>
      <c r="B390" s="17">
        <f>IFERROR(__xludf.DUMMYFUNCTION("""COMPUTED_VALUE"""),45737.0)</f>
        <v>45737</v>
      </c>
      <c r="C390" s="9">
        <f>IFERROR(__xludf.DUMMYFUNCTION("""COMPUTED_VALUE"""),3.0)</f>
        <v>3</v>
      </c>
      <c r="D390" s="9">
        <f>IFERROR(__xludf.DUMMYFUNCTION("""COMPUTED_VALUE"""),2025.0)</f>
        <v>2025</v>
      </c>
      <c r="E390" s="9">
        <f>IFERROR(__xludf.DUMMYFUNCTION("""COMPUTED_VALUE"""),0.79)</f>
        <v>0.79</v>
      </c>
      <c r="F390" s="9">
        <f>IFERROR(__xludf.DUMMYFUNCTION("""COMPUTED_VALUE"""),599.34)</f>
        <v>599.34</v>
      </c>
    </row>
    <row r="391">
      <c r="A391" s="9" t="str">
        <f>IFERROR(__xludf.DUMMYFUNCTION("""COMPUTED_VALUE"""),"BBAS3")</f>
        <v>BBAS3</v>
      </c>
      <c r="B391" s="17">
        <f>IFERROR(__xludf.DUMMYFUNCTION("""COMPUTED_VALUE"""),45736.0)</f>
        <v>45736</v>
      </c>
      <c r="C391" s="9">
        <f>IFERROR(__xludf.DUMMYFUNCTION("""COMPUTED_VALUE"""),3.0)</f>
        <v>3</v>
      </c>
      <c r="D391" s="9">
        <f>IFERROR(__xludf.DUMMYFUNCTION("""COMPUTED_VALUE"""),2025.0)</f>
        <v>2025</v>
      </c>
      <c r="E391" s="9">
        <f>IFERROR(__xludf.DUMMYFUNCTION("""COMPUTED_VALUE"""),0.34)</f>
        <v>0.34</v>
      </c>
      <c r="F391" s="9">
        <f>IFERROR(__xludf.DUMMYFUNCTION("""COMPUTED_VALUE"""),29.12)</f>
        <v>29.12</v>
      </c>
    </row>
    <row r="392">
      <c r="A392" s="9" t="str">
        <f>IFERROR(__xludf.DUMMYFUNCTION("""COMPUTED_VALUE"""),"BBAS3")</f>
        <v>BBAS3</v>
      </c>
      <c r="B392" s="17">
        <f>IFERROR(__xludf.DUMMYFUNCTION("""COMPUTED_VALUE"""),45736.0)</f>
        <v>45736</v>
      </c>
      <c r="C392" s="9">
        <f>IFERROR(__xludf.DUMMYFUNCTION("""COMPUTED_VALUE"""),3.0)</f>
        <v>3</v>
      </c>
      <c r="D392" s="9">
        <f>IFERROR(__xludf.DUMMYFUNCTION("""COMPUTED_VALUE"""),2025.0)</f>
        <v>2025</v>
      </c>
      <c r="E392" s="9">
        <f>IFERROR(__xludf.DUMMYFUNCTION("""COMPUTED_VALUE"""),0.0)</f>
        <v>0</v>
      </c>
      <c r="F392" s="9">
        <f>IFERROR(__xludf.DUMMYFUNCTION("""COMPUTED_VALUE"""),0.28)</f>
        <v>0.28</v>
      </c>
    </row>
    <row r="393">
      <c r="A393" s="9" t="str">
        <f>IFERROR(__xludf.DUMMYFUNCTION("""COMPUTED_VALUE"""),"BBAS3")</f>
        <v>BBAS3</v>
      </c>
      <c r="B393" s="17">
        <f>IFERROR(__xludf.DUMMYFUNCTION("""COMPUTED_VALUE"""),45736.0)</f>
        <v>45736</v>
      </c>
      <c r="C393" s="9">
        <f>IFERROR(__xludf.DUMMYFUNCTION("""COMPUTED_VALUE"""),3.0)</f>
        <v>3</v>
      </c>
      <c r="D393" s="9">
        <f>IFERROR(__xludf.DUMMYFUNCTION("""COMPUTED_VALUE"""),2025.0)</f>
        <v>2025</v>
      </c>
      <c r="E393" s="9">
        <f>IFERROR(__xludf.DUMMYFUNCTION("""COMPUTED_VALUE"""),0.14)</f>
        <v>0.14</v>
      </c>
      <c r="F393" s="9">
        <f>IFERROR(__xludf.DUMMYFUNCTION("""COMPUTED_VALUE"""),13.6)</f>
        <v>13.6</v>
      </c>
    </row>
    <row r="394">
      <c r="A394" s="9" t="str">
        <f>IFERROR(__xludf.DUMMYFUNCTION("""COMPUTED_VALUE"""),"BBAS3")</f>
        <v>BBAS3</v>
      </c>
      <c r="B394" s="17">
        <f>IFERROR(__xludf.DUMMYFUNCTION("""COMPUTED_VALUE"""),45736.0)</f>
        <v>45736</v>
      </c>
      <c r="C394" s="9">
        <f>IFERROR(__xludf.DUMMYFUNCTION("""COMPUTED_VALUE"""),3.0)</f>
        <v>3</v>
      </c>
      <c r="D394" s="9">
        <f>IFERROR(__xludf.DUMMYFUNCTION("""COMPUTED_VALUE"""),2025.0)</f>
        <v>2025</v>
      </c>
      <c r="E394" s="9">
        <f>IFERROR(__xludf.DUMMYFUNCTION("""COMPUTED_VALUE"""),0.0)</f>
        <v>0</v>
      </c>
      <c r="F394" s="9">
        <f>IFERROR(__xludf.DUMMYFUNCTION("""COMPUTED_VALUE"""),0.69)</f>
        <v>0.69</v>
      </c>
    </row>
    <row r="395">
      <c r="A395" s="9" t="str">
        <f>IFERROR(__xludf.DUMMYFUNCTION("""COMPUTED_VALUE"""),"BBAS3")</f>
        <v>BBAS3</v>
      </c>
      <c r="B395" s="17">
        <f>IFERROR(__xludf.DUMMYFUNCTION("""COMPUTED_VALUE"""),45736.0)</f>
        <v>45736</v>
      </c>
      <c r="C395" s="9">
        <f>IFERROR(__xludf.DUMMYFUNCTION("""COMPUTED_VALUE"""),3.0)</f>
        <v>3</v>
      </c>
      <c r="D395" s="9">
        <f>IFERROR(__xludf.DUMMYFUNCTION("""COMPUTED_VALUE"""),2025.0)</f>
        <v>2025</v>
      </c>
      <c r="E395" s="9">
        <f>IFERROR(__xludf.DUMMYFUNCTION("""COMPUTED_VALUE"""),0.0)</f>
        <v>0</v>
      </c>
      <c r="F395" s="9">
        <f>IFERROR(__xludf.DUMMYFUNCTION("""COMPUTED_VALUE"""),1982.1)</f>
        <v>1982.1</v>
      </c>
    </row>
    <row r="396">
      <c r="A396" s="9" t="str">
        <f>IFERROR(__xludf.DUMMYFUNCTION("""COMPUTED_VALUE"""),"BBSE3")</f>
        <v>BBSE3</v>
      </c>
      <c r="B396" s="17">
        <f>IFERROR(__xludf.DUMMYFUNCTION("""COMPUTED_VALUE"""),45722.0)</f>
        <v>45722</v>
      </c>
      <c r="C396" s="9">
        <f>IFERROR(__xludf.DUMMYFUNCTION("""COMPUTED_VALUE"""),3.0)</f>
        <v>3</v>
      </c>
      <c r="D396" s="9">
        <f>IFERROR(__xludf.DUMMYFUNCTION("""COMPUTED_VALUE"""),2025.0)</f>
        <v>2025</v>
      </c>
      <c r="E396" s="9">
        <f>IFERROR(__xludf.DUMMYFUNCTION("""COMPUTED_VALUE"""),0.0)</f>
        <v>0</v>
      </c>
      <c r="F396" s="9">
        <f>IFERROR(__xludf.DUMMYFUNCTION("""COMPUTED_VALUE"""),3616.51)</f>
        <v>3616.51</v>
      </c>
    </row>
    <row r="397">
      <c r="A397" s="9" t="str">
        <f>IFERROR(__xludf.DUMMYFUNCTION("""COMPUTED_VALUE"""),"BBDC3")</f>
        <v>BBDC3</v>
      </c>
      <c r="B397" s="17">
        <f>IFERROR(__xludf.DUMMYFUNCTION("""COMPUTED_VALUE"""),45721.0)</f>
        <v>45721</v>
      </c>
      <c r="C397" s="9">
        <f>IFERROR(__xludf.DUMMYFUNCTION("""COMPUTED_VALUE"""),3.0)</f>
        <v>3</v>
      </c>
      <c r="D397" s="9">
        <f>IFERROR(__xludf.DUMMYFUNCTION("""COMPUTED_VALUE"""),2025.0)</f>
        <v>2025</v>
      </c>
      <c r="E397" s="9">
        <f>IFERROR(__xludf.DUMMYFUNCTION("""COMPUTED_VALUE"""),0.02)</f>
        <v>0.02</v>
      </c>
      <c r="F397" s="9">
        <f>IFERROR(__xludf.DUMMYFUNCTION("""COMPUTED_VALUE"""),0.21)</f>
        <v>0.21</v>
      </c>
    </row>
    <row r="398">
      <c r="A398" s="9" t="str">
        <f>IFERROR(__xludf.DUMMYFUNCTION("""COMPUTED_VALUE"""),"ISAE4")</f>
        <v>ISAE4</v>
      </c>
      <c r="B398" s="17">
        <f>IFERROR(__xludf.DUMMYFUNCTION("""COMPUTED_VALUE"""),45709.0)</f>
        <v>45709</v>
      </c>
      <c r="C398" s="9">
        <f>IFERROR(__xludf.DUMMYFUNCTION("""COMPUTED_VALUE"""),2.0)</f>
        <v>2</v>
      </c>
      <c r="D398" s="9">
        <f>IFERROR(__xludf.DUMMYFUNCTION("""COMPUTED_VALUE"""),2025.0)</f>
        <v>2025</v>
      </c>
      <c r="E398" s="9">
        <f>IFERROR(__xludf.DUMMYFUNCTION("""COMPUTED_VALUE"""),0.0)</f>
        <v>0</v>
      </c>
      <c r="F398" s="9">
        <f>IFERROR(__xludf.DUMMYFUNCTION("""COMPUTED_VALUE"""),599.34)</f>
        <v>599.34</v>
      </c>
    </row>
    <row r="399">
      <c r="A399" s="9" t="str">
        <f>IFERROR(__xludf.DUMMYFUNCTION("""COMPUTED_VALUE"""),"BBDC3")</f>
        <v>BBDC3</v>
      </c>
      <c r="B399" s="17">
        <f>IFERROR(__xludf.DUMMYFUNCTION("""COMPUTED_VALUE"""),45691.0)</f>
        <v>45691</v>
      </c>
      <c r="C399" s="9">
        <f>IFERROR(__xludf.DUMMYFUNCTION("""COMPUTED_VALUE"""),2.0)</f>
        <v>2</v>
      </c>
      <c r="D399" s="9">
        <f>IFERROR(__xludf.DUMMYFUNCTION("""COMPUTED_VALUE"""),2025.0)</f>
        <v>2025</v>
      </c>
      <c r="E399" s="9">
        <f>IFERROR(__xludf.DUMMYFUNCTION("""COMPUTED_VALUE"""),0.02)</f>
        <v>0.02</v>
      </c>
      <c r="F399" s="9">
        <f>IFERROR(__xludf.DUMMYFUNCTION("""COMPUTED_VALUE"""),0.21)</f>
        <v>0.21</v>
      </c>
    </row>
    <row r="400">
      <c r="A400" s="9" t="str">
        <f>IFERROR(__xludf.DUMMYFUNCTION("""COMPUTED_VALUE"""),"BBDC3")</f>
        <v>BBDC3</v>
      </c>
      <c r="B400" s="17">
        <f>IFERROR(__xludf.DUMMYFUNCTION("""COMPUTED_VALUE"""),45688.0)</f>
        <v>45688</v>
      </c>
      <c r="C400" s="9">
        <f>IFERROR(__xludf.DUMMYFUNCTION("""COMPUTED_VALUE"""),1.0)</f>
        <v>1</v>
      </c>
      <c r="D400" s="9">
        <f>IFERROR(__xludf.DUMMYFUNCTION("""COMPUTED_VALUE"""),2025.0)</f>
        <v>2025</v>
      </c>
      <c r="E400" s="9">
        <f>IFERROR(__xludf.DUMMYFUNCTION("""COMPUTED_VALUE"""),0.36)</f>
        <v>0.36</v>
      </c>
      <c r="F400" s="9">
        <f>IFERROR(__xludf.DUMMYFUNCTION("""COMPUTED_VALUE"""),279.02)</f>
        <v>279.02</v>
      </c>
    </row>
    <row r="401">
      <c r="A401" s="9" t="str">
        <f>IFERROR(__xludf.DUMMYFUNCTION("""COMPUTED_VALUE"""),"TAEE4")</f>
        <v>TAEE4</v>
      </c>
      <c r="B401" s="17">
        <f>IFERROR(__xludf.DUMMYFUNCTION("""COMPUTED_VALUE"""),45686.0)</f>
        <v>45686</v>
      </c>
      <c r="C401" s="9">
        <f>IFERROR(__xludf.DUMMYFUNCTION("""COMPUTED_VALUE"""),1.0)</f>
        <v>1</v>
      </c>
      <c r="D401" s="9">
        <f>IFERROR(__xludf.DUMMYFUNCTION("""COMPUTED_VALUE"""),2025.0)</f>
        <v>2025</v>
      </c>
      <c r="E401" s="9">
        <f>IFERROR(__xludf.DUMMYFUNCTION("""COMPUTED_VALUE"""),0.09)</f>
        <v>0.09</v>
      </c>
      <c r="F401" s="9">
        <f>IFERROR(__xludf.DUMMYFUNCTION("""COMPUTED_VALUE"""),186.72)</f>
        <v>186.72</v>
      </c>
    </row>
    <row r="402">
      <c r="A402" s="9" t="str">
        <f>IFERROR(__xludf.DUMMYFUNCTION("""COMPUTED_VALUE"""),"TAEE4")</f>
        <v>TAEE4</v>
      </c>
      <c r="B402" s="17">
        <f>IFERROR(__xludf.DUMMYFUNCTION("""COMPUTED_VALUE"""),45686.0)</f>
        <v>45686</v>
      </c>
      <c r="C402" s="9">
        <f>IFERROR(__xludf.DUMMYFUNCTION("""COMPUTED_VALUE"""),1.0)</f>
        <v>1</v>
      </c>
      <c r="D402" s="9">
        <f>IFERROR(__xludf.DUMMYFUNCTION("""COMPUTED_VALUE"""),2025.0)</f>
        <v>2025</v>
      </c>
      <c r="E402" s="9">
        <f>IFERROR(__xludf.DUMMYFUNCTION("""COMPUTED_VALUE"""),0.13)</f>
        <v>0.13</v>
      </c>
      <c r="F402" s="9">
        <f>IFERROR(__xludf.DUMMYFUNCTION("""COMPUTED_VALUE"""),235.92)</f>
        <v>235.92</v>
      </c>
    </row>
    <row r="403">
      <c r="A403" s="9" t="str">
        <f>IFERROR(__xludf.DUMMYFUNCTION("""COMPUTED_VALUE"""),"ISAE4")</f>
        <v>ISAE4</v>
      </c>
      <c r="B403" s="17">
        <f>IFERROR(__xludf.DUMMYFUNCTION("""COMPUTED_VALUE"""),45678.0)</f>
        <v>45678</v>
      </c>
      <c r="C403" s="9">
        <f>IFERROR(__xludf.DUMMYFUNCTION("""COMPUTED_VALUE"""),1.0)</f>
        <v>1</v>
      </c>
      <c r="D403" s="9">
        <f>IFERROR(__xludf.DUMMYFUNCTION("""COMPUTED_VALUE"""),2025.0)</f>
        <v>2025</v>
      </c>
      <c r="E403" s="9">
        <f>IFERROR(__xludf.DUMMYFUNCTION("""COMPUTED_VALUE"""),0.79)</f>
        <v>0.79</v>
      </c>
      <c r="F403" s="9">
        <f>IFERROR(__xludf.DUMMYFUNCTION("""COMPUTED_VALUE"""),599.34)</f>
        <v>599.34</v>
      </c>
    </row>
    <row r="404">
      <c r="A404" s="9" t="str">
        <f>IFERROR(__xludf.DUMMYFUNCTION("""COMPUTED_VALUE"""),"CXSE3")</f>
        <v>CXSE3</v>
      </c>
      <c r="B404" s="17">
        <f>IFERROR(__xludf.DUMMYFUNCTION("""COMPUTED_VALUE"""),45674.0)</f>
        <v>45674</v>
      </c>
      <c r="C404" s="9">
        <f>IFERROR(__xludf.DUMMYFUNCTION("""COMPUTED_VALUE"""),1.0)</f>
        <v>1</v>
      </c>
      <c r="D404" s="9">
        <f>IFERROR(__xludf.DUMMYFUNCTION("""COMPUTED_VALUE"""),2025.0)</f>
        <v>2025</v>
      </c>
      <c r="E404" s="9">
        <f>IFERROR(__xludf.DUMMYFUNCTION("""COMPUTED_VALUE"""),0.31)</f>
        <v>0.31</v>
      </c>
      <c r="F404" s="9">
        <f>IFERROR(__xludf.DUMMYFUNCTION("""COMPUTED_VALUE"""),182.28)</f>
        <v>182.28</v>
      </c>
    </row>
    <row r="405">
      <c r="A405" s="9" t="str">
        <f>IFERROR(__xludf.DUMMYFUNCTION("""COMPUTED_VALUE"""),"CXSE3")</f>
        <v>CXSE3</v>
      </c>
      <c r="B405" s="17">
        <f>IFERROR(__xludf.DUMMYFUNCTION("""COMPUTED_VALUE"""),45674.0)</f>
        <v>45674</v>
      </c>
      <c r="C405" s="9">
        <f>IFERROR(__xludf.DUMMYFUNCTION("""COMPUTED_VALUE"""),1.0)</f>
        <v>1</v>
      </c>
      <c r="D405" s="9">
        <f>IFERROR(__xludf.DUMMYFUNCTION("""COMPUTED_VALUE"""),2025.0)</f>
        <v>2025</v>
      </c>
      <c r="E405" s="9">
        <f>IFERROR(__xludf.DUMMYFUNCTION("""COMPUTED_VALUE"""),0.0)</f>
        <v>0</v>
      </c>
      <c r="F405" s="9">
        <f>IFERROR(__xludf.DUMMYFUNCTION("""COMPUTED_VALUE"""),0.77)</f>
        <v>0.77</v>
      </c>
    </row>
    <row r="406">
      <c r="A406" s="9" t="str">
        <f>IFERROR(__xludf.DUMMYFUNCTION("""COMPUTED_VALUE"""),"ABCB4")</f>
        <v>ABCB4</v>
      </c>
      <c r="B406" s="17">
        <f>IFERROR(__xludf.DUMMYFUNCTION("""COMPUTED_VALUE"""),45666.0)</f>
        <v>45666</v>
      </c>
      <c r="C406" s="9">
        <f>IFERROR(__xludf.DUMMYFUNCTION("""COMPUTED_VALUE"""),1.0)</f>
        <v>1</v>
      </c>
      <c r="D406" s="9">
        <f>IFERROR(__xludf.DUMMYFUNCTION("""COMPUTED_VALUE"""),2025.0)</f>
        <v>2025</v>
      </c>
      <c r="E406" s="9">
        <f>IFERROR(__xludf.DUMMYFUNCTION("""COMPUTED_VALUE"""),0.86)</f>
        <v>0.86</v>
      </c>
      <c r="F406" s="9">
        <f>IFERROR(__xludf.DUMMYFUNCTION("""COMPUTED_VALUE"""),175.44)</f>
        <v>175.44</v>
      </c>
    </row>
    <row r="407">
      <c r="A407" s="9" t="str">
        <f>IFERROR(__xludf.DUMMYFUNCTION("""COMPUTED_VALUE"""),"BBDC3")</f>
        <v>BBDC3</v>
      </c>
      <c r="B407" s="17">
        <f>IFERROR(__xludf.DUMMYFUNCTION("""COMPUTED_VALUE"""),45659.0)</f>
        <v>45659</v>
      </c>
      <c r="C407" s="9">
        <f>IFERROR(__xludf.DUMMYFUNCTION("""COMPUTED_VALUE"""),1.0)</f>
        <v>1</v>
      </c>
      <c r="D407" s="9">
        <f>IFERROR(__xludf.DUMMYFUNCTION("""COMPUTED_VALUE"""),2025.0)</f>
        <v>2025</v>
      </c>
      <c r="E407" s="9">
        <f>IFERROR(__xludf.DUMMYFUNCTION("""COMPUTED_VALUE"""),0.02)</f>
        <v>0.02</v>
      </c>
      <c r="F407" s="9">
        <f>IFERROR(__xludf.DUMMYFUNCTION("""COMPUTED_VALUE"""),0.21)</f>
        <v>0.21</v>
      </c>
    </row>
    <row r="408">
      <c r="A408" s="9"/>
      <c r="B408" s="9"/>
      <c r="C408" s="9"/>
      <c r="D408" s="9"/>
      <c r="E408" s="9"/>
      <c r="F408" s="9"/>
    </row>
    <row r="409">
      <c r="A409" s="9"/>
      <c r="B409" s="9"/>
      <c r="C409" s="9"/>
      <c r="D409" s="9"/>
      <c r="E409" s="9"/>
      <c r="F409" s="9"/>
    </row>
    <row r="410">
      <c r="A410" s="9"/>
      <c r="B410" s="9"/>
      <c r="C410" s="9"/>
      <c r="D410" s="9"/>
      <c r="E410" s="9"/>
      <c r="F410" s="9"/>
    </row>
    <row r="411">
      <c r="A411" s="9"/>
      <c r="B411" s="9"/>
      <c r="C411" s="9"/>
      <c r="D411" s="9"/>
      <c r="E411" s="9"/>
      <c r="F411" s="9"/>
    </row>
    <row r="412">
      <c r="A412" s="9"/>
      <c r="B412" s="9"/>
      <c r="C412" s="9"/>
      <c r="D412" s="9"/>
      <c r="E412" s="9"/>
      <c r="F412" s="9"/>
    </row>
    <row r="413">
      <c r="A413" s="9"/>
      <c r="B413" s="9"/>
      <c r="C413" s="9"/>
      <c r="D413" s="9"/>
      <c r="E413" s="9"/>
      <c r="F413" s="9"/>
    </row>
    <row r="414">
      <c r="A414" s="9"/>
      <c r="B414" s="9"/>
      <c r="C414" s="9"/>
      <c r="D414" s="9"/>
      <c r="E414" s="9"/>
      <c r="F414" s="9"/>
    </row>
    <row r="415">
      <c r="A415" s="9"/>
      <c r="B415" s="9"/>
      <c r="C415" s="9"/>
      <c r="D415" s="9"/>
      <c r="E415" s="9"/>
      <c r="F415" s="9"/>
    </row>
    <row r="416">
      <c r="A416" s="9"/>
      <c r="B416" s="9"/>
      <c r="C416" s="9"/>
      <c r="D416" s="9"/>
      <c r="E416" s="9"/>
      <c r="F416" s="9"/>
    </row>
    <row r="417">
      <c r="A417" s="9"/>
      <c r="B417" s="9"/>
      <c r="C417" s="9"/>
      <c r="D417" s="9"/>
      <c r="E417" s="9"/>
      <c r="F417" s="9"/>
    </row>
    <row r="418">
      <c r="A418" s="9"/>
      <c r="B418" s="9"/>
      <c r="C418" s="9"/>
      <c r="D418" s="9"/>
      <c r="E418" s="9"/>
      <c r="F418" s="9"/>
    </row>
    <row r="419">
      <c r="A419" s="9"/>
      <c r="B419" s="9"/>
      <c r="C419" s="9"/>
      <c r="D419" s="9"/>
      <c r="E419" s="9"/>
      <c r="F419" s="9"/>
    </row>
    <row r="420">
      <c r="A420" s="9"/>
      <c r="B420" s="9"/>
      <c r="C420" s="9"/>
      <c r="D420" s="9"/>
      <c r="E420" s="9"/>
      <c r="F420" s="9"/>
    </row>
    <row r="421">
      <c r="A421" s="9"/>
      <c r="B421" s="9"/>
      <c r="C421" s="9"/>
      <c r="D421" s="9"/>
      <c r="E421" s="9"/>
      <c r="F421" s="9"/>
    </row>
    <row r="422">
      <c r="A422" s="9"/>
      <c r="B422" s="9"/>
      <c r="C422" s="9"/>
      <c r="D422" s="9"/>
      <c r="E422" s="9"/>
      <c r="F422" s="9"/>
    </row>
    <row r="423">
      <c r="A423" s="9"/>
      <c r="B423" s="9"/>
      <c r="C423" s="9"/>
      <c r="D423" s="9"/>
      <c r="E423" s="9"/>
      <c r="F423" s="9"/>
    </row>
    <row r="424">
      <c r="A424" s="9"/>
      <c r="B424" s="9"/>
      <c r="C424" s="9"/>
      <c r="D424" s="9"/>
      <c r="E424" s="9"/>
      <c r="F424" s="9"/>
    </row>
    <row r="425">
      <c r="A425" s="9"/>
      <c r="B425" s="9"/>
      <c r="C425" s="9"/>
      <c r="D425" s="9"/>
      <c r="E425" s="9"/>
      <c r="F425" s="9"/>
    </row>
    <row r="426">
      <c r="A426" s="9"/>
      <c r="B426" s="9"/>
      <c r="C426" s="9"/>
      <c r="D426" s="9"/>
      <c r="E426" s="9"/>
      <c r="F426" s="9"/>
    </row>
    <row r="427">
      <c r="A427" s="9"/>
      <c r="B427" s="9"/>
      <c r="C427" s="9"/>
      <c r="D427" s="9"/>
      <c r="E427" s="9"/>
      <c r="F427" s="9"/>
    </row>
    <row r="428">
      <c r="A428" s="9"/>
      <c r="B428" s="9"/>
      <c r="C428" s="9"/>
      <c r="D428" s="9"/>
      <c r="E428" s="9"/>
      <c r="F428" s="9"/>
    </row>
    <row r="429">
      <c r="A429" s="9"/>
      <c r="B429" s="9"/>
      <c r="C429" s="9"/>
      <c r="D429" s="9"/>
      <c r="E429" s="9"/>
      <c r="F429" s="9"/>
    </row>
    <row r="430">
      <c r="A430" s="9"/>
      <c r="B430" s="9"/>
      <c r="C430" s="9"/>
      <c r="D430" s="9"/>
      <c r="E430" s="9"/>
      <c r="F430" s="9"/>
    </row>
    <row r="431">
      <c r="A431" s="9"/>
      <c r="B431" s="9"/>
      <c r="C431" s="9"/>
      <c r="D431" s="9"/>
      <c r="E431" s="9"/>
      <c r="F431" s="9"/>
    </row>
    <row r="432">
      <c r="A432" s="9"/>
      <c r="B432" s="9"/>
      <c r="C432" s="9"/>
      <c r="D432" s="9"/>
      <c r="E432" s="9"/>
      <c r="F432" s="9"/>
    </row>
    <row r="433">
      <c r="A433" s="9"/>
      <c r="B433" s="9"/>
      <c r="C433" s="9"/>
      <c r="D433" s="9"/>
      <c r="E433" s="9"/>
      <c r="F433" s="9"/>
    </row>
    <row r="434">
      <c r="A434" s="9"/>
      <c r="B434" s="9"/>
      <c r="C434" s="9"/>
      <c r="D434" s="9"/>
      <c r="E434" s="9"/>
      <c r="F434" s="9"/>
    </row>
    <row r="435">
      <c r="A435" s="9"/>
      <c r="B435" s="9"/>
      <c r="C435" s="9"/>
      <c r="D435" s="9"/>
      <c r="E435" s="9"/>
      <c r="F435" s="9"/>
    </row>
    <row r="436">
      <c r="A436" s="9"/>
      <c r="B436" s="9"/>
      <c r="C436" s="9"/>
      <c r="D436" s="9"/>
      <c r="E436" s="9"/>
      <c r="F436" s="9"/>
    </row>
    <row r="437">
      <c r="A437" s="9"/>
      <c r="B437" s="9"/>
      <c r="C437" s="9"/>
      <c r="D437" s="9"/>
      <c r="E437" s="9"/>
      <c r="F437" s="9"/>
    </row>
    <row r="438">
      <c r="A438" s="9"/>
      <c r="B438" s="9"/>
      <c r="C438" s="9"/>
      <c r="D438" s="9"/>
      <c r="E438" s="9"/>
      <c r="F438" s="9"/>
    </row>
    <row r="439">
      <c r="A439" s="9"/>
      <c r="B439" s="9"/>
      <c r="C439" s="9"/>
      <c r="D439" s="9"/>
      <c r="E439" s="9"/>
      <c r="F439" s="9"/>
    </row>
    <row r="440">
      <c r="A440" s="9"/>
      <c r="B440" s="9"/>
      <c r="C440" s="9"/>
      <c r="D440" s="9"/>
      <c r="E440" s="9"/>
      <c r="F440" s="9"/>
    </row>
    <row r="441">
      <c r="A441" s="9"/>
      <c r="B441" s="9"/>
      <c r="C441" s="9"/>
      <c r="D441" s="9"/>
      <c r="E441" s="9"/>
      <c r="F441" s="9"/>
    </row>
    <row r="442">
      <c r="A442" s="9"/>
      <c r="B442" s="9"/>
      <c r="C442" s="9"/>
      <c r="D442" s="9"/>
      <c r="E442" s="9"/>
      <c r="F442" s="9"/>
    </row>
    <row r="443">
      <c r="A443" s="9"/>
      <c r="B443" s="9"/>
      <c r="C443" s="9"/>
      <c r="D443" s="9"/>
      <c r="E443" s="9"/>
      <c r="F443" s="9"/>
    </row>
    <row r="444">
      <c r="A444" s="9"/>
      <c r="B444" s="9"/>
      <c r="C444" s="9"/>
      <c r="D444" s="9"/>
      <c r="E444" s="9"/>
      <c r="F444" s="9"/>
    </row>
    <row r="445">
      <c r="A445" s="9"/>
      <c r="B445" s="9"/>
      <c r="C445" s="9"/>
      <c r="D445" s="9"/>
      <c r="E445" s="9"/>
      <c r="F445" s="9"/>
    </row>
    <row r="446">
      <c r="A446" s="9"/>
      <c r="B446" s="9"/>
      <c r="C446" s="9"/>
      <c r="D446" s="9"/>
      <c r="E446" s="9"/>
      <c r="F446" s="9"/>
    </row>
    <row r="447">
      <c r="A447" s="9"/>
      <c r="B447" s="9"/>
      <c r="C447" s="9"/>
      <c r="D447" s="9"/>
      <c r="E447" s="9"/>
      <c r="F447" s="9"/>
    </row>
    <row r="448">
      <c r="A448" s="9"/>
      <c r="B448" s="9"/>
      <c r="C448" s="9"/>
      <c r="D448" s="9"/>
      <c r="E448" s="9"/>
      <c r="F448" s="9"/>
    </row>
    <row r="449">
      <c r="A449" s="9"/>
      <c r="B449" s="9"/>
      <c r="C449" s="9"/>
      <c r="D449" s="9"/>
      <c r="E449" s="9"/>
      <c r="F449" s="9"/>
    </row>
    <row r="450">
      <c r="A450" s="9"/>
      <c r="B450" s="9"/>
      <c r="C450" s="9"/>
      <c r="D450" s="9"/>
      <c r="E450" s="9"/>
      <c r="F450" s="9"/>
    </row>
    <row r="451">
      <c r="A451" s="9"/>
      <c r="B451" s="9"/>
      <c r="C451" s="9"/>
      <c r="D451" s="9"/>
      <c r="E451" s="9"/>
      <c r="F451" s="9"/>
    </row>
    <row r="452">
      <c r="A452" s="9"/>
      <c r="B452" s="9"/>
      <c r="C452" s="9"/>
      <c r="D452" s="9"/>
      <c r="E452" s="9"/>
      <c r="F452" s="9"/>
    </row>
    <row r="453">
      <c r="A453" s="9"/>
      <c r="B453" s="9"/>
      <c r="C453" s="9"/>
      <c r="D453" s="9"/>
      <c r="E453" s="9"/>
      <c r="F453" s="9"/>
    </row>
    <row r="454">
      <c r="A454" s="9"/>
      <c r="B454" s="9"/>
      <c r="C454" s="9"/>
      <c r="D454" s="9"/>
      <c r="E454" s="9"/>
      <c r="F454" s="9"/>
    </row>
    <row r="455">
      <c r="A455" s="9"/>
      <c r="B455" s="9"/>
      <c r="C455" s="9"/>
      <c r="D455" s="9"/>
      <c r="E455" s="9"/>
      <c r="F455" s="9"/>
    </row>
    <row r="456">
      <c r="A456" s="9"/>
      <c r="B456" s="9"/>
      <c r="C456" s="9"/>
      <c r="D456" s="9"/>
      <c r="E456" s="9"/>
      <c r="F456" s="9"/>
    </row>
    <row r="457">
      <c r="A457" s="9"/>
      <c r="B457" s="9"/>
      <c r="C457" s="9"/>
      <c r="D457" s="9"/>
      <c r="E457" s="9"/>
      <c r="F457" s="9"/>
    </row>
    <row r="458">
      <c r="A458" s="9"/>
      <c r="B458" s="9"/>
      <c r="C458" s="9"/>
      <c r="D458" s="9"/>
      <c r="E458" s="9"/>
      <c r="F458" s="9"/>
    </row>
    <row r="459">
      <c r="A459" s="9"/>
      <c r="B459" s="9"/>
      <c r="C459" s="9"/>
      <c r="D459" s="9"/>
      <c r="E459" s="9"/>
      <c r="F459" s="9"/>
    </row>
    <row r="460">
      <c r="A460" s="9"/>
      <c r="B460" s="9"/>
      <c r="C460" s="9"/>
      <c r="D460" s="9"/>
      <c r="E460" s="9"/>
      <c r="F460" s="9"/>
    </row>
    <row r="461">
      <c r="A461" s="9"/>
      <c r="B461" s="9"/>
      <c r="C461" s="9"/>
      <c r="D461" s="9"/>
      <c r="E461" s="9"/>
      <c r="F461" s="9"/>
    </row>
    <row r="462">
      <c r="A462" s="9"/>
      <c r="B462" s="9"/>
      <c r="C462" s="9"/>
      <c r="D462" s="9"/>
      <c r="E462" s="9"/>
      <c r="F462" s="9"/>
    </row>
    <row r="463">
      <c r="A463" s="9"/>
      <c r="B463" s="9"/>
      <c r="C463" s="9"/>
      <c r="D463" s="9"/>
      <c r="E463" s="9"/>
      <c r="F463" s="9"/>
    </row>
    <row r="464">
      <c r="A464" s="9"/>
      <c r="B464" s="9"/>
      <c r="C464" s="9"/>
      <c r="D464" s="9"/>
      <c r="E464" s="9"/>
      <c r="F464" s="9"/>
    </row>
    <row r="465">
      <c r="A465" s="9"/>
      <c r="B465" s="9"/>
      <c r="C465" s="9"/>
      <c r="D465" s="9"/>
      <c r="E465" s="9"/>
      <c r="F465" s="9"/>
    </row>
    <row r="466">
      <c r="A466" s="9"/>
      <c r="B466" s="9"/>
      <c r="C466" s="9"/>
      <c r="D466" s="9"/>
      <c r="E466" s="9"/>
      <c r="F466" s="9"/>
    </row>
    <row r="467">
      <c r="A467" s="9"/>
      <c r="B467" s="9"/>
      <c r="C467" s="9"/>
      <c r="D467" s="9"/>
      <c r="E467" s="9"/>
      <c r="F467" s="9"/>
    </row>
    <row r="468">
      <c r="A468" s="9"/>
      <c r="B468" s="9"/>
      <c r="C468" s="9"/>
      <c r="D468" s="9"/>
      <c r="E468" s="9"/>
      <c r="F468" s="9"/>
    </row>
    <row r="469">
      <c r="A469" s="9"/>
      <c r="B469" s="9"/>
      <c r="C469" s="9"/>
      <c r="D469" s="9"/>
      <c r="E469" s="9"/>
      <c r="F469" s="9"/>
    </row>
    <row r="470">
      <c r="A470" s="9"/>
      <c r="B470" s="9"/>
      <c r="C470" s="9"/>
      <c r="D470" s="9"/>
      <c r="E470" s="9"/>
      <c r="F470" s="9"/>
    </row>
    <row r="471">
      <c r="A471" s="9"/>
      <c r="B471" s="9"/>
      <c r="C471" s="9"/>
      <c r="D471" s="9"/>
      <c r="E471" s="9"/>
      <c r="F471" s="9"/>
    </row>
    <row r="472">
      <c r="A472" s="9"/>
      <c r="B472" s="9"/>
      <c r="C472" s="9"/>
      <c r="D472" s="9"/>
      <c r="E472" s="9"/>
      <c r="F472" s="9"/>
    </row>
    <row r="473">
      <c r="A473" s="9"/>
      <c r="B473" s="9"/>
      <c r="C473" s="9"/>
      <c r="D473" s="9"/>
      <c r="E473" s="9"/>
      <c r="F473" s="9"/>
    </row>
    <row r="474">
      <c r="A474" s="9"/>
      <c r="B474" s="9"/>
      <c r="C474" s="9"/>
      <c r="D474" s="9"/>
      <c r="E474" s="9"/>
      <c r="F474" s="9"/>
    </row>
    <row r="475">
      <c r="A475" s="9"/>
      <c r="B475" s="9"/>
      <c r="C475" s="9"/>
      <c r="D475" s="9"/>
      <c r="E475" s="9"/>
      <c r="F475" s="9"/>
    </row>
    <row r="476">
      <c r="A476" s="9"/>
      <c r="B476" s="9"/>
      <c r="C476" s="9"/>
      <c r="D476" s="9"/>
      <c r="E476" s="9"/>
      <c r="F476" s="9"/>
    </row>
    <row r="477">
      <c r="A477" s="9"/>
      <c r="B477" s="9"/>
      <c r="C477" s="9"/>
      <c r="D477" s="9"/>
      <c r="E477" s="9"/>
      <c r="F477" s="9"/>
    </row>
    <row r="478">
      <c r="A478" s="9"/>
      <c r="B478" s="9"/>
      <c r="C478" s="9"/>
      <c r="D478" s="9"/>
      <c r="E478" s="9"/>
      <c r="F478" s="9"/>
    </row>
    <row r="479">
      <c r="A479" s="9"/>
      <c r="B479" s="9"/>
      <c r="C479" s="9"/>
      <c r="D479" s="9"/>
      <c r="E479" s="9"/>
      <c r="F479" s="9"/>
    </row>
    <row r="480">
      <c r="A480" s="9"/>
      <c r="B480" s="9"/>
      <c r="C480" s="9"/>
      <c r="D480" s="9"/>
      <c r="E480" s="9"/>
      <c r="F480" s="9"/>
    </row>
    <row r="481">
      <c r="A481" s="9"/>
      <c r="B481" s="9"/>
      <c r="C481" s="9"/>
      <c r="D481" s="9"/>
      <c r="E481" s="9"/>
      <c r="F481" s="9"/>
    </row>
    <row r="482">
      <c r="A482" s="9"/>
      <c r="B482" s="9"/>
      <c r="C482" s="9"/>
      <c r="D482" s="9"/>
      <c r="E482" s="9"/>
      <c r="F482" s="9"/>
    </row>
    <row r="483">
      <c r="A483" s="9"/>
      <c r="B483" s="9"/>
      <c r="C483" s="9"/>
      <c r="D483" s="9"/>
      <c r="E483" s="9"/>
      <c r="F483" s="9"/>
    </row>
    <row r="484">
      <c r="A484" s="9"/>
      <c r="B484" s="9"/>
      <c r="C484" s="9"/>
      <c r="D484" s="9"/>
      <c r="E484" s="9"/>
      <c r="F484" s="9"/>
    </row>
    <row r="485">
      <c r="A485" s="9"/>
      <c r="B485" s="9"/>
      <c r="C485" s="9"/>
      <c r="D485" s="9"/>
      <c r="E485" s="9"/>
      <c r="F485" s="9"/>
    </row>
    <row r="486">
      <c r="A486" s="9"/>
      <c r="B486" s="9"/>
      <c r="C486" s="9"/>
      <c r="D486" s="9"/>
      <c r="E486" s="9"/>
      <c r="F486" s="9"/>
    </row>
    <row r="487">
      <c r="A487" s="9"/>
      <c r="B487" s="9"/>
      <c r="C487" s="9"/>
      <c r="D487" s="9"/>
      <c r="E487" s="9"/>
      <c r="F487" s="9"/>
    </row>
    <row r="488">
      <c r="A488" s="9"/>
      <c r="B488" s="9"/>
      <c r="C488" s="9"/>
      <c r="D488" s="9"/>
      <c r="E488" s="9"/>
      <c r="F488" s="9"/>
    </row>
    <row r="489">
      <c r="A489" s="9"/>
      <c r="B489" s="9"/>
      <c r="C489" s="9"/>
      <c r="D489" s="9"/>
      <c r="E489" s="9"/>
      <c r="F489" s="9"/>
    </row>
    <row r="490">
      <c r="A490" s="9"/>
      <c r="B490" s="9"/>
      <c r="C490" s="9"/>
      <c r="D490" s="9"/>
      <c r="E490" s="9"/>
      <c r="F490" s="9"/>
    </row>
    <row r="491">
      <c r="A491" s="9"/>
      <c r="B491" s="9"/>
      <c r="C491" s="9"/>
      <c r="D491" s="9"/>
      <c r="E491" s="9"/>
      <c r="F491" s="9"/>
    </row>
    <row r="492">
      <c r="A492" s="9"/>
      <c r="B492" s="9"/>
      <c r="C492" s="9"/>
      <c r="D492" s="9"/>
      <c r="E492" s="9"/>
      <c r="F492" s="9"/>
    </row>
    <row r="493">
      <c r="A493" s="9"/>
      <c r="B493" s="9"/>
      <c r="C493" s="9"/>
      <c r="D493" s="9"/>
      <c r="E493" s="9"/>
      <c r="F493" s="9"/>
    </row>
    <row r="494">
      <c r="A494" s="9"/>
      <c r="B494" s="9"/>
      <c r="C494" s="9"/>
      <c r="D494" s="9"/>
      <c r="E494" s="9"/>
      <c r="F494" s="9"/>
    </row>
    <row r="495">
      <c r="A495" s="9"/>
      <c r="B495" s="9"/>
      <c r="C495" s="9"/>
      <c r="D495" s="9"/>
      <c r="E495" s="9"/>
      <c r="F495" s="9"/>
    </row>
    <row r="496">
      <c r="A496" s="9"/>
      <c r="B496" s="9"/>
      <c r="C496" s="9"/>
      <c r="D496" s="9"/>
      <c r="E496" s="9"/>
      <c r="F496" s="9"/>
    </row>
    <row r="497">
      <c r="A497" s="9"/>
      <c r="B497" s="9"/>
      <c r="C497" s="9"/>
      <c r="D497" s="9"/>
      <c r="E497" s="9"/>
      <c r="F497" s="9"/>
    </row>
    <row r="498">
      <c r="A498" s="9"/>
      <c r="B498" s="9"/>
      <c r="C498" s="9"/>
      <c r="D498" s="9"/>
      <c r="E498" s="9"/>
      <c r="F498" s="9"/>
    </row>
    <row r="499">
      <c r="A499" s="9"/>
      <c r="B499" s="9"/>
      <c r="C499" s="9"/>
      <c r="D499" s="9"/>
      <c r="E499" s="9"/>
      <c r="F499" s="9"/>
    </row>
    <row r="500">
      <c r="A500" s="9"/>
      <c r="B500" s="9"/>
      <c r="C500" s="9"/>
      <c r="D500" s="9"/>
      <c r="E500" s="9"/>
      <c r="F500" s="9"/>
    </row>
    <row r="501">
      <c r="A501" s="9"/>
      <c r="B501" s="9"/>
      <c r="C501" s="9"/>
      <c r="D501" s="9"/>
      <c r="E501" s="9"/>
      <c r="F501" s="9"/>
    </row>
    <row r="502">
      <c r="A502" s="9"/>
      <c r="B502" s="9"/>
      <c r="C502" s="9"/>
      <c r="D502" s="9"/>
      <c r="E502" s="9"/>
      <c r="F502" s="9"/>
    </row>
    <row r="503">
      <c r="A503" s="9"/>
      <c r="B503" s="9"/>
      <c r="C503" s="9"/>
      <c r="D503" s="9"/>
      <c r="E503" s="9"/>
      <c r="F503" s="9"/>
    </row>
    <row r="504">
      <c r="A504" s="9"/>
      <c r="B504" s="9"/>
      <c r="C504" s="9"/>
      <c r="D504" s="9"/>
      <c r="E504" s="9"/>
      <c r="F504" s="9"/>
    </row>
    <row r="505">
      <c r="A505" s="9"/>
      <c r="B505" s="9"/>
      <c r="C505" s="9"/>
      <c r="D505" s="9"/>
      <c r="E505" s="9"/>
      <c r="F505" s="9"/>
    </row>
    <row r="506">
      <c r="A506" s="9"/>
      <c r="B506" s="9"/>
      <c r="C506" s="9"/>
      <c r="D506" s="9"/>
      <c r="E506" s="9"/>
      <c r="F506" s="9"/>
    </row>
    <row r="507">
      <c r="A507" s="9"/>
      <c r="B507" s="9"/>
      <c r="C507" s="9"/>
      <c r="D507" s="9"/>
      <c r="E507" s="9"/>
      <c r="F507" s="9"/>
    </row>
    <row r="508">
      <c r="A508" s="9"/>
      <c r="B508" s="9"/>
      <c r="C508" s="9"/>
      <c r="D508" s="9"/>
      <c r="E508" s="9"/>
      <c r="F508" s="9"/>
    </row>
    <row r="509">
      <c r="A509" s="9"/>
      <c r="B509" s="9"/>
      <c r="C509" s="9"/>
      <c r="D509" s="9"/>
      <c r="E509" s="9"/>
      <c r="F509" s="9"/>
    </row>
    <row r="510">
      <c r="A510" s="9"/>
      <c r="B510" s="9"/>
      <c r="C510" s="9"/>
      <c r="D510" s="9"/>
      <c r="E510" s="9"/>
      <c r="F510" s="9"/>
    </row>
    <row r="511">
      <c r="A511" s="9"/>
      <c r="B511" s="9"/>
      <c r="C511" s="9"/>
      <c r="D511" s="9"/>
      <c r="E511" s="9"/>
      <c r="F511" s="9"/>
    </row>
    <row r="512">
      <c r="A512" s="9"/>
      <c r="B512" s="9"/>
      <c r="C512" s="9"/>
      <c r="D512" s="9"/>
      <c r="E512" s="9"/>
      <c r="F512" s="9"/>
    </row>
    <row r="513">
      <c r="A513" s="9"/>
      <c r="B513" s="9"/>
      <c r="C513" s="9"/>
      <c r="D513" s="9"/>
      <c r="E513" s="9"/>
      <c r="F513" s="9"/>
    </row>
    <row r="514">
      <c r="A514" s="9"/>
      <c r="B514" s="9"/>
      <c r="C514" s="9"/>
      <c r="D514" s="9"/>
      <c r="E514" s="9"/>
      <c r="F514" s="9"/>
    </row>
    <row r="515">
      <c r="A515" s="9"/>
      <c r="B515" s="9"/>
      <c r="C515" s="9"/>
      <c r="D515" s="9"/>
      <c r="E515" s="9"/>
      <c r="F515" s="9"/>
    </row>
    <row r="516">
      <c r="A516" s="9"/>
      <c r="B516" s="9"/>
      <c r="C516" s="9"/>
      <c r="D516" s="9"/>
      <c r="E516" s="9"/>
      <c r="F516" s="9"/>
    </row>
    <row r="517">
      <c r="A517" s="9"/>
      <c r="B517" s="9"/>
      <c r="C517" s="9"/>
      <c r="D517" s="9"/>
      <c r="E517" s="9"/>
      <c r="F517" s="9"/>
    </row>
    <row r="518">
      <c r="A518" s="9"/>
      <c r="B518" s="9"/>
      <c r="C518" s="9"/>
      <c r="D518" s="9"/>
      <c r="E518" s="9"/>
      <c r="F518" s="9"/>
    </row>
    <row r="519">
      <c r="A519" s="9"/>
      <c r="B519" s="9"/>
      <c r="C519" s="9"/>
      <c r="D519" s="9"/>
      <c r="E519" s="9"/>
      <c r="F519" s="9"/>
    </row>
    <row r="520">
      <c r="A520" s="9"/>
      <c r="B520" s="9"/>
      <c r="C520" s="9"/>
      <c r="D520" s="9"/>
      <c r="E520" s="9"/>
      <c r="F520" s="9"/>
    </row>
    <row r="521">
      <c r="A521" s="9"/>
      <c r="B521" s="9"/>
      <c r="C521" s="9"/>
      <c r="D521" s="9"/>
      <c r="E521" s="9"/>
      <c r="F521" s="9"/>
    </row>
    <row r="522">
      <c r="A522" s="9"/>
      <c r="B522" s="9"/>
      <c r="C522" s="9"/>
      <c r="D522" s="9"/>
      <c r="E522" s="9"/>
      <c r="F522" s="9"/>
    </row>
    <row r="523">
      <c r="A523" s="9"/>
      <c r="B523" s="9"/>
      <c r="C523" s="9"/>
      <c r="D523" s="9"/>
      <c r="E523" s="9"/>
      <c r="F523" s="9"/>
    </row>
    <row r="524">
      <c r="A524" s="9"/>
      <c r="B524" s="9"/>
      <c r="C524" s="9"/>
      <c r="D524" s="9"/>
      <c r="E524" s="9"/>
      <c r="F524" s="9"/>
    </row>
    <row r="525">
      <c r="A525" s="9"/>
      <c r="B525" s="9"/>
      <c r="C525" s="9"/>
      <c r="D525" s="9"/>
      <c r="E525" s="9"/>
      <c r="F525" s="9"/>
    </row>
    <row r="526">
      <c r="A526" s="9"/>
      <c r="B526" s="9"/>
      <c r="C526" s="9"/>
      <c r="D526" s="9"/>
      <c r="E526" s="9"/>
      <c r="F526" s="9"/>
    </row>
    <row r="527">
      <c r="A527" s="9"/>
      <c r="B527" s="9"/>
      <c r="C527" s="9"/>
      <c r="D527" s="9"/>
      <c r="E527" s="9"/>
      <c r="F527" s="9"/>
    </row>
    <row r="528">
      <c r="A528" s="9"/>
      <c r="B528" s="9"/>
      <c r="C528" s="9"/>
      <c r="D528" s="9"/>
      <c r="E528" s="9"/>
      <c r="F528" s="9"/>
    </row>
    <row r="529">
      <c r="A529" s="9"/>
      <c r="B529" s="9"/>
      <c r="C529" s="9"/>
      <c r="D529" s="9"/>
      <c r="E529" s="9"/>
      <c r="F529" s="9"/>
    </row>
    <row r="530">
      <c r="A530" s="9"/>
      <c r="B530" s="9"/>
      <c r="C530" s="9"/>
      <c r="D530" s="9"/>
      <c r="E530" s="9"/>
      <c r="F530" s="9"/>
    </row>
    <row r="531">
      <c r="A531" s="9"/>
      <c r="B531" s="9"/>
      <c r="C531" s="9"/>
      <c r="D531" s="9"/>
      <c r="E531" s="9"/>
      <c r="F531" s="9"/>
    </row>
    <row r="532">
      <c r="A532" s="9"/>
      <c r="B532" s="9"/>
      <c r="C532" s="9"/>
      <c r="D532" s="9"/>
      <c r="E532" s="9"/>
      <c r="F532" s="9"/>
    </row>
    <row r="533">
      <c r="A533" s="9"/>
      <c r="B533" s="9"/>
      <c r="C533" s="9"/>
      <c r="D533" s="9"/>
      <c r="E533" s="9"/>
      <c r="F533" s="9"/>
    </row>
    <row r="534">
      <c r="A534" s="9"/>
      <c r="B534" s="9"/>
      <c r="C534" s="9"/>
      <c r="D534" s="9"/>
      <c r="E534" s="9"/>
      <c r="F534" s="9"/>
    </row>
    <row r="535">
      <c r="A535" s="9"/>
      <c r="B535" s="9"/>
      <c r="C535" s="9"/>
      <c r="D535" s="9"/>
      <c r="E535" s="9"/>
      <c r="F535" s="9"/>
    </row>
    <row r="536">
      <c r="A536" s="9"/>
      <c r="B536" s="9"/>
      <c r="C536" s="9"/>
      <c r="D536" s="9"/>
      <c r="E536" s="9"/>
      <c r="F536" s="9"/>
    </row>
    <row r="537">
      <c r="A537" s="9"/>
      <c r="B537" s="9"/>
      <c r="C537" s="9"/>
      <c r="D537" s="9"/>
      <c r="E537" s="9"/>
      <c r="F537" s="9"/>
    </row>
    <row r="538">
      <c r="A538" s="9"/>
      <c r="B538" s="9"/>
      <c r="C538" s="9"/>
      <c r="D538" s="9"/>
      <c r="E538" s="9"/>
      <c r="F538" s="9"/>
    </row>
    <row r="539">
      <c r="A539" s="9"/>
      <c r="B539" s="9"/>
      <c r="C539" s="9"/>
      <c r="D539" s="9"/>
      <c r="E539" s="9"/>
      <c r="F539" s="9"/>
    </row>
    <row r="540">
      <c r="A540" s="9"/>
      <c r="B540" s="9"/>
      <c r="C540" s="9"/>
      <c r="D540" s="9"/>
      <c r="E540" s="9"/>
      <c r="F540" s="9"/>
    </row>
    <row r="541">
      <c r="A541" s="9"/>
      <c r="B541" s="9"/>
      <c r="C541" s="9"/>
      <c r="D541" s="9"/>
      <c r="E541" s="9"/>
      <c r="F541" s="9"/>
    </row>
    <row r="542">
      <c r="A542" s="9"/>
      <c r="B542" s="9"/>
      <c r="C542" s="9"/>
      <c r="D542" s="9"/>
      <c r="E542" s="9"/>
      <c r="F542" s="9"/>
    </row>
    <row r="543">
      <c r="A543" s="9"/>
      <c r="B543" s="9"/>
      <c r="C543" s="9"/>
      <c r="D543" s="9"/>
      <c r="E543" s="9"/>
      <c r="F543" s="9"/>
    </row>
    <row r="544">
      <c r="A544" s="9"/>
      <c r="B544" s="9"/>
      <c r="C544" s="9"/>
      <c r="D544" s="9"/>
      <c r="E544" s="9"/>
      <c r="F544" s="9"/>
    </row>
    <row r="545">
      <c r="A545" s="9"/>
      <c r="B545" s="9"/>
      <c r="C545" s="9"/>
      <c r="D545" s="9"/>
      <c r="E545" s="9"/>
      <c r="F545" s="9"/>
    </row>
    <row r="546">
      <c r="A546" s="9"/>
      <c r="B546" s="9"/>
      <c r="C546" s="9"/>
      <c r="D546" s="9"/>
      <c r="E546" s="9"/>
      <c r="F546" s="9"/>
    </row>
    <row r="547">
      <c r="A547" s="9"/>
      <c r="B547" s="9"/>
      <c r="C547" s="9"/>
      <c r="D547" s="9"/>
      <c r="E547" s="9"/>
      <c r="F547" s="9"/>
    </row>
    <row r="548">
      <c r="A548" s="9"/>
      <c r="B548" s="9"/>
      <c r="C548" s="9"/>
      <c r="D548" s="9"/>
      <c r="E548" s="9"/>
      <c r="F548" s="9"/>
    </row>
    <row r="549">
      <c r="A549" s="9"/>
      <c r="B549" s="9"/>
      <c r="C549" s="9"/>
      <c r="D549" s="9"/>
      <c r="E549" s="9"/>
      <c r="F549" s="9"/>
    </row>
    <row r="550">
      <c r="A550" s="9"/>
      <c r="B550" s="9"/>
      <c r="C550" s="9"/>
      <c r="D550" s="9"/>
      <c r="E550" s="9"/>
      <c r="F550" s="9"/>
    </row>
    <row r="551">
      <c r="A551" s="9"/>
      <c r="B551" s="9"/>
      <c r="C551" s="9"/>
      <c r="D551" s="9"/>
      <c r="E551" s="9"/>
      <c r="F551" s="9"/>
    </row>
    <row r="552">
      <c r="A552" s="9"/>
      <c r="B552" s="9"/>
      <c r="C552" s="9"/>
      <c r="D552" s="9"/>
      <c r="E552" s="9"/>
      <c r="F552" s="9"/>
    </row>
    <row r="553">
      <c r="A553" s="9"/>
      <c r="B553" s="9"/>
      <c r="C553" s="9"/>
      <c r="D553" s="9"/>
      <c r="E553" s="9"/>
      <c r="F553" s="9"/>
    </row>
    <row r="554">
      <c r="A554" s="9"/>
      <c r="B554" s="9"/>
      <c r="C554" s="9"/>
      <c r="D554" s="9"/>
      <c r="E554" s="9"/>
      <c r="F554" s="9"/>
    </row>
    <row r="555">
      <c r="A555" s="9"/>
      <c r="B555" s="9"/>
      <c r="C555" s="9"/>
      <c r="D555" s="9"/>
      <c r="E555" s="9"/>
      <c r="F555" s="9"/>
    </row>
    <row r="556">
      <c r="A556" s="9"/>
      <c r="B556" s="9"/>
      <c r="C556" s="9"/>
      <c r="D556" s="9"/>
      <c r="E556" s="9"/>
      <c r="F556" s="9"/>
    </row>
    <row r="557">
      <c r="A557" s="9"/>
      <c r="B557" s="9"/>
      <c r="C557" s="9"/>
      <c r="D557" s="9"/>
      <c r="E557" s="9"/>
      <c r="F557" s="9"/>
    </row>
    <row r="558">
      <c r="A558" s="9"/>
      <c r="B558" s="9"/>
      <c r="C558" s="9"/>
      <c r="D558" s="9"/>
      <c r="E558" s="9"/>
      <c r="F558" s="9"/>
    </row>
    <row r="559">
      <c r="A559" s="9"/>
      <c r="B559" s="9"/>
      <c r="C559" s="9"/>
      <c r="D559" s="9"/>
      <c r="E559" s="9"/>
      <c r="F559" s="9"/>
    </row>
    <row r="560">
      <c r="A560" s="9"/>
      <c r="B560" s="9"/>
      <c r="C560" s="9"/>
      <c r="D560" s="9"/>
      <c r="E560" s="9"/>
      <c r="F560" s="9"/>
    </row>
    <row r="561">
      <c r="A561" s="9"/>
      <c r="B561" s="9"/>
      <c r="C561" s="9"/>
      <c r="D561" s="9"/>
      <c r="E561" s="9"/>
      <c r="F561" s="9"/>
    </row>
    <row r="562">
      <c r="A562" s="9"/>
      <c r="B562" s="9"/>
      <c r="C562" s="9"/>
      <c r="D562" s="9"/>
      <c r="E562" s="9"/>
      <c r="F562" s="9"/>
    </row>
    <row r="563">
      <c r="A563" s="9"/>
      <c r="B563" s="9"/>
      <c r="C563" s="9"/>
      <c r="D563" s="9"/>
      <c r="E563" s="9"/>
      <c r="F563" s="9"/>
    </row>
    <row r="564">
      <c r="A564" s="9"/>
      <c r="B564" s="9"/>
      <c r="C564" s="9"/>
      <c r="D564" s="9"/>
      <c r="E564" s="9"/>
      <c r="F564" s="9"/>
    </row>
    <row r="565">
      <c r="A565" s="9"/>
      <c r="B565" s="9"/>
      <c r="C565" s="9"/>
      <c r="D565" s="9"/>
      <c r="E565" s="9"/>
      <c r="F565" s="9"/>
    </row>
    <row r="566">
      <c r="A566" s="9"/>
      <c r="B566" s="9"/>
      <c r="C566" s="9"/>
      <c r="D566" s="9"/>
      <c r="E566" s="9"/>
      <c r="F566" s="9"/>
    </row>
    <row r="567">
      <c r="A567" s="9"/>
      <c r="B567" s="9"/>
      <c r="C567" s="9"/>
      <c r="D567" s="9"/>
      <c r="E567" s="9"/>
      <c r="F567" s="9"/>
    </row>
    <row r="568">
      <c r="A568" s="9"/>
      <c r="B568" s="9"/>
      <c r="C568" s="9"/>
      <c r="D568" s="9"/>
      <c r="E568" s="9"/>
      <c r="F568" s="9"/>
    </row>
    <row r="569">
      <c r="A569" s="9"/>
      <c r="B569" s="9"/>
      <c r="C569" s="9"/>
      <c r="D569" s="9"/>
      <c r="E569" s="9"/>
      <c r="F569" s="9"/>
    </row>
    <row r="570">
      <c r="A570" s="9"/>
      <c r="B570" s="9"/>
      <c r="C570" s="9"/>
      <c r="D570" s="9"/>
      <c r="E570" s="9"/>
      <c r="F570" s="9"/>
    </row>
    <row r="571">
      <c r="A571" s="9"/>
      <c r="B571" s="9"/>
      <c r="C571" s="9"/>
      <c r="D571" s="9"/>
      <c r="E571" s="9"/>
      <c r="F571" s="9"/>
    </row>
    <row r="572">
      <c r="A572" s="9"/>
      <c r="B572" s="9"/>
      <c r="C572" s="9"/>
      <c r="D572" s="9"/>
      <c r="E572" s="9"/>
      <c r="F572" s="9"/>
    </row>
    <row r="573">
      <c r="A573" s="9"/>
      <c r="B573" s="9"/>
      <c r="C573" s="9"/>
      <c r="D573" s="9"/>
      <c r="E573" s="9"/>
      <c r="F573" s="9"/>
    </row>
    <row r="574">
      <c r="A574" s="9"/>
      <c r="B574" s="9"/>
      <c r="C574" s="9"/>
      <c r="D574" s="9"/>
      <c r="E574" s="9"/>
      <c r="F574" s="9"/>
    </row>
    <row r="575">
      <c r="A575" s="9"/>
      <c r="B575" s="9"/>
      <c r="C575" s="9"/>
      <c r="D575" s="9"/>
      <c r="E575" s="9"/>
      <c r="F575" s="9"/>
    </row>
    <row r="576">
      <c r="A576" s="9"/>
      <c r="B576" s="9"/>
      <c r="C576" s="9"/>
      <c r="D576" s="9"/>
      <c r="E576" s="9"/>
      <c r="F576" s="9"/>
    </row>
    <row r="577">
      <c r="A577" s="9"/>
      <c r="B577" s="9"/>
      <c r="C577" s="9"/>
      <c r="D577" s="9"/>
      <c r="E577" s="9"/>
      <c r="F577" s="9"/>
    </row>
    <row r="578">
      <c r="A578" s="9"/>
      <c r="B578" s="9"/>
      <c r="C578" s="9"/>
      <c r="D578" s="9"/>
      <c r="E578" s="9"/>
      <c r="F578" s="9"/>
    </row>
    <row r="579">
      <c r="A579" s="9"/>
      <c r="B579" s="9"/>
      <c r="C579" s="9"/>
      <c r="D579" s="9"/>
      <c r="E579" s="9"/>
      <c r="F579" s="9"/>
    </row>
    <row r="580">
      <c r="A580" s="9"/>
      <c r="B580" s="9"/>
      <c r="C580" s="9"/>
      <c r="D580" s="9"/>
      <c r="E580" s="9"/>
      <c r="F580" s="9"/>
    </row>
    <row r="581">
      <c r="A581" s="9"/>
      <c r="B581" s="9"/>
      <c r="C581" s="9"/>
      <c r="D581" s="9"/>
      <c r="E581" s="9"/>
      <c r="F581" s="9"/>
    </row>
    <row r="582">
      <c r="A582" s="9"/>
      <c r="B582" s="9"/>
      <c r="C582" s="9"/>
      <c r="D582" s="9"/>
      <c r="E582" s="9"/>
      <c r="F582" s="9"/>
    </row>
    <row r="583">
      <c r="A583" s="9"/>
      <c r="B583" s="9"/>
      <c r="C583" s="9"/>
      <c r="D583" s="9"/>
      <c r="E583" s="9"/>
      <c r="F583" s="9"/>
    </row>
    <row r="584">
      <c r="A584" s="9"/>
      <c r="B584" s="9"/>
      <c r="C584" s="9"/>
      <c r="D584" s="9"/>
      <c r="E584" s="9"/>
      <c r="F584" s="9"/>
    </row>
    <row r="585">
      <c r="A585" s="9"/>
      <c r="B585" s="9"/>
      <c r="C585" s="9"/>
      <c r="D585" s="9"/>
      <c r="E585" s="9"/>
      <c r="F585" s="9"/>
    </row>
    <row r="586">
      <c r="A586" s="9"/>
      <c r="B586" s="9"/>
      <c r="C586" s="9"/>
      <c r="D586" s="9"/>
      <c r="E586" s="9"/>
      <c r="F586" s="9"/>
    </row>
    <row r="587">
      <c r="A587" s="9"/>
      <c r="B587" s="9"/>
      <c r="C587" s="9"/>
      <c r="D587" s="9"/>
      <c r="E587" s="9"/>
      <c r="F587" s="9"/>
    </row>
    <row r="588">
      <c r="A588" s="9"/>
      <c r="B588" s="9"/>
      <c r="C588" s="9"/>
      <c r="D588" s="9"/>
      <c r="E588" s="9"/>
      <c r="F588" s="9"/>
    </row>
    <row r="589">
      <c r="A589" s="9"/>
      <c r="B589" s="9"/>
      <c r="C589" s="9"/>
      <c r="D589" s="9"/>
      <c r="E589" s="9"/>
      <c r="F589" s="9"/>
    </row>
    <row r="590">
      <c r="A590" s="9"/>
      <c r="B590" s="9"/>
      <c r="C590" s="9"/>
      <c r="D590" s="9"/>
      <c r="E590" s="9"/>
      <c r="F590" s="9"/>
    </row>
    <row r="591">
      <c r="A591" s="9"/>
      <c r="B591" s="9"/>
      <c r="C591" s="9"/>
      <c r="D591" s="9"/>
      <c r="E591" s="9"/>
      <c r="F591" s="9"/>
    </row>
    <row r="592">
      <c r="A592" s="9"/>
      <c r="B592" s="9"/>
      <c r="C592" s="9"/>
      <c r="D592" s="9"/>
      <c r="E592" s="9"/>
      <c r="F592" s="9"/>
    </row>
    <row r="593">
      <c r="A593" s="9"/>
      <c r="B593" s="9"/>
      <c r="C593" s="9"/>
      <c r="D593" s="9"/>
      <c r="E593" s="9"/>
      <c r="F593" s="9"/>
    </row>
    <row r="594">
      <c r="A594" s="9"/>
      <c r="B594" s="9"/>
      <c r="C594" s="9"/>
      <c r="D594" s="9"/>
      <c r="E594" s="9"/>
      <c r="F594" s="9"/>
    </row>
    <row r="595">
      <c r="A595" s="9"/>
      <c r="B595" s="9"/>
      <c r="C595" s="9"/>
      <c r="D595" s="9"/>
      <c r="E595" s="9"/>
      <c r="F595" s="9"/>
    </row>
    <row r="596">
      <c r="A596" s="9"/>
      <c r="B596" s="9"/>
      <c r="C596" s="9"/>
      <c r="D596" s="9"/>
      <c r="E596" s="9"/>
      <c r="F596" s="9"/>
    </row>
    <row r="597">
      <c r="A597" s="9"/>
      <c r="B597" s="9"/>
      <c r="C597" s="9"/>
      <c r="D597" s="9"/>
      <c r="E597" s="9"/>
      <c r="F597" s="9"/>
    </row>
    <row r="598">
      <c r="A598" s="9"/>
      <c r="B598" s="9"/>
      <c r="C598" s="9"/>
      <c r="D598" s="9"/>
      <c r="E598" s="9"/>
      <c r="F598" s="9"/>
    </row>
    <row r="599">
      <c r="A599" s="9"/>
      <c r="B599" s="9"/>
      <c r="C599" s="9"/>
      <c r="D599" s="9"/>
      <c r="E599" s="9"/>
      <c r="F599" s="9"/>
    </row>
    <row r="600">
      <c r="A600" s="9"/>
      <c r="B600" s="9"/>
      <c r="C600" s="9"/>
      <c r="D600" s="9"/>
      <c r="E600" s="9"/>
      <c r="F600" s="9"/>
    </row>
    <row r="601">
      <c r="A601" s="9"/>
      <c r="B601" s="9"/>
      <c r="C601" s="9"/>
      <c r="D601" s="9"/>
      <c r="E601" s="9"/>
      <c r="F601" s="9"/>
    </row>
    <row r="602">
      <c r="A602" s="9"/>
      <c r="B602" s="9"/>
      <c r="C602" s="9"/>
      <c r="D602" s="9"/>
      <c r="E602" s="9"/>
      <c r="F602" s="9"/>
    </row>
    <row r="603">
      <c r="A603" s="9"/>
      <c r="B603" s="9"/>
      <c r="C603" s="9"/>
      <c r="D603" s="9"/>
      <c r="E603" s="9"/>
      <c r="F603" s="9"/>
    </row>
    <row r="604">
      <c r="A604" s="9"/>
      <c r="B604" s="9"/>
      <c r="C604" s="9"/>
      <c r="D604" s="9"/>
      <c r="E604" s="9"/>
      <c r="F604" s="9"/>
    </row>
    <row r="605">
      <c r="A605" s="9"/>
      <c r="B605" s="9"/>
      <c r="C605" s="9"/>
      <c r="D605" s="9"/>
      <c r="E605" s="9"/>
      <c r="F605" s="9"/>
    </row>
    <row r="606">
      <c r="A606" s="9"/>
      <c r="B606" s="9"/>
      <c r="C606" s="9"/>
      <c r="D606" s="9"/>
      <c r="E606" s="9"/>
      <c r="F606" s="9"/>
    </row>
    <row r="607">
      <c r="A607" s="9"/>
      <c r="B607" s="9"/>
      <c r="C607" s="9"/>
      <c r="D607" s="9"/>
      <c r="E607" s="9"/>
      <c r="F607" s="9"/>
    </row>
    <row r="608">
      <c r="A608" s="9"/>
      <c r="B608" s="9"/>
      <c r="C608" s="9"/>
      <c r="D608" s="9"/>
      <c r="E608" s="9"/>
      <c r="F608" s="9"/>
    </row>
    <row r="609">
      <c r="A609" s="9"/>
      <c r="B609" s="9"/>
      <c r="C609" s="9"/>
      <c r="D609" s="9"/>
      <c r="E609" s="9"/>
      <c r="F609" s="9"/>
    </row>
    <row r="610">
      <c r="A610" s="9"/>
      <c r="B610" s="9"/>
      <c r="C610" s="9"/>
      <c r="D610" s="9"/>
      <c r="E610" s="9"/>
      <c r="F610" s="9"/>
    </row>
    <row r="611">
      <c r="A611" s="9"/>
      <c r="B611" s="9"/>
      <c r="C611" s="9"/>
      <c r="D611" s="9"/>
      <c r="E611" s="9"/>
      <c r="F611" s="9"/>
    </row>
    <row r="612">
      <c r="A612" s="9"/>
      <c r="B612" s="9"/>
      <c r="C612" s="9"/>
      <c r="D612" s="9"/>
      <c r="E612" s="9"/>
      <c r="F612" s="9"/>
    </row>
    <row r="613">
      <c r="A613" s="9"/>
      <c r="B613" s="9"/>
      <c r="C613" s="9"/>
      <c r="D613" s="9"/>
      <c r="E613" s="9"/>
      <c r="F613" s="9"/>
    </row>
    <row r="614">
      <c r="A614" s="9"/>
      <c r="B614" s="9"/>
      <c r="C614" s="9"/>
      <c r="D614" s="9"/>
      <c r="E614" s="9"/>
      <c r="F614" s="9"/>
    </row>
    <row r="615">
      <c r="A615" s="9"/>
      <c r="B615" s="9"/>
      <c r="C615" s="9"/>
      <c r="D615" s="9"/>
      <c r="E615" s="9"/>
      <c r="F615" s="9"/>
    </row>
    <row r="616">
      <c r="A616" s="9"/>
      <c r="B616" s="9"/>
      <c r="C616" s="9"/>
      <c r="D616" s="9"/>
      <c r="E616" s="9"/>
      <c r="F616" s="9"/>
    </row>
    <row r="617">
      <c r="A617" s="9"/>
      <c r="B617" s="9"/>
      <c r="C617" s="9"/>
      <c r="D617" s="9"/>
      <c r="E617" s="9"/>
      <c r="F617" s="9"/>
    </row>
    <row r="618">
      <c r="A618" s="9"/>
      <c r="B618" s="9"/>
      <c r="C618" s="9"/>
      <c r="D618" s="9"/>
      <c r="E618" s="9"/>
      <c r="F618" s="9"/>
    </row>
    <row r="619">
      <c r="A619" s="9"/>
      <c r="B619" s="9"/>
      <c r="C619" s="9"/>
      <c r="D619" s="9"/>
      <c r="E619" s="9"/>
      <c r="F619" s="9"/>
    </row>
    <row r="620">
      <c r="A620" s="9"/>
      <c r="B620" s="9"/>
      <c r="C620" s="9"/>
      <c r="D620" s="9"/>
      <c r="E620" s="9"/>
      <c r="F620" s="9"/>
    </row>
    <row r="621">
      <c r="A621" s="9"/>
      <c r="B621" s="9"/>
      <c r="C621" s="9"/>
      <c r="D621" s="9"/>
      <c r="E621" s="9"/>
      <c r="F621" s="9"/>
    </row>
    <row r="622">
      <c r="A622" s="9"/>
      <c r="B622" s="9"/>
      <c r="C622" s="9"/>
      <c r="D622" s="9"/>
      <c r="E622" s="9"/>
      <c r="F622" s="9"/>
    </row>
    <row r="623">
      <c r="A623" s="9"/>
      <c r="B623" s="9"/>
      <c r="C623" s="9"/>
      <c r="D623" s="9"/>
      <c r="E623" s="9"/>
      <c r="F623" s="9"/>
    </row>
    <row r="624">
      <c r="A624" s="9"/>
      <c r="B624" s="9"/>
      <c r="C624" s="9"/>
      <c r="D624" s="9"/>
      <c r="E624" s="9"/>
      <c r="F624" s="9"/>
    </row>
    <row r="625">
      <c r="A625" s="9"/>
      <c r="B625" s="9"/>
      <c r="C625" s="9"/>
      <c r="D625" s="9"/>
      <c r="E625" s="9"/>
      <c r="F625" s="9"/>
    </row>
    <row r="626">
      <c r="A626" s="9"/>
      <c r="B626" s="9"/>
      <c r="C626" s="9"/>
      <c r="D626" s="9"/>
      <c r="E626" s="9"/>
      <c r="F626" s="9"/>
    </row>
    <row r="627">
      <c r="A627" s="9"/>
      <c r="B627" s="9"/>
      <c r="C627" s="9"/>
      <c r="D627" s="9"/>
      <c r="E627" s="9"/>
      <c r="F627" s="9"/>
    </row>
    <row r="628">
      <c r="A628" s="9"/>
      <c r="B628" s="9"/>
      <c r="C628" s="9"/>
      <c r="D628" s="9"/>
      <c r="E628" s="9"/>
      <c r="F628" s="9"/>
    </row>
    <row r="629">
      <c r="A629" s="9"/>
      <c r="B629" s="9"/>
      <c r="C629" s="9"/>
      <c r="D629" s="9"/>
      <c r="E629" s="9"/>
      <c r="F629" s="9"/>
    </row>
    <row r="630">
      <c r="A630" s="9"/>
      <c r="B630" s="9"/>
      <c r="C630" s="9"/>
      <c r="D630" s="9"/>
      <c r="E630" s="9"/>
      <c r="F630" s="9"/>
    </row>
    <row r="631">
      <c r="A631" s="9"/>
      <c r="B631" s="9"/>
      <c r="C631" s="9"/>
      <c r="D631" s="9"/>
      <c r="E631" s="9"/>
      <c r="F631" s="9"/>
    </row>
    <row r="632">
      <c r="A632" s="9"/>
      <c r="B632" s="9"/>
      <c r="C632" s="9"/>
      <c r="D632" s="9"/>
      <c r="E632" s="9"/>
      <c r="F632" s="9"/>
    </row>
    <row r="633">
      <c r="A633" s="9"/>
      <c r="B633" s="9"/>
      <c r="C633" s="9"/>
      <c r="D633" s="9"/>
      <c r="E633" s="9"/>
      <c r="F633" s="9"/>
    </row>
    <row r="634">
      <c r="A634" s="9"/>
      <c r="B634" s="9"/>
      <c r="C634" s="9"/>
      <c r="D634" s="9"/>
      <c r="E634" s="9"/>
      <c r="F634" s="9"/>
    </row>
    <row r="635">
      <c r="A635" s="9"/>
      <c r="B635" s="9"/>
      <c r="C635" s="9"/>
      <c r="D635" s="9"/>
      <c r="E635" s="9"/>
      <c r="F635" s="9"/>
    </row>
    <row r="636">
      <c r="A636" s="9"/>
      <c r="B636" s="9"/>
      <c r="C636" s="9"/>
      <c r="D636" s="9"/>
      <c r="E636" s="9"/>
      <c r="F636" s="9"/>
    </row>
    <row r="637">
      <c r="A637" s="9"/>
      <c r="B637" s="9"/>
      <c r="C637" s="9"/>
      <c r="D637" s="9"/>
      <c r="E637" s="9"/>
      <c r="F637" s="9"/>
    </row>
    <row r="638">
      <c r="A638" s="9"/>
      <c r="B638" s="9"/>
      <c r="C638" s="9"/>
      <c r="D638" s="9"/>
      <c r="E638" s="9"/>
      <c r="F638" s="9"/>
    </row>
    <row r="639">
      <c r="A639" s="9"/>
      <c r="B639" s="9"/>
      <c r="C639" s="9"/>
      <c r="D639" s="9"/>
      <c r="E639" s="9"/>
      <c r="F639" s="9"/>
    </row>
    <row r="640">
      <c r="A640" s="9"/>
      <c r="B640" s="9"/>
      <c r="C640" s="9"/>
      <c r="D640" s="9"/>
      <c r="E640" s="9"/>
      <c r="F640" s="9"/>
    </row>
    <row r="641">
      <c r="A641" s="9"/>
      <c r="B641" s="9"/>
      <c r="C641" s="9"/>
      <c r="D641" s="9"/>
      <c r="E641" s="9"/>
      <c r="F641" s="9"/>
    </row>
    <row r="642">
      <c r="A642" s="9"/>
      <c r="B642" s="9"/>
      <c r="C642" s="9"/>
      <c r="D642" s="9"/>
      <c r="E642" s="9"/>
      <c r="F642" s="9"/>
    </row>
    <row r="643">
      <c r="A643" s="9"/>
      <c r="B643" s="9"/>
      <c r="C643" s="9"/>
      <c r="D643" s="9"/>
      <c r="E643" s="9"/>
      <c r="F643" s="9"/>
    </row>
    <row r="644">
      <c r="A644" s="9"/>
      <c r="B644" s="9"/>
      <c r="C644" s="9"/>
      <c r="D644" s="9"/>
      <c r="E644" s="9"/>
      <c r="F644" s="9"/>
    </row>
    <row r="645">
      <c r="A645" s="9"/>
      <c r="B645" s="9"/>
      <c r="C645" s="9"/>
      <c r="D645" s="9"/>
      <c r="E645" s="9"/>
      <c r="F645" s="9"/>
    </row>
    <row r="646">
      <c r="A646" s="9"/>
      <c r="B646" s="9"/>
      <c r="C646" s="9"/>
      <c r="D646" s="9"/>
      <c r="E646" s="9"/>
      <c r="F646" s="9"/>
    </row>
    <row r="647">
      <c r="A647" s="9"/>
      <c r="B647" s="9"/>
      <c r="C647" s="9"/>
      <c r="D647" s="9"/>
      <c r="E647" s="9"/>
      <c r="F647" s="9"/>
    </row>
    <row r="648">
      <c r="A648" s="9"/>
      <c r="B648" s="9"/>
      <c r="C648" s="9"/>
      <c r="D648" s="9"/>
      <c r="E648" s="9"/>
      <c r="F648" s="9"/>
    </row>
    <row r="649">
      <c r="A649" s="9"/>
      <c r="B649" s="9"/>
      <c r="C649" s="9"/>
      <c r="D649" s="9"/>
      <c r="E649" s="9"/>
      <c r="F649" s="9"/>
    </row>
    <row r="650">
      <c r="A650" s="9"/>
      <c r="B650" s="9"/>
      <c r="C650" s="9"/>
      <c r="D650" s="9"/>
      <c r="E650" s="9"/>
      <c r="F650" s="9"/>
    </row>
    <row r="651">
      <c r="A651" s="9"/>
      <c r="B651" s="9"/>
      <c r="C651" s="9"/>
      <c r="D651" s="9"/>
      <c r="E651" s="9"/>
      <c r="F651" s="9"/>
    </row>
    <row r="652">
      <c r="A652" s="9"/>
      <c r="B652" s="9"/>
      <c r="C652" s="9"/>
      <c r="D652" s="9"/>
      <c r="E652" s="9"/>
      <c r="F652" s="9"/>
    </row>
    <row r="653">
      <c r="A653" s="9"/>
      <c r="B653" s="9"/>
      <c r="C653" s="9"/>
      <c r="D653" s="9"/>
      <c r="E653" s="9"/>
      <c r="F653" s="9"/>
    </row>
    <row r="654">
      <c r="A654" s="9"/>
      <c r="B654" s="9"/>
      <c r="C654" s="9"/>
      <c r="D654" s="9"/>
      <c r="E654" s="9"/>
      <c r="F654" s="9"/>
    </row>
    <row r="655">
      <c r="A655" s="9"/>
      <c r="B655" s="9"/>
      <c r="C655" s="9"/>
      <c r="D655" s="9"/>
      <c r="E655" s="9"/>
      <c r="F655" s="9"/>
    </row>
    <row r="656">
      <c r="A656" s="9"/>
      <c r="B656" s="9"/>
      <c r="C656" s="9"/>
      <c r="D656" s="9"/>
      <c r="E656" s="9"/>
      <c r="F656" s="9"/>
    </row>
    <row r="657">
      <c r="A657" s="9"/>
      <c r="B657" s="9"/>
      <c r="C657" s="9"/>
      <c r="D657" s="9"/>
      <c r="E657" s="9"/>
      <c r="F657" s="9"/>
    </row>
    <row r="658">
      <c r="A658" s="9"/>
      <c r="B658" s="9"/>
      <c r="C658" s="9"/>
      <c r="D658" s="9"/>
      <c r="E658" s="9"/>
      <c r="F658" s="9"/>
    </row>
    <row r="659">
      <c r="A659" s="9"/>
      <c r="B659" s="9"/>
      <c r="C659" s="9"/>
      <c r="D659" s="9"/>
      <c r="E659" s="9"/>
      <c r="F659" s="9"/>
    </row>
    <row r="660">
      <c r="A660" s="9"/>
      <c r="B660" s="9"/>
      <c r="C660" s="9"/>
      <c r="D660" s="9"/>
      <c r="E660" s="9"/>
      <c r="F660" s="9"/>
    </row>
    <row r="661">
      <c r="A661" s="9"/>
      <c r="B661" s="9"/>
      <c r="C661" s="9"/>
      <c r="D661" s="9"/>
      <c r="E661" s="9"/>
      <c r="F661" s="9"/>
    </row>
    <row r="662">
      <c r="A662" s="9"/>
      <c r="B662" s="9"/>
      <c r="C662" s="9"/>
      <c r="D662" s="9"/>
      <c r="E662" s="9"/>
      <c r="F662" s="9"/>
    </row>
    <row r="663">
      <c r="A663" s="9"/>
      <c r="B663" s="9"/>
      <c r="C663" s="9"/>
      <c r="D663" s="9"/>
      <c r="E663" s="9"/>
      <c r="F663" s="9"/>
    </row>
    <row r="664">
      <c r="A664" s="9"/>
      <c r="B664" s="9"/>
      <c r="C664" s="9"/>
      <c r="D664" s="9"/>
      <c r="E664" s="9"/>
      <c r="F664" s="9"/>
    </row>
    <row r="665">
      <c r="A665" s="9"/>
      <c r="B665" s="9"/>
      <c r="C665" s="9"/>
      <c r="D665" s="9"/>
      <c r="E665" s="9"/>
      <c r="F665" s="9"/>
    </row>
    <row r="666">
      <c r="A666" s="9"/>
      <c r="B666" s="9"/>
      <c r="C666" s="9"/>
      <c r="D666" s="9"/>
      <c r="E666" s="9"/>
      <c r="F666" s="9"/>
    </row>
    <row r="667">
      <c r="A667" s="9"/>
      <c r="B667" s="9"/>
      <c r="C667" s="9"/>
      <c r="D667" s="9"/>
      <c r="E667" s="9"/>
      <c r="F667" s="9"/>
    </row>
    <row r="668">
      <c r="A668" s="9"/>
      <c r="B668" s="9"/>
      <c r="C668" s="9"/>
      <c r="D668" s="9"/>
      <c r="E668" s="9"/>
      <c r="F668" s="9"/>
    </row>
    <row r="669">
      <c r="A669" s="9"/>
      <c r="B669" s="9"/>
      <c r="C669" s="9"/>
      <c r="D669" s="9"/>
      <c r="E669" s="9"/>
      <c r="F669" s="9"/>
    </row>
    <row r="670">
      <c r="A670" s="9"/>
      <c r="B670" s="9"/>
      <c r="C670" s="9"/>
      <c r="D670" s="9"/>
      <c r="E670" s="9"/>
      <c r="F670" s="9"/>
    </row>
    <row r="671">
      <c r="A671" s="9"/>
      <c r="B671" s="9"/>
      <c r="C671" s="9"/>
      <c r="D671" s="9"/>
      <c r="E671" s="9"/>
      <c r="F671" s="9"/>
    </row>
    <row r="672">
      <c r="A672" s="9"/>
      <c r="B672" s="9"/>
      <c r="C672" s="9"/>
      <c r="D672" s="9"/>
      <c r="E672" s="9"/>
      <c r="F672" s="9"/>
    </row>
    <row r="673">
      <c r="A673" s="9"/>
      <c r="B673" s="9"/>
      <c r="C673" s="9"/>
      <c r="D673" s="9"/>
      <c r="E673" s="9"/>
      <c r="F673" s="9"/>
    </row>
    <row r="674">
      <c r="A674" s="9"/>
      <c r="B674" s="9"/>
      <c r="C674" s="9"/>
      <c r="D674" s="9"/>
      <c r="E674" s="9"/>
      <c r="F674" s="9"/>
    </row>
    <row r="675">
      <c r="A675" s="9"/>
      <c r="B675" s="9"/>
      <c r="C675" s="9"/>
      <c r="D675" s="9"/>
      <c r="E675" s="9"/>
      <c r="F675" s="9"/>
    </row>
    <row r="676">
      <c r="A676" s="9"/>
      <c r="B676" s="9"/>
      <c r="C676" s="9"/>
      <c r="D676" s="9"/>
      <c r="E676" s="9"/>
      <c r="F676" s="9"/>
    </row>
    <row r="677">
      <c r="A677" s="9"/>
      <c r="B677" s="9"/>
      <c r="C677" s="9"/>
      <c r="D677" s="9"/>
      <c r="E677" s="9"/>
      <c r="F677" s="9"/>
    </row>
    <row r="678">
      <c r="A678" s="9"/>
      <c r="B678" s="9"/>
      <c r="C678" s="9"/>
      <c r="D678" s="9"/>
      <c r="E678" s="9"/>
      <c r="F678" s="9"/>
    </row>
    <row r="679">
      <c r="A679" s="9"/>
      <c r="B679" s="9"/>
      <c r="C679" s="9"/>
      <c r="D679" s="9"/>
      <c r="E679" s="9"/>
      <c r="F679" s="9"/>
    </row>
    <row r="680">
      <c r="A680" s="9"/>
      <c r="B680" s="9"/>
      <c r="C680" s="9"/>
      <c r="D680" s="9"/>
      <c r="E680" s="9"/>
      <c r="F680" s="9"/>
    </row>
    <row r="681">
      <c r="A681" s="9"/>
      <c r="B681" s="9"/>
      <c r="C681" s="9"/>
      <c r="D681" s="9"/>
      <c r="E681" s="9"/>
      <c r="F681" s="9"/>
    </row>
    <row r="682">
      <c r="A682" s="9"/>
      <c r="B682" s="9"/>
      <c r="C682" s="9"/>
      <c r="D682" s="9"/>
      <c r="E682" s="9"/>
      <c r="F682" s="9"/>
    </row>
    <row r="683">
      <c r="A683" s="9"/>
      <c r="B683" s="9"/>
      <c r="C683" s="9"/>
      <c r="D683" s="9"/>
      <c r="E683" s="9"/>
      <c r="F683" s="9"/>
    </row>
    <row r="684">
      <c r="A684" s="9"/>
      <c r="B684" s="9"/>
      <c r="C684" s="9"/>
      <c r="D684" s="9"/>
      <c r="E684" s="9"/>
      <c r="F684" s="9"/>
    </row>
    <row r="685">
      <c r="A685" s="9"/>
      <c r="B685" s="9"/>
      <c r="C685" s="9"/>
      <c r="D685" s="9"/>
      <c r="E685" s="9"/>
      <c r="F685" s="9"/>
    </row>
    <row r="686">
      <c r="A686" s="9"/>
      <c r="B686" s="9"/>
      <c r="C686" s="9"/>
      <c r="D686" s="9"/>
      <c r="E686" s="9"/>
      <c r="F686" s="9"/>
    </row>
    <row r="687">
      <c r="A687" s="9"/>
      <c r="B687" s="9"/>
      <c r="C687" s="9"/>
      <c r="D687" s="9"/>
      <c r="E687" s="9"/>
      <c r="F687" s="9"/>
    </row>
    <row r="688">
      <c r="A688" s="9"/>
      <c r="B688" s="9"/>
      <c r="C688" s="9"/>
      <c r="D688" s="9"/>
      <c r="E688" s="9"/>
      <c r="F688" s="9"/>
    </row>
    <row r="689">
      <c r="A689" s="9"/>
      <c r="B689" s="9"/>
      <c r="C689" s="9"/>
      <c r="D689" s="9"/>
      <c r="E689" s="9"/>
      <c r="F689" s="9"/>
    </row>
    <row r="690">
      <c r="A690" s="9"/>
      <c r="B690" s="9"/>
      <c r="C690" s="9"/>
      <c r="D690" s="9"/>
      <c r="E690" s="9"/>
      <c r="F690" s="9"/>
    </row>
    <row r="691">
      <c r="A691" s="9"/>
      <c r="B691" s="9"/>
      <c r="C691" s="9"/>
      <c r="D691" s="9"/>
      <c r="E691" s="9"/>
      <c r="F691" s="9"/>
    </row>
    <row r="692">
      <c r="A692" s="9"/>
      <c r="B692" s="9"/>
      <c r="C692" s="9"/>
      <c r="D692" s="9"/>
      <c r="E692" s="9"/>
      <c r="F692" s="9"/>
    </row>
    <row r="693">
      <c r="A693" s="9"/>
      <c r="B693" s="9"/>
      <c r="C693" s="9"/>
      <c r="D693" s="9"/>
      <c r="E693" s="9"/>
      <c r="F693" s="9"/>
    </row>
    <row r="694">
      <c r="A694" s="9"/>
      <c r="B694" s="9"/>
      <c r="C694" s="9"/>
      <c r="D694" s="9"/>
      <c r="E694" s="9"/>
      <c r="F694" s="9"/>
    </row>
    <row r="695">
      <c r="A695" s="9"/>
      <c r="B695" s="9"/>
      <c r="C695" s="9"/>
      <c r="D695" s="9"/>
      <c r="E695" s="9"/>
      <c r="F695" s="9"/>
    </row>
    <row r="696">
      <c r="A696" s="9"/>
      <c r="B696" s="9"/>
      <c r="C696" s="9"/>
      <c r="D696" s="9"/>
      <c r="E696" s="9"/>
      <c r="F696" s="9"/>
    </row>
    <row r="697">
      <c r="A697" s="9"/>
      <c r="B697" s="9"/>
      <c r="C697" s="9"/>
      <c r="D697" s="9"/>
      <c r="E697" s="9"/>
      <c r="F697" s="9"/>
    </row>
    <row r="698">
      <c r="A698" s="9"/>
      <c r="B698" s="9"/>
      <c r="C698" s="9"/>
      <c r="D698" s="9"/>
      <c r="E698" s="9"/>
      <c r="F698" s="9"/>
    </row>
    <row r="699">
      <c r="A699" s="9"/>
      <c r="B699" s="9"/>
      <c r="C699" s="9"/>
      <c r="D699" s="9"/>
      <c r="E699" s="9"/>
      <c r="F699" s="9"/>
    </row>
    <row r="700">
      <c r="A700" s="9"/>
      <c r="B700" s="9"/>
      <c r="C700" s="9"/>
      <c r="D700" s="9"/>
      <c r="E700" s="9"/>
      <c r="F700" s="9"/>
    </row>
    <row r="701">
      <c r="A701" s="9"/>
      <c r="B701" s="9"/>
      <c r="C701" s="9"/>
      <c r="D701" s="9"/>
      <c r="E701" s="9"/>
      <c r="F701" s="9"/>
    </row>
    <row r="702">
      <c r="A702" s="9"/>
      <c r="B702" s="9"/>
      <c r="C702" s="9"/>
      <c r="D702" s="9"/>
      <c r="E702" s="9"/>
      <c r="F702" s="9"/>
    </row>
    <row r="703">
      <c r="A703" s="9"/>
      <c r="B703" s="9"/>
      <c r="C703" s="9"/>
      <c r="D703" s="9"/>
      <c r="E703" s="9"/>
      <c r="F703" s="9"/>
    </row>
    <row r="704">
      <c r="A704" s="9"/>
      <c r="B704" s="9"/>
      <c r="C704" s="9"/>
      <c r="D704" s="9"/>
      <c r="E704" s="9"/>
      <c r="F704" s="9"/>
    </row>
    <row r="705">
      <c r="A705" s="9"/>
      <c r="B705" s="9"/>
      <c r="C705" s="9"/>
      <c r="D705" s="9"/>
      <c r="E705" s="9"/>
      <c r="F705" s="9"/>
    </row>
    <row r="706">
      <c r="A706" s="9"/>
      <c r="B706" s="9"/>
      <c r="C706" s="9"/>
      <c r="D706" s="9"/>
      <c r="E706" s="9"/>
      <c r="F706" s="9"/>
    </row>
    <row r="707">
      <c r="A707" s="9"/>
      <c r="B707" s="9"/>
      <c r="C707" s="9"/>
      <c r="D707" s="9"/>
      <c r="E707" s="9"/>
      <c r="F707" s="9"/>
    </row>
    <row r="708">
      <c r="A708" s="9"/>
      <c r="B708" s="9"/>
      <c r="C708" s="9"/>
      <c r="D708" s="9"/>
      <c r="E708" s="9"/>
      <c r="F708" s="9"/>
    </row>
    <row r="709">
      <c r="A709" s="9"/>
      <c r="B709" s="9"/>
      <c r="C709" s="9"/>
      <c r="D709" s="9"/>
      <c r="E709" s="9"/>
      <c r="F709" s="9"/>
    </row>
    <row r="710">
      <c r="A710" s="9"/>
      <c r="B710" s="9"/>
      <c r="C710" s="9"/>
      <c r="D710" s="9"/>
      <c r="E710" s="9"/>
      <c r="F710" s="9"/>
    </row>
    <row r="711">
      <c r="A711" s="9"/>
      <c r="B711" s="9"/>
      <c r="C711" s="9"/>
      <c r="D711" s="9"/>
      <c r="E711" s="9"/>
      <c r="F711" s="9"/>
    </row>
    <row r="712">
      <c r="A712" s="9"/>
      <c r="B712" s="9"/>
      <c r="C712" s="9"/>
      <c r="D712" s="9"/>
      <c r="E712" s="9"/>
      <c r="F712" s="9"/>
    </row>
    <row r="713">
      <c r="A713" s="9"/>
      <c r="B713" s="9"/>
      <c r="C713" s="9"/>
      <c r="D713" s="9"/>
      <c r="E713" s="9"/>
      <c r="F713" s="9"/>
    </row>
    <row r="714">
      <c r="A714" s="9"/>
      <c r="B714" s="9"/>
      <c r="C714" s="9"/>
      <c r="D714" s="9"/>
      <c r="E714" s="9"/>
      <c r="F714" s="9"/>
    </row>
    <row r="715">
      <c r="A715" s="9"/>
      <c r="B715" s="9"/>
      <c r="C715" s="9"/>
      <c r="D715" s="9"/>
      <c r="E715" s="9"/>
      <c r="F715" s="9"/>
    </row>
    <row r="716">
      <c r="A716" s="9"/>
      <c r="B716" s="9"/>
      <c r="C716" s="9"/>
      <c r="D716" s="9"/>
      <c r="E716" s="9"/>
      <c r="F716" s="9"/>
    </row>
    <row r="717">
      <c r="A717" s="9"/>
      <c r="B717" s="9"/>
      <c r="C717" s="9"/>
      <c r="D717" s="9"/>
      <c r="E717" s="9"/>
      <c r="F717" s="9"/>
    </row>
    <row r="718">
      <c r="A718" s="9"/>
      <c r="B718" s="9"/>
      <c r="C718" s="9"/>
      <c r="D718" s="9"/>
      <c r="E718" s="9"/>
      <c r="F718" s="9"/>
    </row>
    <row r="719">
      <c r="A719" s="9"/>
      <c r="B719" s="9"/>
      <c r="C719" s="9"/>
      <c r="D719" s="9"/>
      <c r="E719" s="9"/>
      <c r="F719" s="9"/>
    </row>
    <row r="720">
      <c r="A720" s="9"/>
      <c r="B720" s="9"/>
      <c r="C720" s="9"/>
      <c r="D720" s="9"/>
      <c r="E720" s="9"/>
      <c r="F720" s="9"/>
    </row>
    <row r="721">
      <c r="A721" s="9"/>
      <c r="B721" s="9"/>
      <c r="C721" s="9"/>
      <c r="D721" s="9"/>
      <c r="E721" s="9"/>
      <c r="F721" s="9"/>
    </row>
    <row r="722">
      <c r="A722" s="9"/>
      <c r="B722" s="9"/>
      <c r="C722" s="9"/>
      <c r="D722" s="9"/>
      <c r="E722" s="9"/>
      <c r="F722" s="9"/>
    </row>
    <row r="723">
      <c r="A723" s="9"/>
      <c r="B723" s="9"/>
      <c r="C723" s="9"/>
      <c r="D723" s="9"/>
      <c r="E723" s="9"/>
      <c r="F723" s="9"/>
    </row>
    <row r="724">
      <c r="A724" s="9"/>
      <c r="B724" s="9"/>
      <c r="C724" s="9"/>
      <c r="D724" s="9"/>
      <c r="E724" s="9"/>
      <c r="F724" s="9"/>
    </row>
    <row r="725">
      <c r="A725" s="9"/>
      <c r="B725" s="9"/>
      <c r="C725" s="9"/>
      <c r="D725" s="9"/>
      <c r="E725" s="9"/>
      <c r="F725" s="9"/>
    </row>
    <row r="726">
      <c r="A726" s="9"/>
      <c r="B726" s="9"/>
      <c r="C726" s="9"/>
      <c r="D726" s="9"/>
      <c r="E726" s="9"/>
      <c r="F726" s="9"/>
    </row>
    <row r="727">
      <c r="A727" s="9"/>
      <c r="B727" s="9"/>
      <c r="C727" s="9"/>
      <c r="D727" s="9"/>
      <c r="E727" s="9"/>
      <c r="F727" s="9"/>
    </row>
    <row r="728">
      <c r="A728" s="9"/>
      <c r="B728" s="9"/>
      <c r="C728" s="9"/>
      <c r="D728" s="9"/>
      <c r="E728" s="9"/>
      <c r="F728" s="9"/>
    </row>
    <row r="729">
      <c r="A729" s="9"/>
      <c r="B729" s="9"/>
      <c r="C729" s="9"/>
      <c r="D729" s="9"/>
      <c r="E729" s="9"/>
      <c r="F729" s="9"/>
    </row>
    <row r="730">
      <c r="A730" s="9"/>
      <c r="B730" s="9"/>
      <c r="C730" s="9"/>
      <c r="D730" s="9"/>
      <c r="E730" s="9"/>
      <c r="F730" s="9"/>
    </row>
    <row r="731">
      <c r="A731" s="9"/>
      <c r="B731" s="9"/>
      <c r="C731" s="9"/>
      <c r="D731" s="9"/>
      <c r="E731" s="9"/>
      <c r="F731" s="9"/>
    </row>
    <row r="732">
      <c r="A732" s="9"/>
      <c r="B732" s="9"/>
      <c r="C732" s="9"/>
      <c r="D732" s="9"/>
      <c r="E732" s="9"/>
      <c r="F732" s="9"/>
    </row>
    <row r="733">
      <c r="A733" s="9"/>
      <c r="B733" s="9"/>
      <c r="C733" s="9"/>
      <c r="D733" s="9"/>
      <c r="E733" s="9"/>
      <c r="F733" s="9"/>
    </row>
    <row r="734">
      <c r="A734" s="9"/>
      <c r="B734" s="9"/>
      <c r="C734" s="9"/>
      <c r="D734" s="9"/>
      <c r="E734" s="9"/>
      <c r="F734" s="9"/>
    </row>
    <row r="735">
      <c r="A735" s="9"/>
      <c r="B735" s="9"/>
      <c r="C735" s="9"/>
      <c r="D735" s="9"/>
      <c r="E735" s="9"/>
      <c r="F735" s="9"/>
    </row>
    <row r="736">
      <c r="A736" s="9"/>
      <c r="B736" s="9"/>
      <c r="C736" s="9"/>
      <c r="D736" s="9"/>
      <c r="E736" s="9"/>
      <c r="F736" s="9"/>
    </row>
    <row r="737">
      <c r="A737" s="9"/>
      <c r="B737" s="9"/>
      <c r="C737" s="9"/>
      <c r="D737" s="9"/>
      <c r="E737" s="9"/>
      <c r="F737" s="9"/>
    </row>
    <row r="738">
      <c r="A738" s="9"/>
      <c r="B738" s="9"/>
      <c r="C738" s="9"/>
      <c r="D738" s="9"/>
      <c r="E738" s="9"/>
      <c r="F738" s="9"/>
    </row>
    <row r="739">
      <c r="A739" s="9"/>
      <c r="B739" s="9"/>
      <c r="C739" s="9"/>
      <c r="D739" s="9"/>
      <c r="E739" s="9"/>
      <c r="F739" s="9"/>
    </row>
    <row r="740">
      <c r="A740" s="9"/>
      <c r="B740" s="9"/>
      <c r="C740" s="9"/>
      <c r="D740" s="9"/>
      <c r="E740" s="9"/>
      <c r="F740" s="9"/>
    </row>
    <row r="741">
      <c r="A741" s="9"/>
      <c r="B741" s="9"/>
      <c r="C741" s="9"/>
      <c r="D741" s="9"/>
      <c r="E741" s="9"/>
      <c r="F741" s="9"/>
    </row>
    <row r="742">
      <c r="A742" s="9"/>
      <c r="B742" s="9"/>
      <c r="C742" s="9"/>
      <c r="D742" s="9"/>
      <c r="E742" s="9"/>
      <c r="F742" s="9"/>
    </row>
    <row r="743">
      <c r="A743" s="9"/>
      <c r="B743" s="9"/>
      <c r="C743" s="9"/>
      <c r="D743" s="9"/>
      <c r="E743" s="9"/>
      <c r="F743" s="9"/>
    </row>
    <row r="744">
      <c r="A744" s="9"/>
      <c r="B744" s="9"/>
      <c r="C744" s="9"/>
      <c r="D744" s="9"/>
      <c r="E744" s="9"/>
      <c r="F744" s="9"/>
    </row>
    <row r="745">
      <c r="A745" s="9"/>
      <c r="B745" s="9"/>
      <c r="C745" s="9"/>
      <c r="D745" s="9"/>
      <c r="E745" s="9"/>
      <c r="F745" s="9"/>
    </row>
    <row r="746">
      <c r="A746" s="9"/>
      <c r="B746" s="9"/>
      <c r="C746" s="9"/>
      <c r="D746" s="9"/>
      <c r="E746" s="9"/>
      <c r="F746" s="9"/>
    </row>
    <row r="747">
      <c r="A747" s="9"/>
      <c r="B747" s="9"/>
      <c r="C747" s="9"/>
      <c r="D747" s="9"/>
      <c r="E747" s="9"/>
      <c r="F747" s="9"/>
    </row>
    <row r="748">
      <c r="A748" s="9"/>
      <c r="B748" s="9"/>
      <c r="C748" s="9"/>
      <c r="D748" s="9"/>
      <c r="E748" s="9"/>
      <c r="F748" s="9"/>
    </row>
    <row r="749">
      <c r="A749" s="9"/>
      <c r="B749" s="9"/>
      <c r="C749" s="9"/>
      <c r="D749" s="9"/>
      <c r="E749" s="9"/>
      <c r="F749" s="9"/>
    </row>
    <row r="750">
      <c r="A750" s="9"/>
      <c r="B750" s="9"/>
      <c r="C750" s="9"/>
      <c r="D750" s="9"/>
      <c r="E750" s="9"/>
      <c r="F750" s="9"/>
    </row>
    <row r="751">
      <c r="A751" s="9"/>
      <c r="B751" s="9"/>
      <c r="C751" s="9"/>
      <c r="D751" s="9"/>
      <c r="E751" s="9"/>
      <c r="F751" s="9"/>
    </row>
    <row r="752">
      <c r="A752" s="9"/>
      <c r="B752" s="9"/>
      <c r="C752" s="9"/>
      <c r="D752" s="9"/>
      <c r="E752" s="9"/>
      <c r="F752" s="9"/>
    </row>
    <row r="753">
      <c r="A753" s="9"/>
      <c r="B753" s="9"/>
      <c r="C753" s="9"/>
      <c r="D753" s="9"/>
      <c r="E753" s="9"/>
      <c r="F753" s="9"/>
    </row>
    <row r="754">
      <c r="A754" s="9"/>
      <c r="B754" s="9"/>
      <c r="C754" s="9"/>
      <c r="D754" s="9"/>
      <c r="E754" s="9"/>
      <c r="F754" s="9"/>
    </row>
    <row r="755">
      <c r="A755" s="9"/>
      <c r="B755" s="9"/>
      <c r="C755" s="9"/>
      <c r="D755" s="9"/>
      <c r="E755" s="9"/>
      <c r="F755" s="9"/>
    </row>
    <row r="756">
      <c r="A756" s="9"/>
      <c r="B756" s="9"/>
      <c r="C756" s="9"/>
      <c r="D756" s="9"/>
      <c r="E756" s="9"/>
      <c r="F756" s="9"/>
    </row>
    <row r="757">
      <c r="A757" s="9"/>
      <c r="B757" s="9"/>
      <c r="C757" s="9"/>
      <c r="D757" s="9"/>
      <c r="E757" s="9"/>
      <c r="F757" s="9"/>
    </row>
    <row r="758">
      <c r="A758" s="9"/>
      <c r="B758" s="9"/>
      <c r="C758" s="9"/>
      <c r="D758" s="9"/>
      <c r="E758" s="9"/>
      <c r="F758" s="9"/>
    </row>
    <row r="759">
      <c r="A759" s="9"/>
      <c r="B759" s="9"/>
      <c r="C759" s="9"/>
      <c r="D759" s="9"/>
      <c r="E759" s="9"/>
      <c r="F759" s="9"/>
    </row>
    <row r="760">
      <c r="A760" s="9"/>
      <c r="B760" s="9"/>
      <c r="C760" s="9"/>
      <c r="D760" s="9"/>
      <c r="E760" s="9"/>
      <c r="F760" s="9"/>
    </row>
    <row r="761">
      <c r="A761" s="9"/>
      <c r="B761" s="9"/>
      <c r="C761" s="9"/>
      <c r="D761" s="9"/>
      <c r="E761" s="9"/>
      <c r="F761" s="9"/>
    </row>
    <row r="762">
      <c r="A762" s="9"/>
      <c r="B762" s="9"/>
      <c r="C762" s="9"/>
      <c r="D762" s="9"/>
      <c r="E762" s="9"/>
      <c r="F762" s="9"/>
    </row>
    <row r="763">
      <c r="A763" s="9"/>
      <c r="B763" s="9"/>
      <c r="C763" s="9"/>
      <c r="D763" s="9"/>
      <c r="E763" s="9"/>
      <c r="F763" s="9"/>
    </row>
    <row r="764">
      <c r="A764" s="9"/>
      <c r="B764" s="9"/>
      <c r="C764" s="9"/>
      <c r="D764" s="9"/>
      <c r="E764" s="9"/>
      <c r="F764" s="9"/>
    </row>
    <row r="765">
      <c r="A765" s="9"/>
      <c r="B765" s="9"/>
      <c r="C765" s="9"/>
      <c r="D765" s="9"/>
      <c r="E765" s="9"/>
      <c r="F765" s="9"/>
    </row>
    <row r="766">
      <c r="A766" s="9"/>
      <c r="B766" s="9"/>
      <c r="C766" s="9"/>
      <c r="D766" s="9"/>
      <c r="E766" s="9"/>
      <c r="F766" s="9"/>
    </row>
    <row r="767">
      <c r="A767" s="9"/>
      <c r="B767" s="9"/>
      <c r="C767" s="9"/>
      <c r="D767" s="9"/>
      <c r="E767" s="9"/>
      <c r="F767" s="9"/>
    </row>
    <row r="768">
      <c r="A768" s="9"/>
      <c r="B768" s="9"/>
      <c r="C768" s="9"/>
      <c r="D768" s="9"/>
      <c r="E768" s="9"/>
      <c r="F768" s="9"/>
    </row>
    <row r="769">
      <c r="A769" s="9"/>
      <c r="B769" s="9"/>
      <c r="C769" s="9"/>
      <c r="D769" s="9"/>
      <c r="E769" s="9"/>
      <c r="F769" s="9"/>
    </row>
    <row r="770">
      <c r="A770" s="9"/>
      <c r="B770" s="9"/>
      <c r="C770" s="9"/>
      <c r="D770" s="9"/>
      <c r="E770" s="9"/>
      <c r="F770" s="9"/>
    </row>
    <row r="771">
      <c r="A771" s="9"/>
      <c r="B771" s="9"/>
      <c r="C771" s="9"/>
      <c r="D771" s="9"/>
      <c r="E771" s="9"/>
      <c r="F771" s="9"/>
    </row>
    <row r="772">
      <c r="A772" s="9"/>
      <c r="B772" s="9"/>
      <c r="C772" s="9"/>
      <c r="D772" s="9"/>
      <c r="E772" s="9"/>
      <c r="F772" s="9"/>
    </row>
    <row r="773">
      <c r="A773" s="9"/>
      <c r="B773" s="9"/>
      <c r="C773" s="9"/>
      <c r="D773" s="9"/>
      <c r="E773" s="9"/>
      <c r="F773" s="9"/>
    </row>
    <row r="774">
      <c r="A774" s="9"/>
      <c r="B774" s="9"/>
      <c r="C774" s="9"/>
      <c r="D774" s="9"/>
      <c r="E774" s="9"/>
      <c r="F774" s="9"/>
    </row>
    <row r="775">
      <c r="A775" s="9"/>
      <c r="B775" s="9"/>
      <c r="C775" s="9"/>
      <c r="D775" s="9"/>
      <c r="E775" s="9"/>
      <c r="F775" s="9"/>
    </row>
    <row r="776">
      <c r="A776" s="9"/>
      <c r="B776" s="9"/>
      <c r="C776" s="9"/>
      <c r="D776" s="9"/>
      <c r="E776" s="9"/>
      <c r="F776" s="9"/>
    </row>
    <row r="777">
      <c r="A777" s="9"/>
      <c r="B777" s="9"/>
      <c r="C777" s="9"/>
      <c r="D777" s="9"/>
      <c r="E777" s="9"/>
      <c r="F777" s="9"/>
    </row>
    <row r="778">
      <c r="A778" s="9"/>
      <c r="B778" s="9"/>
      <c r="C778" s="9"/>
      <c r="D778" s="9"/>
      <c r="E778" s="9"/>
      <c r="F778" s="9"/>
    </row>
    <row r="779">
      <c r="A779" s="9"/>
      <c r="B779" s="9"/>
      <c r="C779" s="9"/>
      <c r="D779" s="9"/>
      <c r="E779" s="9"/>
      <c r="F779" s="9"/>
    </row>
    <row r="780">
      <c r="A780" s="9"/>
      <c r="B780" s="9"/>
      <c r="C780" s="9"/>
      <c r="D780" s="9"/>
      <c r="E780" s="9"/>
      <c r="F780" s="9"/>
    </row>
    <row r="781">
      <c r="A781" s="9"/>
      <c r="B781" s="9"/>
      <c r="C781" s="9"/>
      <c r="D781" s="9"/>
      <c r="E781" s="9"/>
      <c r="F781" s="9"/>
    </row>
    <row r="782">
      <c r="A782" s="9"/>
      <c r="B782" s="9"/>
      <c r="C782" s="9"/>
      <c r="D782" s="9"/>
      <c r="E782" s="9"/>
      <c r="F782" s="9"/>
    </row>
    <row r="783">
      <c r="A783" s="9"/>
      <c r="B783" s="9"/>
      <c r="C783" s="9"/>
      <c r="D783" s="9"/>
      <c r="E783" s="9"/>
      <c r="F783" s="9"/>
    </row>
    <row r="784">
      <c r="A784" s="9"/>
      <c r="B784" s="9"/>
      <c r="C784" s="9"/>
      <c r="D784" s="9"/>
      <c r="E784" s="9"/>
      <c r="F784" s="9"/>
    </row>
    <row r="785">
      <c r="A785" s="9"/>
      <c r="B785" s="9"/>
      <c r="C785" s="9"/>
      <c r="D785" s="9"/>
      <c r="E785" s="9"/>
      <c r="F785" s="9"/>
    </row>
    <row r="786">
      <c r="A786" s="9"/>
      <c r="B786" s="9"/>
      <c r="C786" s="9"/>
      <c r="D786" s="9"/>
      <c r="E786" s="9"/>
      <c r="F786" s="9"/>
    </row>
    <row r="787">
      <c r="A787" s="9"/>
      <c r="B787" s="9"/>
      <c r="C787" s="9"/>
      <c r="D787" s="9"/>
      <c r="E787" s="9"/>
      <c r="F787" s="9"/>
    </row>
    <row r="788">
      <c r="A788" s="9"/>
      <c r="B788" s="9"/>
      <c r="C788" s="9"/>
      <c r="D788" s="9"/>
      <c r="E788" s="9"/>
      <c r="F788" s="9"/>
    </row>
    <row r="789">
      <c r="A789" s="9"/>
      <c r="B789" s="9"/>
      <c r="C789" s="9"/>
      <c r="D789" s="9"/>
      <c r="E789" s="9"/>
      <c r="F789" s="9"/>
    </row>
    <row r="790">
      <c r="A790" s="9"/>
      <c r="B790" s="9"/>
      <c r="C790" s="9"/>
      <c r="D790" s="9"/>
      <c r="E790" s="9"/>
      <c r="F790" s="9"/>
    </row>
    <row r="791">
      <c r="A791" s="9"/>
      <c r="B791" s="9"/>
      <c r="C791" s="9"/>
      <c r="D791" s="9"/>
      <c r="E791" s="9"/>
      <c r="F791" s="9"/>
    </row>
    <row r="792">
      <c r="A792" s="9"/>
      <c r="B792" s="9"/>
      <c r="C792" s="9"/>
      <c r="D792" s="9"/>
      <c r="E792" s="9"/>
      <c r="F792" s="9"/>
    </row>
    <row r="793">
      <c r="A793" s="9"/>
      <c r="B793" s="9"/>
      <c r="C793" s="9"/>
      <c r="D793" s="9"/>
      <c r="E793" s="9"/>
      <c r="F793" s="9"/>
    </row>
    <row r="794">
      <c r="A794" s="9"/>
      <c r="B794" s="9"/>
      <c r="C794" s="9"/>
      <c r="D794" s="9"/>
      <c r="E794" s="9"/>
      <c r="F794" s="9"/>
    </row>
    <row r="795">
      <c r="A795" s="9"/>
      <c r="B795" s="9"/>
      <c r="C795" s="9"/>
      <c r="D795" s="9"/>
      <c r="E795" s="9"/>
      <c r="F795" s="9"/>
    </row>
    <row r="796">
      <c r="A796" s="9"/>
      <c r="B796" s="9"/>
      <c r="C796" s="9"/>
      <c r="D796" s="9"/>
      <c r="E796" s="9"/>
      <c r="F796" s="9"/>
    </row>
    <row r="797">
      <c r="A797" s="9"/>
      <c r="B797" s="9"/>
      <c r="C797" s="9"/>
      <c r="D797" s="9"/>
      <c r="E797" s="9"/>
      <c r="F797" s="9"/>
    </row>
    <row r="798">
      <c r="A798" s="9"/>
      <c r="B798" s="9"/>
      <c r="C798" s="9"/>
      <c r="D798" s="9"/>
      <c r="E798" s="9"/>
      <c r="F798" s="9"/>
    </row>
    <row r="799">
      <c r="A799" s="9"/>
      <c r="B799" s="9"/>
      <c r="C799" s="9"/>
      <c r="D799" s="9"/>
      <c r="E799" s="9"/>
      <c r="F799" s="9"/>
    </row>
    <row r="800">
      <c r="A800" s="9"/>
      <c r="B800" s="9"/>
      <c r="C800" s="9"/>
      <c r="D800" s="9"/>
      <c r="E800" s="9"/>
      <c r="F800" s="9"/>
    </row>
    <row r="801">
      <c r="A801" s="9"/>
      <c r="B801" s="9"/>
      <c r="C801" s="9"/>
      <c r="D801" s="9"/>
      <c r="E801" s="9"/>
      <c r="F801" s="9"/>
    </row>
    <row r="802">
      <c r="A802" s="9"/>
      <c r="B802" s="9"/>
      <c r="C802" s="9"/>
      <c r="D802" s="9"/>
      <c r="E802" s="9"/>
      <c r="F802" s="9"/>
    </row>
    <row r="803">
      <c r="A803" s="9"/>
      <c r="B803" s="9"/>
      <c r="C803" s="9"/>
      <c r="D803" s="9"/>
      <c r="E803" s="9"/>
      <c r="F803" s="9"/>
    </row>
    <row r="804">
      <c r="A804" s="9"/>
      <c r="B804" s="9"/>
      <c r="C804" s="9"/>
      <c r="D804" s="9"/>
      <c r="E804" s="9"/>
      <c r="F804" s="9"/>
    </row>
    <row r="805">
      <c r="A805" s="9"/>
      <c r="B805" s="9"/>
      <c r="C805" s="9"/>
      <c r="D805" s="9"/>
      <c r="E805" s="9"/>
      <c r="F805" s="9"/>
    </row>
    <row r="806">
      <c r="A806" s="9"/>
      <c r="B806" s="9"/>
      <c r="C806" s="9"/>
      <c r="D806" s="9"/>
      <c r="E806" s="9"/>
      <c r="F806" s="9"/>
    </row>
    <row r="807">
      <c r="A807" s="9"/>
      <c r="B807" s="9"/>
      <c r="C807" s="9"/>
      <c r="D807" s="9"/>
      <c r="E807" s="9"/>
      <c r="F807" s="9"/>
    </row>
    <row r="808">
      <c r="A808" s="9"/>
      <c r="B808" s="9"/>
      <c r="C808" s="9"/>
      <c r="D808" s="9"/>
      <c r="E808" s="9"/>
      <c r="F808" s="9"/>
    </row>
    <row r="809">
      <c r="A809" s="9"/>
      <c r="B809" s="9"/>
      <c r="C809" s="9"/>
      <c r="D809" s="9"/>
      <c r="E809" s="9"/>
      <c r="F809" s="9"/>
    </row>
    <row r="810">
      <c r="A810" s="9"/>
      <c r="B810" s="9"/>
      <c r="C810" s="9"/>
      <c r="D810" s="9"/>
      <c r="E810" s="9"/>
      <c r="F810" s="9"/>
    </row>
    <row r="811">
      <c r="A811" s="9"/>
      <c r="B811" s="9"/>
      <c r="C811" s="9"/>
      <c r="D811" s="9"/>
      <c r="E811" s="9"/>
      <c r="F811" s="9"/>
    </row>
    <row r="812">
      <c r="A812" s="9"/>
      <c r="B812" s="9"/>
      <c r="C812" s="9"/>
      <c r="D812" s="9"/>
      <c r="E812" s="9"/>
      <c r="F812" s="9"/>
    </row>
    <row r="813">
      <c r="A813" s="9"/>
      <c r="B813" s="9"/>
      <c r="C813" s="9"/>
      <c r="D813" s="9"/>
      <c r="E813" s="9"/>
      <c r="F813" s="9"/>
    </row>
    <row r="814">
      <c r="A814" s="9"/>
      <c r="B814" s="9"/>
      <c r="C814" s="9"/>
      <c r="D814" s="9"/>
      <c r="E814" s="9"/>
      <c r="F814" s="9"/>
    </row>
    <row r="815">
      <c r="A815" s="9"/>
      <c r="B815" s="9"/>
      <c r="C815" s="9"/>
      <c r="D815" s="9"/>
      <c r="E815" s="9"/>
      <c r="F815" s="9"/>
    </row>
    <row r="816">
      <c r="A816" s="9"/>
      <c r="B816" s="9"/>
      <c r="C816" s="9"/>
      <c r="D816" s="9"/>
      <c r="E816" s="9"/>
      <c r="F816" s="9"/>
    </row>
    <row r="817">
      <c r="A817" s="9"/>
      <c r="B817" s="9"/>
      <c r="C817" s="9"/>
      <c r="D817" s="9"/>
      <c r="E817" s="9"/>
      <c r="F817" s="9"/>
    </row>
    <row r="818">
      <c r="A818" s="9"/>
      <c r="B818" s="9"/>
      <c r="C818" s="9"/>
      <c r="D818" s="9"/>
      <c r="E818" s="9"/>
      <c r="F818" s="9"/>
    </row>
    <row r="819">
      <c r="A819" s="9"/>
      <c r="B819" s="9"/>
      <c r="C819" s="9"/>
      <c r="D819" s="9"/>
      <c r="E819" s="9"/>
      <c r="F819" s="9"/>
    </row>
    <row r="820">
      <c r="A820" s="9"/>
      <c r="B820" s="9"/>
      <c r="C820" s="9"/>
      <c r="D820" s="9"/>
      <c r="E820" s="9"/>
      <c r="F820" s="9"/>
    </row>
    <row r="821">
      <c r="A821" s="9"/>
      <c r="B821" s="9"/>
      <c r="C821" s="9"/>
      <c r="D821" s="9"/>
      <c r="E821" s="9"/>
      <c r="F821" s="9"/>
    </row>
    <row r="822">
      <c r="A822" s="9"/>
      <c r="B822" s="9"/>
      <c r="C822" s="9"/>
      <c r="D822" s="9"/>
      <c r="E822" s="9"/>
      <c r="F822" s="9"/>
    </row>
    <row r="823">
      <c r="A823" s="9"/>
      <c r="B823" s="9"/>
      <c r="C823" s="9"/>
      <c r="D823" s="9"/>
      <c r="E823" s="9"/>
      <c r="F823" s="9"/>
    </row>
    <row r="824">
      <c r="A824" s="9"/>
      <c r="B824" s="9"/>
      <c r="C824" s="9"/>
      <c r="D824" s="9"/>
      <c r="E824" s="9"/>
      <c r="F824" s="9"/>
    </row>
    <row r="825">
      <c r="A825" s="9"/>
      <c r="B825" s="9"/>
      <c r="C825" s="9"/>
      <c r="D825" s="9"/>
      <c r="E825" s="9"/>
      <c r="F825" s="9"/>
    </row>
    <row r="826">
      <c r="A826" s="9"/>
      <c r="B826" s="9"/>
      <c r="C826" s="9"/>
      <c r="D826" s="9"/>
      <c r="E826" s="9"/>
      <c r="F826" s="9"/>
    </row>
    <row r="827">
      <c r="A827" s="9"/>
      <c r="B827" s="9"/>
      <c r="C827" s="9"/>
      <c r="D827" s="9"/>
      <c r="E827" s="9"/>
      <c r="F827" s="9"/>
    </row>
    <row r="828">
      <c r="A828" s="9"/>
      <c r="B828" s="9"/>
      <c r="C828" s="9"/>
      <c r="D828" s="9"/>
      <c r="E828" s="9"/>
      <c r="F828" s="9"/>
    </row>
    <row r="829">
      <c r="A829" s="9"/>
      <c r="B829" s="9"/>
      <c r="C829" s="9"/>
      <c r="D829" s="9"/>
      <c r="E829" s="9"/>
      <c r="F829" s="9"/>
    </row>
    <row r="830">
      <c r="A830" s="9"/>
      <c r="B830" s="9"/>
      <c r="C830" s="9"/>
      <c r="D830" s="9"/>
      <c r="E830" s="9"/>
      <c r="F830" s="9"/>
    </row>
    <row r="831">
      <c r="A831" s="9"/>
      <c r="B831" s="9"/>
      <c r="C831" s="9"/>
      <c r="D831" s="9"/>
      <c r="E831" s="9"/>
      <c r="F831" s="9"/>
    </row>
    <row r="832">
      <c r="A832" s="9"/>
      <c r="B832" s="9"/>
      <c r="C832" s="9"/>
      <c r="D832" s="9"/>
      <c r="E832" s="9"/>
      <c r="F832" s="9"/>
    </row>
    <row r="833">
      <c r="A833" s="9"/>
      <c r="B833" s="9"/>
      <c r="C833" s="9"/>
      <c r="D833" s="9"/>
      <c r="E833" s="9"/>
      <c r="F833" s="9"/>
    </row>
    <row r="834">
      <c r="A834" s="9"/>
      <c r="B834" s="9"/>
      <c r="C834" s="9"/>
      <c r="D834" s="9"/>
      <c r="E834" s="9"/>
      <c r="F834" s="9"/>
    </row>
    <row r="835">
      <c r="A835" s="9"/>
      <c r="B835" s="9"/>
      <c r="C835" s="9"/>
      <c r="D835" s="9"/>
      <c r="E835" s="9"/>
      <c r="F835" s="9"/>
    </row>
    <row r="836">
      <c r="A836" s="9"/>
      <c r="B836" s="9"/>
      <c r="C836" s="9"/>
      <c r="D836" s="9"/>
      <c r="E836" s="9"/>
      <c r="F836" s="9"/>
    </row>
    <row r="837">
      <c r="A837" s="9"/>
      <c r="B837" s="9"/>
      <c r="C837" s="9"/>
      <c r="D837" s="9"/>
      <c r="E837" s="9"/>
      <c r="F837" s="9"/>
    </row>
    <row r="838">
      <c r="A838" s="9"/>
      <c r="B838" s="9"/>
      <c r="C838" s="9"/>
      <c r="D838" s="9"/>
      <c r="E838" s="9"/>
      <c r="F838" s="9"/>
    </row>
    <row r="839">
      <c r="A839" s="9"/>
      <c r="B839" s="9"/>
      <c r="C839" s="9"/>
      <c r="D839" s="9"/>
      <c r="E839" s="9"/>
      <c r="F839" s="9"/>
    </row>
    <row r="840">
      <c r="A840" s="9"/>
      <c r="B840" s="9"/>
      <c r="C840" s="9"/>
      <c r="D840" s="9"/>
      <c r="E840" s="9"/>
      <c r="F840" s="9"/>
    </row>
    <row r="841">
      <c r="A841" s="9"/>
      <c r="B841" s="9"/>
      <c r="C841" s="9"/>
      <c r="D841" s="9"/>
      <c r="E841" s="9"/>
      <c r="F841" s="9"/>
    </row>
    <row r="842">
      <c r="A842" s="9"/>
      <c r="B842" s="9"/>
      <c r="C842" s="9"/>
      <c r="D842" s="9"/>
      <c r="E842" s="9"/>
      <c r="F842" s="9"/>
    </row>
    <row r="843">
      <c r="A843" s="9"/>
      <c r="B843" s="9"/>
      <c r="C843" s="9"/>
      <c r="D843" s="9"/>
      <c r="E843" s="9"/>
      <c r="F843" s="9"/>
    </row>
    <row r="844">
      <c r="A844" s="9"/>
      <c r="B844" s="9"/>
      <c r="C844" s="9"/>
      <c r="D844" s="9"/>
      <c r="E844" s="9"/>
      <c r="F844" s="9"/>
    </row>
    <row r="845">
      <c r="A845" s="9"/>
      <c r="B845" s="9"/>
      <c r="C845" s="9"/>
      <c r="D845" s="9"/>
      <c r="E845" s="9"/>
      <c r="F845" s="9"/>
    </row>
    <row r="846">
      <c r="A846" s="9"/>
      <c r="B846" s="9"/>
      <c r="C846" s="9"/>
      <c r="D846" s="9"/>
      <c r="E846" s="9"/>
      <c r="F846" s="9"/>
    </row>
    <row r="847">
      <c r="A847" s="9"/>
      <c r="B847" s="9"/>
      <c r="C847" s="9"/>
      <c r="D847" s="9"/>
      <c r="E847" s="9"/>
      <c r="F847" s="9"/>
    </row>
    <row r="848">
      <c r="A848" s="9"/>
      <c r="B848" s="9"/>
      <c r="C848" s="9"/>
      <c r="D848" s="9"/>
      <c r="E848" s="9"/>
      <c r="F848" s="9"/>
    </row>
    <row r="849">
      <c r="A849" s="9"/>
      <c r="B849" s="9"/>
      <c r="C849" s="9"/>
      <c r="D849" s="9"/>
      <c r="E849" s="9"/>
      <c r="F849" s="9"/>
    </row>
    <row r="850">
      <c r="A850" s="9"/>
      <c r="B850" s="9"/>
      <c r="C850" s="9"/>
      <c r="D850" s="9"/>
      <c r="E850" s="9"/>
      <c r="F850" s="9"/>
    </row>
    <row r="851">
      <c r="A851" s="9"/>
      <c r="B851" s="9"/>
      <c r="C851" s="9"/>
      <c r="D851" s="9"/>
      <c r="E851" s="9"/>
      <c r="F851" s="9"/>
    </row>
    <row r="852">
      <c r="A852" s="9"/>
      <c r="B852" s="9"/>
      <c r="C852" s="9"/>
      <c r="D852" s="9"/>
      <c r="E852" s="9"/>
      <c r="F852" s="9"/>
    </row>
    <row r="853">
      <c r="A853" s="9"/>
      <c r="B853" s="9"/>
      <c r="C853" s="9"/>
      <c r="D853" s="9"/>
      <c r="E853" s="9"/>
      <c r="F853" s="9"/>
    </row>
    <row r="854">
      <c r="A854" s="9"/>
      <c r="B854" s="9"/>
      <c r="C854" s="9"/>
      <c r="D854" s="9"/>
      <c r="E854" s="9"/>
      <c r="F854" s="9"/>
    </row>
    <row r="855">
      <c r="A855" s="9"/>
      <c r="B855" s="9"/>
      <c r="C855" s="9"/>
      <c r="D855" s="9"/>
      <c r="E855" s="9"/>
      <c r="F855" s="9"/>
    </row>
    <row r="856">
      <c r="A856" s="9"/>
      <c r="B856" s="9"/>
      <c r="C856" s="9"/>
      <c r="D856" s="9"/>
      <c r="E856" s="9"/>
      <c r="F856" s="9"/>
    </row>
    <row r="857">
      <c r="A857" s="9"/>
      <c r="B857" s="9"/>
      <c r="C857" s="9"/>
      <c r="D857" s="9"/>
      <c r="E857" s="9"/>
      <c r="F857" s="9"/>
    </row>
    <row r="858">
      <c r="A858" s="9"/>
      <c r="B858" s="9"/>
      <c r="C858" s="9"/>
      <c r="D858" s="9"/>
      <c r="E858" s="9"/>
      <c r="F858" s="9"/>
    </row>
    <row r="859">
      <c r="A859" s="9"/>
      <c r="B859" s="9"/>
      <c r="C859" s="9"/>
      <c r="D859" s="9"/>
      <c r="E859" s="9"/>
      <c r="F859" s="9"/>
    </row>
    <row r="860">
      <c r="A860" s="9"/>
      <c r="B860" s="9"/>
      <c r="C860" s="9"/>
      <c r="D860" s="9"/>
      <c r="E860" s="9"/>
      <c r="F860" s="9"/>
    </row>
    <row r="861">
      <c r="A861" s="9"/>
      <c r="B861" s="9"/>
      <c r="C861" s="9"/>
      <c r="D861" s="9"/>
      <c r="E861" s="9"/>
      <c r="F861" s="9"/>
    </row>
    <row r="862">
      <c r="A862" s="9"/>
      <c r="B862" s="9"/>
      <c r="C862" s="9"/>
      <c r="D862" s="9"/>
      <c r="E862" s="9"/>
      <c r="F862" s="9"/>
    </row>
    <row r="863">
      <c r="A863" s="9"/>
      <c r="B863" s="9"/>
      <c r="C863" s="9"/>
      <c r="D863" s="9"/>
      <c r="E863" s="9"/>
      <c r="F863" s="9"/>
    </row>
    <row r="864">
      <c r="A864" s="9"/>
      <c r="B864" s="9"/>
      <c r="C864" s="9"/>
      <c r="D864" s="9"/>
      <c r="E864" s="9"/>
      <c r="F864" s="9"/>
    </row>
    <row r="865">
      <c r="A865" s="9"/>
      <c r="B865" s="9"/>
      <c r="C865" s="9"/>
      <c r="D865" s="9"/>
      <c r="E865" s="9"/>
      <c r="F865" s="9"/>
    </row>
    <row r="866">
      <c r="A866" s="9"/>
      <c r="B866" s="9"/>
      <c r="C866" s="9"/>
      <c r="D866" s="9"/>
      <c r="E866" s="9"/>
      <c r="F866" s="9"/>
    </row>
    <row r="867">
      <c r="A867" s="9"/>
      <c r="B867" s="9"/>
      <c r="C867" s="9"/>
      <c r="D867" s="9"/>
      <c r="E867" s="9"/>
      <c r="F867" s="9"/>
    </row>
    <row r="868">
      <c r="A868" s="9"/>
      <c r="B868" s="9"/>
      <c r="C868" s="9"/>
      <c r="D868" s="9"/>
      <c r="E868" s="9"/>
      <c r="F868" s="9"/>
    </row>
    <row r="869">
      <c r="A869" s="9"/>
      <c r="B869" s="9"/>
      <c r="C869" s="9"/>
      <c r="D869" s="9"/>
      <c r="E869" s="9"/>
      <c r="F869" s="9"/>
    </row>
    <row r="870">
      <c r="A870" s="9"/>
      <c r="B870" s="9"/>
      <c r="C870" s="9"/>
      <c r="D870" s="9"/>
      <c r="E870" s="9"/>
      <c r="F870" s="9"/>
    </row>
    <row r="871">
      <c r="A871" s="9"/>
      <c r="B871" s="9"/>
      <c r="C871" s="9"/>
      <c r="D871" s="9"/>
      <c r="E871" s="9"/>
      <c r="F871" s="9"/>
    </row>
    <row r="872">
      <c r="A872" s="9"/>
      <c r="B872" s="9"/>
      <c r="C872" s="9"/>
      <c r="D872" s="9"/>
      <c r="E872" s="9"/>
      <c r="F872" s="9"/>
    </row>
    <row r="873">
      <c r="A873" s="9"/>
      <c r="B873" s="9"/>
      <c r="C873" s="9"/>
      <c r="D873" s="9"/>
      <c r="E873" s="9"/>
      <c r="F873" s="9"/>
    </row>
    <row r="874">
      <c r="A874" s="9"/>
      <c r="B874" s="9"/>
      <c r="C874" s="9"/>
      <c r="D874" s="9"/>
      <c r="E874" s="9"/>
      <c r="F874" s="9"/>
    </row>
    <row r="875">
      <c r="A875" s="9"/>
      <c r="B875" s="9"/>
      <c r="C875" s="9"/>
      <c r="D875" s="9"/>
      <c r="E875" s="9"/>
      <c r="F875" s="9"/>
    </row>
    <row r="876">
      <c r="A876" s="9"/>
      <c r="B876" s="9"/>
      <c r="C876" s="9"/>
      <c r="D876" s="9"/>
      <c r="E876" s="9"/>
      <c r="F876" s="9"/>
    </row>
    <row r="877">
      <c r="A877" s="9"/>
      <c r="B877" s="9"/>
      <c r="C877" s="9"/>
      <c r="D877" s="9"/>
      <c r="E877" s="9"/>
      <c r="F877" s="9"/>
    </row>
    <row r="878">
      <c r="A878" s="9"/>
      <c r="B878" s="9"/>
      <c r="C878" s="9"/>
      <c r="D878" s="9"/>
      <c r="E878" s="9"/>
      <c r="F878" s="9"/>
    </row>
    <row r="879">
      <c r="A879" s="9"/>
      <c r="B879" s="9"/>
      <c r="C879" s="9"/>
      <c r="D879" s="9"/>
      <c r="E879" s="9"/>
      <c r="F879" s="9"/>
    </row>
    <row r="880">
      <c r="A880" s="9"/>
      <c r="B880" s="9"/>
      <c r="C880" s="9"/>
      <c r="D880" s="9"/>
      <c r="E880" s="9"/>
      <c r="F880" s="9"/>
    </row>
    <row r="881">
      <c r="A881" s="9"/>
      <c r="B881" s="9"/>
      <c r="C881" s="9"/>
      <c r="D881" s="9"/>
      <c r="E881" s="9"/>
      <c r="F881" s="9"/>
    </row>
    <row r="882">
      <c r="A882" s="9"/>
      <c r="B882" s="9"/>
      <c r="C882" s="9"/>
      <c r="D882" s="9"/>
      <c r="E882" s="9"/>
      <c r="F882" s="9"/>
    </row>
    <row r="883">
      <c r="A883" s="9"/>
      <c r="B883" s="9"/>
      <c r="C883" s="9"/>
      <c r="D883" s="9"/>
      <c r="E883" s="9"/>
      <c r="F883" s="9"/>
    </row>
    <row r="884">
      <c r="A884" s="9"/>
      <c r="B884" s="9"/>
      <c r="C884" s="9"/>
      <c r="D884" s="9"/>
      <c r="E884" s="9"/>
      <c r="F884" s="9"/>
    </row>
    <row r="885">
      <c r="A885" s="9"/>
      <c r="B885" s="9"/>
      <c r="C885" s="9"/>
      <c r="D885" s="9"/>
      <c r="E885" s="9"/>
      <c r="F885" s="9"/>
    </row>
    <row r="886">
      <c r="A886" s="9"/>
      <c r="B886" s="9"/>
      <c r="C886" s="9"/>
      <c r="D886" s="9"/>
      <c r="E886" s="9"/>
      <c r="F886" s="9"/>
    </row>
    <row r="887">
      <c r="A887" s="9"/>
      <c r="B887" s="9"/>
      <c r="C887" s="9"/>
      <c r="D887" s="9"/>
      <c r="E887" s="9"/>
      <c r="F887" s="9"/>
    </row>
    <row r="888">
      <c r="A888" s="9"/>
      <c r="B888" s="9"/>
      <c r="C888" s="9"/>
      <c r="D888" s="9"/>
      <c r="E888" s="9"/>
      <c r="F888" s="9"/>
    </row>
    <row r="889">
      <c r="A889" s="9"/>
      <c r="B889" s="9"/>
      <c r="C889" s="9"/>
      <c r="D889" s="9"/>
      <c r="E889" s="9"/>
      <c r="F889" s="9"/>
    </row>
    <row r="890">
      <c r="A890" s="9"/>
      <c r="B890" s="9"/>
      <c r="C890" s="9"/>
      <c r="D890" s="9"/>
      <c r="E890" s="9"/>
      <c r="F890" s="9"/>
    </row>
    <row r="891">
      <c r="A891" s="9"/>
      <c r="B891" s="9"/>
      <c r="C891" s="9"/>
      <c r="D891" s="9"/>
      <c r="E891" s="9"/>
      <c r="F891" s="9"/>
    </row>
    <row r="892">
      <c r="A892" s="9"/>
      <c r="B892" s="9"/>
      <c r="C892" s="9"/>
      <c r="D892" s="9"/>
      <c r="E892" s="9"/>
      <c r="F892" s="9"/>
    </row>
    <row r="893">
      <c r="A893" s="9"/>
      <c r="B893" s="9"/>
      <c r="C893" s="9"/>
      <c r="D893" s="9"/>
      <c r="E893" s="9"/>
      <c r="F893" s="9"/>
    </row>
    <row r="894">
      <c r="A894" s="9"/>
      <c r="B894" s="9"/>
      <c r="C894" s="9"/>
      <c r="D894" s="9"/>
      <c r="E894" s="9"/>
      <c r="F894" s="9"/>
    </row>
    <row r="895">
      <c r="A895" s="9"/>
      <c r="B895" s="9"/>
      <c r="C895" s="9"/>
      <c r="D895" s="9"/>
      <c r="E895" s="9"/>
      <c r="F895" s="9"/>
    </row>
    <row r="896">
      <c r="A896" s="9"/>
      <c r="B896" s="9"/>
      <c r="C896" s="9"/>
      <c r="D896" s="9"/>
      <c r="E896" s="9"/>
      <c r="F896" s="9"/>
    </row>
    <row r="897">
      <c r="A897" s="9"/>
      <c r="B897" s="9"/>
      <c r="C897" s="9"/>
      <c r="D897" s="9"/>
      <c r="E897" s="9"/>
      <c r="F897" s="9"/>
    </row>
    <row r="898">
      <c r="A898" s="9"/>
      <c r="B898" s="9"/>
      <c r="C898" s="9"/>
      <c r="D898" s="9"/>
      <c r="E898" s="9"/>
      <c r="F898" s="9"/>
    </row>
    <row r="899">
      <c r="A899" s="9"/>
      <c r="B899" s="9"/>
      <c r="C899" s="9"/>
      <c r="D899" s="9"/>
      <c r="E899" s="9"/>
      <c r="F899" s="9"/>
    </row>
    <row r="900">
      <c r="A900" s="9"/>
      <c r="B900" s="9"/>
      <c r="C900" s="9"/>
      <c r="D900" s="9"/>
      <c r="E900" s="9"/>
      <c r="F900" s="9"/>
    </row>
    <row r="901">
      <c r="A901" s="9"/>
      <c r="B901" s="9"/>
      <c r="C901" s="9"/>
      <c r="D901" s="9"/>
      <c r="E901" s="9"/>
      <c r="F901" s="9"/>
    </row>
    <row r="902">
      <c r="A902" s="9"/>
      <c r="B902" s="9"/>
      <c r="C902" s="9"/>
      <c r="D902" s="9"/>
      <c r="E902" s="9"/>
      <c r="F902" s="9"/>
    </row>
    <row r="903">
      <c r="A903" s="9"/>
      <c r="B903" s="9"/>
      <c r="C903" s="9"/>
      <c r="D903" s="9"/>
      <c r="E903" s="9"/>
      <c r="F903" s="9"/>
    </row>
    <row r="904">
      <c r="A904" s="9"/>
      <c r="B904" s="9"/>
      <c r="C904" s="9"/>
      <c r="D904" s="9"/>
      <c r="E904" s="9"/>
      <c r="F904" s="9"/>
    </row>
    <row r="905">
      <c r="A905" s="9"/>
      <c r="B905" s="9"/>
      <c r="C905" s="9"/>
      <c r="D905" s="9"/>
      <c r="E905" s="9"/>
      <c r="F905" s="9"/>
    </row>
    <row r="906">
      <c r="A906" s="9"/>
      <c r="B906" s="9"/>
      <c r="C906" s="9"/>
      <c r="D906" s="9"/>
      <c r="E906" s="9"/>
      <c r="F906" s="9"/>
    </row>
    <row r="907">
      <c r="A907" s="9"/>
      <c r="B907" s="9"/>
      <c r="C907" s="9"/>
      <c r="D907" s="9"/>
      <c r="E907" s="9"/>
      <c r="F907" s="9"/>
    </row>
    <row r="908">
      <c r="A908" s="9"/>
      <c r="B908" s="9"/>
      <c r="C908" s="9"/>
      <c r="D908" s="9"/>
      <c r="E908" s="9"/>
      <c r="F908" s="9"/>
    </row>
    <row r="909">
      <c r="A909" s="9"/>
      <c r="B909" s="9"/>
      <c r="C909" s="9"/>
      <c r="D909" s="9"/>
      <c r="E909" s="9"/>
      <c r="F909" s="9"/>
    </row>
    <row r="910">
      <c r="A910" s="9"/>
      <c r="B910" s="9"/>
      <c r="C910" s="9"/>
      <c r="D910" s="9"/>
      <c r="E910" s="9"/>
      <c r="F910" s="9"/>
    </row>
    <row r="911">
      <c r="A911" s="9"/>
      <c r="B911" s="9"/>
      <c r="C911" s="9"/>
      <c r="D911" s="9"/>
      <c r="E911" s="9"/>
      <c r="F911" s="9"/>
    </row>
    <row r="912">
      <c r="A912" s="9"/>
      <c r="B912" s="9"/>
      <c r="C912" s="9"/>
      <c r="D912" s="9"/>
      <c r="E912" s="9"/>
      <c r="F912" s="9"/>
    </row>
    <row r="913">
      <c r="A913" s="9"/>
      <c r="B913" s="9"/>
      <c r="C913" s="9"/>
      <c r="D913" s="9"/>
      <c r="E913" s="9"/>
      <c r="F913" s="9"/>
    </row>
    <row r="914">
      <c r="A914" s="9"/>
      <c r="B914" s="9"/>
      <c r="C914" s="9"/>
      <c r="D914" s="9"/>
      <c r="E914" s="9"/>
      <c r="F914" s="9"/>
    </row>
    <row r="915">
      <c r="A915" s="9"/>
      <c r="B915" s="9"/>
      <c r="C915" s="9"/>
      <c r="D915" s="9"/>
      <c r="E915" s="9"/>
      <c r="F915" s="9"/>
    </row>
    <row r="916">
      <c r="A916" s="9"/>
      <c r="B916" s="9"/>
      <c r="C916" s="9"/>
      <c r="D916" s="9"/>
      <c r="E916" s="9"/>
      <c r="F916" s="9"/>
    </row>
    <row r="917">
      <c r="A917" s="9"/>
      <c r="B917" s="9"/>
      <c r="C917" s="9"/>
      <c r="D917" s="9"/>
      <c r="E917" s="9"/>
      <c r="F917" s="9"/>
    </row>
    <row r="918">
      <c r="A918" s="9"/>
      <c r="B918" s="9"/>
      <c r="C918" s="9"/>
      <c r="D918" s="9"/>
      <c r="E918" s="9"/>
      <c r="F918" s="9"/>
    </row>
    <row r="919">
      <c r="A919" s="9"/>
      <c r="B919" s="9"/>
      <c r="C919" s="9"/>
      <c r="D919" s="9"/>
      <c r="E919" s="9"/>
      <c r="F919" s="9"/>
    </row>
    <row r="920">
      <c r="A920" s="9"/>
      <c r="B920" s="9"/>
      <c r="C920" s="9"/>
      <c r="D920" s="9"/>
      <c r="E920" s="9"/>
      <c r="F920" s="9"/>
    </row>
    <row r="921">
      <c r="A921" s="9"/>
      <c r="B921" s="9"/>
      <c r="C921" s="9"/>
      <c r="D921" s="9"/>
      <c r="E921" s="9"/>
      <c r="F921" s="9"/>
    </row>
    <row r="922">
      <c r="A922" s="9"/>
      <c r="B922" s="9"/>
      <c r="C922" s="9"/>
      <c r="D922" s="9"/>
      <c r="E922" s="9"/>
      <c r="F922" s="9"/>
    </row>
    <row r="923">
      <c r="A923" s="9"/>
      <c r="B923" s="9"/>
      <c r="C923" s="9"/>
      <c r="D923" s="9"/>
      <c r="E923" s="9"/>
      <c r="F923" s="9"/>
    </row>
    <row r="924">
      <c r="A924" s="9"/>
      <c r="B924" s="9"/>
      <c r="C924" s="9"/>
      <c r="D924" s="9"/>
      <c r="E924" s="9"/>
      <c r="F924" s="9"/>
    </row>
    <row r="925">
      <c r="A925" s="9"/>
      <c r="B925" s="9"/>
      <c r="C925" s="9"/>
      <c r="D925" s="9"/>
      <c r="E925" s="9"/>
      <c r="F925" s="9"/>
    </row>
    <row r="926">
      <c r="A926" s="9"/>
      <c r="B926" s="9"/>
      <c r="C926" s="9"/>
      <c r="D926" s="9"/>
      <c r="E926" s="9"/>
      <c r="F926" s="9"/>
    </row>
    <row r="927">
      <c r="A927" s="9"/>
      <c r="B927" s="9"/>
      <c r="C927" s="9"/>
      <c r="D927" s="9"/>
      <c r="E927" s="9"/>
      <c r="F927" s="9"/>
    </row>
    <row r="928">
      <c r="A928" s="9"/>
      <c r="B928" s="9"/>
      <c r="C928" s="9"/>
      <c r="D928" s="9"/>
      <c r="E928" s="9"/>
      <c r="F928" s="9"/>
    </row>
    <row r="929">
      <c r="A929" s="9"/>
      <c r="B929" s="9"/>
      <c r="C929" s="9"/>
      <c r="D929" s="9"/>
      <c r="E929" s="9"/>
      <c r="F929" s="9"/>
    </row>
    <row r="930">
      <c r="A930" s="9"/>
      <c r="B930" s="9"/>
      <c r="C930" s="9"/>
      <c r="D930" s="9"/>
      <c r="E930" s="9"/>
      <c r="F930" s="9"/>
    </row>
    <row r="931">
      <c r="A931" s="9"/>
      <c r="B931" s="9"/>
      <c r="C931" s="9"/>
      <c r="D931" s="9"/>
      <c r="E931" s="9"/>
      <c r="F931" s="9"/>
    </row>
    <row r="932">
      <c r="A932" s="9"/>
      <c r="B932" s="9"/>
      <c r="C932" s="9"/>
      <c r="D932" s="9"/>
      <c r="E932" s="9"/>
      <c r="F932" s="9"/>
    </row>
    <row r="933">
      <c r="A933" s="9"/>
      <c r="B933" s="9"/>
      <c r="C933" s="9"/>
      <c r="D933" s="9"/>
      <c r="E933" s="9"/>
      <c r="F933" s="9"/>
    </row>
    <row r="934">
      <c r="A934" s="9"/>
      <c r="B934" s="9"/>
      <c r="C934" s="9"/>
      <c r="D934" s="9"/>
      <c r="E934" s="9"/>
      <c r="F934" s="9"/>
    </row>
    <row r="935">
      <c r="A935" s="9"/>
      <c r="B935" s="9"/>
      <c r="C935" s="9"/>
      <c r="D935" s="9"/>
      <c r="E935" s="9"/>
      <c r="F935" s="9"/>
    </row>
    <row r="936">
      <c r="A936" s="9"/>
      <c r="B936" s="9"/>
      <c r="C936" s="9"/>
      <c r="D936" s="9"/>
      <c r="E936" s="9"/>
      <c r="F936" s="9"/>
    </row>
    <row r="937">
      <c r="A937" s="9"/>
      <c r="B937" s="9"/>
      <c r="C937" s="9"/>
      <c r="D937" s="9"/>
      <c r="E937" s="9"/>
      <c r="F937" s="9"/>
    </row>
    <row r="938">
      <c r="A938" s="9"/>
      <c r="B938" s="9"/>
      <c r="C938" s="9"/>
      <c r="D938" s="9"/>
      <c r="E938" s="9"/>
      <c r="F938" s="9"/>
    </row>
    <row r="939">
      <c r="A939" s="9"/>
      <c r="B939" s="9"/>
      <c r="C939" s="9"/>
      <c r="D939" s="9"/>
      <c r="E939" s="9"/>
      <c r="F939" s="9"/>
    </row>
    <row r="940">
      <c r="A940" s="9"/>
      <c r="B940" s="9"/>
      <c r="C940" s="9"/>
      <c r="D940" s="9"/>
      <c r="E940" s="9"/>
      <c r="F940" s="9"/>
    </row>
    <row r="941">
      <c r="A941" s="9"/>
      <c r="B941" s="9"/>
      <c r="C941" s="9"/>
      <c r="D941" s="9"/>
      <c r="E941" s="9"/>
      <c r="F941" s="9"/>
    </row>
    <row r="942">
      <c r="A942" s="9"/>
      <c r="B942" s="9"/>
      <c r="C942" s="9"/>
      <c r="D942" s="9"/>
      <c r="E942" s="9"/>
      <c r="F942" s="9"/>
    </row>
    <row r="943">
      <c r="A943" s="9"/>
      <c r="B943" s="9"/>
      <c r="C943" s="9"/>
      <c r="D943" s="9"/>
      <c r="E943" s="9"/>
      <c r="F943" s="9"/>
    </row>
    <row r="944">
      <c r="A944" s="9"/>
      <c r="B944" s="9"/>
      <c r="C944" s="9"/>
      <c r="D944" s="9"/>
      <c r="E944" s="9"/>
      <c r="F944" s="9"/>
    </row>
    <row r="945">
      <c r="A945" s="9"/>
      <c r="B945" s="9"/>
      <c r="C945" s="9"/>
      <c r="D945" s="9"/>
      <c r="E945" s="9"/>
      <c r="F945" s="9"/>
    </row>
    <row r="946">
      <c r="A946" s="9"/>
      <c r="B946" s="9"/>
      <c r="C946" s="9"/>
      <c r="D946" s="9"/>
      <c r="E946" s="9"/>
      <c r="F946" s="9"/>
    </row>
    <row r="947">
      <c r="A947" s="9"/>
      <c r="B947" s="9"/>
      <c r="C947" s="9"/>
      <c r="D947" s="9"/>
      <c r="E947" s="9"/>
      <c r="F947" s="9"/>
    </row>
    <row r="948">
      <c r="A948" s="9"/>
      <c r="B948" s="9"/>
      <c r="C948" s="9"/>
      <c r="D948" s="9"/>
      <c r="E948" s="9"/>
      <c r="F948" s="9"/>
    </row>
    <row r="949">
      <c r="A949" s="9"/>
      <c r="B949" s="9"/>
      <c r="C949" s="9"/>
      <c r="D949" s="9"/>
      <c r="E949" s="9"/>
      <c r="F949" s="9"/>
    </row>
    <row r="950">
      <c r="A950" s="9"/>
      <c r="B950" s="9"/>
      <c r="C950" s="9"/>
      <c r="D950" s="9"/>
      <c r="E950" s="9"/>
      <c r="F950" s="9"/>
    </row>
    <row r="951">
      <c r="A951" s="9"/>
      <c r="B951" s="9"/>
      <c r="C951" s="9"/>
      <c r="D951" s="9"/>
      <c r="E951" s="9"/>
      <c r="F951" s="9"/>
    </row>
    <row r="952">
      <c r="A952" s="9"/>
      <c r="B952" s="9"/>
      <c r="C952" s="9"/>
      <c r="D952" s="9"/>
      <c r="E952" s="9"/>
      <c r="F952" s="9"/>
    </row>
    <row r="953">
      <c r="A953" s="9"/>
      <c r="B953" s="9"/>
      <c r="C953" s="9"/>
      <c r="D953" s="9"/>
      <c r="E953" s="9"/>
      <c r="F953" s="9"/>
    </row>
    <row r="954">
      <c r="A954" s="9"/>
      <c r="B954" s="9"/>
      <c r="C954" s="9"/>
      <c r="D954" s="9"/>
      <c r="E954" s="9"/>
      <c r="F954" s="9"/>
    </row>
    <row r="955">
      <c r="A955" s="9"/>
      <c r="B955" s="9"/>
      <c r="C955" s="9"/>
      <c r="D955" s="9"/>
      <c r="E955" s="9"/>
      <c r="F955" s="9"/>
    </row>
    <row r="956">
      <c r="A956" s="9"/>
      <c r="B956" s="9"/>
      <c r="C956" s="9"/>
      <c r="D956" s="9"/>
      <c r="E956" s="9"/>
      <c r="F956" s="9"/>
    </row>
    <row r="957">
      <c r="A957" s="9"/>
      <c r="B957" s="9"/>
      <c r="C957" s="9"/>
      <c r="D957" s="9"/>
      <c r="E957" s="9"/>
      <c r="F957" s="9"/>
    </row>
    <row r="958">
      <c r="A958" s="9"/>
      <c r="B958" s="9"/>
      <c r="C958" s="9"/>
      <c r="D958" s="9"/>
      <c r="E958" s="9"/>
      <c r="F958" s="9"/>
    </row>
    <row r="959">
      <c r="A959" s="9"/>
      <c r="B959" s="9"/>
      <c r="C959" s="9"/>
      <c r="D959" s="9"/>
      <c r="E959" s="9"/>
      <c r="F959" s="9"/>
    </row>
    <row r="960">
      <c r="A960" s="9"/>
      <c r="B960" s="9"/>
      <c r="C960" s="9"/>
      <c r="D960" s="9"/>
      <c r="E960" s="9"/>
      <c r="F960" s="9"/>
    </row>
    <row r="961">
      <c r="A961" s="9"/>
      <c r="B961" s="9"/>
      <c r="C961" s="9"/>
      <c r="D961" s="9"/>
      <c r="E961" s="9"/>
      <c r="F961" s="9"/>
    </row>
    <row r="962">
      <c r="A962" s="9"/>
      <c r="B962" s="9"/>
      <c r="C962" s="9"/>
      <c r="D962" s="9"/>
      <c r="E962" s="9"/>
      <c r="F962" s="9"/>
    </row>
    <row r="963">
      <c r="A963" s="9"/>
      <c r="B963" s="9"/>
      <c r="C963" s="9"/>
      <c r="D963" s="9"/>
      <c r="E963" s="9"/>
      <c r="F963" s="9"/>
    </row>
    <row r="964">
      <c r="A964" s="9"/>
      <c r="B964" s="9"/>
      <c r="C964" s="9"/>
      <c r="D964" s="9"/>
      <c r="E964" s="9"/>
      <c r="F964" s="9"/>
    </row>
    <row r="965">
      <c r="A965" s="9"/>
      <c r="B965" s="9"/>
      <c r="C965" s="9"/>
      <c r="D965" s="9"/>
      <c r="E965" s="9"/>
      <c r="F965" s="9"/>
    </row>
    <row r="966">
      <c r="A966" s="9"/>
      <c r="B966" s="9"/>
      <c r="C966" s="9"/>
      <c r="D966" s="9"/>
      <c r="E966" s="9"/>
      <c r="F966" s="9"/>
    </row>
    <row r="967">
      <c r="A967" s="9"/>
      <c r="B967" s="9"/>
      <c r="C967" s="9"/>
      <c r="D967" s="9"/>
      <c r="E967" s="9"/>
      <c r="F967" s="9"/>
    </row>
    <row r="968">
      <c r="A968" s="9"/>
      <c r="B968" s="9"/>
      <c r="C968" s="9"/>
      <c r="D968" s="9"/>
      <c r="E968" s="9"/>
      <c r="F968" s="9"/>
    </row>
    <row r="969">
      <c r="A969" s="9"/>
      <c r="B969" s="9"/>
      <c r="C969" s="9"/>
      <c r="D969" s="9"/>
      <c r="E969" s="9"/>
      <c r="F969" s="9"/>
    </row>
    <row r="970">
      <c r="A970" s="9"/>
      <c r="B970" s="9"/>
      <c r="C970" s="9"/>
      <c r="D970" s="9"/>
      <c r="E970" s="9"/>
      <c r="F970" s="9"/>
    </row>
    <row r="971">
      <c r="A971" s="9"/>
      <c r="B971" s="9"/>
      <c r="C971" s="9"/>
      <c r="D971" s="9"/>
      <c r="E971" s="9"/>
      <c r="F971" s="9"/>
    </row>
    <row r="972">
      <c r="A972" s="9"/>
      <c r="B972" s="9"/>
      <c r="C972" s="9"/>
      <c r="D972" s="9"/>
      <c r="E972" s="9"/>
      <c r="F972" s="9"/>
    </row>
    <row r="973">
      <c r="A973" s="9"/>
      <c r="B973" s="9"/>
      <c r="C973" s="9"/>
      <c r="D973" s="9"/>
      <c r="E973" s="9"/>
      <c r="F973" s="9"/>
    </row>
    <row r="974">
      <c r="A974" s="9"/>
      <c r="B974" s="9"/>
      <c r="C974" s="9"/>
      <c r="D974" s="9"/>
      <c r="E974" s="9"/>
      <c r="F974" s="9"/>
    </row>
    <row r="975">
      <c r="A975" s="9"/>
      <c r="B975" s="9"/>
      <c r="C975" s="9"/>
      <c r="D975" s="9"/>
      <c r="E975" s="9"/>
      <c r="F975" s="9"/>
    </row>
    <row r="976">
      <c r="A976" s="9"/>
      <c r="B976" s="9"/>
      <c r="C976" s="9"/>
      <c r="D976" s="9"/>
      <c r="E976" s="9"/>
      <c r="F976" s="9"/>
    </row>
    <row r="977">
      <c r="A977" s="9"/>
      <c r="B977" s="9"/>
      <c r="C977" s="9"/>
      <c r="D977" s="9"/>
      <c r="E977" s="9"/>
      <c r="F977" s="9"/>
    </row>
    <row r="978">
      <c r="A978" s="9"/>
      <c r="B978" s="9"/>
      <c r="C978" s="9"/>
      <c r="D978" s="9"/>
      <c r="E978" s="9"/>
      <c r="F978" s="9"/>
    </row>
    <row r="979">
      <c r="A979" s="9"/>
      <c r="B979" s="9"/>
      <c r="C979" s="9"/>
      <c r="D979" s="9"/>
      <c r="E979" s="9"/>
      <c r="F979" s="9"/>
    </row>
    <row r="980">
      <c r="A980" s="9"/>
      <c r="B980" s="9"/>
      <c r="C980" s="9"/>
      <c r="D980" s="9"/>
      <c r="E980" s="9"/>
      <c r="F980" s="9"/>
    </row>
    <row r="981">
      <c r="A981" s="9"/>
      <c r="B981" s="9"/>
      <c r="C981" s="9"/>
      <c r="D981" s="9"/>
      <c r="E981" s="9"/>
      <c r="F981" s="9"/>
    </row>
    <row r="982">
      <c r="A982" s="9"/>
      <c r="B982" s="9"/>
      <c r="C982" s="9"/>
      <c r="D982" s="9"/>
      <c r="E982" s="9"/>
      <c r="F982" s="9"/>
    </row>
    <row r="983">
      <c r="A983" s="9"/>
      <c r="B983" s="9"/>
      <c r="C983" s="9"/>
      <c r="D983" s="9"/>
      <c r="E983" s="9"/>
      <c r="F983" s="9"/>
    </row>
    <row r="984">
      <c r="A984" s="9"/>
      <c r="B984" s="9"/>
      <c r="C984" s="9"/>
      <c r="D984" s="9"/>
      <c r="E984" s="9"/>
      <c r="F984" s="9"/>
    </row>
    <row r="985">
      <c r="A985" s="9"/>
      <c r="B985" s="9"/>
      <c r="C985" s="9"/>
      <c r="D985" s="9"/>
      <c r="E985" s="9"/>
      <c r="F985" s="9"/>
    </row>
    <row r="986">
      <c r="A986" s="9"/>
      <c r="B986" s="9"/>
      <c r="C986" s="9"/>
      <c r="D986" s="9"/>
      <c r="E986" s="9"/>
      <c r="F986" s="9"/>
    </row>
    <row r="987">
      <c r="A987" s="9"/>
      <c r="B987" s="9"/>
      <c r="C987" s="9"/>
      <c r="D987" s="9"/>
      <c r="E987" s="9"/>
      <c r="F987" s="9"/>
    </row>
    <row r="988">
      <c r="A988" s="9"/>
      <c r="B988" s="9"/>
      <c r="C988" s="9"/>
      <c r="D988" s="9"/>
      <c r="E988" s="9"/>
      <c r="F988" s="9"/>
    </row>
    <row r="989">
      <c r="A989" s="9"/>
      <c r="B989" s="9"/>
      <c r="C989" s="9"/>
      <c r="D989" s="9"/>
      <c r="E989" s="9"/>
      <c r="F989" s="9"/>
    </row>
    <row r="990">
      <c r="A990" s="9"/>
      <c r="B990" s="9"/>
      <c r="C990" s="9"/>
      <c r="D990" s="9"/>
      <c r="E990" s="9"/>
      <c r="F990" s="9"/>
    </row>
    <row r="991">
      <c r="A991" s="9"/>
      <c r="B991" s="9"/>
      <c r="C991" s="9"/>
      <c r="D991" s="9"/>
      <c r="E991" s="9"/>
      <c r="F991" s="9"/>
    </row>
    <row r="992">
      <c r="A992" s="9"/>
      <c r="B992" s="9"/>
      <c r="C992" s="9"/>
      <c r="D992" s="9"/>
      <c r="E992" s="9"/>
      <c r="F992" s="9"/>
    </row>
    <row r="993">
      <c r="A993" s="9"/>
      <c r="B993" s="9"/>
      <c r="C993" s="9"/>
      <c r="D993" s="9"/>
      <c r="E993" s="9"/>
      <c r="F993" s="9"/>
    </row>
    <row r="994">
      <c r="A994" s="9"/>
      <c r="B994" s="9"/>
      <c r="C994" s="9"/>
      <c r="D994" s="9"/>
      <c r="E994" s="9"/>
      <c r="F994" s="9"/>
    </row>
    <row r="995">
      <c r="A995" s="9"/>
      <c r="B995" s="9"/>
      <c r="C995" s="9"/>
      <c r="D995" s="9"/>
      <c r="E995" s="9"/>
      <c r="F995" s="9"/>
    </row>
    <row r="996">
      <c r="A996" s="9"/>
      <c r="B996" s="9"/>
      <c r="C996" s="9"/>
      <c r="D996" s="9"/>
      <c r="E996" s="9"/>
      <c r="F996" s="9"/>
    </row>
    <row r="997">
      <c r="A997" s="9"/>
      <c r="B997" s="9"/>
      <c r="C997" s="9"/>
      <c r="D997" s="9"/>
      <c r="E997" s="9"/>
      <c r="F997" s="9"/>
    </row>
    <row r="998">
      <c r="A998" s="9"/>
      <c r="B998" s="9"/>
      <c r="C998" s="9"/>
      <c r="D998" s="9"/>
      <c r="E998" s="9"/>
      <c r="F998" s="9"/>
    </row>
    <row r="999">
      <c r="A999" s="9"/>
      <c r="B999" s="9"/>
      <c r="C999" s="9"/>
      <c r="D999" s="9"/>
      <c r="E999" s="9"/>
      <c r="F999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4.13"/>
    <col customWidth="1" min="3" max="3" width="9.0"/>
    <col customWidth="1" min="4" max="4" width="8.0"/>
    <col customWidth="1" min="5" max="6" width="8.75"/>
  </cols>
  <sheetData>
    <row r="1">
      <c r="A1" s="17" t="str">
        <f>IFERROR(__xludf.DUMMYFUNCTION("IMPORTRANGE(""https://docs.google.com/spreadsheets/d/1iYr1ABX5E5xD5hdpo7T57xV80Bd6YZfcnip7j3Ia3No/edit?gid=153321439#gid=153321439"",""'Prov.B3'!AP2:AU1000"")"),"Pagamento")</f>
        <v>Pagamento</v>
      </c>
      <c r="B1" s="9" t="str">
        <f>IFERROR(__xludf.DUMMYFUNCTION("""COMPUTED_VALUE"""),"Mês")</f>
        <v>Mês</v>
      </c>
      <c r="C1" s="9" t="str">
        <f>IFERROR(__xludf.DUMMYFUNCTION("""COMPUTED_VALUE"""),"Referencia")</f>
        <v>Referencia</v>
      </c>
      <c r="D1" s="9" t="str">
        <f>IFERROR(__xludf.DUMMYFUNCTION("""COMPUTED_VALUE"""),"Valor")</f>
        <v>Valor</v>
      </c>
      <c r="E1" s="9" t="str">
        <f>IFERROR(__xludf.DUMMYFUNCTION("""COMPUTED_VALUE"""),"Valor Total")</f>
        <v>Valor Total</v>
      </c>
      <c r="F1" s="9"/>
    </row>
    <row r="2">
      <c r="A2" s="17">
        <f>IFERROR(__xludf.DUMMYFUNCTION("""COMPUTED_VALUE"""),45978.0)</f>
        <v>45978</v>
      </c>
      <c r="B2" s="9">
        <f>IFERROR(__xludf.DUMMYFUNCTION("""COMPUTED_VALUE"""),11.0)</f>
        <v>11</v>
      </c>
      <c r="C2" s="9">
        <f>IFERROR(__xludf.DUMMYFUNCTION("""COMPUTED_VALUE"""),2025.0)</f>
        <v>2025</v>
      </c>
      <c r="D2" s="9">
        <f>IFERROR(__xludf.DUMMYFUNCTION("""COMPUTED_VALUE"""),0.32)</f>
        <v>0.32</v>
      </c>
      <c r="E2" s="9">
        <f>IFERROR(__xludf.DUMMYFUNCTION("""COMPUTED_VALUE"""),558.72)</f>
        <v>558.72</v>
      </c>
      <c r="F2" s="9"/>
    </row>
    <row r="3">
      <c r="A3" s="17">
        <f>IFERROR(__xludf.DUMMYFUNCTION("""COMPUTED_VALUE"""),46006.0)</f>
        <v>46006</v>
      </c>
      <c r="B3" s="9">
        <f>IFERROR(__xludf.DUMMYFUNCTION("""COMPUTED_VALUE"""),12.0)</f>
        <v>12</v>
      </c>
      <c r="C3" s="9">
        <f>IFERROR(__xludf.DUMMYFUNCTION("""COMPUTED_VALUE"""),2025.0)</f>
        <v>2025</v>
      </c>
      <c r="D3" s="9">
        <f>IFERROR(__xludf.DUMMYFUNCTION("""COMPUTED_VALUE"""),2.2)</f>
        <v>2.2</v>
      </c>
      <c r="E3" s="9">
        <f>IFERROR(__xludf.DUMMYFUNCTION("""COMPUTED_VALUE"""),1038.4)</f>
        <v>1038.4</v>
      </c>
      <c r="F3" s="9"/>
    </row>
    <row r="4">
      <c r="A4" s="17">
        <f>IFERROR(__xludf.DUMMYFUNCTION("""COMPUTED_VALUE"""),46008.0)</f>
        <v>46008</v>
      </c>
      <c r="B4" s="9">
        <f>IFERROR(__xludf.DUMMYFUNCTION("""COMPUTED_VALUE"""),12.0)</f>
        <v>12</v>
      </c>
      <c r="C4" s="9">
        <f>IFERROR(__xludf.DUMMYFUNCTION("""COMPUTED_VALUE"""),2025.0)</f>
        <v>2025</v>
      </c>
      <c r="D4" s="9">
        <f>IFERROR(__xludf.DUMMYFUNCTION("""COMPUTED_VALUE"""),0.608935)</f>
        <v>0.608935</v>
      </c>
      <c r="E4" s="9">
        <f>IFERROR(__xludf.DUMMYFUNCTION("""COMPUTED_VALUE"""),335.92)</f>
        <v>335.92</v>
      </c>
      <c r="F4" s="9"/>
    </row>
    <row r="5">
      <c r="A5" s="17">
        <f>IFERROR(__xludf.DUMMYFUNCTION("""COMPUTED_VALUE"""),46010.0)</f>
        <v>46010</v>
      </c>
      <c r="B5" s="9">
        <f>IFERROR(__xludf.DUMMYFUNCTION("""COMPUTED_VALUE"""),12.0)</f>
        <v>12</v>
      </c>
      <c r="C5" s="9">
        <f>IFERROR(__xludf.DUMMYFUNCTION("""COMPUTED_VALUE"""),2025.0)</f>
        <v>2025</v>
      </c>
      <c r="D5" s="9">
        <f>IFERROR(__xludf.DUMMYFUNCTION("""COMPUTED_VALUE"""),1.832319)</f>
        <v>1.832319</v>
      </c>
      <c r="E5" s="9">
        <f>IFERROR(__xludf.DUMMYFUNCTION("""COMPUTED_VALUE"""),1181.84)</f>
        <v>1181.84</v>
      </c>
      <c r="F5" s="9"/>
    </row>
    <row r="6">
      <c r="A6" s="17">
        <f>IFERROR(__xludf.DUMMYFUNCTION("""COMPUTED_VALUE"""),46013.0)</f>
        <v>46013</v>
      </c>
      <c r="B6" s="9">
        <f>IFERROR(__xludf.DUMMYFUNCTION("""COMPUTED_VALUE"""),12.0)</f>
        <v>12</v>
      </c>
      <c r="C6" s="9">
        <f>IFERROR(__xludf.DUMMYFUNCTION("""COMPUTED_VALUE"""),2025.0)</f>
        <v>2025</v>
      </c>
      <c r="D6" s="9">
        <f>IFERROR(__xludf.DUMMYFUNCTION("""COMPUTED_VALUE"""),0.13504)</f>
        <v>0.13504</v>
      </c>
      <c r="E6" s="9">
        <f>IFERROR(__xludf.DUMMYFUNCTION("""COMPUTED_VALUE"""),33.17)</f>
        <v>33.17</v>
      </c>
      <c r="F6" s="9"/>
    </row>
    <row r="7">
      <c r="A7" s="17">
        <f>IFERROR(__xludf.DUMMYFUNCTION("""COMPUTED_VALUE"""),46013.0)</f>
        <v>46013</v>
      </c>
      <c r="B7" s="9">
        <f>IFERROR(__xludf.DUMMYFUNCTION("""COMPUTED_VALUE"""),12.0)</f>
        <v>12</v>
      </c>
      <c r="C7" s="9">
        <f>IFERROR(__xludf.DUMMYFUNCTION("""COMPUTED_VALUE"""),2025.0)</f>
        <v>2025</v>
      </c>
      <c r="D7" s="9">
        <f>IFERROR(__xludf.DUMMYFUNCTION("""COMPUTED_VALUE"""),0.200921)</f>
        <v>0.200921</v>
      </c>
      <c r="E7" s="9">
        <f>IFERROR(__xludf.DUMMYFUNCTION("""COMPUTED_VALUE"""),58.06)</f>
        <v>58.06</v>
      </c>
      <c r="F7" s="9"/>
    </row>
    <row r="8">
      <c r="A8" s="17">
        <f>IFERROR(__xludf.DUMMYFUNCTION("""COMPUTED_VALUE"""),46020.0)</f>
        <v>46020</v>
      </c>
      <c r="B8" s="9">
        <f>IFERROR(__xludf.DUMMYFUNCTION("""COMPUTED_VALUE"""),12.0)</f>
        <v>12</v>
      </c>
      <c r="C8" s="9">
        <f>IFERROR(__xludf.DUMMYFUNCTION("""COMPUTED_VALUE"""),2025.0)</f>
        <v>2025</v>
      </c>
      <c r="D8" s="9">
        <f>IFERROR(__xludf.DUMMYFUNCTION("""COMPUTED_VALUE"""),0.125)</f>
        <v>0.125</v>
      </c>
      <c r="E8" s="9">
        <f>IFERROR(__xludf.DUMMYFUNCTION("""COMPUTED_VALUE"""),105.25)</f>
        <v>105.25</v>
      </c>
      <c r="F8" s="9"/>
    </row>
    <row r="9">
      <c r="A9" s="17" t="str">
        <f>IFERROR(__xludf.DUMMYFUNCTION("""COMPUTED_VALUE"""),"-")</f>
        <v>-</v>
      </c>
      <c r="B9" s="9" t="str">
        <f>IFERROR(__xludf.DUMMYFUNCTION("""COMPUTED_VALUE"""),"-")</f>
        <v>-</v>
      </c>
      <c r="C9" s="9" t="str">
        <f>IFERROR(__xludf.DUMMYFUNCTION("""COMPUTED_VALUE"""),"-")</f>
        <v>-</v>
      </c>
      <c r="D9" s="9">
        <f>IFERROR(__xludf.DUMMYFUNCTION("""COMPUTED_VALUE"""),0.286861)</f>
        <v>0.286861</v>
      </c>
      <c r="E9" s="9">
        <f>IFERROR(__xludf.DUMMYFUNCTION("""COMPUTED_VALUE"""),614.95)</f>
        <v>614.95</v>
      </c>
      <c r="F9" s="9"/>
    </row>
    <row r="10">
      <c r="A10" s="9"/>
      <c r="B10" s="9"/>
      <c r="C10" s="9"/>
      <c r="D10" s="9"/>
      <c r="E10" s="9"/>
      <c r="F10" s="9"/>
    </row>
    <row r="11">
      <c r="A11" s="9"/>
      <c r="B11" s="9"/>
      <c r="C11" s="9"/>
      <c r="D11" s="9"/>
      <c r="E11" s="9"/>
      <c r="F11" s="9"/>
    </row>
    <row r="12">
      <c r="A12" s="9"/>
      <c r="B12" s="9"/>
      <c r="C12" s="9"/>
      <c r="D12" s="9"/>
      <c r="E12" s="9"/>
      <c r="F12" s="9"/>
    </row>
    <row r="13">
      <c r="A13" s="9"/>
      <c r="B13" s="9"/>
      <c r="C13" s="9"/>
      <c r="D13" s="9"/>
      <c r="E13" s="9"/>
      <c r="F13" s="9"/>
    </row>
    <row r="14">
      <c r="A14" s="9"/>
      <c r="B14" s="9"/>
      <c r="C14" s="9"/>
      <c r="D14" s="9"/>
      <c r="E14" s="9"/>
      <c r="F14" s="9"/>
    </row>
    <row r="15">
      <c r="A15" s="9"/>
      <c r="B15" s="9"/>
      <c r="C15" s="9"/>
      <c r="D15" s="9"/>
      <c r="E15" s="9"/>
      <c r="F15" s="9"/>
    </row>
    <row r="16">
      <c r="A16" s="9"/>
      <c r="B16" s="9"/>
      <c r="C16" s="9"/>
      <c r="D16" s="9"/>
      <c r="E16" s="9"/>
      <c r="F16" s="9"/>
    </row>
    <row r="17">
      <c r="A17" s="9"/>
      <c r="B17" s="9"/>
      <c r="C17" s="9"/>
      <c r="D17" s="9"/>
      <c r="E17" s="9"/>
      <c r="F17" s="9"/>
    </row>
    <row r="18">
      <c r="A18" s="9"/>
      <c r="B18" s="9"/>
      <c r="C18" s="9"/>
      <c r="D18" s="9"/>
      <c r="E18" s="9"/>
      <c r="F18" s="9"/>
    </row>
    <row r="19">
      <c r="A19" s="9"/>
      <c r="B19" s="9"/>
      <c r="C19" s="9"/>
      <c r="D19" s="9"/>
      <c r="E19" s="9"/>
      <c r="F19" s="9"/>
    </row>
    <row r="20">
      <c r="A20" s="9"/>
      <c r="B20" s="9"/>
      <c r="C20" s="9"/>
      <c r="D20" s="9"/>
      <c r="E20" s="9"/>
      <c r="F20" s="9"/>
    </row>
    <row r="21">
      <c r="A21" s="9"/>
      <c r="B21" s="9"/>
      <c r="C21" s="9"/>
      <c r="D21" s="9"/>
      <c r="E21" s="9"/>
      <c r="F21" s="9"/>
    </row>
    <row r="22">
      <c r="A22" s="9"/>
      <c r="B22" s="9"/>
      <c r="C22" s="9"/>
      <c r="D22" s="9"/>
      <c r="E22" s="9"/>
      <c r="F22" s="9"/>
    </row>
    <row r="23">
      <c r="A23" s="9"/>
      <c r="B23" s="9"/>
      <c r="C23" s="9"/>
      <c r="D23" s="9"/>
      <c r="E23" s="9"/>
      <c r="F23" s="9"/>
    </row>
    <row r="24">
      <c r="A24" s="9"/>
      <c r="B24" s="9"/>
      <c r="C24" s="9"/>
      <c r="D24" s="9"/>
      <c r="E24" s="9"/>
      <c r="F24" s="9"/>
    </row>
    <row r="25">
      <c r="A25" s="9"/>
      <c r="B25" s="9"/>
      <c r="C25" s="9"/>
      <c r="D25" s="9"/>
      <c r="E25" s="9"/>
      <c r="F25" s="9"/>
    </row>
    <row r="26">
      <c r="A26" s="9"/>
      <c r="B26" s="9"/>
      <c r="C26" s="9"/>
      <c r="D26" s="9"/>
      <c r="E26" s="9"/>
      <c r="F26" s="9"/>
    </row>
    <row r="27">
      <c r="A27" s="9"/>
      <c r="B27" s="9"/>
      <c r="C27" s="9"/>
      <c r="D27" s="9"/>
      <c r="E27" s="9"/>
      <c r="F27" s="9"/>
    </row>
    <row r="28">
      <c r="A28" s="9"/>
      <c r="B28" s="9"/>
      <c r="C28" s="9"/>
      <c r="D28" s="9"/>
      <c r="E28" s="9"/>
      <c r="F28" s="9"/>
    </row>
    <row r="29">
      <c r="A29" s="9"/>
      <c r="B29" s="9"/>
      <c r="C29" s="9"/>
      <c r="D29" s="9"/>
      <c r="E29" s="9"/>
      <c r="F29" s="9"/>
    </row>
    <row r="30">
      <c r="A30" s="9"/>
      <c r="B30" s="9"/>
      <c r="C30" s="9"/>
      <c r="D30" s="9"/>
      <c r="E30" s="9"/>
      <c r="F30" s="9"/>
    </row>
    <row r="31">
      <c r="A31" s="9"/>
      <c r="B31" s="9"/>
      <c r="C31" s="9"/>
      <c r="D31" s="9"/>
      <c r="E31" s="9"/>
      <c r="F31" s="9"/>
    </row>
    <row r="32">
      <c r="A32" s="9"/>
      <c r="B32" s="9"/>
      <c r="C32" s="9"/>
      <c r="D32" s="9"/>
      <c r="E32" s="9"/>
      <c r="F32" s="9"/>
    </row>
    <row r="33">
      <c r="A33" s="9"/>
      <c r="B33" s="9"/>
      <c r="C33" s="9"/>
      <c r="D33" s="9"/>
      <c r="E33" s="9"/>
      <c r="F33" s="9"/>
    </row>
    <row r="34">
      <c r="A34" s="9"/>
      <c r="B34" s="9"/>
      <c r="C34" s="9"/>
      <c r="D34" s="9"/>
      <c r="E34" s="9"/>
      <c r="F34" s="9"/>
    </row>
    <row r="35">
      <c r="A35" s="9"/>
      <c r="B35" s="9"/>
      <c r="C35" s="9"/>
      <c r="D35" s="9"/>
      <c r="E35" s="9"/>
      <c r="F35" s="9"/>
    </row>
    <row r="36">
      <c r="A36" s="9"/>
      <c r="B36" s="9"/>
      <c r="C36" s="9"/>
      <c r="D36" s="9"/>
      <c r="E36" s="9"/>
      <c r="F36" s="9"/>
    </row>
    <row r="37">
      <c r="A37" s="9"/>
      <c r="B37" s="9"/>
      <c r="C37" s="9"/>
      <c r="D37" s="9"/>
      <c r="E37" s="9"/>
      <c r="F37" s="9"/>
    </row>
    <row r="38">
      <c r="A38" s="9"/>
      <c r="B38" s="9"/>
      <c r="C38" s="9"/>
      <c r="D38" s="9"/>
      <c r="E38" s="9"/>
      <c r="F38" s="9"/>
    </row>
    <row r="39">
      <c r="A39" s="9"/>
      <c r="B39" s="9"/>
      <c r="C39" s="9"/>
      <c r="D39" s="9"/>
      <c r="E39" s="9"/>
      <c r="F39" s="9"/>
    </row>
    <row r="40">
      <c r="A40" s="9"/>
      <c r="B40" s="9"/>
      <c r="C40" s="9"/>
      <c r="D40" s="9"/>
      <c r="E40" s="9"/>
      <c r="F40" s="9"/>
    </row>
    <row r="41">
      <c r="A41" s="9"/>
      <c r="B41" s="9"/>
      <c r="C41" s="9"/>
      <c r="D41" s="9"/>
      <c r="E41" s="9"/>
      <c r="F41" s="9"/>
    </row>
    <row r="42">
      <c r="A42" s="9"/>
      <c r="B42" s="9"/>
      <c r="C42" s="9"/>
      <c r="D42" s="9"/>
      <c r="E42" s="9"/>
      <c r="F42" s="9"/>
    </row>
    <row r="43">
      <c r="A43" s="9"/>
      <c r="B43" s="9"/>
      <c r="C43" s="9"/>
      <c r="D43" s="9"/>
      <c r="E43" s="9"/>
      <c r="F43" s="9"/>
    </row>
    <row r="44">
      <c r="A44" s="9"/>
      <c r="B44" s="9"/>
      <c r="C44" s="9"/>
      <c r="D44" s="9"/>
      <c r="E44" s="9"/>
      <c r="F44" s="9"/>
    </row>
    <row r="45">
      <c r="A45" s="9"/>
      <c r="B45" s="9"/>
      <c r="C45" s="9"/>
      <c r="D45" s="9"/>
      <c r="E45" s="9"/>
      <c r="F45" s="9"/>
    </row>
    <row r="46">
      <c r="A46" s="9"/>
      <c r="B46" s="9"/>
      <c r="C46" s="9"/>
      <c r="D46" s="9"/>
      <c r="E46" s="9"/>
      <c r="F46" s="9"/>
    </row>
    <row r="47">
      <c r="A47" s="9"/>
      <c r="B47" s="9"/>
      <c r="C47" s="9"/>
      <c r="D47" s="9"/>
      <c r="E47" s="9"/>
      <c r="F47" s="9"/>
    </row>
    <row r="48">
      <c r="A48" s="9"/>
      <c r="B48" s="9"/>
      <c r="C48" s="9"/>
      <c r="D48" s="9"/>
      <c r="E48" s="9"/>
      <c r="F48" s="9"/>
    </row>
    <row r="49">
      <c r="A49" s="9"/>
      <c r="B49" s="9"/>
      <c r="C49" s="9"/>
      <c r="D49" s="9"/>
      <c r="E49" s="9"/>
      <c r="F49" s="9"/>
    </row>
    <row r="50">
      <c r="A50" s="9"/>
      <c r="B50" s="9"/>
      <c r="C50" s="9"/>
      <c r="D50" s="9"/>
      <c r="E50" s="9"/>
      <c r="F50" s="9"/>
    </row>
    <row r="51">
      <c r="A51" s="9"/>
      <c r="B51" s="9"/>
      <c r="C51" s="9"/>
      <c r="D51" s="9"/>
      <c r="E51" s="9"/>
      <c r="F51" s="9"/>
    </row>
    <row r="52">
      <c r="A52" s="9"/>
      <c r="B52" s="9"/>
      <c r="C52" s="9"/>
      <c r="D52" s="9"/>
      <c r="E52" s="9"/>
      <c r="F52" s="9"/>
    </row>
    <row r="53">
      <c r="A53" s="9"/>
      <c r="B53" s="9"/>
      <c r="C53" s="9"/>
      <c r="D53" s="9"/>
      <c r="E53" s="9"/>
      <c r="F53" s="9"/>
    </row>
    <row r="54">
      <c r="A54" s="9"/>
      <c r="B54" s="9"/>
      <c r="C54" s="9"/>
      <c r="D54" s="9"/>
      <c r="E54" s="9"/>
      <c r="F54" s="9"/>
    </row>
    <row r="55">
      <c r="A55" s="9"/>
      <c r="B55" s="9"/>
      <c r="C55" s="9"/>
      <c r="D55" s="9"/>
      <c r="E55" s="9"/>
      <c r="F55" s="9"/>
    </row>
    <row r="56">
      <c r="A56" s="9"/>
      <c r="B56" s="9"/>
      <c r="C56" s="9"/>
      <c r="D56" s="9"/>
      <c r="E56" s="9"/>
      <c r="F56" s="9"/>
    </row>
    <row r="57">
      <c r="A57" s="9"/>
      <c r="B57" s="9"/>
      <c r="C57" s="9"/>
      <c r="D57" s="9"/>
      <c r="E57" s="9"/>
      <c r="F57" s="9"/>
    </row>
    <row r="58">
      <c r="A58" s="9"/>
      <c r="B58" s="9"/>
      <c r="C58" s="9"/>
      <c r="D58" s="9"/>
      <c r="E58" s="9"/>
      <c r="F58" s="9"/>
    </row>
    <row r="59">
      <c r="A59" s="9"/>
      <c r="B59" s="9"/>
      <c r="C59" s="9"/>
      <c r="D59" s="9"/>
      <c r="E59" s="9"/>
      <c r="F59" s="9"/>
    </row>
    <row r="60">
      <c r="A60" s="9"/>
      <c r="B60" s="9"/>
      <c r="C60" s="9"/>
      <c r="D60" s="9"/>
      <c r="E60" s="9"/>
      <c r="F60" s="9"/>
    </row>
    <row r="61">
      <c r="A61" s="9"/>
      <c r="B61" s="9"/>
      <c r="C61" s="9"/>
      <c r="D61" s="9"/>
      <c r="E61" s="9"/>
      <c r="F61" s="9"/>
    </row>
    <row r="62">
      <c r="A62" s="9"/>
      <c r="B62" s="9"/>
      <c r="C62" s="9"/>
      <c r="D62" s="9"/>
      <c r="E62" s="9"/>
      <c r="F62" s="9"/>
    </row>
    <row r="63">
      <c r="A63" s="9"/>
      <c r="B63" s="9"/>
      <c r="C63" s="9"/>
      <c r="D63" s="9"/>
      <c r="E63" s="9"/>
      <c r="F63" s="9"/>
    </row>
    <row r="64">
      <c r="A64" s="9"/>
      <c r="B64" s="9"/>
      <c r="C64" s="9"/>
      <c r="D64" s="9"/>
      <c r="E64" s="9"/>
      <c r="F64" s="9"/>
    </row>
    <row r="65">
      <c r="A65" s="9"/>
      <c r="B65" s="9"/>
      <c r="C65" s="9"/>
      <c r="D65" s="9"/>
      <c r="E65" s="9"/>
      <c r="F65" s="9"/>
    </row>
    <row r="66">
      <c r="A66" s="9"/>
      <c r="B66" s="9"/>
      <c r="C66" s="9"/>
      <c r="D66" s="9"/>
      <c r="E66" s="9"/>
      <c r="F66" s="9"/>
    </row>
    <row r="67">
      <c r="A67" s="9"/>
      <c r="B67" s="9"/>
      <c r="C67" s="9"/>
      <c r="D67" s="9"/>
      <c r="E67" s="9"/>
      <c r="F67" s="9"/>
    </row>
    <row r="68">
      <c r="A68" s="9"/>
      <c r="B68" s="9"/>
      <c r="C68" s="9"/>
      <c r="D68" s="9"/>
      <c r="E68" s="9"/>
      <c r="F68" s="9"/>
    </row>
    <row r="69">
      <c r="A69" s="9"/>
      <c r="B69" s="9"/>
      <c r="C69" s="9"/>
      <c r="D69" s="9"/>
      <c r="E69" s="9"/>
      <c r="F69" s="9"/>
    </row>
    <row r="70">
      <c r="A70" s="9"/>
      <c r="B70" s="9"/>
      <c r="C70" s="9"/>
      <c r="D70" s="9"/>
      <c r="E70" s="9"/>
      <c r="F70" s="9"/>
    </row>
    <row r="71">
      <c r="A71" s="9"/>
      <c r="B71" s="9"/>
      <c r="C71" s="9"/>
      <c r="D71" s="9"/>
      <c r="E71" s="9"/>
      <c r="F71" s="9"/>
    </row>
    <row r="72">
      <c r="A72" s="9"/>
      <c r="B72" s="9"/>
      <c r="C72" s="9"/>
      <c r="D72" s="9"/>
      <c r="E72" s="9"/>
      <c r="F72" s="9"/>
    </row>
    <row r="73">
      <c r="A73" s="9"/>
      <c r="B73" s="9"/>
      <c r="C73" s="9"/>
      <c r="D73" s="9"/>
      <c r="E73" s="9"/>
      <c r="F73" s="9"/>
    </row>
    <row r="74">
      <c r="A74" s="9"/>
      <c r="B74" s="9"/>
      <c r="C74" s="9"/>
      <c r="D74" s="9"/>
      <c r="E74" s="9"/>
      <c r="F74" s="9"/>
    </row>
    <row r="75">
      <c r="A75" s="9"/>
      <c r="B75" s="9"/>
      <c r="C75" s="9"/>
      <c r="D75" s="9"/>
      <c r="E75" s="9"/>
      <c r="F75" s="9"/>
    </row>
    <row r="76">
      <c r="A76" s="9"/>
      <c r="B76" s="9"/>
      <c r="C76" s="9"/>
      <c r="D76" s="9"/>
      <c r="E76" s="9"/>
      <c r="F76" s="9"/>
    </row>
    <row r="77">
      <c r="A77" s="9"/>
      <c r="B77" s="9"/>
      <c r="C77" s="9"/>
      <c r="D77" s="9"/>
      <c r="E77" s="9"/>
      <c r="F77" s="9"/>
    </row>
    <row r="78">
      <c r="A78" s="9"/>
      <c r="B78" s="9"/>
      <c r="C78" s="9"/>
      <c r="D78" s="9"/>
      <c r="E78" s="9"/>
      <c r="F78" s="9"/>
    </row>
    <row r="79">
      <c r="A79" s="9"/>
      <c r="B79" s="9"/>
      <c r="C79" s="9"/>
      <c r="D79" s="9"/>
      <c r="E79" s="9"/>
      <c r="F79" s="9"/>
    </row>
    <row r="80">
      <c r="A80" s="9"/>
      <c r="B80" s="9"/>
      <c r="C80" s="9"/>
      <c r="D80" s="9"/>
      <c r="E80" s="9"/>
      <c r="F80" s="9"/>
    </row>
    <row r="81">
      <c r="A81" s="9"/>
      <c r="B81" s="9"/>
      <c r="C81" s="9"/>
      <c r="D81" s="9"/>
      <c r="E81" s="9"/>
      <c r="F81" s="9"/>
    </row>
    <row r="82">
      <c r="A82" s="9"/>
      <c r="B82" s="9"/>
      <c r="C82" s="9"/>
      <c r="D82" s="9"/>
      <c r="E82" s="9"/>
      <c r="F82" s="9"/>
    </row>
    <row r="83">
      <c r="A83" s="9"/>
      <c r="B83" s="9"/>
      <c r="C83" s="9"/>
      <c r="D83" s="9"/>
      <c r="E83" s="9"/>
      <c r="F83" s="9"/>
    </row>
    <row r="84">
      <c r="A84" s="9"/>
      <c r="B84" s="9"/>
      <c r="C84" s="9"/>
      <c r="D84" s="9"/>
      <c r="E84" s="9"/>
      <c r="F84" s="9"/>
    </row>
    <row r="85">
      <c r="A85" s="9"/>
      <c r="B85" s="9"/>
      <c r="C85" s="9"/>
      <c r="D85" s="9"/>
      <c r="E85" s="9"/>
      <c r="F85" s="9"/>
    </row>
    <row r="86">
      <c r="A86" s="9"/>
      <c r="B86" s="9"/>
      <c r="C86" s="9"/>
      <c r="D86" s="9"/>
      <c r="E86" s="9"/>
      <c r="F86" s="9"/>
    </row>
    <row r="87">
      <c r="A87" s="9"/>
      <c r="B87" s="9"/>
      <c r="C87" s="9"/>
      <c r="D87" s="9"/>
      <c r="E87" s="9"/>
      <c r="F87" s="9"/>
    </row>
    <row r="88">
      <c r="A88" s="9"/>
      <c r="B88" s="9"/>
      <c r="C88" s="9"/>
      <c r="D88" s="9"/>
      <c r="E88" s="9"/>
      <c r="F88" s="9"/>
    </row>
    <row r="89">
      <c r="A89" s="9"/>
      <c r="B89" s="9"/>
      <c r="C89" s="9"/>
      <c r="D89" s="9"/>
      <c r="E89" s="9"/>
      <c r="F89" s="9"/>
    </row>
    <row r="90">
      <c r="A90" s="9"/>
      <c r="B90" s="9"/>
      <c r="C90" s="9"/>
      <c r="D90" s="9"/>
      <c r="E90" s="9"/>
      <c r="F90" s="9"/>
    </row>
    <row r="91">
      <c r="A91" s="9"/>
      <c r="B91" s="9"/>
      <c r="C91" s="9"/>
      <c r="D91" s="9"/>
      <c r="E91" s="9"/>
      <c r="F91" s="9"/>
    </row>
    <row r="92">
      <c r="A92" s="9"/>
      <c r="B92" s="9"/>
      <c r="C92" s="9"/>
      <c r="D92" s="9"/>
      <c r="E92" s="9"/>
      <c r="F92" s="9"/>
    </row>
    <row r="93">
      <c r="A93" s="9"/>
      <c r="B93" s="9"/>
      <c r="C93" s="9"/>
      <c r="D93" s="9"/>
      <c r="E93" s="9"/>
      <c r="F93" s="9"/>
    </row>
    <row r="94">
      <c r="A94" s="9"/>
      <c r="B94" s="9"/>
      <c r="C94" s="9"/>
      <c r="D94" s="9"/>
      <c r="E94" s="9"/>
      <c r="F94" s="9"/>
    </row>
    <row r="95">
      <c r="A95" s="9"/>
      <c r="B95" s="9"/>
      <c r="C95" s="9"/>
      <c r="D95" s="9"/>
      <c r="E95" s="9"/>
      <c r="F95" s="9"/>
    </row>
    <row r="96">
      <c r="A96" s="9"/>
      <c r="B96" s="9"/>
      <c r="C96" s="9"/>
      <c r="D96" s="9"/>
      <c r="E96" s="9"/>
      <c r="F96" s="9"/>
    </row>
    <row r="97">
      <c r="A97" s="9"/>
      <c r="B97" s="9"/>
      <c r="C97" s="9"/>
      <c r="D97" s="9"/>
      <c r="E97" s="9"/>
      <c r="F97" s="9"/>
    </row>
    <row r="98">
      <c r="A98" s="9"/>
      <c r="B98" s="9"/>
      <c r="C98" s="9"/>
      <c r="D98" s="9"/>
      <c r="E98" s="9"/>
      <c r="F98" s="9"/>
    </row>
    <row r="99">
      <c r="A99" s="9"/>
      <c r="B99" s="9"/>
      <c r="C99" s="9"/>
      <c r="D99" s="9"/>
      <c r="E99" s="9"/>
      <c r="F99" s="9"/>
    </row>
    <row r="100">
      <c r="A100" s="9"/>
      <c r="B100" s="9"/>
      <c r="C100" s="9"/>
      <c r="D100" s="9"/>
      <c r="E100" s="9"/>
      <c r="F100" s="9"/>
    </row>
    <row r="101">
      <c r="A101" s="9"/>
      <c r="B101" s="9"/>
      <c r="C101" s="9"/>
      <c r="D101" s="9"/>
      <c r="E101" s="9"/>
      <c r="F101" s="9"/>
    </row>
    <row r="102">
      <c r="A102" s="9"/>
      <c r="B102" s="9"/>
      <c r="C102" s="9"/>
      <c r="D102" s="9"/>
      <c r="E102" s="9"/>
      <c r="F102" s="9"/>
    </row>
    <row r="103">
      <c r="A103" s="9"/>
      <c r="B103" s="9"/>
      <c r="C103" s="9"/>
      <c r="D103" s="9"/>
      <c r="E103" s="9"/>
      <c r="F103" s="9"/>
    </row>
    <row r="104">
      <c r="A104" s="9"/>
      <c r="B104" s="9"/>
      <c r="C104" s="9"/>
      <c r="D104" s="9"/>
      <c r="E104" s="9"/>
      <c r="F104" s="9"/>
    </row>
    <row r="105">
      <c r="A105" s="9"/>
      <c r="B105" s="9"/>
      <c r="C105" s="9"/>
      <c r="D105" s="9"/>
      <c r="E105" s="9"/>
      <c r="F105" s="9"/>
    </row>
    <row r="106">
      <c r="A106" s="9"/>
      <c r="B106" s="9"/>
      <c r="C106" s="9"/>
      <c r="D106" s="9"/>
      <c r="E106" s="9"/>
      <c r="F106" s="9"/>
    </row>
    <row r="107">
      <c r="A107" s="9"/>
      <c r="B107" s="9"/>
      <c r="C107" s="9"/>
      <c r="D107" s="9"/>
      <c r="E107" s="9"/>
      <c r="F107" s="9"/>
    </row>
    <row r="108">
      <c r="A108" s="9"/>
      <c r="B108" s="9"/>
      <c r="C108" s="9"/>
      <c r="D108" s="9"/>
      <c r="E108" s="9"/>
      <c r="F108" s="9"/>
    </row>
    <row r="109">
      <c r="A109" s="9"/>
      <c r="B109" s="9"/>
      <c r="C109" s="9"/>
      <c r="D109" s="9"/>
      <c r="E109" s="9"/>
      <c r="F109" s="9"/>
    </row>
    <row r="110">
      <c r="A110" s="9"/>
      <c r="B110" s="9"/>
      <c r="C110" s="9"/>
      <c r="D110" s="9"/>
      <c r="E110" s="9"/>
      <c r="F110" s="9"/>
    </row>
    <row r="111">
      <c r="A111" s="9"/>
      <c r="B111" s="9"/>
      <c r="C111" s="9"/>
      <c r="D111" s="9"/>
      <c r="E111" s="9"/>
      <c r="F111" s="9"/>
    </row>
    <row r="112">
      <c r="A112" s="9"/>
      <c r="B112" s="9"/>
      <c r="C112" s="9"/>
      <c r="D112" s="9"/>
      <c r="E112" s="9"/>
      <c r="F112" s="9"/>
    </row>
    <row r="113">
      <c r="A113" s="9"/>
      <c r="B113" s="9"/>
      <c r="C113" s="9"/>
      <c r="D113" s="9"/>
      <c r="E113" s="9"/>
      <c r="F113" s="9"/>
    </row>
    <row r="114">
      <c r="A114" s="9"/>
      <c r="B114" s="9"/>
      <c r="C114" s="9"/>
      <c r="D114" s="9"/>
      <c r="E114" s="9"/>
      <c r="F114" s="9"/>
    </row>
    <row r="115">
      <c r="A115" s="9"/>
      <c r="B115" s="9"/>
      <c r="C115" s="9"/>
      <c r="D115" s="9"/>
      <c r="E115" s="9"/>
      <c r="F115" s="9"/>
    </row>
    <row r="116">
      <c r="A116" s="9"/>
      <c r="B116" s="9"/>
      <c r="C116" s="9"/>
      <c r="D116" s="9"/>
      <c r="E116" s="9"/>
      <c r="F116" s="9"/>
    </row>
    <row r="117">
      <c r="A117" s="9"/>
      <c r="B117" s="9"/>
      <c r="C117" s="9"/>
      <c r="D117" s="9"/>
      <c r="E117" s="9"/>
      <c r="F117" s="9"/>
    </row>
    <row r="118">
      <c r="A118" s="9"/>
      <c r="B118" s="9"/>
      <c r="C118" s="9"/>
      <c r="D118" s="9"/>
      <c r="E118" s="9"/>
      <c r="F118" s="9"/>
    </row>
    <row r="119">
      <c r="A119" s="9"/>
      <c r="B119" s="9"/>
      <c r="C119" s="9"/>
      <c r="D119" s="9"/>
      <c r="E119" s="9"/>
      <c r="F119" s="9"/>
    </row>
    <row r="120">
      <c r="A120" s="9"/>
      <c r="B120" s="9"/>
      <c r="C120" s="9"/>
      <c r="D120" s="9"/>
      <c r="E120" s="9"/>
      <c r="F120" s="9"/>
    </row>
    <row r="121">
      <c r="A121" s="9"/>
      <c r="B121" s="9"/>
      <c r="C121" s="9"/>
      <c r="D121" s="9"/>
      <c r="E121" s="9"/>
      <c r="F121" s="9"/>
    </row>
    <row r="122">
      <c r="A122" s="9"/>
      <c r="B122" s="9"/>
      <c r="C122" s="9"/>
      <c r="D122" s="9"/>
      <c r="E122" s="9"/>
      <c r="F122" s="9"/>
    </row>
    <row r="123">
      <c r="A123" s="9"/>
      <c r="B123" s="9"/>
      <c r="C123" s="9"/>
      <c r="D123" s="9"/>
      <c r="E123" s="9"/>
      <c r="F123" s="9"/>
    </row>
    <row r="124">
      <c r="A124" s="9"/>
      <c r="B124" s="9"/>
      <c r="C124" s="9"/>
      <c r="D124" s="9"/>
      <c r="E124" s="9"/>
      <c r="F124" s="9"/>
    </row>
    <row r="125">
      <c r="A125" s="9"/>
      <c r="B125" s="9"/>
      <c r="C125" s="9"/>
      <c r="D125" s="9"/>
      <c r="E125" s="9"/>
      <c r="F125" s="9"/>
    </row>
    <row r="126">
      <c r="A126" s="9"/>
      <c r="B126" s="9"/>
      <c r="C126" s="9"/>
      <c r="D126" s="9"/>
      <c r="E126" s="9"/>
      <c r="F126" s="9"/>
    </row>
    <row r="127">
      <c r="A127" s="9"/>
      <c r="B127" s="9"/>
      <c r="C127" s="9"/>
      <c r="D127" s="9"/>
      <c r="E127" s="9"/>
      <c r="F127" s="9"/>
    </row>
    <row r="128">
      <c r="A128" s="9"/>
      <c r="B128" s="9"/>
      <c r="C128" s="9"/>
      <c r="D128" s="9"/>
      <c r="E128" s="9"/>
      <c r="F128" s="9"/>
    </row>
    <row r="129">
      <c r="A129" s="9"/>
      <c r="B129" s="9"/>
      <c r="C129" s="9"/>
      <c r="D129" s="9"/>
      <c r="E129" s="9"/>
      <c r="F129" s="9"/>
    </row>
    <row r="130">
      <c r="A130" s="9"/>
      <c r="B130" s="9"/>
      <c r="C130" s="9"/>
      <c r="D130" s="9"/>
      <c r="E130" s="9"/>
      <c r="F130" s="9"/>
    </row>
    <row r="131">
      <c r="A131" s="9"/>
      <c r="B131" s="9"/>
      <c r="C131" s="9"/>
      <c r="D131" s="9"/>
      <c r="E131" s="9"/>
      <c r="F131" s="9"/>
    </row>
    <row r="132">
      <c r="A132" s="9"/>
      <c r="B132" s="9"/>
      <c r="C132" s="9"/>
      <c r="D132" s="9"/>
      <c r="E132" s="9"/>
      <c r="F132" s="9"/>
    </row>
    <row r="133">
      <c r="A133" s="9"/>
      <c r="B133" s="9"/>
      <c r="C133" s="9"/>
      <c r="D133" s="9"/>
      <c r="E133" s="9"/>
      <c r="F133" s="9"/>
    </row>
    <row r="134">
      <c r="A134" s="9"/>
      <c r="B134" s="9"/>
      <c r="C134" s="9"/>
      <c r="D134" s="9"/>
      <c r="E134" s="9"/>
      <c r="F134" s="9"/>
    </row>
    <row r="135">
      <c r="A135" s="9"/>
      <c r="B135" s="9"/>
      <c r="C135" s="9"/>
      <c r="D135" s="9"/>
      <c r="E135" s="9"/>
      <c r="F135" s="9"/>
    </row>
    <row r="136">
      <c r="A136" s="9"/>
      <c r="B136" s="9"/>
      <c r="C136" s="9"/>
      <c r="D136" s="9"/>
      <c r="E136" s="9"/>
      <c r="F136" s="9"/>
    </row>
    <row r="137">
      <c r="A137" s="9"/>
      <c r="B137" s="9"/>
      <c r="C137" s="9"/>
      <c r="D137" s="9"/>
      <c r="E137" s="9"/>
      <c r="F137" s="9"/>
    </row>
    <row r="138">
      <c r="A138" s="9"/>
      <c r="B138" s="9"/>
      <c r="C138" s="9"/>
      <c r="D138" s="9"/>
      <c r="E138" s="9"/>
      <c r="F138" s="9"/>
    </row>
    <row r="139">
      <c r="A139" s="9"/>
      <c r="B139" s="9"/>
      <c r="C139" s="9"/>
      <c r="D139" s="9"/>
      <c r="E139" s="9"/>
      <c r="F139" s="9"/>
    </row>
    <row r="140">
      <c r="A140" s="9"/>
      <c r="B140" s="9"/>
      <c r="C140" s="9"/>
      <c r="D140" s="9"/>
      <c r="E140" s="9"/>
      <c r="F140" s="9"/>
    </row>
    <row r="141">
      <c r="A141" s="9"/>
      <c r="B141" s="9"/>
      <c r="C141" s="9"/>
      <c r="D141" s="9"/>
      <c r="E141" s="9"/>
      <c r="F141" s="9"/>
    </row>
    <row r="142">
      <c r="A142" s="9"/>
      <c r="B142" s="9"/>
      <c r="C142" s="9"/>
      <c r="D142" s="9"/>
      <c r="E142" s="9"/>
      <c r="F142" s="9"/>
    </row>
    <row r="143">
      <c r="A143" s="9"/>
      <c r="B143" s="9"/>
      <c r="C143" s="9"/>
      <c r="D143" s="9"/>
      <c r="E143" s="9"/>
      <c r="F143" s="9"/>
    </row>
    <row r="144">
      <c r="A144" s="9"/>
      <c r="B144" s="9"/>
      <c r="C144" s="9"/>
      <c r="D144" s="9"/>
      <c r="E144" s="9"/>
      <c r="F144" s="9"/>
    </row>
    <row r="145">
      <c r="A145" s="9"/>
      <c r="B145" s="9"/>
      <c r="C145" s="9"/>
      <c r="D145" s="9"/>
      <c r="E145" s="9"/>
      <c r="F145" s="9"/>
    </row>
    <row r="146">
      <c r="A146" s="9"/>
      <c r="B146" s="9"/>
      <c r="C146" s="9"/>
      <c r="D146" s="9"/>
      <c r="E146" s="9"/>
      <c r="F146" s="9"/>
    </row>
    <row r="147">
      <c r="A147" s="9"/>
      <c r="B147" s="9"/>
      <c r="C147" s="9"/>
      <c r="D147" s="9"/>
      <c r="E147" s="9"/>
      <c r="F147" s="9"/>
    </row>
    <row r="148">
      <c r="A148" s="9"/>
      <c r="B148" s="9"/>
      <c r="C148" s="9"/>
      <c r="D148" s="9"/>
      <c r="E148" s="9"/>
      <c r="F148" s="9"/>
    </row>
    <row r="149">
      <c r="A149" s="9"/>
      <c r="B149" s="9"/>
      <c r="C149" s="9"/>
      <c r="D149" s="9"/>
      <c r="E149" s="9"/>
      <c r="F149" s="9"/>
    </row>
    <row r="150">
      <c r="A150" s="9"/>
      <c r="B150" s="9"/>
      <c r="C150" s="9"/>
      <c r="D150" s="9"/>
      <c r="E150" s="9"/>
      <c r="F150" s="9"/>
    </row>
    <row r="151">
      <c r="A151" s="9"/>
      <c r="B151" s="9"/>
      <c r="C151" s="9"/>
      <c r="D151" s="9"/>
      <c r="E151" s="9"/>
      <c r="F151" s="9"/>
    </row>
    <row r="152">
      <c r="A152" s="9"/>
      <c r="B152" s="9"/>
      <c r="C152" s="9"/>
      <c r="D152" s="9"/>
      <c r="E152" s="9"/>
      <c r="F152" s="9"/>
    </row>
    <row r="153">
      <c r="A153" s="9"/>
      <c r="B153" s="9"/>
      <c r="C153" s="9"/>
      <c r="D153" s="9"/>
      <c r="E153" s="9"/>
      <c r="F153" s="9"/>
    </row>
    <row r="154">
      <c r="A154" s="9"/>
      <c r="B154" s="9"/>
      <c r="C154" s="9"/>
      <c r="D154" s="9"/>
      <c r="E154" s="9"/>
      <c r="F154" s="9"/>
    </row>
    <row r="155">
      <c r="A155" s="9"/>
      <c r="B155" s="9"/>
      <c r="C155" s="9"/>
      <c r="D155" s="9"/>
      <c r="E155" s="9"/>
      <c r="F155" s="9"/>
    </row>
    <row r="156">
      <c r="A156" s="9"/>
      <c r="B156" s="9"/>
      <c r="C156" s="9"/>
      <c r="D156" s="9"/>
      <c r="E156" s="9"/>
      <c r="F156" s="9"/>
    </row>
    <row r="157">
      <c r="A157" s="9"/>
      <c r="B157" s="9"/>
      <c r="C157" s="9"/>
      <c r="D157" s="9"/>
      <c r="E157" s="9"/>
      <c r="F157" s="9"/>
    </row>
    <row r="158">
      <c r="A158" s="9"/>
      <c r="B158" s="9"/>
      <c r="C158" s="9"/>
      <c r="D158" s="9"/>
      <c r="E158" s="9"/>
      <c r="F158" s="9"/>
    </row>
    <row r="159">
      <c r="A159" s="9"/>
      <c r="B159" s="9"/>
      <c r="C159" s="9"/>
      <c r="D159" s="9"/>
      <c r="E159" s="9"/>
      <c r="F159" s="9"/>
    </row>
    <row r="160">
      <c r="A160" s="9"/>
      <c r="B160" s="9"/>
      <c r="C160" s="9"/>
      <c r="D160" s="9"/>
      <c r="E160" s="9"/>
      <c r="F160" s="9"/>
    </row>
    <row r="161">
      <c r="A161" s="9"/>
      <c r="B161" s="9"/>
      <c r="C161" s="9"/>
      <c r="D161" s="9"/>
      <c r="E161" s="9"/>
      <c r="F161" s="9"/>
    </row>
    <row r="162">
      <c r="A162" s="9"/>
      <c r="B162" s="9"/>
      <c r="C162" s="9"/>
      <c r="D162" s="9"/>
      <c r="E162" s="9"/>
      <c r="F162" s="9"/>
    </row>
    <row r="163">
      <c r="A163" s="9"/>
      <c r="B163" s="9"/>
      <c r="C163" s="9"/>
      <c r="D163" s="9"/>
      <c r="E163" s="9"/>
      <c r="F163" s="9"/>
    </row>
    <row r="164">
      <c r="A164" s="9"/>
      <c r="B164" s="9"/>
      <c r="C164" s="9"/>
      <c r="D164" s="9"/>
      <c r="E164" s="9"/>
      <c r="F164" s="9"/>
    </row>
    <row r="165">
      <c r="A165" s="9"/>
      <c r="B165" s="9"/>
      <c r="C165" s="9"/>
      <c r="D165" s="9"/>
      <c r="E165" s="9"/>
      <c r="F165" s="9"/>
    </row>
    <row r="166">
      <c r="A166" s="9"/>
      <c r="B166" s="9"/>
      <c r="C166" s="9"/>
      <c r="D166" s="9"/>
      <c r="E166" s="9"/>
      <c r="F166" s="9"/>
    </row>
    <row r="167">
      <c r="A167" s="9"/>
      <c r="B167" s="9"/>
      <c r="C167" s="9"/>
      <c r="D167" s="9"/>
      <c r="E167" s="9"/>
      <c r="F167" s="9"/>
    </row>
    <row r="168">
      <c r="A168" s="9"/>
      <c r="B168" s="9"/>
      <c r="C168" s="9"/>
      <c r="D168" s="9"/>
      <c r="E168" s="9"/>
      <c r="F168" s="9"/>
    </row>
    <row r="169">
      <c r="A169" s="9"/>
      <c r="B169" s="9"/>
      <c r="C169" s="9"/>
      <c r="D169" s="9"/>
      <c r="E169" s="9"/>
      <c r="F169" s="9"/>
    </row>
    <row r="170">
      <c r="A170" s="9"/>
      <c r="B170" s="9"/>
      <c r="C170" s="9"/>
      <c r="D170" s="9"/>
      <c r="E170" s="9"/>
      <c r="F170" s="9"/>
    </row>
    <row r="171">
      <c r="A171" s="9"/>
      <c r="B171" s="9"/>
      <c r="C171" s="9"/>
      <c r="D171" s="9"/>
      <c r="E171" s="9"/>
      <c r="F171" s="9"/>
    </row>
    <row r="172">
      <c r="A172" s="9"/>
      <c r="B172" s="9"/>
      <c r="C172" s="9"/>
      <c r="D172" s="9"/>
      <c r="E172" s="9"/>
      <c r="F172" s="9"/>
    </row>
    <row r="173">
      <c r="A173" s="9"/>
      <c r="B173" s="9"/>
      <c r="C173" s="9"/>
      <c r="D173" s="9"/>
      <c r="E173" s="9"/>
      <c r="F173" s="9"/>
    </row>
    <row r="174">
      <c r="A174" s="9"/>
      <c r="B174" s="9"/>
      <c r="C174" s="9"/>
      <c r="D174" s="9"/>
      <c r="E174" s="9"/>
      <c r="F174" s="9"/>
    </row>
    <row r="175">
      <c r="A175" s="9"/>
      <c r="B175" s="9"/>
      <c r="C175" s="9"/>
      <c r="D175" s="9"/>
      <c r="E175" s="9"/>
      <c r="F175" s="9"/>
    </row>
    <row r="176">
      <c r="A176" s="9"/>
      <c r="B176" s="9"/>
      <c r="C176" s="9"/>
      <c r="D176" s="9"/>
      <c r="E176" s="9"/>
      <c r="F176" s="9"/>
    </row>
    <row r="177">
      <c r="A177" s="9"/>
      <c r="B177" s="9"/>
      <c r="C177" s="9"/>
      <c r="D177" s="9"/>
      <c r="E177" s="9"/>
      <c r="F177" s="9"/>
    </row>
    <row r="178">
      <c r="A178" s="9"/>
      <c r="B178" s="9"/>
      <c r="C178" s="9"/>
      <c r="D178" s="9"/>
      <c r="E178" s="9"/>
      <c r="F178" s="9"/>
    </row>
    <row r="179">
      <c r="A179" s="9"/>
      <c r="B179" s="9"/>
      <c r="C179" s="9"/>
      <c r="D179" s="9"/>
      <c r="E179" s="9"/>
      <c r="F179" s="9"/>
    </row>
    <row r="180">
      <c r="A180" s="9"/>
      <c r="B180" s="9"/>
      <c r="C180" s="9"/>
      <c r="D180" s="9"/>
      <c r="E180" s="9"/>
      <c r="F180" s="9"/>
    </row>
    <row r="181">
      <c r="A181" s="9"/>
      <c r="B181" s="9"/>
      <c r="C181" s="9"/>
      <c r="D181" s="9"/>
      <c r="E181" s="9"/>
      <c r="F181" s="9"/>
    </row>
    <row r="182">
      <c r="A182" s="9"/>
      <c r="B182" s="9"/>
      <c r="C182" s="9"/>
      <c r="D182" s="9"/>
      <c r="E182" s="9"/>
      <c r="F182" s="9"/>
    </row>
    <row r="183">
      <c r="A183" s="9"/>
      <c r="B183" s="9"/>
      <c r="C183" s="9"/>
      <c r="D183" s="9"/>
      <c r="E183" s="9"/>
      <c r="F183" s="9"/>
    </row>
    <row r="184">
      <c r="A184" s="9"/>
      <c r="B184" s="9"/>
      <c r="C184" s="9"/>
      <c r="D184" s="9"/>
      <c r="E184" s="9"/>
      <c r="F184" s="9"/>
    </row>
    <row r="185">
      <c r="A185" s="9"/>
      <c r="B185" s="9"/>
      <c r="C185" s="9"/>
      <c r="D185" s="9"/>
      <c r="E185" s="9"/>
      <c r="F185" s="9"/>
    </row>
    <row r="186">
      <c r="A186" s="9"/>
      <c r="B186" s="9"/>
      <c r="C186" s="9"/>
      <c r="D186" s="9"/>
      <c r="E186" s="9"/>
      <c r="F186" s="9"/>
    </row>
    <row r="187">
      <c r="A187" s="9"/>
      <c r="B187" s="9"/>
      <c r="C187" s="9"/>
      <c r="D187" s="9"/>
      <c r="E187" s="9"/>
      <c r="F187" s="9"/>
    </row>
    <row r="188">
      <c r="A188" s="9"/>
      <c r="B188" s="9"/>
      <c r="C188" s="9"/>
      <c r="D188" s="9"/>
      <c r="E188" s="9"/>
      <c r="F188" s="9"/>
    </row>
    <row r="189">
      <c r="A189" s="9"/>
      <c r="B189" s="9"/>
      <c r="C189" s="9"/>
      <c r="D189" s="9"/>
      <c r="E189" s="9"/>
      <c r="F189" s="9"/>
    </row>
    <row r="190">
      <c r="A190" s="9"/>
      <c r="B190" s="9"/>
      <c r="C190" s="9"/>
      <c r="D190" s="9"/>
      <c r="E190" s="9"/>
      <c r="F190" s="9"/>
    </row>
    <row r="191">
      <c r="A191" s="9"/>
      <c r="B191" s="9"/>
      <c r="C191" s="9"/>
      <c r="D191" s="9"/>
      <c r="E191" s="9"/>
      <c r="F191" s="9"/>
    </row>
    <row r="192">
      <c r="A192" s="9"/>
      <c r="B192" s="9"/>
      <c r="C192" s="9"/>
      <c r="D192" s="9"/>
      <c r="E192" s="9"/>
      <c r="F192" s="9"/>
    </row>
    <row r="193">
      <c r="A193" s="9"/>
      <c r="B193" s="9"/>
      <c r="C193" s="9"/>
      <c r="D193" s="9"/>
      <c r="E193" s="9"/>
      <c r="F193" s="9"/>
    </row>
    <row r="194">
      <c r="A194" s="9"/>
      <c r="B194" s="9"/>
      <c r="C194" s="9"/>
      <c r="D194" s="9"/>
      <c r="E194" s="9"/>
      <c r="F194" s="9"/>
    </row>
    <row r="195">
      <c r="A195" s="9"/>
      <c r="B195" s="9"/>
      <c r="C195" s="9"/>
      <c r="D195" s="9"/>
      <c r="E195" s="9"/>
      <c r="F195" s="9"/>
    </row>
    <row r="196">
      <c r="A196" s="9"/>
      <c r="B196" s="9"/>
      <c r="C196" s="9"/>
      <c r="D196" s="9"/>
      <c r="E196" s="9"/>
      <c r="F196" s="9"/>
    </row>
    <row r="197">
      <c r="A197" s="9"/>
      <c r="B197" s="9"/>
      <c r="C197" s="9"/>
      <c r="D197" s="9"/>
      <c r="E197" s="9"/>
      <c r="F197" s="9"/>
    </row>
    <row r="198">
      <c r="A198" s="9"/>
      <c r="B198" s="9"/>
      <c r="C198" s="9"/>
      <c r="D198" s="9"/>
      <c r="E198" s="9"/>
      <c r="F198" s="9"/>
    </row>
    <row r="199">
      <c r="A199" s="9"/>
      <c r="B199" s="9"/>
      <c r="C199" s="9"/>
      <c r="D199" s="9"/>
      <c r="E199" s="9"/>
      <c r="F199" s="9"/>
    </row>
    <row r="200">
      <c r="A200" s="9"/>
      <c r="B200" s="9"/>
      <c r="C200" s="9"/>
      <c r="D200" s="9"/>
      <c r="E200" s="9"/>
      <c r="F200" s="9"/>
    </row>
    <row r="201">
      <c r="A201" s="9"/>
      <c r="B201" s="9"/>
      <c r="C201" s="9"/>
      <c r="D201" s="9"/>
      <c r="E201" s="9"/>
      <c r="F201" s="9"/>
    </row>
    <row r="202">
      <c r="A202" s="9"/>
      <c r="B202" s="9"/>
      <c r="C202" s="9"/>
      <c r="D202" s="9"/>
      <c r="E202" s="9"/>
      <c r="F202" s="9"/>
    </row>
    <row r="203">
      <c r="A203" s="9"/>
      <c r="B203" s="9"/>
      <c r="C203" s="9"/>
      <c r="D203" s="9"/>
      <c r="E203" s="9"/>
      <c r="F203" s="9"/>
    </row>
    <row r="204">
      <c r="A204" s="9"/>
      <c r="B204" s="9"/>
      <c r="C204" s="9"/>
      <c r="D204" s="9"/>
      <c r="E204" s="9"/>
      <c r="F204" s="9"/>
    </row>
    <row r="205">
      <c r="A205" s="9"/>
      <c r="B205" s="9"/>
      <c r="C205" s="9"/>
      <c r="D205" s="9"/>
      <c r="E205" s="9"/>
      <c r="F205" s="9"/>
    </row>
    <row r="206">
      <c r="A206" s="9"/>
      <c r="B206" s="9"/>
      <c r="C206" s="9"/>
      <c r="D206" s="9"/>
      <c r="E206" s="9"/>
      <c r="F206" s="9"/>
    </row>
    <row r="207">
      <c r="A207" s="9"/>
      <c r="B207" s="9"/>
      <c r="C207" s="9"/>
      <c r="D207" s="9"/>
      <c r="E207" s="9"/>
      <c r="F207" s="9"/>
    </row>
    <row r="208">
      <c r="A208" s="9"/>
      <c r="B208" s="9"/>
      <c r="C208" s="9"/>
      <c r="D208" s="9"/>
      <c r="E208" s="9"/>
      <c r="F208" s="9"/>
    </row>
    <row r="209">
      <c r="A209" s="9"/>
      <c r="B209" s="9"/>
      <c r="C209" s="9"/>
      <c r="D209" s="9"/>
      <c r="E209" s="9"/>
      <c r="F209" s="9"/>
    </row>
    <row r="210">
      <c r="A210" s="9"/>
      <c r="B210" s="9"/>
      <c r="C210" s="9"/>
      <c r="D210" s="9"/>
      <c r="E210" s="9"/>
      <c r="F210" s="9"/>
    </row>
    <row r="211">
      <c r="A211" s="9"/>
      <c r="B211" s="9"/>
      <c r="C211" s="9"/>
      <c r="D211" s="9"/>
      <c r="E211" s="9"/>
      <c r="F211" s="9"/>
    </row>
    <row r="212">
      <c r="A212" s="9"/>
      <c r="B212" s="9"/>
      <c r="C212" s="9"/>
      <c r="D212" s="9"/>
      <c r="E212" s="9"/>
      <c r="F212" s="9"/>
    </row>
    <row r="213">
      <c r="A213" s="9"/>
      <c r="B213" s="9"/>
      <c r="C213" s="9"/>
      <c r="D213" s="9"/>
      <c r="E213" s="9"/>
      <c r="F213" s="9"/>
    </row>
    <row r="214">
      <c r="A214" s="9"/>
      <c r="B214" s="9"/>
      <c r="C214" s="9"/>
      <c r="D214" s="9"/>
      <c r="E214" s="9"/>
      <c r="F214" s="9"/>
    </row>
    <row r="215">
      <c r="A215" s="9"/>
      <c r="B215" s="9"/>
      <c r="C215" s="9"/>
      <c r="D215" s="9"/>
      <c r="E215" s="9"/>
      <c r="F215" s="9"/>
    </row>
    <row r="216">
      <c r="A216" s="9"/>
      <c r="B216" s="9"/>
      <c r="C216" s="9"/>
      <c r="D216" s="9"/>
      <c r="E216" s="9"/>
      <c r="F216" s="9"/>
    </row>
    <row r="217">
      <c r="A217" s="9"/>
      <c r="B217" s="9"/>
      <c r="C217" s="9"/>
      <c r="D217" s="9"/>
      <c r="E217" s="9"/>
      <c r="F217" s="9"/>
    </row>
    <row r="218">
      <c r="A218" s="9"/>
      <c r="B218" s="9"/>
      <c r="C218" s="9"/>
      <c r="D218" s="9"/>
      <c r="E218" s="9"/>
      <c r="F218" s="9"/>
    </row>
    <row r="219">
      <c r="A219" s="9"/>
      <c r="B219" s="9"/>
      <c r="C219" s="9"/>
      <c r="D219" s="9"/>
      <c r="E219" s="9"/>
      <c r="F219" s="9"/>
    </row>
    <row r="220">
      <c r="A220" s="9"/>
      <c r="B220" s="9"/>
      <c r="C220" s="9"/>
      <c r="D220" s="9"/>
      <c r="E220" s="9"/>
      <c r="F220" s="9"/>
    </row>
    <row r="221">
      <c r="A221" s="9"/>
      <c r="B221" s="9"/>
      <c r="C221" s="9"/>
      <c r="D221" s="9"/>
      <c r="E221" s="9"/>
      <c r="F221" s="9"/>
    </row>
    <row r="222">
      <c r="A222" s="9"/>
      <c r="B222" s="9"/>
      <c r="C222" s="9"/>
      <c r="D222" s="9"/>
      <c r="E222" s="9"/>
      <c r="F222" s="9"/>
    </row>
    <row r="223">
      <c r="A223" s="9"/>
      <c r="B223" s="9"/>
      <c r="C223" s="9"/>
      <c r="D223" s="9"/>
      <c r="E223" s="9"/>
      <c r="F223" s="9"/>
    </row>
    <row r="224">
      <c r="A224" s="9"/>
      <c r="B224" s="9"/>
      <c r="C224" s="9"/>
      <c r="D224" s="9"/>
      <c r="E224" s="9"/>
      <c r="F224" s="9"/>
    </row>
    <row r="225">
      <c r="A225" s="9"/>
      <c r="B225" s="9"/>
      <c r="C225" s="9"/>
      <c r="D225" s="9"/>
      <c r="E225" s="9"/>
      <c r="F225" s="9"/>
    </row>
    <row r="226">
      <c r="A226" s="9"/>
      <c r="B226" s="9"/>
      <c r="C226" s="9"/>
      <c r="D226" s="9"/>
      <c r="E226" s="9"/>
      <c r="F226" s="9"/>
    </row>
    <row r="227">
      <c r="A227" s="9"/>
      <c r="B227" s="9"/>
      <c r="C227" s="9"/>
      <c r="D227" s="9"/>
      <c r="E227" s="9"/>
      <c r="F227" s="9"/>
    </row>
    <row r="228">
      <c r="A228" s="9"/>
      <c r="B228" s="9"/>
      <c r="C228" s="9"/>
      <c r="D228" s="9"/>
      <c r="E228" s="9"/>
      <c r="F228" s="9"/>
    </row>
    <row r="229">
      <c r="A229" s="9"/>
      <c r="B229" s="9"/>
      <c r="C229" s="9"/>
      <c r="D229" s="9"/>
      <c r="E229" s="9"/>
      <c r="F229" s="9"/>
    </row>
    <row r="230">
      <c r="A230" s="9"/>
      <c r="B230" s="9"/>
      <c r="C230" s="9"/>
      <c r="D230" s="9"/>
      <c r="E230" s="9"/>
      <c r="F230" s="9"/>
    </row>
    <row r="231">
      <c r="A231" s="9"/>
      <c r="B231" s="9"/>
      <c r="C231" s="9"/>
      <c r="D231" s="9"/>
      <c r="E231" s="9"/>
      <c r="F231" s="9"/>
    </row>
    <row r="232">
      <c r="A232" s="9"/>
      <c r="B232" s="9"/>
      <c r="C232" s="9"/>
      <c r="D232" s="9"/>
      <c r="E232" s="9"/>
      <c r="F232" s="9"/>
    </row>
    <row r="233">
      <c r="A233" s="9"/>
      <c r="B233" s="9"/>
      <c r="C233" s="9"/>
      <c r="D233" s="9"/>
      <c r="E233" s="9"/>
      <c r="F233" s="9"/>
    </row>
    <row r="234">
      <c r="A234" s="9"/>
      <c r="B234" s="9"/>
      <c r="C234" s="9"/>
      <c r="D234" s="9"/>
      <c r="E234" s="9"/>
      <c r="F234" s="9"/>
    </row>
    <row r="235">
      <c r="A235" s="9"/>
      <c r="B235" s="9"/>
      <c r="C235" s="9"/>
      <c r="D235" s="9"/>
      <c r="E235" s="9"/>
      <c r="F235" s="9"/>
    </row>
    <row r="236">
      <c r="A236" s="9"/>
      <c r="B236" s="9"/>
      <c r="C236" s="9"/>
      <c r="D236" s="9"/>
      <c r="E236" s="9"/>
      <c r="F236" s="9"/>
    </row>
    <row r="237">
      <c r="A237" s="9"/>
      <c r="B237" s="9"/>
      <c r="C237" s="9"/>
      <c r="D237" s="9"/>
      <c r="E237" s="9"/>
      <c r="F237" s="9"/>
    </row>
    <row r="238">
      <c r="A238" s="9"/>
      <c r="B238" s="9"/>
      <c r="C238" s="9"/>
      <c r="D238" s="9"/>
      <c r="E238" s="9"/>
      <c r="F238" s="9"/>
    </row>
    <row r="239">
      <c r="A239" s="9"/>
      <c r="B239" s="9"/>
      <c r="C239" s="9"/>
      <c r="D239" s="9"/>
      <c r="E239" s="9"/>
      <c r="F239" s="9"/>
    </row>
    <row r="240">
      <c r="A240" s="9"/>
      <c r="B240" s="9"/>
      <c r="C240" s="9"/>
      <c r="D240" s="9"/>
      <c r="E240" s="9"/>
      <c r="F240" s="9"/>
    </row>
    <row r="241">
      <c r="A241" s="9"/>
      <c r="B241" s="9"/>
      <c r="C241" s="9"/>
      <c r="D241" s="9"/>
      <c r="E241" s="9"/>
      <c r="F241" s="9"/>
    </row>
    <row r="242">
      <c r="A242" s="9"/>
      <c r="B242" s="9"/>
      <c r="C242" s="9"/>
      <c r="D242" s="9"/>
      <c r="E242" s="9"/>
      <c r="F242" s="9"/>
    </row>
    <row r="243">
      <c r="A243" s="9"/>
      <c r="B243" s="9"/>
      <c r="C243" s="9"/>
      <c r="D243" s="9"/>
      <c r="E243" s="9"/>
      <c r="F243" s="9"/>
    </row>
    <row r="244">
      <c r="A244" s="9"/>
      <c r="B244" s="9"/>
      <c r="C244" s="9"/>
      <c r="D244" s="9"/>
      <c r="E244" s="9"/>
      <c r="F244" s="9"/>
    </row>
    <row r="245">
      <c r="A245" s="9"/>
      <c r="B245" s="9"/>
      <c r="C245" s="9"/>
      <c r="D245" s="9"/>
      <c r="E245" s="9"/>
      <c r="F245" s="9"/>
    </row>
    <row r="246">
      <c r="A246" s="9"/>
      <c r="B246" s="9"/>
      <c r="C246" s="9"/>
      <c r="D246" s="9"/>
      <c r="E246" s="9"/>
      <c r="F246" s="9"/>
    </row>
    <row r="247">
      <c r="A247" s="9"/>
      <c r="B247" s="9"/>
      <c r="C247" s="9"/>
      <c r="D247" s="9"/>
      <c r="E247" s="9"/>
      <c r="F247" s="9"/>
    </row>
    <row r="248">
      <c r="A248" s="9"/>
      <c r="B248" s="9"/>
      <c r="C248" s="9"/>
      <c r="D248" s="9"/>
      <c r="E248" s="9"/>
      <c r="F248" s="9"/>
    </row>
    <row r="249">
      <c r="A249" s="9"/>
      <c r="B249" s="9"/>
      <c r="C249" s="9"/>
      <c r="D249" s="9"/>
      <c r="E249" s="9"/>
      <c r="F249" s="9"/>
    </row>
    <row r="250">
      <c r="A250" s="9"/>
      <c r="B250" s="9"/>
      <c r="C250" s="9"/>
      <c r="D250" s="9"/>
      <c r="E250" s="9"/>
      <c r="F250" s="9"/>
    </row>
    <row r="251">
      <c r="A251" s="9"/>
      <c r="B251" s="9"/>
      <c r="C251" s="9"/>
      <c r="D251" s="9"/>
      <c r="E251" s="9"/>
      <c r="F251" s="9"/>
    </row>
    <row r="252">
      <c r="A252" s="9"/>
      <c r="B252" s="9"/>
      <c r="C252" s="9"/>
      <c r="D252" s="9"/>
      <c r="E252" s="9"/>
      <c r="F252" s="9"/>
    </row>
    <row r="253">
      <c r="A253" s="9"/>
      <c r="B253" s="9"/>
      <c r="C253" s="9"/>
      <c r="D253" s="9"/>
      <c r="E253" s="9"/>
      <c r="F253" s="9"/>
    </row>
    <row r="254">
      <c r="A254" s="9"/>
      <c r="B254" s="9"/>
      <c r="C254" s="9"/>
      <c r="D254" s="9"/>
      <c r="E254" s="9"/>
      <c r="F254" s="9"/>
    </row>
    <row r="255">
      <c r="A255" s="9"/>
      <c r="B255" s="9"/>
      <c r="C255" s="9"/>
      <c r="D255" s="9"/>
      <c r="E255" s="9"/>
      <c r="F255" s="9"/>
    </row>
    <row r="256">
      <c r="A256" s="9"/>
      <c r="B256" s="9"/>
      <c r="C256" s="9"/>
      <c r="D256" s="9"/>
      <c r="E256" s="9"/>
      <c r="F256" s="9"/>
    </row>
    <row r="257">
      <c r="A257" s="9"/>
      <c r="B257" s="9"/>
      <c r="C257" s="9"/>
      <c r="D257" s="9"/>
      <c r="E257" s="9"/>
      <c r="F257" s="9"/>
    </row>
    <row r="258">
      <c r="A258" s="9"/>
      <c r="B258" s="9"/>
      <c r="C258" s="9"/>
      <c r="D258" s="9"/>
      <c r="E258" s="9"/>
      <c r="F258" s="9"/>
    </row>
    <row r="259">
      <c r="A259" s="9"/>
      <c r="B259" s="9"/>
      <c r="C259" s="9"/>
      <c r="D259" s="9"/>
      <c r="E259" s="9"/>
      <c r="F259" s="9"/>
    </row>
    <row r="260">
      <c r="A260" s="9"/>
      <c r="B260" s="9"/>
      <c r="C260" s="9"/>
      <c r="D260" s="9"/>
      <c r="E260" s="9"/>
      <c r="F260" s="9"/>
    </row>
    <row r="261">
      <c r="A261" s="9"/>
      <c r="B261" s="9"/>
      <c r="C261" s="9"/>
      <c r="D261" s="9"/>
      <c r="E261" s="9"/>
      <c r="F261" s="9"/>
    </row>
    <row r="262">
      <c r="A262" s="9"/>
      <c r="B262" s="9"/>
      <c r="C262" s="9"/>
      <c r="D262" s="9"/>
      <c r="E262" s="9"/>
      <c r="F262" s="9"/>
    </row>
    <row r="263">
      <c r="A263" s="9"/>
      <c r="B263" s="9"/>
      <c r="C263" s="9"/>
      <c r="D263" s="9"/>
      <c r="E263" s="9"/>
      <c r="F263" s="9"/>
    </row>
    <row r="264">
      <c r="A264" s="9"/>
      <c r="B264" s="9"/>
      <c r="C264" s="9"/>
      <c r="D264" s="9"/>
      <c r="E264" s="9"/>
      <c r="F264" s="9"/>
    </row>
    <row r="265">
      <c r="A265" s="9"/>
      <c r="B265" s="9"/>
      <c r="C265" s="9"/>
      <c r="D265" s="9"/>
      <c r="E265" s="9"/>
      <c r="F265" s="9"/>
    </row>
    <row r="266">
      <c r="A266" s="9"/>
      <c r="B266" s="9"/>
      <c r="C266" s="9"/>
      <c r="D266" s="9"/>
      <c r="E266" s="9"/>
      <c r="F266" s="9"/>
    </row>
    <row r="267">
      <c r="A267" s="9"/>
      <c r="B267" s="9"/>
      <c r="C267" s="9"/>
      <c r="D267" s="9"/>
      <c r="E267" s="9"/>
      <c r="F267" s="9"/>
    </row>
    <row r="268">
      <c r="A268" s="9"/>
      <c r="B268" s="9"/>
      <c r="C268" s="9"/>
      <c r="D268" s="9"/>
      <c r="E268" s="9"/>
      <c r="F268" s="9"/>
    </row>
    <row r="269">
      <c r="A269" s="9"/>
      <c r="B269" s="9"/>
      <c r="C269" s="9"/>
      <c r="D269" s="9"/>
      <c r="E269" s="9"/>
      <c r="F269" s="9"/>
    </row>
    <row r="270">
      <c r="A270" s="9"/>
      <c r="B270" s="9"/>
      <c r="C270" s="9"/>
      <c r="D270" s="9"/>
      <c r="E270" s="9"/>
      <c r="F270" s="9"/>
    </row>
    <row r="271">
      <c r="A271" s="9"/>
      <c r="B271" s="9"/>
      <c r="C271" s="9"/>
      <c r="D271" s="9"/>
      <c r="E271" s="9"/>
      <c r="F271" s="9"/>
    </row>
    <row r="272">
      <c r="A272" s="9"/>
      <c r="B272" s="9"/>
      <c r="C272" s="9"/>
      <c r="D272" s="9"/>
      <c r="E272" s="9"/>
      <c r="F272" s="9"/>
    </row>
    <row r="273">
      <c r="A273" s="9"/>
      <c r="B273" s="9"/>
      <c r="C273" s="9"/>
      <c r="D273" s="9"/>
      <c r="E273" s="9"/>
      <c r="F273" s="9"/>
    </row>
    <row r="274">
      <c r="A274" s="9"/>
      <c r="B274" s="9"/>
      <c r="C274" s="9"/>
      <c r="D274" s="9"/>
      <c r="E274" s="9"/>
      <c r="F274" s="9"/>
    </row>
    <row r="275">
      <c r="A275" s="9"/>
      <c r="B275" s="9"/>
      <c r="C275" s="9"/>
      <c r="D275" s="9"/>
      <c r="E275" s="9"/>
      <c r="F275" s="9"/>
    </row>
    <row r="276">
      <c r="A276" s="9"/>
      <c r="B276" s="9"/>
      <c r="C276" s="9"/>
      <c r="D276" s="9"/>
      <c r="E276" s="9"/>
      <c r="F276" s="9"/>
    </row>
    <row r="277">
      <c r="A277" s="9"/>
      <c r="B277" s="9"/>
      <c r="C277" s="9"/>
      <c r="D277" s="9"/>
      <c r="E277" s="9"/>
      <c r="F277" s="9"/>
    </row>
    <row r="278">
      <c r="A278" s="9"/>
      <c r="B278" s="9"/>
      <c r="C278" s="9"/>
      <c r="D278" s="9"/>
      <c r="E278" s="9"/>
      <c r="F278" s="9"/>
    </row>
    <row r="279">
      <c r="A279" s="9"/>
      <c r="B279" s="9"/>
      <c r="C279" s="9"/>
      <c r="D279" s="9"/>
      <c r="E279" s="9"/>
      <c r="F279" s="9"/>
    </row>
    <row r="280">
      <c r="A280" s="9"/>
      <c r="B280" s="9"/>
      <c r="C280" s="9"/>
      <c r="D280" s="9"/>
      <c r="E280" s="9"/>
      <c r="F280" s="9"/>
    </row>
    <row r="281">
      <c r="A281" s="9"/>
      <c r="B281" s="9"/>
      <c r="C281" s="9"/>
      <c r="D281" s="9"/>
      <c r="E281" s="9"/>
      <c r="F281" s="9"/>
    </row>
    <row r="282">
      <c r="A282" s="9"/>
      <c r="B282" s="9"/>
      <c r="C282" s="9"/>
      <c r="D282" s="9"/>
      <c r="E282" s="9"/>
      <c r="F282" s="9"/>
    </row>
    <row r="283">
      <c r="A283" s="9"/>
      <c r="B283" s="9"/>
      <c r="C283" s="9"/>
      <c r="D283" s="9"/>
      <c r="E283" s="9"/>
      <c r="F283" s="9"/>
    </row>
    <row r="284">
      <c r="A284" s="9"/>
      <c r="B284" s="9"/>
      <c r="C284" s="9"/>
      <c r="D284" s="9"/>
      <c r="E284" s="9"/>
      <c r="F284" s="9"/>
    </row>
    <row r="285">
      <c r="A285" s="9"/>
      <c r="B285" s="9"/>
      <c r="C285" s="9"/>
      <c r="D285" s="9"/>
      <c r="E285" s="9"/>
      <c r="F285" s="9"/>
    </row>
    <row r="286">
      <c r="A286" s="9"/>
      <c r="B286" s="9"/>
      <c r="C286" s="9"/>
      <c r="D286" s="9"/>
      <c r="E286" s="9"/>
      <c r="F286" s="9"/>
    </row>
    <row r="287">
      <c r="A287" s="9"/>
      <c r="B287" s="9"/>
      <c r="C287" s="9"/>
      <c r="D287" s="9"/>
      <c r="E287" s="9"/>
      <c r="F287" s="9"/>
    </row>
    <row r="288">
      <c r="A288" s="9"/>
      <c r="B288" s="9"/>
      <c r="C288" s="9"/>
      <c r="D288" s="9"/>
      <c r="E288" s="9"/>
      <c r="F288" s="9"/>
    </row>
    <row r="289">
      <c r="A289" s="9"/>
      <c r="B289" s="9"/>
      <c r="C289" s="9"/>
      <c r="D289" s="9"/>
      <c r="E289" s="9"/>
      <c r="F289" s="9"/>
    </row>
    <row r="290">
      <c r="A290" s="9"/>
      <c r="B290" s="9"/>
      <c r="C290" s="9"/>
      <c r="D290" s="9"/>
      <c r="E290" s="9"/>
      <c r="F290" s="9"/>
    </row>
    <row r="291">
      <c r="A291" s="9"/>
      <c r="B291" s="9"/>
      <c r="C291" s="9"/>
      <c r="D291" s="9"/>
      <c r="E291" s="9"/>
      <c r="F291" s="9"/>
    </row>
    <row r="292">
      <c r="A292" s="9"/>
      <c r="B292" s="9"/>
      <c r="C292" s="9"/>
      <c r="D292" s="9"/>
      <c r="E292" s="9"/>
      <c r="F292" s="9"/>
    </row>
    <row r="293">
      <c r="A293" s="9"/>
      <c r="B293" s="9"/>
      <c r="C293" s="9"/>
      <c r="D293" s="9"/>
      <c r="E293" s="9"/>
      <c r="F293" s="9"/>
    </row>
    <row r="294">
      <c r="A294" s="9"/>
      <c r="B294" s="9"/>
      <c r="C294" s="9"/>
      <c r="D294" s="9"/>
      <c r="E294" s="9"/>
      <c r="F294" s="9"/>
    </row>
    <row r="295">
      <c r="A295" s="9"/>
      <c r="B295" s="9"/>
      <c r="C295" s="9"/>
      <c r="D295" s="9"/>
      <c r="E295" s="9"/>
      <c r="F295" s="9"/>
    </row>
    <row r="296">
      <c r="A296" s="9"/>
      <c r="B296" s="9"/>
      <c r="C296" s="9"/>
      <c r="D296" s="9"/>
      <c r="E296" s="9"/>
      <c r="F296" s="9"/>
    </row>
    <row r="297">
      <c r="A297" s="9"/>
      <c r="B297" s="9"/>
      <c r="C297" s="9"/>
      <c r="D297" s="9"/>
      <c r="E297" s="9"/>
      <c r="F297" s="9"/>
    </row>
    <row r="298">
      <c r="A298" s="9"/>
      <c r="B298" s="9"/>
      <c r="C298" s="9"/>
      <c r="D298" s="9"/>
      <c r="E298" s="9"/>
      <c r="F298" s="9"/>
    </row>
    <row r="299">
      <c r="A299" s="9"/>
      <c r="B299" s="9"/>
      <c r="C299" s="9"/>
      <c r="D299" s="9"/>
      <c r="E299" s="9"/>
      <c r="F299" s="9"/>
    </row>
    <row r="300">
      <c r="A300" s="9"/>
      <c r="B300" s="9"/>
      <c r="C300" s="9"/>
      <c r="D300" s="9"/>
      <c r="E300" s="9"/>
      <c r="F300" s="9"/>
    </row>
    <row r="301">
      <c r="A301" s="9"/>
      <c r="B301" s="9"/>
      <c r="C301" s="9"/>
      <c r="D301" s="9"/>
      <c r="E301" s="9"/>
      <c r="F301" s="9"/>
    </row>
    <row r="302">
      <c r="A302" s="9"/>
      <c r="B302" s="9"/>
      <c r="C302" s="9"/>
      <c r="D302" s="9"/>
      <c r="E302" s="9"/>
      <c r="F302" s="9"/>
    </row>
    <row r="303">
      <c r="A303" s="9"/>
      <c r="B303" s="9"/>
      <c r="C303" s="9"/>
      <c r="D303" s="9"/>
      <c r="E303" s="9"/>
      <c r="F303" s="9"/>
    </row>
    <row r="304">
      <c r="A304" s="9"/>
      <c r="B304" s="9"/>
      <c r="C304" s="9"/>
      <c r="D304" s="9"/>
      <c r="E304" s="9"/>
      <c r="F304" s="9"/>
    </row>
    <row r="305">
      <c r="A305" s="9"/>
      <c r="B305" s="9"/>
      <c r="C305" s="9"/>
      <c r="D305" s="9"/>
      <c r="E305" s="9"/>
      <c r="F305" s="9"/>
    </row>
    <row r="306">
      <c r="A306" s="9"/>
      <c r="B306" s="9"/>
      <c r="C306" s="9"/>
      <c r="D306" s="9"/>
      <c r="E306" s="9"/>
      <c r="F306" s="9"/>
    </row>
    <row r="307">
      <c r="A307" s="9"/>
      <c r="B307" s="9"/>
      <c r="C307" s="9"/>
      <c r="D307" s="9"/>
      <c r="E307" s="9"/>
      <c r="F307" s="9"/>
    </row>
    <row r="308">
      <c r="A308" s="9"/>
      <c r="B308" s="9"/>
      <c r="C308" s="9"/>
      <c r="D308" s="9"/>
      <c r="E308" s="9"/>
      <c r="F308" s="9"/>
    </row>
    <row r="309">
      <c r="A309" s="9"/>
      <c r="B309" s="9"/>
      <c r="C309" s="9"/>
      <c r="D309" s="9"/>
      <c r="E309" s="9"/>
      <c r="F309" s="9"/>
    </row>
    <row r="310">
      <c r="A310" s="9"/>
      <c r="B310" s="9"/>
      <c r="C310" s="9"/>
      <c r="D310" s="9"/>
      <c r="E310" s="9"/>
      <c r="F310" s="9"/>
    </row>
    <row r="311">
      <c r="A311" s="9"/>
      <c r="B311" s="9"/>
      <c r="C311" s="9"/>
      <c r="D311" s="9"/>
      <c r="E311" s="9"/>
      <c r="F311" s="9"/>
    </row>
    <row r="312">
      <c r="A312" s="9"/>
      <c r="B312" s="9"/>
      <c r="C312" s="9"/>
      <c r="D312" s="9"/>
      <c r="E312" s="9"/>
      <c r="F312" s="9"/>
    </row>
    <row r="313">
      <c r="A313" s="9"/>
      <c r="B313" s="9"/>
      <c r="C313" s="9"/>
      <c r="D313" s="9"/>
      <c r="E313" s="9"/>
      <c r="F313" s="9"/>
    </row>
    <row r="314">
      <c r="A314" s="9"/>
      <c r="B314" s="9"/>
      <c r="C314" s="9"/>
      <c r="D314" s="9"/>
      <c r="E314" s="9"/>
      <c r="F314" s="9"/>
    </row>
    <row r="315">
      <c r="A315" s="9"/>
      <c r="B315" s="9"/>
      <c r="C315" s="9"/>
      <c r="D315" s="9"/>
      <c r="E315" s="9"/>
      <c r="F315" s="9"/>
    </row>
    <row r="316">
      <c r="A316" s="9"/>
      <c r="B316" s="9"/>
      <c r="C316" s="9"/>
      <c r="D316" s="9"/>
      <c r="E316" s="9"/>
      <c r="F316" s="9"/>
    </row>
    <row r="317">
      <c r="A317" s="9"/>
      <c r="B317" s="9"/>
      <c r="C317" s="9"/>
      <c r="D317" s="9"/>
      <c r="E317" s="9"/>
      <c r="F317" s="9"/>
    </row>
    <row r="318">
      <c r="A318" s="9"/>
      <c r="B318" s="9"/>
      <c r="C318" s="9"/>
      <c r="D318" s="9"/>
      <c r="E318" s="9"/>
      <c r="F318" s="9"/>
    </row>
    <row r="319">
      <c r="A319" s="9"/>
      <c r="B319" s="9"/>
      <c r="C319" s="9"/>
      <c r="D319" s="9"/>
      <c r="E319" s="9"/>
      <c r="F319" s="9"/>
    </row>
    <row r="320">
      <c r="A320" s="9"/>
      <c r="B320" s="9"/>
      <c r="C320" s="9"/>
      <c r="D320" s="9"/>
      <c r="E320" s="9"/>
      <c r="F320" s="9"/>
    </row>
    <row r="321">
      <c r="A321" s="9"/>
      <c r="B321" s="9"/>
      <c r="C321" s="9"/>
      <c r="D321" s="9"/>
      <c r="E321" s="9"/>
      <c r="F321" s="9"/>
    </row>
    <row r="322">
      <c r="A322" s="9"/>
      <c r="B322" s="9"/>
      <c r="C322" s="9"/>
      <c r="D322" s="9"/>
      <c r="E322" s="9"/>
      <c r="F322" s="9"/>
    </row>
    <row r="323">
      <c r="A323" s="9"/>
      <c r="B323" s="9"/>
      <c r="C323" s="9"/>
      <c r="D323" s="9"/>
      <c r="E323" s="9"/>
      <c r="F323" s="9"/>
    </row>
    <row r="324">
      <c r="A324" s="9"/>
      <c r="B324" s="9"/>
      <c r="C324" s="9"/>
      <c r="D324" s="9"/>
      <c r="E324" s="9"/>
      <c r="F324" s="9"/>
    </row>
    <row r="325">
      <c r="A325" s="9"/>
      <c r="B325" s="9"/>
      <c r="C325" s="9"/>
      <c r="D325" s="9"/>
      <c r="E325" s="9"/>
      <c r="F325" s="9"/>
    </row>
    <row r="326">
      <c r="A326" s="9"/>
      <c r="B326" s="9"/>
      <c r="C326" s="9"/>
      <c r="D326" s="9"/>
      <c r="E326" s="9"/>
      <c r="F326" s="9"/>
    </row>
    <row r="327">
      <c r="A327" s="9"/>
      <c r="B327" s="9"/>
      <c r="C327" s="9"/>
      <c r="D327" s="9"/>
      <c r="E327" s="9"/>
      <c r="F327" s="9"/>
    </row>
    <row r="328">
      <c r="A328" s="9"/>
      <c r="B328" s="9"/>
      <c r="C328" s="9"/>
      <c r="D328" s="9"/>
      <c r="E328" s="9"/>
      <c r="F328" s="9"/>
    </row>
    <row r="329">
      <c r="A329" s="9"/>
      <c r="B329" s="9"/>
      <c r="C329" s="9"/>
      <c r="D329" s="9"/>
      <c r="E329" s="9"/>
      <c r="F329" s="9"/>
    </row>
    <row r="330">
      <c r="A330" s="9"/>
      <c r="B330" s="9"/>
      <c r="C330" s="9"/>
      <c r="D330" s="9"/>
      <c r="E330" s="9"/>
      <c r="F330" s="9"/>
    </row>
    <row r="331">
      <c r="A331" s="9"/>
      <c r="B331" s="9"/>
      <c r="C331" s="9"/>
      <c r="D331" s="9"/>
      <c r="E331" s="9"/>
      <c r="F331" s="9"/>
    </row>
    <row r="332">
      <c r="A332" s="9"/>
      <c r="B332" s="9"/>
      <c r="C332" s="9"/>
      <c r="D332" s="9"/>
      <c r="E332" s="9"/>
      <c r="F332" s="9"/>
    </row>
    <row r="333">
      <c r="A333" s="9"/>
      <c r="B333" s="9"/>
      <c r="C333" s="9"/>
      <c r="D333" s="9"/>
      <c r="E333" s="9"/>
      <c r="F333" s="9"/>
    </row>
    <row r="334">
      <c r="A334" s="9"/>
      <c r="B334" s="9"/>
      <c r="C334" s="9"/>
      <c r="D334" s="9"/>
      <c r="E334" s="9"/>
      <c r="F334" s="9"/>
    </row>
    <row r="335">
      <c r="A335" s="9"/>
      <c r="B335" s="9"/>
      <c r="C335" s="9"/>
      <c r="D335" s="9"/>
      <c r="E335" s="9"/>
      <c r="F335" s="9"/>
    </row>
    <row r="336">
      <c r="A336" s="9"/>
      <c r="B336" s="9"/>
      <c r="C336" s="9"/>
      <c r="D336" s="9"/>
      <c r="E336" s="9"/>
      <c r="F336" s="9"/>
    </row>
    <row r="337">
      <c r="A337" s="9"/>
      <c r="B337" s="9"/>
      <c r="C337" s="9"/>
      <c r="D337" s="9"/>
      <c r="E337" s="9"/>
      <c r="F337" s="9"/>
    </row>
    <row r="338">
      <c r="A338" s="9"/>
      <c r="B338" s="9"/>
      <c r="C338" s="9"/>
      <c r="D338" s="9"/>
      <c r="E338" s="9"/>
      <c r="F338" s="9"/>
    </row>
    <row r="339">
      <c r="A339" s="9"/>
      <c r="B339" s="9"/>
      <c r="C339" s="9"/>
      <c r="D339" s="9"/>
      <c r="E339" s="9"/>
      <c r="F339" s="9"/>
    </row>
    <row r="340">
      <c r="A340" s="9"/>
      <c r="B340" s="9"/>
      <c r="C340" s="9"/>
      <c r="D340" s="9"/>
      <c r="E340" s="9"/>
      <c r="F340" s="9"/>
    </row>
    <row r="341">
      <c r="A341" s="9"/>
      <c r="B341" s="9"/>
      <c r="C341" s="9"/>
      <c r="D341" s="9"/>
      <c r="E341" s="9"/>
      <c r="F341" s="9"/>
    </row>
    <row r="342">
      <c r="A342" s="9"/>
      <c r="B342" s="9"/>
      <c r="C342" s="9"/>
      <c r="D342" s="9"/>
      <c r="E342" s="9"/>
      <c r="F342" s="9"/>
    </row>
    <row r="343">
      <c r="A343" s="9"/>
      <c r="B343" s="9"/>
      <c r="C343" s="9"/>
      <c r="D343" s="9"/>
      <c r="E343" s="9"/>
      <c r="F343" s="9"/>
    </row>
    <row r="344">
      <c r="A344" s="9"/>
      <c r="B344" s="9"/>
      <c r="C344" s="9"/>
      <c r="D344" s="9"/>
      <c r="E344" s="9"/>
      <c r="F344" s="9"/>
    </row>
    <row r="345">
      <c r="A345" s="9"/>
      <c r="B345" s="9"/>
      <c r="C345" s="9"/>
      <c r="D345" s="9"/>
      <c r="E345" s="9"/>
      <c r="F345" s="9"/>
    </row>
    <row r="346">
      <c r="A346" s="9"/>
      <c r="B346" s="9"/>
      <c r="C346" s="9"/>
      <c r="D346" s="9"/>
      <c r="E346" s="9"/>
      <c r="F346" s="9"/>
    </row>
    <row r="347">
      <c r="A347" s="9"/>
      <c r="B347" s="9"/>
      <c r="C347" s="9"/>
      <c r="D347" s="9"/>
      <c r="E347" s="9"/>
      <c r="F347" s="9"/>
    </row>
    <row r="348">
      <c r="A348" s="9"/>
      <c r="B348" s="9"/>
      <c r="C348" s="9"/>
      <c r="D348" s="9"/>
      <c r="E348" s="9"/>
      <c r="F348" s="9"/>
    </row>
    <row r="349">
      <c r="A349" s="9"/>
      <c r="B349" s="9"/>
      <c r="C349" s="9"/>
      <c r="D349" s="9"/>
      <c r="E349" s="9"/>
      <c r="F349" s="9"/>
    </row>
    <row r="350">
      <c r="A350" s="9"/>
      <c r="B350" s="9"/>
      <c r="C350" s="9"/>
      <c r="D350" s="9"/>
      <c r="E350" s="9"/>
      <c r="F350" s="9"/>
    </row>
    <row r="351">
      <c r="A351" s="9"/>
      <c r="B351" s="9"/>
      <c r="C351" s="9"/>
      <c r="D351" s="9"/>
      <c r="E351" s="9"/>
      <c r="F351" s="9"/>
    </row>
    <row r="352">
      <c r="A352" s="9"/>
      <c r="B352" s="9"/>
      <c r="C352" s="9"/>
      <c r="D352" s="9"/>
      <c r="E352" s="9"/>
      <c r="F352" s="9"/>
    </row>
    <row r="353">
      <c r="A353" s="9"/>
      <c r="B353" s="9"/>
      <c r="C353" s="9"/>
      <c r="D353" s="9"/>
      <c r="E353" s="9"/>
      <c r="F353" s="9"/>
    </row>
    <row r="354">
      <c r="A354" s="9"/>
      <c r="B354" s="9"/>
      <c r="C354" s="9"/>
      <c r="D354" s="9"/>
      <c r="E354" s="9"/>
      <c r="F354" s="9"/>
    </row>
    <row r="355">
      <c r="A355" s="9"/>
      <c r="B355" s="9"/>
      <c r="C355" s="9"/>
      <c r="D355" s="9"/>
      <c r="E355" s="9"/>
      <c r="F355" s="9"/>
    </row>
    <row r="356">
      <c r="A356" s="9"/>
      <c r="B356" s="9"/>
      <c r="C356" s="9"/>
      <c r="D356" s="9"/>
      <c r="E356" s="9"/>
      <c r="F356" s="9"/>
    </row>
    <row r="357">
      <c r="A357" s="9"/>
      <c r="B357" s="9"/>
      <c r="C357" s="9"/>
      <c r="D357" s="9"/>
      <c r="E357" s="9"/>
      <c r="F357" s="9"/>
    </row>
    <row r="358">
      <c r="A358" s="9"/>
      <c r="B358" s="9"/>
      <c r="C358" s="9"/>
      <c r="D358" s="9"/>
      <c r="E358" s="9"/>
      <c r="F358" s="9"/>
    </row>
    <row r="359">
      <c r="A359" s="9"/>
      <c r="B359" s="9"/>
      <c r="C359" s="9"/>
      <c r="D359" s="9"/>
      <c r="E359" s="9"/>
      <c r="F359" s="9"/>
    </row>
    <row r="360">
      <c r="A360" s="9"/>
      <c r="B360" s="9"/>
      <c r="C360" s="9"/>
      <c r="D360" s="9"/>
      <c r="E360" s="9"/>
      <c r="F360" s="9"/>
    </row>
    <row r="361">
      <c r="A361" s="9"/>
      <c r="B361" s="9"/>
      <c r="C361" s="9"/>
      <c r="D361" s="9"/>
      <c r="E361" s="9"/>
      <c r="F361" s="9"/>
    </row>
    <row r="362">
      <c r="A362" s="9"/>
      <c r="B362" s="9"/>
      <c r="C362" s="9"/>
      <c r="D362" s="9"/>
      <c r="E362" s="9"/>
      <c r="F362" s="9"/>
    </row>
    <row r="363">
      <c r="A363" s="9"/>
      <c r="B363" s="9"/>
      <c r="C363" s="9"/>
      <c r="D363" s="9"/>
      <c r="E363" s="9"/>
      <c r="F363" s="9"/>
    </row>
    <row r="364">
      <c r="A364" s="9"/>
      <c r="B364" s="9"/>
      <c r="C364" s="9"/>
      <c r="D364" s="9"/>
      <c r="E364" s="9"/>
      <c r="F364" s="9"/>
    </row>
    <row r="365">
      <c r="A365" s="9"/>
      <c r="B365" s="9"/>
      <c r="C365" s="9"/>
      <c r="D365" s="9"/>
      <c r="E365" s="9"/>
      <c r="F365" s="9"/>
    </row>
    <row r="366">
      <c r="A366" s="9"/>
      <c r="B366" s="9"/>
      <c r="C366" s="9"/>
      <c r="D366" s="9"/>
      <c r="E366" s="9"/>
      <c r="F366" s="9"/>
    </row>
    <row r="367">
      <c r="A367" s="9"/>
      <c r="B367" s="9"/>
      <c r="C367" s="9"/>
      <c r="D367" s="9"/>
      <c r="E367" s="9"/>
      <c r="F367" s="9"/>
    </row>
    <row r="368">
      <c r="A368" s="9"/>
      <c r="B368" s="9"/>
      <c r="C368" s="9"/>
      <c r="D368" s="9"/>
      <c r="E368" s="9"/>
      <c r="F368" s="9"/>
    </row>
    <row r="369">
      <c r="A369" s="9"/>
      <c r="B369" s="9"/>
      <c r="C369" s="9"/>
      <c r="D369" s="9"/>
      <c r="E369" s="9"/>
      <c r="F369" s="9"/>
    </row>
    <row r="370">
      <c r="A370" s="9"/>
      <c r="B370" s="9"/>
      <c r="C370" s="9"/>
      <c r="D370" s="9"/>
      <c r="E370" s="9"/>
      <c r="F370" s="9"/>
    </row>
    <row r="371">
      <c r="A371" s="9"/>
      <c r="B371" s="9"/>
      <c r="C371" s="9"/>
      <c r="D371" s="9"/>
      <c r="E371" s="9"/>
      <c r="F371" s="9"/>
    </row>
    <row r="372">
      <c r="A372" s="9"/>
      <c r="B372" s="9"/>
      <c r="C372" s="9"/>
      <c r="D372" s="9"/>
      <c r="E372" s="9"/>
      <c r="F372" s="9"/>
    </row>
    <row r="373">
      <c r="A373" s="9"/>
      <c r="B373" s="9"/>
      <c r="C373" s="9"/>
      <c r="D373" s="9"/>
      <c r="E373" s="9"/>
      <c r="F373" s="9"/>
    </row>
    <row r="374">
      <c r="A374" s="9"/>
      <c r="B374" s="9"/>
      <c r="C374" s="9"/>
      <c r="D374" s="9"/>
      <c r="E374" s="9"/>
      <c r="F374" s="9"/>
    </row>
    <row r="375">
      <c r="A375" s="9"/>
      <c r="B375" s="9"/>
      <c r="C375" s="9"/>
      <c r="D375" s="9"/>
      <c r="E375" s="9"/>
      <c r="F375" s="9"/>
    </row>
    <row r="376">
      <c r="A376" s="9"/>
      <c r="B376" s="9"/>
      <c r="C376" s="9"/>
      <c r="D376" s="9"/>
      <c r="E376" s="9"/>
      <c r="F376" s="9"/>
    </row>
    <row r="377">
      <c r="A377" s="9"/>
      <c r="B377" s="9"/>
      <c r="C377" s="9"/>
      <c r="D377" s="9"/>
      <c r="E377" s="9"/>
      <c r="F377" s="9"/>
    </row>
    <row r="378">
      <c r="A378" s="9"/>
      <c r="B378" s="9"/>
      <c r="C378" s="9"/>
      <c r="D378" s="9"/>
      <c r="E378" s="9"/>
      <c r="F378" s="9"/>
    </row>
    <row r="379">
      <c r="A379" s="9"/>
      <c r="B379" s="9"/>
      <c r="C379" s="9"/>
      <c r="D379" s="9"/>
      <c r="E379" s="9"/>
      <c r="F379" s="9"/>
    </row>
    <row r="380">
      <c r="A380" s="9"/>
      <c r="B380" s="9"/>
      <c r="C380" s="9"/>
      <c r="D380" s="9"/>
      <c r="E380" s="9"/>
      <c r="F380" s="9"/>
    </row>
    <row r="381">
      <c r="A381" s="9"/>
      <c r="B381" s="9"/>
      <c r="C381" s="9"/>
      <c r="D381" s="9"/>
      <c r="E381" s="9"/>
      <c r="F381" s="9"/>
    </row>
    <row r="382">
      <c r="A382" s="9"/>
      <c r="B382" s="9"/>
      <c r="C382" s="9"/>
      <c r="D382" s="9"/>
      <c r="E382" s="9"/>
      <c r="F382" s="9"/>
    </row>
    <row r="383">
      <c r="A383" s="9"/>
      <c r="B383" s="9"/>
      <c r="C383" s="9"/>
      <c r="D383" s="9"/>
      <c r="E383" s="9"/>
      <c r="F383" s="9"/>
    </row>
    <row r="384">
      <c r="A384" s="9"/>
      <c r="B384" s="9"/>
      <c r="C384" s="9"/>
      <c r="D384" s="9"/>
      <c r="E384" s="9"/>
      <c r="F384" s="9"/>
    </row>
    <row r="385">
      <c r="A385" s="9"/>
      <c r="B385" s="9"/>
      <c r="C385" s="9"/>
      <c r="D385" s="9"/>
      <c r="E385" s="9"/>
      <c r="F385" s="9"/>
    </row>
    <row r="386">
      <c r="A386" s="9"/>
      <c r="B386" s="9"/>
      <c r="C386" s="9"/>
      <c r="D386" s="9"/>
      <c r="E386" s="9"/>
      <c r="F386" s="9"/>
    </row>
    <row r="387">
      <c r="A387" s="9"/>
      <c r="B387" s="9"/>
      <c r="C387" s="9"/>
      <c r="D387" s="9"/>
      <c r="E387" s="9"/>
      <c r="F387" s="9"/>
    </row>
    <row r="388">
      <c r="A388" s="9"/>
      <c r="B388" s="9"/>
      <c r="C388" s="9"/>
      <c r="D388" s="9"/>
      <c r="E388" s="9"/>
      <c r="F388" s="9"/>
    </row>
    <row r="389">
      <c r="A389" s="9"/>
      <c r="B389" s="9"/>
      <c r="C389" s="9"/>
      <c r="D389" s="9"/>
      <c r="E389" s="9"/>
      <c r="F389" s="9"/>
    </row>
    <row r="390">
      <c r="A390" s="9"/>
      <c r="B390" s="9"/>
      <c r="C390" s="9"/>
      <c r="D390" s="9"/>
      <c r="E390" s="9"/>
      <c r="F390" s="9"/>
    </row>
    <row r="391">
      <c r="A391" s="9"/>
      <c r="B391" s="9"/>
      <c r="C391" s="9"/>
      <c r="D391" s="9"/>
      <c r="E391" s="9"/>
      <c r="F391" s="9"/>
    </row>
    <row r="392">
      <c r="A392" s="9"/>
      <c r="B392" s="9"/>
      <c r="C392" s="9"/>
      <c r="D392" s="9"/>
      <c r="E392" s="9"/>
      <c r="F392" s="9"/>
    </row>
    <row r="393">
      <c r="A393" s="9"/>
      <c r="B393" s="9"/>
      <c r="C393" s="9"/>
      <c r="D393" s="9"/>
      <c r="E393" s="9"/>
      <c r="F393" s="9"/>
    </row>
    <row r="394">
      <c r="A394" s="9"/>
      <c r="B394" s="9"/>
      <c r="C394" s="9"/>
      <c r="D394" s="9"/>
      <c r="E394" s="9"/>
      <c r="F394" s="9"/>
    </row>
    <row r="395">
      <c r="A395" s="9"/>
      <c r="B395" s="9"/>
      <c r="C395" s="9"/>
      <c r="D395" s="9"/>
      <c r="E395" s="9"/>
      <c r="F395" s="9"/>
    </row>
    <row r="396">
      <c r="A396" s="9"/>
      <c r="B396" s="9"/>
      <c r="C396" s="9"/>
      <c r="D396" s="9"/>
      <c r="E396" s="9"/>
      <c r="F396" s="9"/>
    </row>
    <row r="397">
      <c r="A397" s="9"/>
      <c r="B397" s="9"/>
      <c r="C397" s="9"/>
      <c r="D397" s="9"/>
      <c r="E397" s="9"/>
      <c r="F397" s="9"/>
    </row>
    <row r="398">
      <c r="A398" s="9"/>
      <c r="B398" s="9"/>
      <c r="C398" s="9"/>
      <c r="D398" s="9"/>
      <c r="E398" s="9"/>
      <c r="F398" s="9"/>
    </row>
    <row r="399">
      <c r="A399" s="9"/>
      <c r="B399" s="9"/>
      <c r="C399" s="9"/>
      <c r="D399" s="9"/>
      <c r="E399" s="9"/>
      <c r="F399" s="9"/>
    </row>
    <row r="400">
      <c r="A400" s="9"/>
      <c r="B400" s="9"/>
      <c r="C400" s="9"/>
      <c r="D400" s="9"/>
      <c r="E400" s="9"/>
      <c r="F400" s="9"/>
    </row>
    <row r="401">
      <c r="A401" s="9"/>
      <c r="B401" s="9"/>
      <c r="C401" s="9"/>
      <c r="D401" s="9"/>
      <c r="E401" s="9"/>
      <c r="F401" s="9"/>
    </row>
    <row r="402">
      <c r="A402" s="9"/>
      <c r="B402" s="9"/>
      <c r="C402" s="9"/>
      <c r="D402" s="9"/>
      <c r="E402" s="9"/>
      <c r="F402" s="9"/>
    </row>
    <row r="403">
      <c r="A403" s="9"/>
      <c r="B403" s="9"/>
      <c r="C403" s="9"/>
      <c r="D403" s="9"/>
      <c r="E403" s="9"/>
      <c r="F403" s="9"/>
    </row>
    <row r="404">
      <c r="A404" s="9"/>
      <c r="B404" s="9"/>
      <c r="C404" s="9"/>
      <c r="D404" s="9"/>
      <c r="E404" s="9"/>
      <c r="F404" s="9"/>
    </row>
    <row r="405">
      <c r="A405" s="9"/>
      <c r="B405" s="9"/>
      <c r="C405" s="9"/>
      <c r="D405" s="9"/>
      <c r="E405" s="9"/>
      <c r="F405" s="9"/>
    </row>
    <row r="406">
      <c r="A406" s="9"/>
      <c r="B406" s="9"/>
      <c r="C406" s="9"/>
      <c r="D406" s="9"/>
      <c r="E406" s="9"/>
      <c r="F406" s="9"/>
    </row>
    <row r="407">
      <c r="A407" s="9"/>
      <c r="B407" s="9"/>
      <c r="C407" s="9"/>
      <c r="D407" s="9"/>
      <c r="E407" s="9"/>
      <c r="F407" s="9"/>
    </row>
    <row r="408">
      <c r="A408" s="9"/>
      <c r="B408" s="9"/>
      <c r="C408" s="9"/>
      <c r="D408" s="9"/>
      <c r="E408" s="9"/>
      <c r="F408" s="9"/>
    </row>
    <row r="409">
      <c r="A409" s="9"/>
      <c r="B409" s="9"/>
      <c r="C409" s="9"/>
      <c r="D409" s="9"/>
      <c r="E409" s="9"/>
      <c r="F409" s="9"/>
    </row>
    <row r="410">
      <c r="A410" s="9"/>
      <c r="B410" s="9"/>
      <c r="C410" s="9"/>
      <c r="D410" s="9"/>
      <c r="E410" s="9"/>
      <c r="F410" s="9"/>
    </row>
    <row r="411">
      <c r="A411" s="9"/>
      <c r="B411" s="9"/>
      <c r="C411" s="9"/>
      <c r="D411" s="9"/>
      <c r="E411" s="9"/>
      <c r="F411" s="9"/>
    </row>
    <row r="412">
      <c r="A412" s="9"/>
      <c r="B412" s="9"/>
      <c r="C412" s="9"/>
      <c r="D412" s="9"/>
      <c r="E412" s="9"/>
      <c r="F412" s="9"/>
    </row>
    <row r="413">
      <c r="A413" s="9"/>
      <c r="B413" s="9"/>
      <c r="C413" s="9"/>
      <c r="D413" s="9"/>
      <c r="E413" s="9"/>
      <c r="F413" s="9"/>
    </row>
    <row r="414">
      <c r="A414" s="9"/>
      <c r="B414" s="9"/>
      <c r="C414" s="9"/>
      <c r="D414" s="9"/>
      <c r="E414" s="9"/>
      <c r="F414" s="9"/>
    </row>
    <row r="415">
      <c r="A415" s="9"/>
      <c r="B415" s="9"/>
      <c r="C415" s="9"/>
      <c r="D415" s="9"/>
      <c r="E415" s="9"/>
      <c r="F415" s="9"/>
    </row>
    <row r="416">
      <c r="A416" s="9"/>
      <c r="B416" s="9"/>
      <c r="C416" s="9"/>
      <c r="D416" s="9"/>
      <c r="E416" s="9"/>
      <c r="F416" s="9"/>
    </row>
    <row r="417">
      <c r="A417" s="9"/>
      <c r="B417" s="9"/>
      <c r="C417" s="9"/>
      <c r="D417" s="9"/>
      <c r="E417" s="9"/>
      <c r="F417" s="9"/>
    </row>
    <row r="418">
      <c r="A418" s="9"/>
      <c r="B418" s="9"/>
      <c r="C418" s="9"/>
      <c r="D418" s="9"/>
      <c r="E418" s="9"/>
      <c r="F418" s="9"/>
    </row>
    <row r="419">
      <c r="A419" s="9"/>
      <c r="B419" s="9"/>
      <c r="C419" s="9"/>
      <c r="D419" s="9"/>
      <c r="E419" s="9"/>
      <c r="F419" s="9"/>
    </row>
    <row r="420">
      <c r="A420" s="9"/>
      <c r="B420" s="9"/>
      <c r="C420" s="9"/>
      <c r="D420" s="9"/>
      <c r="E420" s="9"/>
      <c r="F420" s="9"/>
    </row>
    <row r="421">
      <c r="A421" s="9"/>
      <c r="B421" s="9"/>
      <c r="C421" s="9"/>
      <c r="D421" s="9"/>
      <c r="E421" s="9"/>
      <c r="F421" s="9"/>
    </row>
    <row r="422">
      <c r="A422" s="9"/>
      <c r="B422" s="9"/>
      <c r="C422" s="9"/>
      <c r="D422" s="9"/>
      <c r="E422" s="9"/>
      <c r="F422" s="9"/>
    </row>
    <row r="423">
      <c r="A423" s="9"/>
      <c r="B423" s="9"/>
      <c r="C423" s="9"/>
      <c r="D423" s="9"/>
      <c r="E423" s="9"/>
      <c r="F423" s="9"/>
    </row>
    <row r="424">
      <c r="A424" s="9"/>
      <c r="B424" s="9"/>
      <c r="C424" s="9"/>
      <c r="D424" s="9"/>
      <c r="E424" s="9"/>
      <c r="F424" s="9"/>
    </row>
    <row r="425">
      <c r="A425" s="9"/>
      <c r="B425" s="9"/>
      <c r="C425" s="9"/>
      <c r="D425" s="9"/>
      <c r="E425" s="9"/>
      <c r="F425" s="9"/>
    </row>
    <row r="426">
      <c r="A426" s="9"/>
      <c r="B426" s="9"/>
      <c r="C426" s="9"/>
      <c r="D426" s="9"/>
      <c r="E426" s="9"/>
      <c r="F426" s="9"/>
    </row>
    <row r="427">
      <c r="A427" s="9"/>
      <c r="B427" s="9"/>
      <c r="C427" s="9"/>
      <c r="D427" s="9"/>
      <c r="E427" s="9"/>
      <c r="F427" s="9"/>
    </row>
    <row r="428">
      <c r="A428" s="9"/>
      <c r="B428" s="9"/>
      <c r="C428" s="9"/>
      <c r="D428" s="9"/>
      <c r="E428" s="9"/>
      <c r="F428" s="9"/>
    </row>
    <row r="429">
      <c r="A429" s="9"/>
      <c r="B429" s="9"/>
      <c r="C429" s="9"/>
      <c r="D429" s="9"/>
      <c r="E429" s="9"/>
      <c r="F429" s="9"/>
    </row>
    <row r="430">
      <c r="A430" s="9"/>
      <c r="B430" s="9"/>
      <c r="C430" s="9"/>
      <c r="D430" s="9"/>
      <c r="E430" s="9"/>
      <c r="F430" s="9"/>
    </row>
    <row r="431">
      <c r="A431" s="9"/>
      <c r="B431" s="9"/>
      <c r="C431" s="9"/>
      <c r="D431" s="9"/>
      <c r="E431" s="9"/>
      <c r="F431" s="9"/>
    </row>
    <row r="432">
      <c r="A432" s="9"/>
      <c r="B432" s="9"/>
      <c r="C432" s="9"/>
      <c r="D432" s="9"/>
      <c r="E432" s="9"/>
      <c r="F432" s="9"/>
    </row>
    <row r="433">
      <c r="A433" s="9"/>
      <c r="B433" s="9"/>
      <c r="C433" s="9"/>
      <c r="D433" s="9"/>
      <c r="E433" s="9"/>
      <c r="F433" s="9"/>
    </row>
    <row r="434">
      <c r="A434" s="9"/>
      <c r="B434" s="9"/>
      <c r="C434" s="9"/>
      <c r="D434" s="9"/>
      <c r="E434" s="9"/>
      <c r="F434" s="9"/>
    </row>
    <row r="435">
      <c r="A435" s="9"/>
      <c r="B435" s="9"/>
      <c r="C435" s="9"/>
      <c r="D435" s="9"/>
      <c r="E435" s="9"/>
      <c r="F435" s="9"/>
    </row>
    <row r="436">
      <c r="A436" s="9"/>
      <c r="B436" s="9"/>
      <c r="C436" s="9"/>
      <c r="D436" s="9"/>
      <c r="E436" s="9"/>
      <c r="F436" s="9"/>
    </row>
    <row r="437">
      <c r="A437" s="9"/>
      <c r="B437" s="9"/>
      <c r="C437" s="9"/>
      <c r="D437" s="9"/>
      <c r="E437" s="9"/>
      <c r="F437" s="9"/>
    </row>
    <row r="438">
      <c r="A438" s="9"/>
      <c r="B438" s="9"/>
      <c r="C438" s="9"/>
      <c r="D438" s="9"/>
      <c r="E438" s="9"/>
      <c r="F438" s="9"/>
    </row>
    <row r="439">
      <c r="A439" s="9"/>
      <c r="B439" s="9"/>
      <c r="C439" s="9"/>
      <c r="D439" s="9"/>
      <c r="E439" s="9"/>
      <c r="F439" s="9"/>
    </row>
    <row r="440">
      <c r="A440" s="9"/>
      <c r="B440" s="9"/>
      <c r="C440" s="9"/>
      <c r="D440" s="9"/>
      <c r="E440" s="9"/>
      <c r="F440" s="9"/>
    </row>
    <row r="441">
      <c r="A441" s="9"/>
      <c r="B441" s="9"/>
      <c r="C441" s="9"/>
      <c r="D441" s="9"/>
      <c r="E441" s="9"/>
      <c r="F441" s="9"/>
    </row>
    <row r="442">
      <c r="A442" s="9"/>
      <c r="B442" s="9"/>
      <c r="C442" s="9"/>
      <c r="D442" s="9"/>
      <c r="E442" s="9"/>
      <c r="F442" s="9"/>
    </row>
    <row r="443">
      <c r="A443" s="9"/>
      <c r="B443" s="9"/>
      <c r="C443" s="9"/>
      <c r="D443" s="9"/>
      <c r="E443" s="9"/>
      <c r="F443" s="9"/>
    </row>
    <row r="444">
      <c r="A444" s="9"/>
      <c r="B444" s="9"/>
      <c r="C444" s="9"/>
      <c r="D444" s="9"/>
      <c r="E444" s="9"/>
      <c r="F444" s="9"/>
    </row>
    <row r="445">
      <c r="A445" s="9"/>
      <c r="B445" s="9"/>
      <c r="C445" s="9"/>
      <c r="D445" s="9"/>
      <c r="E445" s="9"/>
      <c r="F445" s="9"/>
    </row>
    <row r="446">
      <c r="A446" s="9"/>
      <c r="B446" s="9"/>
      <c r="C446" s="9"/>
      <c r="D446" s="9"/>
      <c r="E446" s="9"/>
      <c r="F446" s="9"/>
    </row>
    <row r="447">
      <c r="A447" s="9"/>
      <c r="B447" s="9"/>
      <c r="C447" s="9"/>
      <c r="D447" s="9"/>
      <c r="E447" s="9"/>
      <c r="F447" s="9"/>
    </row>
    <row r="448">
      <c r="A448" s="9"/>
      <c r="B448" s="9"/>
      <c r="C448" s="9"/>
      <c r="D448" s="9"/>
      <c r="E448" s="9"/>
      <c r="F448" s="9"/>
    </row>
    <row r="449">
      <c r="A449" s="9"/>
      <c r="B449" s="9"/>
      <c r="C449" s="9"/>
      <c r="D449" s="9"/>
      <c r="E449" s="9"/>
      <c r="F449" s="9"/>
    </row>
    <row r="450">
      <c r="A450" s="9"/>
      <c r="B450" s="9"/>
      <c r="C450" s="9"/>
      <c r="D450" s="9"/>
      <c r="E450" s="9"/>
      <c r="F450" s="9"/>
    </row>
    <row r="451">
      <c r="A451" s="9"/>
      <c r="B451" s="9"/>
      <c r="C451" s="9"/>
      <c r="D451" s="9"/>
      <c r="E451" s="9"/>
      <c r="F451" s="9"/>
    </row>
    <row r="452">
      <c r="A452" s="9"/>
      <c r="B452" s="9"/>
      <c r="C452" s="9"/>
      <c r="D452" s="9"/>
      <c r="E452" s="9"/>
      <c r="F452" s="9"/>
    </row>
    <row r="453">
      <c r="A453" s="9"/>
      <c r="B453" s="9"/>
      <c r="C453" s="9"/>
      <c r="D453" s="9"/>
      <c r="E453" s="9"/>
      <c r="F453" s="9"/>
    </row>
    <row r="454">
      <c r="A454" s="9"/>
      <c r="B454" s="9"/>
      <c r="C454" s="9"/>
      <c r="D454" s="9"/>
      <c r="E454" s="9"/>
      <c r="F454" s="9"/>
    </row>
    <row r="455">
      <c r="A455" s="9"/>
      <c r="B455" s="9"/>
      <c r="C455" s="9"/>
      <c r="D455" s="9"/>
      <c r="E455" s="9"/>
      <c r="F455" s="9"/>
    </row>
    <row r="456">
      <c r="A456" s="9"/>
      <c r="B456" s="9"/>
      <c r="C456" s="9"/>
      <c r="D456" s="9"/>
      <c r="E456" s="9"/>
      <c r="F456" s="9"/>
    </row>
    <row r="457">
      <c r="A457" s="9"/>
      <c r="B457" s="9"/>
      <c r="C457" s="9"/>
      <c r="D457" s="9"/>
      <c r="E457" s="9"/>
      <c r="F457" s="9"/>
    </row>
    <row r="458">
      <c r="A458" s="9"/>
      <c r="B458" s="9"/>
      <c r="C458" s="9"/>
      <c r="D458" s="9"/>
      <c r="E458" s="9"/>
      <c r="F458" s="9"/>
    </row>
    <row r="459">
      <c r="A459" s="9"/>
      <c r="B459" s="9"/>
      <c r="C459" s="9"/>
      <c r="D459" s="9"/>
      <c r="E459" s="9"/>
      <c r="F459" s="9"/>
    </row>
    <row r="460">
      <c r="A460" s="9"/>
      <c r="B460" s="9"/>
      <c r="C460" s="9"/>
      <c r="D460" s="9"/>
      <c r="E460" s="9"/>
      <c r="F460" s="9"/>
    </row>
    <row r="461">
      <c r="A461" s="9"/>
      <c r="B461" s="9"/>
      <c r="C461" s="9"/>
      <c r="D461" s="9"/>
      <c r="E461" s="9"/>
      <c r="F461" s="9"/>
    </row>
    <row r="462">
      <c r="A462" s="9"/>
      <c r="B462" s="9"/>
      <c r="C462" s="9"/>
      <c r="D462" s="9"/>
      <c r="E462" s="9"/>
      <c r="F462" s="9"/>
    </row>
    <row r="463">
      <c r="A463" s="9"/>
      <c r="B463" s="9"/>
      <c r="C463" s="9"/>
      <c r="D463" s="9"/>
      <c r="E463" s="9"/>
      <c r="F463" s="9"/>
    </row>
    <row r="464">
      <c r="A464" s="9"/>
      <c r="B464" s="9"/>
      <c r="C464" s="9"/>
      <c r="D464" s="9"/>
      <c r="E464" s="9"/>
      <c r="F464" s="9"/>
    </row>
    <row r="465">
      <c r="A465" s="9"/>
      <c r="B465" s="9"/>
      <c r="C465" s="9"/>
      <c r="D465" s="9"/>
      <c r="E465" s="9"/>
      <c r="F465" s="9"/>
    </row>
    <row r="466">
      <c r="A466" s="9"/>
      <c r="B466" s="9"/>
      <c r="C466" s="9"/>
      <c r="D466" s="9"/>
      <c r="E466" s="9"/>
      <c r="F466" s="9"/>
    </row>
    <row r="467">
      <c r="A467" s="9"/>
      <c r="B467" s="9"/>
      <c r="C467" s="9"/>
      <c r="D467" s="9"/>
      <c r="E467" s="9"/>
      <c r="F467" s="9"/>
    </row>
    <row r="468">
      <c r="A468" s="9"/>
      <c r="B468" s="9"/>
      <c r="C468" s="9"/>
      <c r="D468" s="9"/>
      <c r="E468" s="9"/>
      <c r="F468" s="9"/>
    </row>
    <row r="469">
      <c r="A469" s="9"/>
      <c r="B469" s="9"/>
      <c r="C469" s="9"/>
      <c r="D469" s="9"/>
      <c r="E469" s="9"/>
      <c r="F469" s="9"/>
    </row>
    <row r="470">
      <c r="A470" s="9"/>
      <c r="B470" s="9"/>
      <c r="C470" s="9"/>
      <c r="D470" s="9"/>
      <c r="E470" s="9"/>
      <c r="F470" s="9"/>
    </row>
    <row r="471">
      <c r="A471" s="9"/>
      <c r="B471" s="9"/>
      <c r="C471" s="9"/>
      <c r="D471" s="9"/>
      <c r="E471" s="9"/>
      <c r="F471" s="9"/>
    </row>
    <row r="472">
      <c r="A472" s="9"/>
      <c r="B472" s="9"/>
      <c r="C472" s="9"/>
      <c r="D472" s="9"/>
      <c r="E472" s="9"/>
      <c r="F472" s="9"/>
    </row>
    <row r="473">
      <c r="A473" s="9"/>
      <c r="B473" s="9"/>
      <c r="C473" s="9"/>
      <c r="D473" s="9"/>
      <c r="E473" s="9"/>
      <c r="F473" s="9"/>
    </row>
    <row r="474">
      <c r="A474" s="9"/>
      <c r="B474" s="9"/>
      <c r="C474" s="9"/>
      <c r="D474" s="9"/>
      <c r="E474" s="9"/>
      <c r="F474" s="9"/>
    </row>
    <row r="475">
      <c r="A475" s="9"/>
      <c r="B475" s="9"/>
      <c r="C475" s="9"/>
      <c r="D475" s="9"/>
      <c r="E475" s="9"/>
      <c r="F475" s="9"/>
    </row>
    <row r="476">
      <c r="A476" s="9"/>
      <c r="B476" s="9"/>
      <c r="C476" s="9"/>
      <c r="D476" s="9"/>
      <c r="E476" s="9"/>
      <c r="F476" s="9"/>
    </row>
    <row r="477">
      <c r="A477" s="9"/>
      <c r="B477" s="9"/>
      <c r="C477" s="9"/>
      <c r="D477" s="9"/>
      <c r="E477" s="9"/>
      <c r="F477" s="9"/>
    </row>
    <row r="478">
      <c r="A478" s="9"/>
      <c r="B478" s="9"/>
      <c r="C478" s="9"/>
      <c r="D478" s="9"/>
      <c r="E478" s="9"/>
      <c r="F478" s="9"/>
    </row>
    <row r="479">
      <c r="A479" s="9"/>
      <c r="B479" s="9"/>
      <c r="C479" s="9"/>
      <c r="D479" s="9"/>
      <c r="E479" s="9"/>
      <c r="F479" s="9"/>
    </row>
    <row r="480">
      <c r="A480" s="9"/>
      <c r="B480" s="9"/>
      <c r="C480" s="9"/>
      <c r="D480" s="9"/>
      <c r="E480" s="9"/>
      <c r="F480" s="9"/>
    </row>
    <row r="481">
      <c r="A481" s="9"/>
      <c r="B481" s="9"/>
      <c r="C481" s="9"/>
      <c r="D481" s="9"/>
      <c r="E481" s="9"/>
      <c r="F481" s="9"/>
    </row>
    <row r="482">
      <c r="A482" s="9"/>
      <c r="B482" s="9"/>
      <c r="C482" s="9"/>
      <c r="D482" s="9"/>
      <c r="E482" s="9"/>
      <c r="F482" s="9"/>
    </row>
    <row r="483">
      <c r="A483" s="9"/>
      <c r="B483" s="9"/>
      <c r="C483" s="9"/>
      <c r="D483" s="9"/>
      <c r="E483" s="9"/>
      <c r="F483" s="9"/>
    </row>
    <row r="484">
      <c r="A484" s="9"/>
      <c r="B484" s="9"/>
      <c r="C484" s="9"/>
      <c r="D484" s="9"/>
      <c r="E484" s="9"/>
      <c r="F484" s="9"/>
    </row>
    <row r="485">
      <c r="A485" s="9"/>
      <c r="B485" s="9"/>
      <c r="C485" s="9"/>
      <c r="D485" s="9"/>
      <c r="E485" s="9"/>
      <c r="F485" s="9"/>
    </row>
    <row r="486">
      <c r="A486" s="9"/>
      <c r="B486" s="9"/>
      <c r="C486" s="9"/>
      <c r="D486" s="9"/>
      <c r="E486" s="9"/>
      <c r="F486" s="9"/>
    </row>
    <row r="487">
      <c r="A487" s="9"/>
      <c r="B487" s="9"/>
      <c r="C487" s="9"/>
      <c r="D487" s="9"/>
      <c r="E487" s="9"/>
      <c r="F487" s="9"/>
    </row>
    <row r="488">
      <c r="A488" s="9"/>
      <c r="B488" s="9"/>
      <c r="C488" s="9"/>
      <c r="D488" s="9"/>
      <c r="E488" s="9"/>
      <c r="F488" s="9"/>
    </row>
    <row r="489">
      <c r="A489" s="9"/>
      <c r="B489" s="9"/>
      <c r="C489" s="9"/>
      <c r="D489" s="9"/>
      <c r="E489" s="9"/>
      <c r="F489" s="9"/>
    </row>
    <row r="490">
      <c r="A490" s="9"/>
      <c r="B490" s="9"/>
      <c r="C490" s="9"/>
      <c r="D490" s="9"/>
      <c r="E490" s="9"/>
      <c r="F490" s="9"/>
    </row>
    <row r="491">
      <c r="A491" s="9"/>
      <c r="B491" s="9"/>
      <c r="C491" s="9"/>
      <c r="D491" s="9"/>
      <c r="E491" s="9"/>
      <c r="F491" s="9"/>
    </row>
    <row r="492">
      <c r="A492" s="9"/>
      <c r="B492" s="9"/>
      <c r="C492" s="9"/>
      <c r="D492" s="9"/>
      <c r="E492" s="9"/>
      <c r="F492" s="9"/>
    </row>
    <row r="493">
      <c r="A493" s="9"/>
      <c r="B493" s="9"/>
      <c r="C493" s="9"/>
      <c r="D493" s="9"/>
      <c r="E493" s="9"/>
      <c r="F493" s="9"/>
    </row>
    <row r="494">
      <c r="A494" s="9"/>
      <c r="B494" s="9"/>
      <c r="C494" s="9"/>
      <c r="D494" s="9"/>
      <c r="E494" s="9"/>
      <c r="F494" s="9"/>
    </row>
    <row r="495">
      <c r="A495" s="9"/>
      <c r="B495" s="9"/>
      <c r="C495" s="9"/>
      <c r="D495" s="9"/>
      <c r="E495" s="9"/>
      <c r="F495" s="9"/>
    </row>
    <row r="496">
      <c r="A496" s="9"/>
      <c r="B496" s="9"/>
      <c r="C496" s="9"/>
      <c r="D496" s="9"/>
      <c r="E496" s="9"/>
      <c r="F496" s="9"/>
    </row>
    <row r="497">
      <c r="A497" s="9"/>
      <c r="B497" s="9"/>
      <c r="C497" s="9"/>
      <c r="D497" s="9"/>
      <c r="E497" s="9"/>
      <c r="F497" s="9"/>
    </row>
    <row r="498">
      <c r="A498" s="9"/>
      <c r="B498" s="9"/>
      <c r="C498" s="9"/>
      <c r="D498" s="9"/>
      <c r="E498" s="9"/>
      <c r="F498" s="9"/>
    </row>
    <row r="499">
      <c r="A499" s="9"/>
      <c r="B499" s="9"/>
      <c r="C499" s="9"/>
      <c r="D499" s="9"/>
      <c r="E499" s="9"/>
      <c r="F499" s="9"/>
    </row>
    <row r="500">
      <c r="A500" s="9"/>
      <c r="B500" s="9"/>
      <c r="C500" s="9"/>
      <c r="D500" s="9"/>
      <c r="E500" s="9"/>
      <c r="F500" s="9"/>
    </row>
    <row r="501">
      <c r="A501" s="9"/>
      <c r="B501" s="9"/>
      <c r="C501" s="9"/>
      <c r="D501" s="9"/>
      <c r="E501" s="9"/>
      <c r="F501" s="9"/>
    </row>
    <row r="502">
      <c r="A502" s="9"/>
      <c r="B502" s="9"/>
      <c r="C502" s="9"/>
      <c r="D502" s="9"/>
      <c r="E502" s="9"/>
      <c r="F502" s="9"/>
    </row>
    <row r="503">
      <c r="A503" s="9"/>
      <c r="B503" s="9"/>
      <c r="C503" s="9"/>
      <c r="D503" s="9"/>
      <c r="E503" s="9"/>
      <c r="F503" s="9"/>
    </row>
    <row r="504">
      <c r="A504" s="9"/>
      <c r="B504" s="9"/>
      <c r="C504" s="9"/>
      <c r="D504" s="9"/>
      <c r="E504" s="9"/>
      <c r="F504" s="9"/>
    </row>
    <row r="505">
      <c r="A505" s="9"/>
      <c r="B505" s="9"/>
      <c r="C505" s="9"/>
      <c r="D505" s="9"/>
      <c r="E505" s="9"/>
      <c r="F505" s="9"/>
    </row>
    <row r="506">
      <c r="A506" s="9"/>
      <c r="B506" s="9"/>
      <c r="C506" s="9"/>
      <c r="D506" s="9"/>
      <c r="E506" s="9"/>
      <c r="F506" s="9"/>
    </row>
    <row r="507">
      <c r="A507" s="9"/>
      <c r="B507" s="9"/>
      <c r="C507" s="9"/>
      <c r="D507" s="9"/>
      <c r="E507" s="9"/>
      <c r="F507" s="9"/>
    </row>
    <row r="508">
      <c r="A508" s="9"/>
      <c r="B508" s="9"/>
      <c r="C508" s="9"/>
      <c r="D508" s="9"/>
      <c r="E508" s="9"/>
      <c r="F508" s="9"/>
    </row>
    <row r="509">
      <c r="A509" s="9"/>
      <c r="B509" s="9"/>
      <c r="C509" s="9"/>
      <c r="D509" s="9"/>
      <c r="E509" s="9"/>
      <c r="F509" s="9"/>
    </row>
    <row r="510">
      <c r="A510" s="9"/>
      <c r="B510" s="9"/>
      <c r="C510" s="9"/>
      <c r="D510" s="9"/>
      <c r="E510" s="9"/>
      <c r="F510" s="9"/>
    </row>
    <row r="511">
      <c r="A511" s="9"/>
      <c r="B511" s="9"/>
      <c r="C511" s="9"/>
      <c r="D511" s="9"/>
      <c r="E511" s="9"/>
      <c r="F511" s="9"/>
    </row>
    <row r="512">
      <c r="A512" s="9"/>
      <c r="B512" s="9"/>
      <c r="C512" s="9"/>
      <c r="D512" s="9"/>
      <c r="E512" s="9"/>
      <c r="F512" s="9"/>
    </row>
    <row r="513">
      <c r="A513" s="9"/>
      <c r="B513" s="9"/>
      <c r="C513" s="9"/>
      <c r="D513" s="9"/>
      <c r="E513" s="9"/>
      <c r="F513" s="9"/>
    </row>
    <row r="514">
      <c r="A514" s="9"/>
      <c r="B514" s="9"/>
      <c r="C514" s="9"/>
      <c r="D514" s="9"/>
      <c r="E514" s="9"/>
      <c r="F514" s="9"/>
    </row>
    <row r="515">
      <c r="A515" s="9"/>
      <c r="B515" s="9"/>
      <c r="C515" s="9"/>
      <c r="D515" s="9"/>
      <c r="E515" s="9"/>
      <c r="F515" s="9"/>
    </row>
    <row r="516">
      <c r="A516" s="9"/>
      <c r="B516" s="9"/>
      <c r="C516" s="9"/>
      <c r="D516" s="9"/>
      <c r="E516" s="9"/>
      <c r="F516" s="9"/>
    </row>
    <row r="517">
      <c r="A517" s="9"/>
      <c r="B517" s="9"/>
      <c r="C517" s="9"/>
      <c r="D517" s="9"/>
      <c r="E517" s="9"/>
      <c r="F517" s="9"/>
    </row>
    <row r="518">
      <c r="A518" s="9"/>
      <c r="B518" s="9"/>
      <c r="C518" s="9"/>
      <c r="D518" s="9"/>
      <c r="E518" s="9"/>
      <c r="F518" s="9"/>
    </row>
    <row r="519">
      <c r="A519" s="9"/>
      <c r="B519" s="9"/>
      <c r="C519" s="9"/>
      <c r="D519" s="9"/>
      <c r="E519" s="9"/>
      <c r="F519" s="9"/>
    </row>
    <row r="520">
      <c r="A520" s="9"/>
      <c r="B520" s="9"/>
      <c r="C520" s="9"/>
      <c r="D520" s="9"/>
      <c r="E520" s="9"/>
      <c r="F520" s="9"/>
    </row>
    <row r="521">
      <c r="A521" s="9"/>
      <c r="B521" s="9"/>
      <c r="C521" s="9"/>
      <c r="D521" s="9"/>
      <c r="E521" s="9"/>
      <c r="F521" s="9"/>
    </row>
    <row r="522">
      <c r="A522" s="9"/>
      <c r="B522" s="9"/>
      <c r="C522" s="9"/>
      <c r="D522" s="9"/>
      <c r="E522" s="9"/>
      <c r="F522" s="9"/>
    </row>
    <row r="523">
      <c r="A523" s="9"/>
      <c r="B523" s="9"/>
      <c r="C523" s="9"/>
      <c r="D523" s="9"/>
      <c r="E523" s="9"/>
      <c r="F523" s="9"/>
    </row>
    <row r="524">
      <c r="A524" s="9"/>
      <c r="B524" s="9"/>
      <c r="C524" s="9"/>
      <c r="D524" s="9"/>
      <c r="E524" s="9"/>
      <c r="F524" s="9"/>
    </row>
    <row r="525">
      <c r="A525" s="9"/>
      <c r="B525" s="9"/>
      <c r="C525" s="9"/>
      <c r="D525" s="9"/>
      <c r="E525" s="9"/>
      <c r="F525" s="9"/>
    </row>
    <row r="526">
      <c r="A526" s="9"/>
      <c r="B526" s="9"/>
      <c r="C526" s="9"/>
      <c r="D526" s="9"/>
      <c r="E526" s="9"/>
      <c r="F526" s="9"/>
    </row>
    <row r="527">
      <c r="A527" s="9"/>
      <c r="B527" s="9"/>
      <c r="C527" s="9"/>
      <c r="D527" s="9"/>
      <c r="E527" s="9"/>
      <c r="F527" s="9"/>
    </row>
    <row r="528">
      <c r="A528" s="9"/>
      <c r="B528" s="9"/>
      <c r="C528" s="9"/>
      <c r="D528" s="9"/>
      <c r="E528" s="9"/>
      <c r="F528" s="9"/>
    </row>
    <row r="529">
      <c r="A529" s="9"/>
      <c r="B529" s="9"/>
      <c r="C529" s="9"/>
      <c r="D529" s="9"/>
      <c r="E529" s="9"/>
      <c r="F529" s="9"/>
    </row>
    <row r="530">
      <c r="A530" s="9"/>
      <c r="B530" s="9"/>
      <c r="C530" s="9"/>
      <c r="D530" s="9"/>
      <c r="E530" s="9"/>
      <c r="F530" s="9"/>
    </row>
    <row r="531">
      <c r="A531" s="9"/>
      <c r="B531" s="9"/>
      <c r="C531" s="9"/>
      <c r="D531" s="9"/>
      <c r="E531" s="9"/>
      <c r="F531" s="9"/>
    </row>
    <row r="532">
      <c r="A532" s="9"/>
      <c r="B532" s="9"/>
      <c r="C532" s="9"/>
      <c r="D532" s="9"/>
      <c r="E532" s="9"/>
      <c r="F532" s="9"/>
    </row>
    <row r="533">
      <c r="A533" s="9"/>
      <c r="B533" s="9"/>
      <c r="C533" s="9"/>
      <c r="D533" s="9"/>
      <c r="E533" s="9"/>
      <c r="F533" s="9"/>
    </row>
    <row r="534">
      <c r="A534" s="9"/>
      <c r="B534" s="9"/>
      <c r="C534" s="9"/>
      <c r="D534" s="9"/>
      <c r="E534" s="9"/>
      <c r="F534" s="9"/>
    </row>
    <row r="535">
      <c r="A535" s="9"/>
      <c r="B535" s="9"/>
      <c r="C535" s="9"/>
      <c r="D535" s="9"/>
      <c r="E535" s="9"/>
      <c r="F535" s="9"/>
    </row>
    <row r="536">
      <c r="A536" s="9"/>
      <c r="B536" s="9"/>
      <c r="C536" s="9"/>
      <c r="D536" s="9"/>
      <c r="E536" s="9"/>
      <c r="F536" s="9"/>
    </row>
    <row r="537">
      <c r="A537" s="9"/>
      <c r="B537" s="9"/>
      <c r="C537" s="9"/>
      <c r="D537" s="9"/>
      <c r="E537" s="9"/>
      <c r="F537" s="9"/>
    </row>
    <row r="538">
      <c r="A538" s="9"/>
      <c r="B538" s="9"/>
      <c r="C538" s="9"/>
      <c r="D538" s="9"/>
      <c r="E538" s="9"/>
      <c r="F538" s="9"/>
    </row>
    <row r="539">
      <c r="A539" s="9"/>
      <c r="B539" s="9"/>
      <c r="C539" s="9"/>
      <c r="D539" s="9"/>
      <c r="E539" s="9"/>
      <c r="F539" s="9"/>
    </row>
    <row r="540">
      <c r="A540" s="9"/>
      <c r="B540" s="9"/>
      <c r="C540" s="9"/>
      <c r="D540" s="9"/>
      <c r="E540" s="9"/>
      <c r="F540" s="9"/>
    </row>
    <row r="541">
      <c r="A541" s="9"/>
      <c r="B541" s="9"/>
      <c r="C541" s="9"/>
      <c r="D541" s="9"/>
      <c r="E541" s="9"/>
      <c r="F541" s="9"/>
    </row>
    <row r="542">
      <c r="A542" s="9"/>
      <c r="B542" s="9"/>
      <c r="C542" s="9"/>
      <c r="D542" s="9"/>
      <c r="E542" s="9"/>
      <c r="F542" s="9"/>
    </row>
    <row r="543">
      <c r="A543" s="9"/>
      <c r="B543" s="9"/>
      <c r="C543" s="9"/>
      <c r="D543" s="9"/>
      <c r="E543" s="9"/>
      <c r="F543" s="9"/>
    </row>
    <row r="544">
      <c r="A544" s="9"/>
      <c r="B544" s="9"/>
      <c r="C544" s="9"/>
      <c r="D544" s="9"/>
      <c r="E544" s="9"/>
      <c r="F544" s="9"/>
    </row>
    <row r="545">
      <c r="A545" s="9"/>
      <c r="B545" s="9"/>
      <c r="C545" s="9"/>
      <c r="D545" s="9"/>
      <c r="E545" s="9"/>
      <c r="F545" s="9"/>
    </row>
    <row r="546">
      <c r="A546" s="9"/>
      <c r="B546" s="9"/>
      <c r="C546" s="9"/>
      <c r="D546" s="9"/>
      <c r="E546" s="9"/>
      <c r="F546" s="9"/>
    </row>
    <row r="547">
      <c r="A547" s="9"/>
      <c r="B547" s="9"/>
      <c r="C547" s="9"/>
      <c r="D547" s="9"/>
      <c r="E547" s="9"/>
      <c r="F547" s="9"/>
    </row>
    <row r="548">
      <c r="A548" s="9"/>
      <c r="B548" s="9"/>
      <c r="C548" s="9"/>
      <c r="D548" s="9"/>
      <c r="E548" s="9"/>
      <c r="F548" s="9"/>
    </row>
    <row r="549">
      <c r="A549" s="9"/>
      <c r="B549" s="9"/>
      <c r="C549" s="9"/>
      <c r="D549" s="9"/>
      <c r="E549" s="9"/>
      <c r="F549" s="9"/>
    </row>
    <row r="550">
      <c r="A550" s="9"/>
      <c r="B550" s="9"/>
      <c r="C550" s="9"/>
      <c r="D550" s="9"/>
      <c r="E550" s="9"/>
      <c r="F550" s="9"/>
    </row>
    <row r="551">
      <c r="A551" s="9"/>
      <c r="B551" s="9"/>
      <c r="C551" s="9"/>
      <c r="D551" s="9"/>
      <c r="E551" s="9"/>
      <c r="F551" s="9"/>
    </row>
    <row r="552">
      <c r="A552" s="9"/>
      <c r="B552" s="9"/>
      <c r="C552" s="9"/>
      <c r="D552" s="9"/>
      <c r="E552" s="9"/>
      <c r="F552" s="9"/>
    </row>
    <row r="553">
      <c r="A553" s="9"/>
      <c r="B553" s="9"/>
      <c r="C553" s="9"/>
      <c r="D553" s="9"/>
      <c r="E553" s="9"/>
      <c r="F553" s="9"/>
    </row>
    <row r="554">
      <c r="A554" s="9"/>
      <c r="B554" s="9"/>
      <c r="C554" s="9"/>
      <c r="D554" s="9"/>
      <c r="E554" s="9"/>
      <c r="F554" s="9"/>
    </row>
    <row r="555">
      <c r="A555" s="9"/>
      <c r="B555" s="9"/>
      <c r="C555" s="9"/>
      <c r="D555" s="9"/>
      <c r="E555" s="9"/>
      <c r="F555" s="9"/>
    </row>
    <row r="556">
      <c r="A556" s="9"/>
      <c r="B556" s="9"/>
      <c r="C556" s="9"/>
      <c r="D556" s="9"/>
      <c r="E556" s="9"/>
      <c r="F556" s="9"/>
    </row>
    <row r="557">
      <c r="A557" s="9"/>
      <c r="B557" s="9"/>
      <c r="C557" s="9"/>
      <c r="D557" s="9"/>
      <c r="E557" s="9"/>
      <c r="F557" s="9"/>
    </row>
    <row r="558">
      <c r="A558" s="9"/>
      <c r="B558" s="9"/>
      <c r="C558" s="9"/>
      <c r="D558" s="9"/>
      <c r="E558" s="9"/>
      <c r="F558" s="9"/>
    </row>
    <row r="559">
      <c r="A559" s="9"/>
      <c r="B559" s="9"/>
      <c r="C559" s="9"/>
      <c r="D559" s="9"/>
      <c r="E559" s="9"/>
      <c r="F559" s="9"/>
    </row>
    <row r="560">
      <c r="A560" s="9"/>
      <c r="B560" s="9"/>
      <c r="C560" s="9"/>
      <c r="D560" s="9"/>
      <c r="E560" s="9"/>
      <c r="F560" s="9"/>
    </row>
    <row r="561">
      <c r="A561" s="9"/>
      <c r="B561" s="9"/>
      <c r="C561" s="9"/>
      <c r="D561" s="9"/>
      <c r="E561" s="9"/>
      <c r="F561" s="9"/>
    </row>
    <row r="562">
      <c r="A562" s="9"/>
      <c r="B562" s="9"/>
      <c r="C562" s="9"/>
      <c r="D562" s="9"/>
      <c r="E562" s="9"/>
      <c r="F562" s="9"/>
    </row>
    <row r="563">
      <c r="A563" s="9"/>
      <c r="B563" s="9"/>
      <c r="C563" s="9"/>
      <c r="D563" s="9"/>
      <c r="E563" s="9"/>
      <c r="F563" s="9"/>
    </row>
    <row r="564">
      <c r="A564" s="9"/>
      <c r="B564" s="9"/>
      <c r="C564" s="9"/>
      <c r="D564" s="9"/>
      <c r="E564" s="9"/>
      <c r="F564" s="9"/>
    </row>
    <row r="565">
      <c r="A565" s="9"/>
      <c r="B565" s="9"/>
      <c r="C565" s="9"/>
      <c r="D565" s="9"/>
      <c r="E565" s="9"/>
      <c r="F565" s="9"/>
    </row>
    <row r="566">
      <c r="A566" s="9"/>
      <c r="B566" s="9"/>
      <c r="C566" s="9"/>
      <c r="D566" s="9"/>
      <c r="E566" s="9"/>
      <c r="F566" s="9"/>
    </row>
    <row r="567">
      <c r="A567" s="9"/>
      <c r="B567" s="9"/>
      <c r="C567" s="9"/>
      <c r="D567" s="9"/>
      <c r="E567" s="9"/>
      <c r="F567" s="9"/>
    </row>
    <row r="568">
      <c r="A568" s="9"/>
      <c r="B568" s="9"/>
      <c r="C568" s="9"/>
      <c r="D568" s="9"/>
      <c r="E568" s="9"/>
      <c r="F568" s="9"/>
    </row>
    <row r="569">
      <c r="A569" s="9"/>
      <c r="B569" s="9"/>
      <c r="C569" s="9"/>
      <c r="D569" s="9"/>
      <c r="E569" s="9"/>
      <c r="F569" s="9"/>
    </row>
    <row r="570">
      <c r="A570" s="9"/>
      <c r="B570" s="9"/>
      <c r="C570" s="9"/>
      <c r="D570" s="9"/>
      <c r="E570" s="9"/>
      <c r="F570" s="9"/>
    </row>
    <row r="571">
      <c r="A571" s="9"/>
      <c r="B571" s="9"/>
      <c r="C571" s="9"/>
      <c r="D571" s="9"/>
      <c r="E571" s="9"/>
      <c r="F571" s="9"/>
    </row>
    <row r="572">
      <c r="A572" s="9"/>
      <c r="B572" s="9"/>
      <c r="C572" s="9"/>
      <c r="D572" s="9"/>
      <c r="E572" s="9"/>
      <c r="F572" s="9"/>
    </row>
    <row r="573">
      <c r="A573" s="9"/>
      <c r="B573" s="9"/>
      <c r="C573" s="9"/>
      <c r="D573" s="9"/>
      <c r="E573" s="9"/>
      <c r="F573" s="9"/>
    </row>
    <row r="574">
      <c r="A574" s="9"/>
      <c r="B574" s="9"/>
      <c r="C574" s="9"/>
      <c r="D574" s="9"/>
      <c r="E574" s="9"/>
      <c r="F574" s="9"/>
    </row>
    <row r="575">
      <c r="A575" s="9"/>
      <c r="B575" s="9"/>
      <c r="C575" s="9"/>
      <c r="D575" s="9"/>
      <c r="E575" s="9"/>
      <c r="F575" s="9"/>
    </row>
    <row r="576">
      <c r="A576" s="9"/>
      <c r="B576" s="9"/>
      <c r="C576" s="9"/>
      <c r="D576" s="9"/>
      <c r="E576" s="9"/>
      <c r="F576" s="9"/>
    </row>
    <row r="577">
      <c r="A577" s="9"/>
      <c r="B577" s="9"/>
      <c r="C577" s="9"/>
      <c r="D577" s="9"/>
      <c r="E577" s="9"/>
      <c r="F577" s="9"/>
    </row>
    <row r="578">
      <c r="A578" s="9"/>
      <c r="B578" s="9"/>
      <c r="C578" s="9"/>
      <c r="D578" s="9"/>
      <c r="E578" s="9"/>
      <c r="F578" s="9"/>
    </row>
    <row r="579">
      <c r="A579" s="9"/>
      <c r="B579" s="9"/>
      <c r="C579" s="9"/>
      <c r="D579" s="9"/>
      <c r="E579" s="9"/>
      <c r="F579" s="9"/>
    </row>
    <row r="580">
      <c r="A580" s="9"/>
      <c r="B580" s="9"/>
      <c r="C580" s="9"/>
      <c r="D580" s="9"/>
      <c r="E580" s="9"/>
      <c r="F580" s="9"/>
    </row>
    <row r="581">
      <c r="A581" s="9"/>
      <c r="B581" s="9"/>
      <c r="C581" s="9"/>
      <c r="D581" s="9"/>
      <c r="E581" s="9"/>
      <c r="F581" s="9"/>
    </row>
    <row r="582">
      <c r="A582" s="9"/>
      <c r="B582" s="9"/>
      <c r="C582" s="9"/>
      <c r="D582" s="9"/>
      <c r="E582" s="9"/>
      <c r="F582" s="9"/>
    </row>
    <row r="583">
      <c r="A583" s="9"/>
      <c r="B583" s="9"/>
      <c r="C583" s="9"/>
      <c r="D583" s="9"/>
      <c r="E583" s="9"/>
      <c r="F583" s="9"/>
    </row>
    <row r="584">
      <c r="A584" s="9"/>
      <c r="B584" s="9"/>
      <c r="C584" s="9"/>
      <c r="D584" s="9"/>
      <c r="E584" s="9"/>
      <c r="F584" s="9"/>
    </row>
    <row r="585">
      <c r="A585" s="9"/>
      <c r="B585" s="9"/>
      <c r="C585" s="9"/>
      <c r="D585" s="9"/>
      <c r="E585" s="9"/>
      <c r="F585" s="9"/>
    </row>
    <row r="586">
      <c r="A586" s="9"/>
      <c r="B586" s="9"/>
      <c r="C586" s="9"/>
      <c r="D586" s="9"/>
      <c r="E586" s="9"/>
      <c r="F586" s="9"/>
    </row>
    <row r="587">
      <c r="A587" s="9"/>
      <c r="B587" s="9"/>
      <c r="C587" s="9"/>
      <c r="D587" s="9"/>
      <c r="E587" s="9"/>
      <c r="F587" s="9"/>
    </row>
    <row r="588">
      <c r="A588" s="9"/>
      <c r="B588" s="9"/>
      <c r="C588" s="9"/>
      <c r="D588" s="9"/>
      <c r="E588" s="9"/>
      <c r="F588" s="9"/>
    </row>
    <row r="589">
      <c r="A589" s="9"/>
      <c r="B589" s="9"/>
      <c r="C589" s="9"/>
      <c r="D589" s="9"/>
      <c r="E589" s="9"/>
      <c r="F589" s="9"/>
    </row>
    <row r="590">
      <c r="A590" s="9"/>
      <c r="B590" s="9"/>
      <c r="C590" s="9"/>
      <c r="D590" s="9"/>
      <c r="E590" s="9"/>
      <c r="F590" s="9"/>
    </row>
    <row r="591">
      <c r="A591" s="9"/>
      <c r="B591" s="9"/>
      <c r="C591" s="9"/>
      <c r="D591" s="9"/>
      <c r="E591" s="9"/>
      <c r="F591" s="9"/>
    </row>
    <row r="592">
      <c r="A592" s="9"/>
      <c r="B592" s="9"/>
      <c r="C592" s="9"/>
      <c r="D592" s="9"/>
      <c r="E592" s="9"/>
      <c r="F592" s="9"/>
    </row>
    <row r="593">
      <c r="A593" s="9"/>
      <c r="B593" s="9"/>
      <c r="C593" s="9"/>
      <c r="D593" s="9"/>
      <c r="E593" s="9"/>
      <c r="F593" s="9"/>
    </row>
    <row r="594">
      <c r="A594" s="9"/>
      <c r="B594" s="9"/>
      <c r="C594" s="9"/>
      <c r="D594" s="9"/>
      <c r="E594" s="9"/>
      <c r="F594" s="9"/>
    </row>
    <row r="595">
      <c r="A595" s="9"/>
      <c r="B595" s="9"/>
      <c r="C595" s="9"/>
      <c r="D595" s="9"/>
      <c r="E595" s="9"/>
      <c r="F595" s="9"/>
    </row>
    <row r="596">
      <c r="A596" s="9"/>
      <c r="B596" s="9"/>
      <c r="C596" s="9"/>
      <c r="D596" s="9"/>
      <c r="E596" s="9"/>
      <c r="F596" s="9"/>
    </row>
    <row r="597">
      <c r="A597" s="9"/>
      <c r="B597" s="9"/>
      <c r="C597" s="9"/>
      <c r="D597" s="9"/>
      <c r="E597" s="9"/>
      <c r="F597" s="9"/>
    </row>
    <row r="598">
      <c r="A598" s="9"/>
      <c r="B598" s="9"/>
      <c r="C598" s="9"/>
      <c r="D598" s="9"/>
      <c r="E598" s="9"/>
      <c r="F598" s="9"/>
    </row>
    <row r="599">
      <c r="A599" s="9"/>
      <c r="B599" s="9"/>
      <c r="C599" s="9"/>
      <c r="D599" s="9"/>
      <c r="E599" s="9"/>
      <c r="F599" s="9"/>
    </row>
    <row r="600">
      <c r="A600" s="9"/>
      <c r="B600" s="9"/>
      <c r="C600" s="9"/>
      <c r="D600" s="9"/>
      <c r="E600" s="9"/>
      <c r="F600" s="9"/>
    </row>
    <row r="601">
      <c r="A601" s="9"/>
      <c r="B601" s="9"/>
      <c r="C601" s="9"/>
      <c r="D601" s="9"/>
      <c r="E601" s="9"/>
      <c r="F601" s="9"/>
    </row>
    <row r="602">
      <c r="A602" s="9"/>
      <c r="B602" s="9"/>
      <c r="C602" s="9"/>
      <c r="D602" s="9"/>
      <c r="E602" s="9"/>
      <c r="F602" s="9"/>
    </row>
    <row r="603">
      <c r="A603" s="9"/>
      <c r="B603" s="9"/>
      <c r="C603" s="9"/>
      <c r="D603" s="9"/>
      <c r="E603" s="9"/>
      <c r="F603" s="9"/>
    </row>
    <row r="604">
      <c r="A604" s="9"/>
      <c r="B604" s="9"/>
      <c r="C604" s="9"/>
      <c r="D604" s="9"/>
      <c r="E604" s="9"/>
      <c r="F604" s="9"/>
    </row>
    <row r="605">
      <c r="A605" s="9"/>
      <c r="B605" s="9"/>
      <c r="C605" s="9"/>
      <c r="D605" s="9"/>
      <c r="E605" s="9"/>
      <c r="F605" s="9"/>
    </row>
    <row r="606">
      <c r="A606" s="9"/>
      <c r="B606" s="9"/>
      <c r="C606" s="9"/>
      <c r="D606" s="9"/>
      <c r="E606" s="9"/>
      <c r="F606" s="9"/>
    </row>
    <row r="607">
      <c r="A607" s="9"/>
      <c r="B607" s="9"/>
      <c r="C607" s="9"/>
      <c r="D607" s="9"/>
      <c r="E607" s="9"/>
      <c r="F607" s="9"/>
    </row>
    <row r="608">
      <c r="A608" s="9"/>
      <c r="B608" s="9"/>
      <c r="C608" s="9"/>
      <c r="D608" s="9"/>
      <c r="E608" s="9"/>
      <c r="F608" s="9"/>
    </row>
    <row r="609">
      <c r="A609" s="9"/>
      <c r="B609" s="9"/>
      <c r="C609" s="9"/>
      <c r="D609" s="9"/>
      <c r="E609" s="9"/>
      <c r="F609" s="9"/>
    </row>
    <row r="610">
      <c r="A610" s="9"/>
      <c r="B610" s="9"/>
      <c r="C610" s="9"/>
      <c r="D610" s="9"/>
      <c r="E610" s="9"/>
      <c r="F610" s="9"/>
    </row>
    <row r="611">
      <c r="A611" s="9"/>
      <c r="B611" s="9"/>
      <c r="C611" s="9"/>
      <c r="D611" s="9"/>
      <c r="E611" s="9"/>
      <c r="F611" s="9"/>
    </row>
    <row r="612">
      <c r="A612" s="9"/>
      <c r="B612" s="9"/>
      <c r="C612" s="9"/>
      <c r="D612" s="9"/>
      <c r="E612" s="9"/>
      <c r="F612" s="9"/>
    </row>
    <row r="613">
      <c r="A613" s="9"/>
      <c r="B613" s="9"/>
      <c r="C613" s="9"/>
      <c r="D613" s="9"/>
      <c r="E613" s="9"/>
      <c r="F613" s="9"/>
    </row>
    <row r="614">
      <c r="A614" s="9"/>
      <c r="B614" s="9"/>
      <c r="C614" s="9"/>
      <c r="D614" s="9"/>
      <c r="E614" s="9"/>
      <c r="F614" s="9"/>
    </row>
    <row r="615">
      <c r="A615" s="9"/>
      <c r="B615" s="9"/>
      <c r="C615" s="9"/>
      <c r="D615" s="9"/>
      <c r="E615" s="9"/>
      <c r="F615" s="9"/>
    </row>
    <row r="616">
      <c r="A616" s="9"/>
      <c r="B616" s="9"/>
      <c r="C616" s="9"/>
      <c r="D616" s="9"/>
      <c r="E616" s="9"/>
      <c r="F616" s="9"/>
    </row>
    <row r="617">
      <c r="A617" s="9"/>
      <c r="B617" s="9"/>
      <c r="C617" s="9"/>
      <c r="D617" s="9"/>
      <c r="E617" s="9"/>
      <c r="F617" s="9"/>
    </row>
    <row r="618">
      <c r="A618" s="9"/>
      <c r="B618" s="9"/>
      <c r="C618" s="9"/>
      <c r="D618" s="9"/>
      <c r="E618" s="9"/>
      <c r="F618" s="9"/>
    </row>
    <row r="619">
      <c r="A619" s="9"/>
      <c r="B619" s="9"/>
      <c r="C619" s="9"/>
      <c r="D619" s="9"/>
      <c r="E619" s="9"/>
      <c r="F619" s="9"/>
    </row>
    <row r="620">
      <c r="A620" s="9"/>
      <c r="B620" s="9"/>
      <c r="C620" s="9"/>
      <c r="D620" s="9"/>
      <c r="E620" s="9"/>
      <c r="F620" s="9"/>
    </row>
    <row r="621">
      <c r="A621" s="9"/>
      <c r="B621" s="9"/>
      <c r="C621" s="9"/>
      <c r="D621" s="9"/>
      <c r="E621" s="9"/>
      <c r="F621" s="9"/>
    </row>
    <row r="622">
      <c r="A622" s="9"/>
      <c r="B622" s="9"/>
      <c r="C622" s="9"/>
      <c r="D622" s="9"/>
      <c r="E622" s="9"/>
      <c r="F622" s="9"/>
    </row>
    <row r="623">
      <c r="A623" s="9"/>
      <c r="B623" s="9"/>
      <c r="C623" s="9"/>
      <c r="D623" s="9"/>
      <c r="E623" s="9"/>
      <c r="F623" s="9"/>
    </row>
    <row r="624">
      <c r="A624" s="9"/>
      <c r="B624" s="9"/>
      <c r="C624" s="9"/>
      <c r="D624" s="9"/>
      <c r="E624" s="9"/>
      <c r="F624" s="9"/>
    </row>
    <row r="625">
      <c r="A625" s="9"/>
      <c r="B625" s="9"/>
      <c r="C625" s="9"/>
      <c r="D625" s="9"/>
      <c r="E625" s="9"/>
      <c r="F625" s="9"/>
    </row>
    <row r="626">
      <c r="A626" s="9"/>
      <c r="B626" s="9"/>
      <c r="C626" s="9"/>
      <c r="D626" s="9"/>
      <c r="E626" s="9"/>
      <c r="F626" s="9"/>
    </row>
    <row r="627">
      <c r="A627" s="9"/>
      <c r="B627" s="9"/>
      <c r="C627" s="9"/>
      <c r="D627" s="9"/>
      <c r="E627" s="9"/>
      <c r="F627" s="9"/>
    </row>
    <row r="628">
      <c r="A628" s="9"/>
      <c r="B628" s="9"/>
      <c r="C628" s="9"/>
      <c r="D628" s="9"/>
      <c r="E628" s="9"/>
      <c r="F628" s="9"/>
    </row>
    <row r="629">
      <c r="A629" s="9"/>
      <c r="B629" s="9"/>
      <c r="C629" s="9"/>
      <c r="D629" s="9"/>
      <c r="E629" s="9"/>
      <c r="F629" s="9"/>
    </row>
    <row r="630">
      <c r="A630" s="9"/>
      <c r="B630" s="9"/>
      <c r="C630" s="9"/>
      <c r="D630" s="9"/>
      <c r="E630" s="9"/>
      <c r="F630" s="9"/>
    </row>
    <row r="631">
      <c r="A631" s="9"/>
      <c r="B631" s="9"/>
      <c r="C631" s="9"/>
      <c r="D631" s="9"/>
      <c r="E631" s="9"/>
      <c r="F631" s="9"/>
    </row>
    <row r="632">
      <c r="A632" s="9"/>
      <c r="B632" s="9"/>
      <c r="C632" s="9"/>
      <c r="D632" s="9"/>
      <c r="E632" s="9"/>
      <c r="F632" s="9"/>
    </row>
    <row r="633">
      <c r="A633" s="9"/>
      <c r="B633" s="9"/>
      <c r="C633" s="9"/>
      <c r="D633" s="9"/>
      <c r="E633" s="9"/>
      <c r="F633" s="9"/>
    </row>
    <row r="634">
      <c r="A634" s="9"/>
      <c r="B634" s="9"/>
      <c r="C634" s="9"/>
      <c r="D634" s="9"/>
      <c r="E634" s="9"/>
      <c r="F634" s="9"/>
    </row>
    <row r="635">
      <c r="A635" s="9"/>
      <c r="B635" s="9"/>
      <c r="C635" s="9"/>
      <c r="D635" s="9"/>
      <c r="E635" s="9"/>
      <c r="F635" s="9"/>
    </row>
    <row r="636">
      <c r="A636" s="9"/>
      <c r="B636" s="9"/>
      <c r="C636" s="9"/>
      <c r="D636" s="9"/>
      <c r="E636" s="9"/>
      <c r="F636" s="9"/>
    </row>
    <row r="637">
      <c r="A637" s="9"/>
      <c r="B637" s="9"/>
      <c r="C637" s="9"/>
      <c r="D637" s="9"/>
      <c r="E637" s="9"/>
      <c r="F637" s="9"/>
    </row>
    <row r="638">
      <c r="A638" s="9"/>
      <c r="B638" s="9"/>
      <c r="C638" s="9"/>
      <c r="D638" s="9"/>
      <c r="E638" s="9"/>
      <c r="F638" s="9"/>
    </row>
    <row r="639">
      <c r="A639" s="9"/>
      <c r="B639" s="9"/>
      <c r="C639" s="9"/>
      <c r="D639" s="9"/>
      <c r="E639" s="9"/>
      <c r="F639" s="9"/>
    </row>
    <row r="640">
      <c r="A640" s="9"/>
      <c r="B640" s="9"/>
      <c r="C640" s="9"/>
      <c r="D640" s="9"/>
      <c r="E640" s="9"/>
      <c r="F640" s="9"/>
    </row>
    <row r="641">
      <c r="A641" s="9"/>
      <c r="B641" s="9"/>
      <c r="C641" s="9"/>
      <c r="D641" s="9"/>
      <c r="E641" s="9"/>
      <c r="F641" s="9"/>
    </row>
    <row r="642">
      <c r="A642" s="9"/>
      <c r="B642" s="9"/>
      <c r="C642" s="9"/>
      <c r="D642" s="9"/>
      <c r="E642" s="9"/>
      <c r="F642" s="9"/>
    </row>
    <row r="643">
      <c r="A643" s="9"/>
      <c r="B643" s="9"/>
      <c r="C643" s="9"/>
      <c r="D643" s="9"/>
      <c r="E643" s="9"/>
      <c r="F643" s="9"/>
    </row>
    <row r="644">
      <c r="A644" s="9"/>
      <c r="B644" s="9"/>
      <c r="C644" s="9"/>
      <c r="D644" s="9"/>
      <c r="E644" s="9"/>
      <c r="F644" s="9"/>
    </row>
    <row r="645">
      <c r="A645" s="9"/>
      <c r="B645" s="9"/>
      <c r="C645" s="9"/>
      <c r="D645" s="9"/>
      <c r="E645" s="9"/>
      <c r="F645" s="9"/>
    </row>
    <row r="646">
      <c r="A646" s="9"/>
      <c r="B646" s="9"/>
      <c r="C646" s="9"/>
      <c r="D646" s="9"/>
      <c r="E646" s="9"/>
      <c r="F646" s="9"/>
    </row>
    <row r="647">
      <c r="A647" s="9"/>
      <c r="B647" s="9"/>
      <c r="C647" s="9"/>
      <c r="D647" s="9"/>
      <c r="E647" s="9"/>
      <c r="F647" s="9"/>
    </row>
    <row r="648">
      <c r="A648" s="9"/>
      <c r="B648" s="9"/>
      <c r="C648" s="9"/>
      <c r="D648" s="9"/>
      <c r="E648" s="9"/>
      <c r="F648" s="9"/>
    </row>
    <row r="649">
      <c r="A649" s="9"/>
      <c r="B649" s="9"/>
      <c r="C649" s="9"/>
      <c r="D649" s="9"/>
      <c r="E649" s="9"/>
      <c r="F649" s="9"/>
    </row>
    <row r="650">
      <c r="A650" s="9"/>
      <c r="B650" s="9"/>
      <c r="C650" s="9"/>
      <c r="D650" s="9"/>
      <c r="E650" s="9"/>
      <c r="F650" s="9"/>
    </row>
    <row r="651">
      <c r="A651" s="9"/>
      <c r="B651" s="9"/>
      <c r="C651" s="9"/>
      <c r="D651" s="9"/>
      <c r="E651" s="9"/>
      <c r="F651" s="9"/>
    </row>
    <row r="652">
      <c r="A652" s="9"/>
      <c r="B652" s="9"/>
      <c r="C652" s="9"/>
      <c r="D652" s="9"/>
      <c r="E652" s="9"/>
      <c r="F652" s="9"/>
    </row>
    <row r="653">
      <c r="A653" s="9"/>
      <c r="B653" s="9"/>
      <c r="C653" s="9"/>
      <c r="D653" s="9"/>
      <c r="E653" s="9"/>
      <c r="F653" s="9"/>
    </row>
    <row r="654">
      <c r="A654" s="9"/>
      <c r="B654" s="9"/>
      <c r="C654" s="9"/>
      <c r="D654" s="9"/>
      <c r="E654" s="9"/>
      <c r="F654" s="9"/>
    </row>
    <row r="655">
      <c r="A655" s="9"/>
      <c r="B655" s="9"/>
      <c r="C655" s="9"/>
      <c r="D655" s="9"/>
      <c r="E655" s="9"/>
      <c r="F655" s="9"/>
    </row>
    <row r="656">
      <c r="A656" s="9"/>
      <c r="B656" s="9"/>
      <c r="C656" s="9"/>
      <c r="D656" s="9"/>
      <c r="E656" s="9"/>
      <c r="F656" s="9"/>
    </row>
    <row r="657">
      <c r="A657" s="9"/>
      <c r="B657" s="9"/>
      <c r="C657" s="9"/>
      <c r="D657" s="9"/>
      <c r="E657" s="9"/>
      <c r="F657" s="9"/>
    </row>
    <row r="658">
      <c r="A658" s="9"/>
      <c r="B658" s="9"/>
      <c r="C658" s="9"/>
      <c r="D658" s="9"/>
      <c r="E658" s="9"/>
      <c r="F658" s="9"/>
    </row>
    <row r="659">
      <c r="A659" s="9"/>
      <c r="B659" s="9"/>
      <c r="C659" s="9"/>
      <c r="D659" s="9"/>
      <c r="E659" s="9"/>
      <c r="F659" s="9"/>
    </row>
    <row r="660">
      <c r="A660" s="9"/>
      <c r="B660" s="9"/>
      <c r="C660" s="9"/>
      <c r="D660" s="9"/>
      <c r="E660" s="9"/>
      <c r="F660" s="9"/>
    </row>
    <row r="661">
      <c r="A661" s="9"/>
      <c r="B661" s="9"/>
      <c r="C661" s="9"/>
      <c r="D661" s="9"/>
      <c r="E661" s="9"/>
      <c r="F661" s="9"/>
    </row>
    <row r="662">
      <c r="A662" s="9"/>
      <c r="B662" s="9"/>
      <c r="C662" s="9"/>
      <c r="D662" s="9"/>
      <c r="E662" s="9"/>
      <c r="F662" s="9"/>
    </row>
    <row r="663">
      <c r="A663" s="9"/>
      <c r="B663" s="9"/>
      <c r="C663" s="9"/>
      <c r="D663" s="9"/>
      <c r="E663" s="9"/>
      <c r="F663" s="9"/>
    </row>
    <row r="664">
      <c r="A664" s="9"/>
      <c r="B664" s="9"/>
      <c r="C664" s="9"/>
      <c r="D664" s="9"/>
      <c r="E664" s="9"/>
      <c r="F664" s="9"/>
    </row>
    <row r="665">
      <c r="A665" s="9"/>
      <c r="B665" s="9"/>
      <c r="C665" s="9"/>
      <c r="D665" s="9"/>
      <c r="E665" s="9"/>
      <c r="F665" s="9"/>
    </row>
    <row r="666">
      <c r="A666" s="9"/>
      <c r="B666" s="9"/>
      <c r="C666" s="9"/>
      <c r="D666" s="9"/>
      <c r="E666" s="9"/>
      <c r="F666" s="9"/>
    </row>
    <row r="667">
      <c r="A667" s="9"/>
      <c r="B667" s="9"/>
      <c r="C667" s="9"/>
      <c r="D667" s="9"/>
      <c r="E667" s="9"/>
      <c r="F667" s="9"/>
    </row>
    <row r="668">
      <c r="A668" s="9"/>
      <c r="B668" s="9"/>
      <c r="C668" s="9"/>
      <c r="D668" s="9"/>
      <c r="E668" s="9"/>
      <c r="F668" s="9"/>
    </row>
    <row r="669">
      <c r="A669" s="9"/>
      <c r="B669" s="9"/>
      <c r="C669" s="9"/>
      <c r="D669" s="9"/>
      <c r="E669" s="9"/>
      <c r="F669" s="9"/>
    </row>
    <row r="670">
      <c r="A670" s="9"/>
      <c r="B670" s="9"/>
      <c r="C670" s="9"/>
      <c r="D670" s="9"/>
      <c r="E670" s="9"/>
      <c r="F670" s="9"/>
    </row>
    <row r="671">
      <c r="A671" s="9"/>
      <c r="B671" s="9"/>
      <c r="C671" s="9"/>
      <c r="D671" s="9"/>
      <c r="E671" s="9"/>
      <c r="F671" s="9"/>
    </row>
    <row r="672">
      <c r="A672" s="9"/>
      <c r="B672" s="9"/>
      <c r="C672" s="9"/>
      <c r="D672" s="9"/>
      <c r="E672" s="9"/>
      <c r="F672" s="9"/>
    </row>
    <row r="673">
      <c r="A673" s="9"/>
      <c r="B673" s="9"/>
      <c r="C673" s="9"/>
      <c r="D673" s="9"/>
      <c r="E673" s="9"/>
      <c r="F673" s="9"/>
    </row>
    <row r="674">
      <c r="A674" s="9"/>
      <c r="B674" s="9"/>
      <c r="C674" s="9"/>
      <c r="D674" s="9"/>
      <c r="E674" s="9"/>
      <c r="F674" s="9"/>
    </row>
    <row r="675">
      <c r="A675" s="9"/>
      <c r="B675" s="9"/>
      <c r="C675" s="9"/>
      <c r="D675" s="9"/>
      <c r="E675" s="9"/>
      <c r="F675" s="9"/>
    </row>
    <row r="676">
      <c r="A676" s="9"/>
      <c r="B676" s="9"/>
      <c r="C676" s="9"/>
      <c r="D676" s="9"/>
      <c r="E676" s="9"/>
      <c r="F676" s="9"/>
    </row>
    <row r="677">
      <c r="A677" s="9"/>
      <c r="B677" s="9"/>
      <c r="C677" s="9"/>
      <c r="D677" s="9"/>
      <c r="E677" s="9"/>
      <c r="F677" s="9"/>
    </row>
    <row r="678">
      <c r="A678" s="9"/>
      <c r="B678" s="9"/>
      <c r="C678" s="9"/>
      <c r="D678" s="9"/>
      <c r="E678" s="9"/>
      <c r="F678" s="9"/>
    </row>
    <row r="679">
      <c r="A679" s="9"/>
      <c r="B679" s="9"/>
      <c r="C679" s="9"/>
      <c r="D679" s="9"/>
      <c r="E679" s="9"/>
      <c r="F679" s="9"/>
    </row>
    <row r="680">
      <c r="A680" s="9"/>
      <c r="B680" s="9"/>
      <c r="C680" s="9"/>
      <c r="D680" s="9"/>
      <c r="E680" s="9"/>
      <c r="F680" s="9"/>
    </row>
    <row r="681">
      <c r="A681" s="9"/>
      <c r="B681" s="9"/>
      <c r="C681" s="9"/>
      <c r="D681" s="9"/>
      <c r="E681" s="9"/>
      <c r="F681" s="9"/>
    </row>
    <row r="682">
      <c r="A682" s="9"/>
      <c r="B682" s="9"/>
      <c r="C682" s="9"/>
      <c r="D682" s="9"/>
      <c r="E682" s="9"/>
      <c r="F682" s="9"/>
    </row>
    <row r="683">
      <c r="A683" s="9"/>
      <c r="B683" s="9"/>
      <c r="C683" s="9"/>
      <c r="D683" s="9"/>
      <c r="E683" s="9"/>
      <c r="F683" s="9"/>
    </row>
    <row r="684">
      <c r="A684" s="9"/>
      <c r="B684" s="9"/>
      <c r="C684" s="9"/>
      <c r="D684" s="9"/>
      <c r="E684" s="9"/>
      <c r="F684" s="9"/>
    </row>
    <row r="685">
      <c r="A685" s="9"/>
      <c r="B685" s="9"/>
      <c r="C685" s="9"/>
      <c r="D685" s="9"/>
      <c r="E685" s="9"/>
      <c r="F685" s="9"/>
    </row>
    <row r="686">
      <c r="A686" s="9"/>
      <c r="B686" s="9"/>
      <c r="C686" s="9"/>
      <c r="D686" s="9"/>
      <c r="E686" s="9"/>
      <c r="F686" s="9"/>
    </row>
    <row r="687">
      <c r="A687" s="9"/>
      <c r="B687" s="9"/>
      <c r="C687" s="9"/>
      <c r="D687" s="9"/>
      <c r="E687" s="9"/>
      <c r="F687" s="9"/>
    </row>
    <row r="688">
      <c r="A688" s="9"/>
      <c r="B688" s="9"/>
      <c r="C688" s="9"/>
      <c r="D688" s="9"/>
      <c r="E688" s="9"/>
      <c r="F688" s="9"/>
    </row>
    <row r="689">
      <c r="A689" s="9"/>
      <c r="B689" s="9"/>
      <c r="C689" s="9"/>
      <c r="D689" s="9"/>
      <c r="E689" s="9"/>
      <c r="F689" s="9"/>
    </row>
    <row r="690">
      <c r="A690" s="9"/>
      <c r="B690" s="9"/>
      <c r="C690" s="9"/>
      <c r="D690" s="9"/>
      <c r="E690" s="9"/>
      <c r="F690" s="9"/>
    </row>
    <row r="691">
      <c r="A691" s="9"/>
      <c r="B691" s="9"/>
      <c r="C691" s="9"/>
      <c r="D691" s="9"/>
      <c r="E691" s="9"/>
      <c r="F691" s="9"/>
    </row>
    <row r="692">
      <c r="A692" s="9"/>
      <c r="B692" s="9"/>
      <c r="C692" s="9"/>
      <c r="D692" s="9"/>
      <c r="E692" s="9"/>
      <c r="F692" s="9"/>
    </row>
    <row r="693">
      <c r="A693" s="9"/>
      <c r="B693" s="9"/>
      <c r="C693" s="9"/>
      <c r="D693" s="9"/>
      <c r="E693" s="9"/>
      <c r="F693" s="9"/>
    </row>
    <row r="694">
      <c r="A694" s="9"/>
      <c r="B694" s="9"/>
      <c r="C694" s="9"/>
      <c r="D694" s="9"/>
      <c r="E694" s="9"/>
      <c r="F694" s="9"/>
    </row>
    <row r="695">
      <c r="A695" s="9"/>
      <c r="B695" s="9"/>
      <c r="C695" s="9"/>
      <c r="D695" s="9"/>
      <c r="E695" s="9"/>
      <c r="F695" s="9"/>
    </row>
    <row r="696">
      <c r="A696" s="9"/>
      <c r="B696" s="9"/>
      <c r="C696" s="9"/>
      <c r="D696" s="9"/>
      <c r="E696" s="9"/>
      <c r="F696" s="9"/>
    </row>
    <row r="697">
      <c r="A697" s="9"/>
      <c r="B697" s="9"/>
      <c r="C697" s="9"/>
      <c r="D697" s="9"/>
      <c r="E697" s="9"/>
      <c r="F697" s="9"/>
    </row>
    <row r="698">
      <c r="A698" s="9"/>
      <c r="B698" s="9"/>
      <c r="C698" s="9"/>
      <c r="D698" s="9"/>
      <c r="E698" s="9"/>
      <c r="F698" s="9"/>
    </row>
    <row r="699">
      <c r="A699" s="9"/>
      <c r="B699" s="9"/>
      <c r="C699" s="9"/>
      <c r="D699" s="9"/>
      <c r="E699" s="9"/>
      <c r="F699" s="9"/>
    </row>
    <row r="700">
      <c r="A700" s="9"/>
      <c r="B700" s="9"/>
      <c r="C700" s="9"/>
      <c r="D700" s="9"/>
      <c r="E700" s="9"/>
      <c r="F700" s="9"/>
    </row>
    <row r="701">
      <c r="A701" s="9"/>
      <c r="B701" s="9"/>
      <c r="C701" s="9"/>
      <c r="D701" s="9"/>
      <c r="E701" s="9"/>
      <c r="F701" s="9"/>
    </row>
    <row r="702">
      <c r="A702" s="9"/>
      <c r="B702" s="9"/>
      <c r="C702" s="9"/>
      <c r="D702" s="9"/>
      <c r="E702" s="9"/>
      <c r="F702" s="9"/>
    </row>
    <row r="703">
      <c r="A703" s="9"/>
      <c r="B703" s="9"/>
      <c r="C703" s="9"/>
      <c r="D703" s="9"/>
      <c r="E703" s="9"/>
      <c r="F703" s="9"/>
    </row>
    <row r="704">
      <c r="A704" s="9"/>
      <c r="B704" s="9"/>
      <c r="C704" s="9"/>
      <c r="D704" s="9"/>
      <c r="E704" s="9"/>
      <c r="F704" s="9"/>
    </row>
    <row r="705">
      <c r="A705" s="9"/>
      <c r="B705" s="9"/>
      <c r="C705" s="9"/>
      <c r="D705" s="9"/>
      <c r="E705" s="9"/>
      <c r="F705" s="9"/>
    </row>
    <row r="706">
      <c r="A706" s="9"/>
      <c r="B706" s="9"/>
      <c r="C706" s="9"/>
      <c r="D706" s="9"/>
      <c r="E706" s="9"/>
      <c r="F706" s="9"/>
    </row>
    <row r="707">
      <c r="A707" s="9"/>
      <c r="B707" s="9"/>
      <c r="C707" s="9"/>
      <c r="D707" s="9"/>
      <c r="E707" s="9"/>
      <c r="F707" s="9"/>
    </row>
    <row r="708">
      <c r="A708" s="9"/>
      <c r="B708" s="9"/>
      <c r="C708" s="9"/>
      <c r="D708" s="9"/>
      <c r="E708" s="9"/>
      <c r="F708" s="9"/>
    </row>
    <row r="709">
      <c r="A709" s="9"/>
      <c r="B709" s="9"/>
      <c r="C709" s="9"/>
      <c r="D709" s="9"/>
      <c r="E709" s="9"/>
      <c r="F709" s="9"/>
    </row>
    <row r="710">
      <c r="A710" s="9"/>
      <c r="B710" s="9"/>
      <c r="C710" s="9"/>
      <c r="D710" s="9"/>
      <c r="E710" s="9"/>
      <c r="F710" s="9"/>
    </row>
    <row r="711">
      <c r="A711" s="9"/>
      <c r="B711" s="9"/>
      <c r="C711" s="9"/>
      <c r="D711" s="9"/>
      <c r="E711" s="9"/>
      <c r="F711" s="9"/>
    </row>
    <row r="712">
      <c r="A712" s="9"/>
      <c r="B712" s="9"/>
      <c r="C712" s="9"/>
      <c r="D712" s="9"/>
      <c r="E712" s="9"/>
      <c r="F712" s="9"/>
    </row>
    <row r="713">
      <c r="A713" s="9"/>
      <c r="B713" s="9"/>
      <c r="C713" s="9"/>
      <c r="D713" s="9"/>
      <c r="E713" s="9"/>
      <c r="F713" s="9"/>
    </row>
    <row r="714">
      <c r="A714" s="9"/>
      <c r="B714" s="9"/>
      <c r="C714" s="9"/>
      <c r="D714" s="9"/>
      <c r="E714" s="9"/>
      <c r="F714" s="9"/>
    </row>
    <row r="715">
      <c r="A715" s="9"/>
      <c r="B715" s="9"/>
      <c r="C715" s="9"/>
      <c r="D715" s="9"/>
      <c r="E715" s="9"/>
      <c r="F715" s="9"/>
    </row>
    <row r="716">
      <c r="A716" s="9"/>
      <c r="B716" s="9"/>
      <c r="C716" s="9"/>
      <c r="D716" s="9"/>
      <c r="E716" s="9"/>
      <c r="F716" s="9"/>
    </row>
    <row r="717">
      <c r="A717" s="9"/>
      <c r="B717" s="9"/>
      <c r="C717" s="9"/>
      <c r="D717" s="9"/>
      <c r="E717" s="9"/>
      <c r="F717" s="9"/>
    </row>
    <row r="718">
      <c r="A718" s="9"/>
      <c r="B718" s="9"/>
      <c r="C718" s="9"/>
      <c r="D718" s="9"/>
      <c r="E718" s="9"/>
      <c r="F718" s="9"/>
    </row>
    <row r="719">
      <c r="A719" s="9"/>
      <c r="B719" s="9"/>
      <c r="C719" s="9"/>
      <c r="D719" s="9"/>
      <c r="E719" s="9"/>
      <c r="F719" s="9"/>
    </row>
    <row r="720">
      <c r="A720" s="9"/>
      <c r="B720" s="9"/>
      <c r="C720" s="9"/>
      <c r="D720" s="9"/>
      <c r="E720" s="9"/>
      <c r="F720" s="9"/>
    </row>
    <row r="721">
      <c r="A721" s="9"/>
      <c r="B721" s="9"/>
      <c r="C721" s="9"/>
      <c r="D721" s="9"/>
      <c r="E721" s="9"/>
      <c r="F721" s="9"/>
    </row>
    <row r="722">
      <c r="A722" s="9"/>
      <c r="B722" s="9"/>
      <c r="C722" s="9"/>
      <c r="D722" s="9"/>
      <c r="E722" s="9"/>
      <c r="F722" s="9"/>
    </row>
    <row r="723">
      <c r="A723" s="9"/>
      <c r="B723" s="9"/>
      <c r="C723" s="9"/>
      <c r="D723" s="9"/>
      <c r="E723" s="9"/>
      <c r="F723" s="9"/>
    </row>
    <row r="724">
      <c r="A724" s="9"/>
      <c r="B724" s="9"/>
      <c r="C724" s="9"/>
      <c r="D724" s="9"/>
      <c r="E724" s="9"/>
      <c r="F724" s="9"/>
    </row>
    <row r="725">
      <c r="A725" s="9"/>
      <c r="B725" s="9"/>
      <c r="C725" s="9"/>
      <c r="D725" s="9"/>
      <c r="E725" s="9"/>
      <c r="F725" s="9"/>
    </row>
    <row r="726">
      <c r="A726" s="9"/>
      <c r="B726" s="9"/>
      <c r="C726" s="9"/>
      <c r="D726" s="9"/>
      <c r="E726" s="9"/>
      <c r="F726" s="9"/>
    </row>
    <row r="727">
      <c r="A727" s="9"/>
      <c r="B727" s="9"/>
      <c r="C727" s="9"/>
      <c r="D727" s="9"/>
      <c r="E727" s="9"/>
      <c r="F727" s="9"/>
    </row>
    <row r="728">
      <c r="A728" s="9"/>
      <c r="B728" s="9"/>
      <c r="C728" s="9"/>
      <c r="D728" s="9"/>
      <c r="E728" s="9"/>
      <c r="F728" s="9"/>
    </row>
    <row r="729">
      <c r="A729" s="9"/>
      <c r="B729" s="9"/>
      <c r="C729" s="9"/>
      <c r="D729" s="9"/>
      <c r="E729" s="9"/>
      <c r="F729" s="9"/>
    </row>
    <row r="730">
      <c r="A730" s="9"/>
      <c r="B730" s="9"/>
      <c r="C730" s="9"/>
      <c r="D730" s="9"/>
      <c r="E730" s="9"/>
      <c r="F730" s="9"/>
    </row>
    <row r="731">
      <c r="A731" s="9"/>
      <c r="B731" s="9"/>
      <c r="C731" s="9"/>
      <c r="D731" s="9"/>
      <c r="E731" s="9"/>
      <c r="F731" s="9"/>
    </row>
    <row r="732">
      <c r="A732" s="9"/>
      <c r="B732" s="9"/>
      <c r="C732" s="9"/>
      <c r="D732" s="9"/>
      <c r="E732" s="9"/>
      <c r="F732" s="9"/>
    </row>
    <row r="733">
      <c r="A733" s="9"/>
      <c r="B733" s="9"/>
      <c r="C733" s="9"/>
      <c r="D733" s="9"/>
      <c r="E733" s="9"/>
      <c r="F733" s="9"/>
    </row>
    <row r="734">
      <c r="A734" s="9"/>
      <c r="B734" s="9"/>
      <c r="C734" s="9"/>
      <c r="D734" s="9"/>
      <c r="E734" s="9"/>
      <c r="F734" s="9"/>
    </row>
    <row r="735">
      <c r="A735" s="9"/>
      <c r="B735" s="9"/>
      <c r="C735" s="9"/>
      <c r="D735" s="9"/>
      <c r="E735" s="9"/>
      <c r="F735" s="9"/>
    </row>
    <row r="736">
      <c r="A736" s="9"/>
      <c r="B736" s="9"/>
      <c r="C736" s="9"/>
      <c r="D736" s="9"/>
      <c r="E736" s="9"/>
      <c r="F736" s="9"/>
    </row>
    <row r="737">
      <c r="A737" s="9"/>
      <c r="B737" s="9"/>
      <c r="C737" s="9"/>
      <c r="D737" s="9"/>
      <c r="E737" s="9"/>
      <c r="F737" s="9"/>
    </row>
    <row r="738">
      <c r="A738" s="9"/>
      <c r="B738" s="9"/>
      <c r="C738" s="9"/>
      <c r="D738" s="9"/>
      <c r="E738" s="9"/>
      <c r="F738" s="9"/>
    </row>
    <row r="739">
      <c r="A739" s="9"/>
      <c r="B739" s="9"/>
      <c r="C739" s="9"/>
      <c r="D739" s="9"/>
      <c r="E739" s="9"/>
      <c r="F739" s="9"/>
    </row>
    <row r="740">
      <c r="A740" s="9"/>
      <c r="B740" s="9"/>
      <c r="C740" s="9"/>
      <c r="D740" s="9"/>
      <c r="E740" s="9"/>
      <c r="F740" s="9"/>
    </row>
    <row r="741">
      <c r="A741" s="9"/>
      <c r="B741" s="9"/>
      <c r="C741" s="9"/>
      <c r="D741" s="9"/>
      <c r="E741" s="9"/>
      <c r="F741" s="9"/>
    </row>
    <row r="742">
      <c r="A742" s="9"/>
      <c r="B742" s="9"/>
      <c r="C742" s="9"/>
      <c r="D742" s="9"/>
      <c r="E742" s="9"/>
      <c r="F742" s="9"/>
    </row>
    <row r="743">
      <c r="A743" s="9"/>
      <c r="B743" s="9"/>
      <c r="C743" s="9"/>
      <c r="D743" s="9"/>
      <c r="E743" s="9"/>
      <c r="F743" s="9"/>
    </row>
    <row r="744">
      <c r="A744" s="9"/>
      <c r="B744" s="9"/>
      <c r="C744" s="9"/>
      <c r="D744" s="9"/>
      <c r="E744" s="9"/>
      <c r="F744" s="9"/>
    </row>
    <row r="745">
      <c r="A745" s="9"/>
      <c r="B745" s="9"/>
      <c r="C745" s="9"/>
      <c r="D745" s="9"/>
      <c r="E745" s="9"/>
      <c r="F745" s="9"/>
    </row>
    <row r="746">
      <c r="A746" s="9"/>
      <c r="B746" s="9"/>
      <c r="C746" s="9"/>
      <c r="D746" s="9"/>
      <c r="E746" s="9"/>
      <c r="F746" s="9"/>
    </row>
    <row r="747">
      <c r="A747" s="9"/>
      <c r="B747" s="9"/>
      <c r="C747" s="9"/>
      <c r="D747" s="9"/>
      <c r="E747" s="9"/>
      <c r="F747" s="9"/>
    </row>
    <row r="748">
      <c r="A748" s="9"/>
      <c r="B748" s="9"/>
      <c r="C748" s="9"/>
      <c r="D748" s="9"/>
      <c r="E748" s="9"/>
      <c r="F748" s="9"/>
    </row>
    <row r="749">
      <c r="A749" s="9"/>
      <c r="B749" s="9"/>
      <c r="C749" s="9"/>
      <c r="D749" s="9"/>
      <c r="E749" s="9"/>
      <c r="F749" s="9"/>
    </row>
    <row r="750">
      <c r="A750" s="9"/>
      <c r="B750" s="9"/>
      <c r="C750" s="9"/>
      <c r="D750" s="9"/>
      <c r="E750" s="9"/>
      <c r="F750" s="9"/>
    </row>
    <row r="751">
      <c r="A751" s="9"/>
      <c r="B751" s="9"/>
      <c r="C751" s="9"/>
      <c r="D751" s="9"/>
      <c r="E751" s="9"/>
      <c r="F751" s="9"/>
    </row>
    <row r="752">
      <c r="A752" s="9"/>
      <c r="B752" s="9"/>
      <c r="C752" s="9"/>
      <c r="D752" s="9"/>
      <c r="E752" s="9"/>
      <c r="F752" s="9"/>
    </row>
    <row r="753">
      <c r="A753" s="9"/>
      <c r="B753" s="9"/>
      <c r="C753" s="9"/>
      <c r="D753" s="9"/>
      <c r="E753" s="9"/>
      <c r="F753" s="9"/>
    </row>
    <row r="754">
      <c r="A754" s="9"/>
      <c r="B754" s="9"/>
      <c r="C754" s="9"/>
      <c r="D754" s="9"/>
      <c r="E754" s="9"/>
      <c r="F754" s="9"/>
    </row>
    <row r="755">
      <c r="A755" s="9"/>
      <c r="B755" s="9"/>
      <c r="C755" s="9"/>
      <c r="D755" s="9"/>
      <c r="E755" s="9"/>
      <c r="F755" s="9"/>
    </row>
    <row r="756">
      <c r="A756" s="9"/>
      <c r="B756" s="9"/>
      <c r="C756" s="9"/>
      <c r="D756" s="9"/>
      <c r="E756" s="9"/>
      <c r="F756" s="9"/>
    </row>
    <row r="757">
      <c r="A757" s="9"/>
      <c r="B757" s="9"/>
      <c r="C757" s="9"/>
      <c r="D757" s="9"/>
      <c r="E757" s="9"/>
      <c r="F757" s="9"/>
    </row>
    <row r="758">
      <c r="A758" s="9"/>
      <c r="B758" s="9"/>
      <c r="C758" s="9"/>
      <c r="D758" s="9"/>
      <c r="E758" s="9"/>
      <c r="F758" s="9"/>
    </row>
    <row r="759">
      <c r="A759" s="9"/>
      <c r="B759" s="9"/>
      <c r="C759" s="9"/>
      <c r="D759" s="9"/>
      <c r="E759" s="9"/>
      <c r="F759" s="9"/>
    </row>
    <row r="760">
      <c r="A760" s="9"/>
      <c r="B760" s="9"/>
      <c r="C760" s="9"/>
      <c r="D760" s="9"/>
      <c r="E760" s="9"/>
      <c r="F760" s="9"/>
    </row>
    <row r="761">
      <c r="A761" s="9"/>
      <c r="B761" s="9"/>
      <c r="C761" s="9"/>
      <c r="D761" s="9"/>
      <c r="E761" s="9"/>
      <c r="F761" s="9"/>
    </row>
    <row r="762">
      <c r="A762" s="9"/>
      <c r="B762" s="9"/>
      <c r="C762" s="9"/>
      <c r="D762" s="9"/>
      <c r="E762" s="9"/>
      <c r="F762" s="9"/>
    </row>
    <row r="763">
      <c r="A763" s="9"/>
      <c r="B763" s="9"/>
      <c r="C763" s="9"/>
      <c r="D763" s="9"/>
      <c r="E763" s="9"/>
      <c r="F763" s="9"/>
    </row>
    <row r="764">
      <c r="A764" s="9"/>
      <c r="B764" s="9"/>
      <c r="C764" s="9"/>
      <c r="D764" s="9"/>
      <c r="E764" s="9"/>
      <c r="F764" s="9"/>
    </row>
    <row r="765">
      <c r="A765" s="9"/>
      <c r="B765" s="9"/>
      <c r="C765" s="9"/>
      <c r="D765" s="9"/>
      <c r="E765" s="9"/>
      <c r="F765" s="9"/>
    </row>
    <row r="766">
      <c r="A766" s="9"/>
      <c r="B766" s="9"/>
      <c r="C766" s="9"/>
      <c r="D766" s="9"/>
      <c r="E766" s="9"/>
      <c r="F766" s="9"/>
    </row>
    <row r="767">
      <c r="A767" s="9"/>
      <c r="B767" s="9"/>
      <c r="C767" s="9"/>
      <c r="D767" s="9"/>
      <c r="E767" s="9"/>
      <c r="F767" s="9"/>
    </row>
    <row r="768">
      <c r="A768" s="9"/>
      <c r="B768" s="9"/>
      <c r="C768" s="9"/>
      <c r="D768" s="9"/>
      <c r="E768" s="9"/>
      <c r="F768" s="9"/>
    </row>
    <row r="769">
      <c r="A769" s="9"/>
      <c r="B769" s="9"/>
      <c r="C769" s="9"/>
      <c r="D769" s="9"/>
      <c r="E769" s="9"/>
      <c r="F769" s="9"/>
    </row>
    <row r="770">
      <c r="A770" s="9"/>
      <c r="B770" s="9"/>
      <c r="C770" s="9"/>
      <c r="D770" s="9"/>
      <c r="E770" s="9"/>
      <c r="F770" s="9"/>
    </row>
    <row r="771">
      <c r="A771" s="9"/>
      <c r="B771" s="9"/>
      <c r="C771" s="9"/>
      <c r="D771" s="9"/>
      <c r="E771" s="9"/>
      <c r="F771" s="9"/>
    </row>
    <row r="772">
      <c r="A772" s="9"/>
      <c r="B772" s="9"/>
      <c r="C772" s="9"/>
      <c r="D772" s="9"/>
      <c r="E772" s="9"/>
      <c r="F772" s="9"/>
    </row>
    <row r="773">
      <c r="A773" s="9"/>
      <c r="B773" s="9"/>
      <c r="C773" s="9"/>
      <c r="D773" s="9"/>
      <c r="E773" s="9"/>
      <c r="F773" s="9"/>
    </row>
    <row r="774">
      <c r="A774" s="9"/>
      <c r="B774" s="9"/>
      <c r="C774" s="9"/>
      <c r="D774" s="9"/>
      <c r="E774" s="9"/>
      <c r="F774" s="9"/>
    </row>
    <row r="775">
      <c r="A775" s="9"/>
      <c r="B775" s="9"/>
      <c r="C775" s="9"/>
      <c r="D775" s="9"/>
      <c r="E775" s="9"/>
      <c r="F775" s="9"/>
    </row>
    <row r="776">
      <c r="A776" s="9"/>
      <c r="B776" s="9"/>
      <c r="C776" s="9"/>
      <c r="D776" s="9"/>
      <c r="E776" s="9"/>
      <c r="F776" s="9"/>
    </row>
    <row r="777">
      <c r="A777" s="9"/>
      <c r="B777" s="9"/>
      <c r="C777" s="9"/>
      <c r="D777" s="9"/>
      <c r="E777" s="9"/>
      <c r="F777" s="9"/>
    </row>
    <row r="778">
      <c r="A778" s="9"/>
      <c r="B778" s="9"/>
      <c r="C778" s="9"/>
      <c r="D778" s="9"/>
      <c r="E778" s="9"/>
      <c r="F778" s="9"/>
    </row>
    <row r="779">
      <c r="A779" s="9"/>
      <c r="B779" s="9"/>
      <c r="C779" s="9"/>
      <c r="D779" s="9"/>
      <c r="E779" s="9"/>
      <c r="F779" s="9"/>
    </row>
    <row r="780">
      <c r="A780" s="9"/>
      <c r="B780" s="9"/>
      <c r="C780" s="9"/>
      <c r="D780" s="9"/>
      <c r="E780" s="9"/>
      <c r="F780" s="9"/>
    </row>
    <row r="781">
      <c r="A781" s="9"/>
      <c r="B781" s="9"/>
      <c r="C781" s="9"/>
      <c r="D781" s="9"/>
      <c r="E781" s="9"/>
      <c r="F781" s="9"/>
    </row>
    <row r="782">
      <c r="A782" s="9"/>
      <c r="B782" s="9"/>
      <c r="C782" s="9"/>
      <c r="D782" s="9"/>
      <c r="E782" s="9"/>
      <c r="F782" s="9"/>
    </row>
    <row r="783">
      <c r="A783" s="9"/>
      <c r="B783" s="9"/>
      <c r="C783" s="9"/>
      <c r="D783" s="9"/>
      <c r="E783" s="9"/>
      <c r="F783" s="9"/>
    </row>
    <row r="784">
      <c r="A784" s="9"/>
      <c r="B784" s="9"/>
      <c r="C784" s="9"/>
      <c r="D784" s="9"/>
      <c r="E784" s="9"/>
      <c r="F784" s="9"/>
    </row>
    <row r="785">
      <c r="A785" s="9"/>
      <c r="B785" s="9"/>
      <c r="C785" s="9"/>
      <c r="D785" s="9"/>
      <c r="E785" s="9"/>
      <c r="F785" s="9"/>
    </row>
    <row r="786">
      <c r="A786" s="9"/>
      <c r="B786" s="9"/>
      <c r="C786" s="9"/>
      <c r="D786" s="9"/>
      <c r="E786" s="9"/>
      <c r="F786" s="9"/>
    </row>
    <row r="787">
      <c r="A787" s="9"/>
      <c r="B787" s="9"/>
      <c r="C787" s="9"/>
      <c r="D787" s="9"/>
      <c r="E787" s="9"/>
      <c r="F787" s="9"/>
    </row>
    <row r="788">
      <c r="A788" s="9"/>
      <c r="B788" s="9"/>
      <c r="C788" s="9"/>
      <c r="D788" s="9"/>
      <c r="E788" s="9"/>
      <c r="F788" s="9"/>
    </row>
    <row r="789">
      <c r="A789" s="9"/>
      <c r="B789" s="9"/>
      <c r="C789" s="9"/>
      <c r="D789" s="9"/>
      <c r="E789" s="9"/>
      <c r="F789" s="9"/>
    </row>
    <row r="790">
      <c r="A790" s="9"/>
      <c r="B790" s="9"/>
      <c r="C790" s="9"/>
      <c r="D790" s="9"/>
      <c r="E790" s="9"/>
      <c r="F790" s="9"/>
    </row>
    <row r="791">
      <c r="A791" s="9"/>
      <c r="B791" s="9"/>
      <c r="C791" s="9"/>
      <c r="D791" s="9"/>
      <c r="E791" s="9"/>
      <c r="F791" s="9"/>
    </row>
    <row r="792">
      <c r="A792" s="9"/>
      <c r="B792" s="9"/>
      <c r="C792" s="9"/>
      <c r="D792" s="9"/>
      <c r="E792" s="9"/>
      <c r="F792" s="9"/>
    </row>
    <row r="793">
      <c r="A793" s="9"/>
      <c r="B793" s="9"/>
      <c r="C793" s="9"/>
      <c r="D793" s="9"/>
      <c r="E793" s="9"/>
      <c r="F793" s="9"/>
    </row>
    <row r="794">
      <c r="A794" s="9"/>
      <c r="B794" s="9"/>
      <c r="C794" s="9"/>
      <c r="D794" s="9"/>
      <c r="E794" s="9"/>
      <c r="F794" s="9"/>
    </row>
    <row r="795">
      <c r="A795" s="9"/>
      <c r="B795" s="9"/>
      <c r="C795" s="9"/>
      <c r="D795" s="9"/>
      <c r="E795" s="9"/>
      <c r="F795" s="9"/>
    </row>
    <row r="796">
      <c r="A796" s="9"/>
      <c r="B796" s="9"/>
      <c r="C796" s="9"/>
      <c r="D796" s="9"/>
      <c r="E796" s="9"/>
      <c r="F796" s="9"/>
    </row>
    <row r="797">
      <c r="A797" s="9"/>
      <c r="B797" s="9"/>
      <c r="C797" s="9"/>
      <c r="D797" s="9"/>
      <c r="E797" s="9"/>
      <c r="F797" s="9"/>
    </row>
    <row r="798">
      <c r="A798" s="9"/>
      <c r="B798" s="9"/>
      <c r="C798" s="9"/>
      <c r="D798" s="9"/>
      <c r="E798" s="9"/>
      <c r="F798" s="9"/>
    </row>
    <row r="799">
      <c r="A799" s="9"/>
      <c r="B799" s="9"/>
      <c r="C799" s="9"/>
      <c r="D799" s="9"/>
      <c r="E799" s="9"/>
      <c r="F799" s="9"/>
    </row>
    <row r="800">
      <c r="A800" s="9"/>
      <c r="B800" s="9"/>
      <c r="C800" s="9"/>
      <c r="D800" s="9"/>
      <c r="E800" s="9"/>
      <c r="F800" s="9"/>
    </row>
    <row r="801">
      <c r="A801" s="9"/>
      <c r="B801" s="9"/>
      <c r="C801" s="9"/>
      <c r="D801" s="9"/>
      <c r="E801" s="9"/>
      <c r="F801" s="9"/>
    </row>
    <row r="802">
      <c r="A802" s="9"/>
      <c r="B802" s="9"/>
      <c r="C802" s="9"/>
      <c r="D802" s="9"/>
      <c r="E802" s="9"/>
      <c r="F802" s="9"/>
    </row>
    <row r="803">
      <c r="A803" s="9"/>
      <c r="B803" s="9"/>
      <c r="C803" s="9"/>
      <c r="D803" s="9"/>
      <c r="E803" s="9"/>
      <c r="F803" s="9"/>
    </row>
    <row r="804">
      <c r="A804" s="9"/>
      <c r="B804" s="9"/>
      <c r="C804" s="9"/>
      <c r="D804" s="9"/>
      <c r="E804" s="9"/>
      <c r="F804" s="9"/>
    </row>
    <row r="805">
      <c r="A805" s="9"/>
      <c r="B805" s="9"/>
      <c r="C805" s="9"/>
      <c r="D805" s="9"/>
      <c r="E805" s="9"/>
      <c r="F805" s="9"/>
    </row>
    <row r="806">
      <c r="A806" s="9"/>
      <c r="B806" s="9"/>
      <c r="C806" s="9"/>
      <c r="D806" s="9"/>
      <c r="E806" s="9"/>
      <c r="F806" s="9"/>
    </row>
    <row r="807">
      <c r="A807" s="9"/>
      <c r="B807" s="9"/>
      <c r="C807" s="9"/>
      <c r="D807" s="9"/>
      <c r="E807" s="9"/>
      <c r="F807" s="9"/>
    </row>
    <row r="808">
      <c r="A808" s="9"/>
      <c r="B808" s="9"/>
      <c r="C808" s="9"/>
      <c r="D808" s="9"/>
      <c r="E808" s="9"/>
      <c r="F808" s="9"/>
    </row>
    <row r="809">
      <c r="A809" s="9"/>
      <c r="B809" s="9"/>
      <c r="C809" s="9"/>
      <c r="D809" s="9"/>
      <c r="E809" s="9"/>
      <c r="F809" s="9"/>
    </row>
    <row r="810">
      <c r="A810" s="9"/>
      <c r="B810" s="9"/>
      <c r="C810" s="9"/>
      <c r="D810" s="9"/>
      <c r="E810" s="9"/>
      <c r="F810" s="9"/>
    </row>
    <row r="811">
      <c r="A811" s="9"/>
      <c r="B811" s="9"/>
      <c r="C811" s="9"/>
      <c r="D811" s="9"/>
      <c r="E811" s="9"/>
      <c r="F811" s="9"/>
    </row>
    <row r="812">
      <c r="A812" s="9"/>
      <c r="B812" s="9"/>
      <c r="C812" s="9"/>
      <c r="D812" s="9"/>
      <c r="E812" s="9"/>
      <c r="F812" s="9"/>
    </row>
    <row r="813">
      <c r="A813" s="9"/>
      <c r="B813" s="9"/>
      <c r="C813" s="9"/>
      <c r="D813" s="9"/>
      <c r="E813" s="9"/>
      <c r="F813" s="9"/>
    </row>
    <row r="814">
      <c r="A814" s="9"/>
      <c r="B814" s="9"/>
      <c r="C814" s="9"/>
      <c r="D814" s="9"/>
      <c r="E814" s="9"/>
      <c r="F814" s="9"/>
    </row>
    <row r="815">
      <c r="A815" s="9"/>
      <c r="B815" s="9"/>
      <c r="C815" s="9"/>
      <c r="D815" s="9"/>
      <c r="E815" s="9"/>
      <c r="F815" s="9"/>
    </row>
    <row r="816">
      <c r="A816" s="9"/>
      <c r="B816" s="9"/>
      <c r="C816" s="9"/>
      <c r="D816" s="9"/>
      <c r="E816" s="9"/>
      <c r="F816" s="9"/>
    </row>
    <row r="817">
      <c r="A817" s="9"/>
      <c r="B817" s="9"/>
      <c r="C817" s="9"/>
      <c r="D817" s="9"/>
      <c r="E817" s="9"/>
      <c r="F817" s="9"/>
    </row>
    <row r="818">
      <c r="A818" s="9"/>
      <c r="B818" s="9"/>
      <c r="C818" s="9"/>
      <c r="D818" s="9"/>
      <c r="E818" s="9"/>
      <c r="F818" s="9"/>
    </row>
    <row r="819">
      <c r="A819" s="9"/>
      <c r="B819" s="9"/>
      <c r="C819" s="9"/>
      <c r="D819" s="9"/>
      <c r="E819" s="9"/>
      <c r="F819" s="9"/>
    </row>
    <row r="820">
      <c r="A820" s="9"/>
      <c r="B820" s="9"/>
      <c r="C820" s="9"/>
      <c r="D820" s="9"/>
      <c r="E820" s="9"/>
      <c r="F820" s="9"/>
    </row>
    <row r="821">
      <c r="A821" s="9"/>
      <c r="B821" s="9"/>
      <c r="C821" s="9"/>
      <c r="D821" s="9"/>
      <c r="E821" s="9"/>
      <c r="F821" s="9"/>
    </row>
    <row r="822">
      <c r="A822" s="9"/>
      <c r="B822" s="9"/>
      <c r="C822" s="9"/>
      <c r="D822" s="9"/>
      <c r="E822" s="9"/>
      <c r="F822" s="9"/>
    </row>
    <row r="823">
      <c r="A823" s="9"/>
      <c r="B823" s="9"/>
      <c r="C823" s="9"/>
      <c r="D823" s="9"/>
      <c r="E823" s="9"/>
      <c r="F823" s="9"/>
    </row>
    <row r="824">
      <c r="A824" s="9"/>
      <c r="B824" s="9"/>
      <c r="C824" s="9"/>
      <c r="D824" s="9"/>
      <c r="E824" s="9"/>
      <c r="F824" s="9"/>
    </row>
    <row r="825">
      <c r="A825" s="9"/>
      <c r="B825" s="9"/>
      <c r="C825" s="9"/>
      <c r="D825" s="9"/>
      <c r="E825" s="9"/>
      <c r="F825" s="9"/>
    </row>
    <row r="826">
      <c r="A826" s="9"/>
      <c r="B826" s="9"/>
      <c r="C826" s="9"/>
      <c r="D826" s="9"/>
      <c r="E826" s="9"/>
      <c r="F826" s="9"/>
    </row>
    <row r="827">
      <c r="A827" s="9"/>
      <c r="B827" s="9"/>
      <c r="C827" s="9"/>
      <c r="D827" s="9"/>
      <c r="E827" s="9"/>
      <c r="F827" s="9"/>
    </row>
    <row r="828">
      <c r="A828" s="9"/>
      <c r="B828" s="9"/>
      <c r="C828" s="9"/>
      <c r="D828" s="9"/>
      <c r="E828" s="9"/>
      <c r="F828" s="9"/>
    </row>
    <row r="829">
      <c r="A829" s="9"/>
      <c r="B829" s="9"/>
      <c r="C829" s="9"/>
      <c r="D829" s="9"/>
      <c r="E829" s="9"/>
      <c r="F829" s="9"/>
    </row>
    <row r="830">
      <c r="A830" s="9"/>
      <c r="B830" s="9"/>
      <c r="C830" s="9"/>
      <c r="D830" s="9"/>
      <c r="E830" s="9"/>
      <c r="F830" s="9"/>
    </row>
    <row r="831">
      <c r="A831" s="9"/>
      <c r="B831" s="9"/>
      <c r="C831" s="9"/>
      <c r="D831" s="9"/>
      <c r="E831" s="9"/>
      <c r="F831" s="9"/>
    </row>
    <row r="832">
      <c r="A832" s="9"/>
      <c r="B832" s="9"/>
      <c r="C832" s="9"/>
      <c r="D832" s="9"/>
      <c r="E832" s="9"/>
      <c r="F832" s="9"/>
    </row>
    <row r="833">
      <c r="A833" s="9"/>
      <c r="B833" s="9"/>
      <c r="C833" s="9"/>
      <c r="D833" s="9"/>
      <c r="E833" s="9"/>
      <c r="F833" s="9"/>
    </row>
    <row r="834">
      <c r="A834" s="9"/>
      <c r="B834" s="9"/>
      <c r="C834" s="9"/>
      <c r="D834" s="9"/>
      <c r="E834" s="9"/>
      <c r="F834" s="9"/>
    </row>
    <row r="835">
      <c r="A835" s="9"/>
      <c r="B835" s="9"/>
      <c r="C835" s="9"/>
      <c r="D835" s="9"/>
      <c r="E835" s="9"/>
      <c r="F835" s="9"/>
    </row>
    <row r="836">
      <c r="A836" s="9"/>
      <c r="B836" s="9"/>
      <c r="C836" s="9"/>
      <c r="D836" s="9"/>
      <c r="E836" s="9"/>
      <c r="F836" s="9"/>
    </row>
    <row r="837">
      <c r="A837" s="9"/>
      <c r="B837" s="9"/>
      <c r="C837" s="9"/>
      <c r="D837" s="9"/>
      <c r="E837" s="9"/>
      <c r="F837" s="9"/>
    </row>
    <row r="838">
      <c r="A838" s="9"/>
      <c r="B838" s="9"/>
      <c r="C838" s="9"/>
      <c r="D838" s="9"/>
      <c r="E838" s="9"/>
      <c r="F838" s="9"/>
    </row>
    <row r="839">
      <c r="A839" s="9"/>
      <c r="B839" s="9"/>
      <c r="C839" s="9"/>
      <c r="D839" s="9"/>
      <c r="E839" s="9"/>
      <c r="F839" s="9"/>
    </row>
    <row r="840">
      <c r="A840" s="9"/>
      <c r="B840" s="9"/>
      <c r="C840" s="9"/>
      <c r="D840" s="9"/>
      <c r="E840" s="9"/>
      <c r="F840" s="9"/>
    </row>
    <row r="841">
      <c r="A841" s="9"/>
      <c r="B841" s="9"/>
      <c r="C841" s="9"/>
      <c r="D841" s="9"/>
      <c r="E841" s="9"/>
      <c r="F841" s="9"/>
    </row>
    <row r="842">
      <c r="A842" s="9"/>
      <c r="B842" s="9"/>
      <c r="C842" s="9"/>
      <c r="D842" s="9"/>
      <c r="E842" s="9"/>
      <c r="F842" s="9"/>
    </row>
    <row r="843">
      <c r="A843" s="9"/>
      <c r="B843" s="9"/>
      <c r="C843" s="9"/>
      <c r="D843" s="9"/>
      <c r="E843" s="9"/>
      <c r="F843" s="9"/>
    </row>
    <row r="844">
      <c r="A844" s="9"/>
      <c r="B844" s="9"/>
      <c r="C844" s="9"/>
      <c r="D844" s="9"/>
      <c r="E844" s="9"/>
      <c r="F844" s="9"/>
    </row>
    <row r="845">
      <c r="A845" s="9"/>
      <c r="B845" s="9"/>
      <c r="C845" s="9"/>
      <c r="D845" s="9"/>
      <c r="E845" s="9"/>
      <c r="F845" s="9"/>
    </row>
    <row r="846">
      <c r="A846" s="9"/>
      <c r="B846" s="9"/>
      <c r="C846" s="9"/>
      <c r="D846" s="9"/>
      <c r="E846" s="9"/>
      <c r="F846" s="9"/>
    </row>
    <row r="847">
      <c r="A847" s="9"/>
      <c r="B847" s="9"/>
      <c r="C847" s="9"/>
      <c r="D847" s="9"/>
      <c r="E847" s="9"/>
      <c r="F847" s="9"/>
    </row>
    <row r="848">
      <c r="A848" s="9"/>
      <c r="B848" s="9"/>
      <c r="C848" s="9"/>
      <c r="D848" s="9"/>
      <c r="E848" s="9"/>
      <c r="F848" s="9"/>
    </row>
    <row r="849">
      <c r="A849" s="9"/>
      <c r="B849" s="9"/>
      <c r="C849" s="9"/>
      <c r="D849" s="9"/>
      <c r="E849" s="9"/>
      <c r="F849" s="9"/>
    </row>
    <row r="850">
      <c r="A850" s="9"/>
      <c r="B850" s="9"/>
      <c r="C850" s="9"/>
      <c r="D850" s="9"/>
      <c r="E850" s="9"/>
      <c r="F850" s="9"/>
    </row>
    <row r="851">
      <c r="A851" s="9"/>
      <c r="B851" s="9"/>
      <c r="C851" s="9"/>
      <c r="D851" s="9"/>
      <c r="E851" s="9"/>
      <c r="F851" s="9"/>
    </row>
    <row r="852">
      <c r="A852" s="9"/>
      <c r="B852" s="9"/>
      <c r="C852" s="9"/>
      <c r="D852" s="9"/>
      <c r="E852" s="9"/>
      <c r="F852" s="9"/>
    </row>
    <row r="853">
      <c r="A853" s="9"/>
      <c r="B853" s="9"/>
      <c r="C853" s="9"/>
      <c r="D853" s="9"/>
      <c r="E853" s="9"/>
      <c r="F853" s="9"/>
    </row>
    <row r="854">
      <c r="A854" s="9"/>
      <c r="B854" s="9"/>
      <c r="C854" s="9"/>
      <c r="D854" s="9"/>
      <c r="E854" s="9"/>
      <c r="F854" s="9"/>
    </row>
    <row r="855">
      <c r="A855" s="9"/>
      <c r="B855" s="9"/>
      <c r="C855" s="9"/>
      <c r="D855" s="9"/>
      <c r="E855" s="9"/>
      <c r="F855" s="9"/>
    </row>
    <row r="856">
      <c r="A856" s="9"/>
      <c r="B856" s="9"/>
      <c r="C856" s="9"/>
      <c r="D856" s="9"/>
      <c r="E856" s="9"/>
      <c r="F856" s="9"/>
    </row>
    <row r="857">
      <c r="A857" s="9"/>
      <c r="B857" s="9"/>
      <c r="C857" s="9"/>
      <c r="D857" s="9"/>
      <c r="E857" s="9"/>
      <c r="F857" s="9"/>
    </row>
    <row r="858">
      <c r="A858" s="9"/>
      <c r="B858" s="9"/>
      <c r="C858" s="9"/>
      <c r="D858" s="9"/>
      <c r="E858" s="9"/>
      <c r="F858" s="9"/>
    </row>
    <row r="859">
      <c r="A859" s="9"/>
      <c r="B859" s="9"/>
      <c r="C859" s="9"/>
      <c r="D859" s="9"/>
      <c r="E859" s="9"/>
      <c r="F859" s="9"/>
    </row>
    <row r="860">
      <c r="A860" s="9"/>
      <c r="B860" s="9"/>
      <c r="C860" s="9"/>
      <c r="D860" s="9"/>
      <c r="E860" s="9"/>
      <c r="F860" s="9"/>
    </row>
    <row r="861">
      <c r="A861" s="9"/>
      <c r="B861" s="9"/>
      <c r="C861" s="9"/>
      <c r="D861" s="9"/>
      <c r="E861" s="9"/>
      <c r="F861" s="9"/>
    </row>
    <row r="862">
      <c r="A862" s="9"/>
      <c r="B862" s="9"/>
      <c r="C862" s="9"/>
      <c r="D862" s="9"/>
      <c r="E862" s="9"/>
      <c r="F862" s="9"/>
    </row>
    <row r="863">
      <c r="A863" s="9"/>
      <c r="B863" s="9"/>
      <c r="C863" s="9"/>
      <c r="D863" s="9"/>
      <c r="E863" s="9"/>
      <c r="F863" s="9"/>
    </row>
    <row r="864">
      <c r="A864" s="9"/>
      <c r="B864" s="9"/>
      <c r="C864" s="9"/>
      <c r="D864" s="9"/>
      <c r="E864" s="9"/>
      <c r="F864" s="9"/>
    </row>
    <row r="865">
      <c r="A865" s="9"/>
      <c r="B865" s="9"/>
      <c r="C865" s="9"/>
      <c r="D865" s="9"/>
      <c r="E865" s="9"/>
      <c r="F865" s="9"/>
    </row>
    <row r="866">
      <c r="A866" s="9"/>
      <c r="B866" s="9"/>
      <c r="C866" s="9"/>
      <c r="D866" s="9"/>
      <c r="E866" s="9"/>
      <c r="F866" s="9"/>
    </row>
    <row r="867">
      <c r="A867" s="9"/>
      <c r="B867" s="9"/>
      <c r="C867" s="9"/>
      <c r="D867" s="9"/>
      <c r="E867" s="9"/>
      <c r="F867" s="9"/>
    </row>
    <row r="868">
      <c r="A868" s="9"/>
      <c r="B868" s="9"/>
      <c r="C868" s="9"/>
      <c r="D868" s="9"/>
      <c r="E868" s="9"/>
      <c r="F868" s="9"/>
    </row>
    <row r="869">
      <c r="A869" s="9"/>
      <c r="B869" s="9"/>
      <c r="C869" s="9"/>
      <c r="D869" s="9"/>
      <c r="E869" s="9"/>
      <c r="F869" s="9"/>
    </row>
    <row r="870">
      <c r="A870" s="9"/>
      <c r="B870" s="9"/>
      <c r="C870" s="9"/>
      <c r="D870" s="9"/>
      <c r="E870" s="9"/>
      <c r="F870" s="9"/>
    </row>
    <row r="871">
      <c r="A871" s="9"/>
      <c r="B871" s="9"/>
      <c r="C871" s="9"/>
      <c r="D871" s="9"/>
      <c r="E871" s="9"/>
      <c r="F871" s="9"/>
    </row>
    <row r="872">
      <c r="A872" s="9"/>
      <c r="B872" s="9"/>
      <c r="C872" s="9"/>
      <c r="D872" s="9"/>
      <c r="E872" s="9"/>
      <c r="F872" s="9"/>
    </row>
    <row r="873">
      <c r="A873" s="9"/>
      <c r="B873" s="9"/>
      <c r="C873" s="9"/>
      <c r="D873" s="9"/>
      <c r="E873" s="9"/>
      <c r="F873" s="9"/>
    </row>
    <row r="874">
      <c r="A874" s="9"/>
      <c r="B874" s="9"/>
      <c r="C874" s="9"/>
      <c r="D874" s="9"/>
      <c r="E874" s="9"/>
      <c r="F874" s="9"/>
    </row>
    <row r="875">
      <c r="A875" s="9"/>
      <c r="B875" s="9"/>
      <c r="C875" s="9"/>
      <c r="D875" s="9"/>
      <c r="E875" s="9"/>
      <c r="F875" s="9"/>
    </row>
    <row r="876">
      <c r="A876" s="9"/>
      <c r="B876" s="9"/>
      <c r="C876" s="9"/>
      <c r="D876" s="9"/>
      <c r="E876" s="9"/>
      <c r="F876" s="9"/>
    </row>
    <row r="877">
      <c r="A877" s="9"/>
      <c r="B877" s="9"/>
      <c r="C877" s="9"/>
      <c r="D877" s="9"/>
      <c r="E877" s="9"/>
      <c r="F877" s="9"/>
    </row>
    <row r="878">
      <c r="A878" s="9"/>
      <c r="B878" s="9"/>
      <c r="C878" s="9"/>
      <c r="D878" s="9"/>
      <c r="E878" s="9"/>
      <c r="F878" s="9"/>
    </row>
    <row r="879">
      <c r="A879" s="9"/>
      <c r="B879" s="9"/>
      <c r="C879" s="9"/>
      <c r="D879" s="9"/>
      <c r="E879" s="9"/>
      <c r="F879" s="9"/>
    </row>
    <row r="880">
      <c r="A880" s="9"/>
      <c r="B880" s="9"/>
      <c r="C880" s="9"/>
      <c r="D880" s="9"/>
      <c r="E880" s="9"/>
      <c r="F880" s="9"/>
    </row>
    <row r="881">
      <c r="A881" s="9"/>
      <c r="B881" s="9"/>
      <c r="C881" s="9"/>
      <c r="D881" s="9"/>
      <c r="E881" s="9"/>
      <c r="F881" s="9"/>
    </row>
    <row r="882">
      <c r="A882" s="9"/>
      <c r="B882" s="9"/>
      <c r="C882" s="9"/>
      <c r="D882" s="9"/>
      <c r="E882" s="9"/>
      <c r="F882" s="9"/>
    </row>
    <row r="883">
      <c r="A883" s="9"/>
      <c r="B883" s="9"/>
      <c r="C883" s="9"/>
      <c r="D883" s="9"/>
      <c r="E883" s="9"/>
      <c r="F883" s="9"/>
    </row>
    <row r="884">
      <c r="A884" s="9"/>
      <c r="B884" s="9"/>
      <c r="C884" s="9"/>
      <c r="D884" s="9"/>
      <c r="E884" s="9"/>
      <c r="F884" s="9"/>
    </row>
    <row r="885">
      <c r="A885" s="9"/>
      <c r="B885" s="9"/>
      <c r="C885" s="9"/>
      <c r="D885" s="9"/>
      <c r="E885" s="9"/>
      <c r="F885" s="9"/>
    </row>
    <row r="886">
      <c r="A886" s="9"/>
      <c r="B886" s="9"/>
      <c r="C886" s="9"/>
      <c r="D886" s="9"/>
      <c r="E886" s="9"/>
      <c r="F886" s="9"/>
    </row>
    <row r="887">
      <c r="A887" s="9"/>
      <c r="B887" s="9"/>
      <c r="C887" s="9"/>
      <c r="D887" s="9"/>
      <c r="E887" s="9"/>
      <c r="F887" s="9"/>
    </row>
    <row r="888">
      <c r="A888" s="9"/>
      <c r="B888" s="9"/>
      <c r="C888" s="9"/>
      <c r="D888" s="9"/>
      <c r="E888" s="9"/>
      <c r="F888" s="9"/>
    </row>
    <row r="889">
      <c r="A889" s="9"/>
      <c r="B889" s="9"/>
      <c r="C889" s="9"/>
      <c r="D889" s="9"/>
      <c r="E889" s="9"/>
      <c r="F889" s="9"/>
    </row>
    <row r="890">
      <c r="A890" s="9"/>
      <c r="B890" s="9"/>
      <c r="C890" s="9"/>
      <c r="D890" s="9"/>
      <c r="E890" s="9"/>
      <c r="F890" s="9"/>
    </row>
    <row r="891">
      <c r="A891" s="9"/>
      <c r="B891" s="9"/>
      <c r="C891" s="9"/>
      <c r="D891" s="9"/>
      <c r="E891" s="9"/>
      <c r="F891" s="9"/>
    </row>
    <row r="892">
      <c r="A892" s="9"/>
      <c r="B892" s="9"/>
      <c r="C892" s="9"/>
      <c r="D892" s="9"/>
      <c r="E892" s="9"/>
      <c r="F892" s="9"/>
    </row>
    <row r="893">
      <c r="A893" s="9"/>
      <c r="B893" s="9"/>
      <c r="C893" s="9"/>
      <c r="D893" s="9"/>
      <c r="E893" s="9"/>
      <c r="F893" s="9"/>
    </row>
    <row r="894">
      <c r="A894" s="9"/>
      <c r="B894" s="9"/>
      <c r="C894" s="9"/>
      <c r="D894" s="9"/>
      <c r="E894" s="9"/>
      <c r="F894" s="9"/>
    </row>
    <row r="895">
      <c r="A895" s="9"/>
      <c r="B895" s="9"/>
      <c r="C895" s="9"/>
      <c r="D895" s="9"/>
      <c r="E895" s="9"/>
      <c r="F895" s="9"/>
    </row>
    <row r="896">
      <c r="A896" s="9"/>
      <c r="B896" s="9"/>
      <c r="C896" s="9"/>
      <c r="D896" s="9"/>
      <c r="E896" s="9"/>
      <c r="F896" s="9"/>
    </row>
    <row r="897">
      <c r="A897" s="9"/>
      <c r="B897" s="9"/>
      <c r="C897" s="9"/>
      <c r="D897" s="9"/>
      <c r="E897" s="9"/>
      <c r="F897" s="9"/>
    </row>
    <row r="898">
      <c r="A898" s="9"/>
      <c r="B898" s="9"/>
      <c r="C898" s="9"/>
      <c r="D898" s="9"/>
      <c r="E898" s="9"/>
      <c r="F898" s="9"/>
    </row>
    <row r="899">
      <c r="A899" s="9"/>
      <c r="B899" s="9"/>
      <c r="C899" s="9"/>
      <c r="D899" s="9"/>
      <c r="E899" s="9"/>
      <c r="F899" s="9"/>
    </row>
    <row r="900">
      <c r="A900" s="9"/>
      <c r="B900" s="9"/>
      <c r="C900" s="9"/>
      <c r="D900" s="9"/>
      <c r="E900" s="9"/>
      <c r="F900" s="9"/>
    </row>
    <row r="901">
      <c r="A901" s="9"/>
      <c r="B901" s="9"/>
      <c r="C901" s="9"/>
      <c r="D901" s="9"/>
      <c r="E901" s="9"/>
      <c r="F901" s="9"/>
    </row>
    <row r="902">
      <c r="A902" s="9"/>
      <c r="B902" s="9"/>
      <c r="C902" s="9"/>
      <c r="D902" s="9"/>
      <c r="E902" s="9"/>
      <c r="F902" s="9"/>
    </row>
    <row r="903">
      <c r="A903" s="9"/>
      <c r="B903" s="9"/>
      <c r="C903" s="9"/>
      <c r="D903" s="9"/>
      <c r="E903" s="9"/>
      <c r="F903" s="9"/>
    </row>
    <row r="904">
      <c r="A904" s="9"/>
      <c r="B904" s="9"/>
      <c r="C904" s="9"/>
      <c r="D904" s="9"/>
      <c r="E904" s="9"/>
      <c r="F904" s="9"/>
    </row>
    <row r="905">
      <c r="A905" s="9"/>
      <c r="B905" s="9"/>
      <c r="C905" s="9"/>
      <c r="D905" s="9"/>
      <c r="E905" s="9"/>
      <c r="F905" s="9"/>
    </row>
    <row r="906">
      <c r="A906" s="9"/>
      <c r="B906" s="9"/>
      <c r="C906" s="9"/>
      <c r="D906" s="9"/>
      <c r="E906" s="9"/>
      <c r="F906" s="9"/>
    </row>
    <row r="907">
      <c r="A907" s="9"/>
      <c r="B907" s="9"/>
      <c r="C907" s="9"/>
      <c r="D907" s="9"/>
      <c r="E907" s="9"/>
      <c r="F907" s="9"/>
    </row>
    <row r="908">
      <c r="A908" s="9"/>
      <c r="B908" s="9"/>
      <c r="C908" s="9"/>
      <c r="D908" s="9"/>
      <c r="E908" s="9"/>
      <c r="F908" s="9"/>
    </row>
    <row r="909">
      <c r="A909" s="9"/>
      <c r="B909" s="9"/>
      <c r="C909" s="9"/>
      <c r="D909" s="9"/>
      <c r="E909" s="9"/>
      <c r="F909" s="9"/>
    </row>
    <row r="910">
      <c r="A910" s="9"/>
      <c r="B910" s="9"/>
      <c r="C910" s="9"/>
      <c r="D910" s="9"/>
      <c r="E910" s="9"/>
      <c r="F910" s="9"/>
    </row>
    <row r="911">
      <c r="A911" s="9"/>
      <c r="B911" s="9"/>
      <c r="C911" s="9"/>
      <c r="D911" s="9"/>
      <c r="E911" s="9"/>
      <c r="F911" s="9"/>
    </row>
    <row r="912">
      <c r="A912" s="9"/>
      <c r="B912" s="9"/>
      <c r="C912" s="9"/>
      <c r="D912" s="9"/>
      <c r="E912" s="9"/>
      <c r="F912" s="9"/>
    </row>
    <row r="913">
      <c r="A913" s="9"/>
      <c r="B913" s="9"/>
      <c r="C913" s="9"/>
      <c r="D913" s="9"/>
      <c r="E913" s="9"/>
      <c r="F913" s="9"/>
    </row>
    <row r="914">
      <c r="A914" s="9"/>
      <c r="B914" s="9"/>
      <c r="C914" s="9"/>
      <c r="D914" s="9"/>
      <c r="E914" s="9"/>
      <c r="F914" s="9"/>
    </row>
    <row r="915">
      <c r="A915" s="9"/>
      <c r="B915" s="9"/>
      <c r="C915" s="9"/>
      <c r="D915" s="9"/>
      <c r="E915" s="9"/>
      <c r="F915" s="9"/>
    </row>
    <row r="916">
      <c r="A916" s="9"/>
      <c r="B916" s="9"/>
      <c r="C916" s="9"/>
      <c r="D916" s="9"/>
      <c r="E916" s="9"/>
      <c r="F916" s="9"/>
    </row>
    <row r="917">
      <c r="A917" s="9"/>
      <c r="B917" s="9"/>
      <c r="C917" s="9"/>
      <c r="D917" s="9"/>
      <c r="E917" s="9"/>
      <c r="F917" s="9"/>
    </row>
    <row r="918">
      <c r="A918" s="9"/>
      <c r="B918" s="9"/>
      <c r="C918" s="9"/>
      <c r="D918" s="9"/>
      <c r="E918" s="9"/>
      <c r="F918" s="9"/>
    </row>
    <row r="919">
      <c r="A919" s="9"/>
      <c r="B919" s="9"/>
      <c r="C919" s="9"/>
      <c r="D919" s="9"/>
      <c r="E919" s="9"/>
      <c r="F919" s="9"/>
    </row>
    <row r="920">
      <c r="A920" s="9"/>
      <c r="B920" s="9"/>
      <c r="C920" s="9"/>
      <c r="D920" s="9"/>
      <c r="E920" s="9"/>
      <c r="F920" s="9"/>
    </row>
    <row r="921">
      <c r="A921" s="9"/>
      <c r="B921" s="9"/>
      <c r="C921" s="9"/>
      <c r="D921" s="9"/>
      <c r="E921" s="9"/>
      <c r="F921" s="9"/>
    </row>
    <row r="922">
      <c r="A922" s="9"/>
      <c r="B922" s="9"/>
      <c r="C922" s="9"/>
      <c r="D922" s="9"/>
      <c r="E922" s="9"/>
      <c r="F922" s="9"/>
    </row>
    <row r="923">
      <c r="A923" s="9"/>
      <c r="B923" s="9"/>
      <c r="C923" s="9"/>
      <c r="D923" s="9"/>
      <c r="E923" s="9"/>
      <c r="F923" s="9"/>
    </row>
    <row r="924">
      <c r="A924" s="9"/>
      <c r="B924" s="9"/>
      <c r="C924" s="9"/>
      <c r="D924" s="9"/>
      <c r="E924" s="9"/>
      <c r="F924" s="9"/>
    </row>
    <row r="925">
      <c r="A925" s="9"/>
      <c r="B925" s="9"/>
      <c r="C925" s="9"/>
      <c r="D925" s="9"/>
      <c r="E925" s="9"/>
      <c r="F925" s="9"/>
    </row>
    <row r="926">
      <c r="A926" s="9"/>
      <c r="B926" s="9"/>
      <c r="C926" s="9"/>
      <c r="D926" s="9"/>
      <c r="E926" s="9"/>
      <c r="F926" s="9"/>
    </row>
    <row r="927">
      <c r="A927" s="9"/>
      <c r="B927" s="9"/>
      <c r="C927" s="9"/>
      <c r="D927" s="9"/>
      <c r="E927" s="9"/>
      <c r="F927" s="9"/>
    </row>
    <row r="928">
      <c r="A928" s="9"/>
      <c r="B928" s="9"/>
      <c r="C928" s="9"/>
      <c r="D928" s="9"/>
      <c r="E928" s="9"/>
      <c r="F928" s="9"/>
    </row>
    <row r="929">
      <c r="A929" s="9"/>
      <c r="B929" s="9"/>
      <c r="C929" s="9"/>
      <c r="D929" s="9"/>
      <c r="E929" s="9"/>
      <c r="F929" s="9"/>
    </row>
    <row r="930">
      <c r="A930" s="9"/>
      <c r="B930" s="9"/>
      <c r="C930" s="9"/>
      <c r="D930" s="9"/>
      <c r="E930" s="9"/>
      <c r="F930" s="9"/>
    </row>
    <row r="931">
      <c r="A931" s="9"/>
      <c r="B931" s="9"/>
      <c r="C931" s="9"/>
      <c r="D931" s="9"/>
      <c r="E931" s="9"/>
      <c r="F931" s="9"/>
    </row>
    <row r="932">
      <c r="A932" s="9"/>
      <c r="B932" s="9"/>
      <c r="C932" s="9"/>
      <c r="D932" s="9"/>
      <c r="E932" s="9"/>
      <c r="F932" s="9"/>
    </row>
    <row r="933">
      <c r="A933" s="9"/>
      <c r="B933" s="9"/>
      <c r="C933" s="9"/>
      <c r="D933" s="9"/>
      <c r="E933" s="9"/>
      <c r="F933" s="9"/>
    </row>
    <row r="934">
      <c r="A934" s="9"/>
      <c r="B934" s="9"/>
      <c r="C934" s="9"/>
      <c r="D934" s="9"/>
      <c r="E934" s="9"/>
      <c r="F934" s="9"/>
    </row>
    <row r="935">
      <c r="A935" s="9"/>
      <c r="B935" s="9"/>
      <c r="C935" s="9"/>
      <c r="D935" s="9"/>
      <c r="E935" s="9"/>
      <c r="F935" s="9"/>
    </row>
    <row r="936">
      <c r="A936" s="9"/>
      <c r="B936" s="9"/>
      <c r="C936" s="9"/>
      <c r="D936" s="9"/>
      <c r="E936" s="9"/>
      <c r="F936" s="9"/>
    </row>
    <row r="937">
      <c r="A937" s="9"/>
      <c r="B937" s="9"/>
      <c r="C937" s="9"/>
      <c r="D937" s="9"/>
      <c r="E937" s="9"/>
      <c r="F937" s="9"/>
    </row>
    <row r="938">
      <c r="A938" s="9"/>
      <c r="B938" s="9"/>
      <c r="C938" s="9"/>
      <c r="D938" s="9"/>
      <c r="E938" s="9"/>
      <c r="F938" s="9"/>
    </row>
    <row r="939">
      <c r="A939" s="9"/>
      <c r="B939" s="9"/>
      <c r="C939" s="9"/>
      <c r="D939" s="9"/>
      <c r="E939" s="9"/>
      <c r="F939" s="9"/>
    </row>
    <row r="940">
      <c r="A940" s="9"/>
      <c r="B940" s="9"/>
      <c r="C940" s="9"/>
      <c r="D940" s="9"/>
      <c r="E940" s="9"/>
      <c r="F940" s="9"/>
    </row>
    <row r="941">
      <c r="A941" s="9"/>
      <c r="B941" s="9"/>
      <c r="C941" s="9"/>
      <c r="D941" s="9"/>
      <c r="E941" s="9"/>
      <c r="F941" s="9"/>
    </row>
    <row r="942">
      <c r="A942" s="9"/>
      <c r="B942" s="9"/>
      <c r="C942" s="9"/>
      <c r="D942" s="9"/>
      <c r="E942" s="9"/>
      <c r="F942" s="9"/>
    </row>
    <row r="943">
      <c r="A943" s="9"/>
      <c r="B943" s="9"/>
      <c r="C943" s="9"/>
      <c r="D943" s="9"/>
      <c r="E943" s="9"/>
      <c r="F943" s="9"/>
    </row>
    <row r="944">
      <c r="A944" s="9"/>
      <c r="B944" s="9"/>
      <c r="C944" s="9"/>
      <c r="D944" s="9"/>
      <c r="E944" s="9"/>
      <c r="F944" s="9"/>
    </row>
    <row r="945">
      <c r="A945" s="9"/>
      <c r="B945" s="9"/>
      <c r="C945" s="9"/>
      <c r="D945" s="9"/>
      <c r="E945" s="9"/>
      <c r="F945" s="9"/>
    </row>
    <row r="946">
      <c r="A946" s="9"/>
      <c r="B946" s="9"/>
      <c r="C946" s="9"/>
      <c r="D946" s="9"/>
      <c r="E946" s="9"/>
      <c r="F946" s="9"/>
    </row>
    <row r="947">
      <c r="A947" s="9"/>
      <c r="B947" s="9"/>
      <c r="C947" s="9"/>
      <c r="D947" s="9"/>
      <c r="E947" s="9"/>
      <c r="F947" s="9"/>
    </row>
    <row r="948">
      <c r="A948" s="9"/>
      <c r="B948" s="9"/>
      <c r="C948" s="9"/>
      <c r="D948" s="9"/>
      <c r="E948" s="9"/>
      <c r="F948" s="9"/>
    </row>
    <row r="949">
      <c r="A949" s="9"/>
      <c r="B949" s="9"/>
      <c r="C949" s="9"/>
      <c r="D949" s="9"/>
      <c r="E949" s="9"/>
      <c r="F949" s="9"/>
    </row>
    <row r="950">
      <c r="A950" s="9"/>
      <c r="B950" s="9"/>
      <c r="C950" s="9"/>
      <c r="D950" s="9"/>
      <c r="E950" s="9"/>
      <c r="F950" s="9"/>
    </row>
    <row r="951">
      <c r="A951" s="9"/>
      <c r="B951" s="9"/>
      <c r="C951" s="9"/>
      <c r="D951" s="9"/>
      <c r="E951" s="9"/>
      <c r="F951" s="9"/>
    </row>
    <row r="952">
      <c r="A952" s="9"/>
      <c r="B952" s="9"/>
      <c r="C952" s="9"/>
      <c r="D952" s="9"/>
      <c r="E952" s="9"/>
      <c r="F952" s="9"/>
    </row>
    <row r="953">
      <c r="A953" s="9"/>
      <c r="B953" s="9"/>
      <c r="C953" s="9"/>
      <c r="D953" s="9"/>
      <c r="E953" s="9"/>
      <c r="F953" s="9"/>
    </row>
    <row r="954">
      <c r="A954" s="9"/>
      <c r="B954" s="9"/>
      <c r="C954" s="9"/>
      <c r="D954" s="9"/>
      <c r="E954" s="9"/>
      <c r="F954" s="9"/>
    </row>
    <row r="955">
      <c r="A955" s="9"/>
      <c r="B955" s="9"/>
      <c r="C955" s="9"/>
      <c r="D955" s="9"/>
      <c r="E955" s="9"/>
      <c r="F955" s="9"/>
    </row>
    <row r="956">
      <c r="A956" s="9"/>
      <c r="B956" s="9"/>
      <c r="C956" s="9"/>
      <c r="D956" s="9"/>
      <c r="E956" s="9"/>
      <c r="F956" s="9"/>
    </row>
    <row r="957">
      <c r="A957" s="9"/>
      <c r="B957" s="9"/>
      <c r="C957" s="9"/>
      <c r="D957" s="9"/>
      <c r="E957" s="9"/>
      <c r="F957" s="9"/>
    </row>
    <row r="958">
      <c r="A958" s="9"/>
      <c r="B958" s="9"/>
      <c r="C958" s="9"/>
      <c r="D958" s="9"/>
      <c r="E958" s="9"/>
      <c r="F958" s="9"/>
    </row>
    <row r="959">
      <c r="A959" s="9"/>
      <c r="B959" s="9"/>
      <c r="C959" s="9"/>
      <c r="D959" s="9"/>
      <c r="E959" s="9"/>
      <c r="F959" s="9"/>
    </row>
    <row r="960">
      <c r="A960" s="9"/>
      <c r="B960" s="9"/>
      <c r="C960" s="9"/>
      <c r="D960" s="9"/>
      <c r="E960" s="9"/>
      <c r="F960" s="9"/>
    </row>
    <row r="961">
      <c r="A961" s="9"/>
      <c r="B961" s="9"/>
      <c r="C961" s="9"/>
      <c r="D961" s="9"/>
      <c r="E961" s="9"/>
      <c r="F961" s="9"/>
    </row>
    <row r="962">
      <c r="A962" s="9"/>
      <c r="B962" s="9"/>
      <c r="C962" s="9"/>
      <c r="D962" s="9"/>
      <c r="E962" s="9"/>
      <c r="F962" s="9"/>
    </row>
    <row r="963">
      <c r="A963" s="9"/>
      <c r="B963" s="9"/>
      <c r="C963" s="9"/>
      <c r="D963" s="9"/>
      <c r="E963" s="9"/>
      <c r="F963" s="9"/>
    </row>
    <row r="964">
      <c r="A964" s="9"/>
      <c r="B964" s="9"/>
      <c r="C964" s="9"/>
      <c r="D964" s="9"/>
      <c r="E964" s="9"/>
      <c r="F964" s="9"/>
    </row>
    <row r="965">
      <c r="A965" s="9"/>
      <c r="B965" s="9"/>
      <c r="C965" s="9"/>
      <c r="D965" s="9"/>
      <c r="E965" s="9"/>
      <c r="F965" s="9"/>
    </row>
    <row r="966">
      <c r="A966" s="9"/>
      <c r="B966" s="9"/>
      <c r="C966" s="9"/>
      <c r="D966" s="9"/>
      <c r="E966" s="9"/>
      <c r="F966" s="9"/>
    </row>
    <row r="967">
      <c r="A967" s="9"/>
      <c r="B967" s="9"/>
      <c r="C967" s="9"/>
      <c r="D967" s="9"/>
      <c r="E967" s="9"/>
      <c r="F967" s="9"/>
    </row>
    <row r="968">
      <c r="A968" s="9"/>
      <c r="B968" s="9"/>
      <c r="C968" s="9"/>
      <c r="D968" s="9"/>
      <c r="E968" s="9"/>
      <c r="F968" s="9"/>
    </row>
    <row r="969">
      <c r="A969" s="9"/>
      <c r="B969" s="9"/>
      <c r="C969" s="9"/>
      <c r="D969" s="9"/>
      <c r="E969" s="9"/>
      <c r="F969" s="9"/>
    </row>
    <row r="970">
      <c r="A970" s="9"/>
      <c r="B970" s="9"/>
      <c r="C970" s="9"/>
      <c r="D970" s="9"/>
      <c r="E970" s="9"/>
      <c r="F970" s="9"/>
    </row>
    <row r="971">
      <c r="A971" s="9"/>
      <c r="B971" s="9"/>
      <c r="C971" s="9"/>
      <c r="D971" s="9"/>
      <c r="E971" s="9"/>
      <c r="F971" s="9"/>
    </row>
    <row r="972">
      <c r="A972" s="9"/>
      <c r="B972" s="9"/>
      <c r="C972" s="9"/>
      <c r="D972" s="9"/>
      <c r="E972" s="9"/>
      <c r="F972" s="9"/>
    </row>
    <row r="973">
      <c r="A973" s="9"/>
      <c r="B973" s="9"/>
      <c r="C973" s="9"/>
      <c r="D973" s="9"/>
      <c r="E973" s="9"/>
      <c r="F973" s="9"/>
    </row>
    <row r="974">
      <c r="A974" s="9"/>
      <c r="B974" s="9"/>
      <c r="C974" s="9"/>
      <c r="D974" s="9"/>
      <c r="E974" s="9"/>
      <c r="F974" s="9"/>
    </row>
    <row r="975">
      <c r="A975" s="9"/>
      <c r="B975" s="9"/>
      <c r="C975" s="9"/>
      <c r="D975" s="9"/>
      <c r="E975" s="9"/>
      <c r="F975" s="9"/>
    </row>
    <row r="976">
      <c r="A976" s="9"/>
      <c r="B976" s="9"/>
      <c r="C976" s="9"/>
      <c r="D976" s="9"/>
      <c r="E976" s="9"/>
      <c r="F976" s="9"/>
    </row>
    <row r="977">
      <c r="A977" s="9"/>
      <c r="B977" s="9"/>
      <c r="C977" s="9"/>
      <c r="D977" s="9"/>
      <c r="E977" s="9"/>
      <c r="F977" s="9"/>
    </row>
    <row r="978">
      <c r="A978" s="9"/>
      <c r="B978" s="9"/>
      <c r="C978" s="9"/>
      <c r="D978" s="9"/>
      <c r="E978" s="9"/>
      <c r="F978" s="9"/>
    </row>
    <row r="979">
      <c r="A979" s="9"/>
      <c r="B979" s="9"/>
      <c r="C979" s="9"/>
      <c r="D979" s="9"/>
      <c r="E979" s="9"/>
      <c r="F979" s="9"/>
    </row>
    <row r="980">
      <c r="A980" s="9"/>
      <c r="B980" s="9"/>
      <c r="C980" s="9"/>
      <c r="D980" s="9"/>
      <c r="E980" s="9"/>
      <c r="F980" s="9"/>
    </row>
    <row r="981">
      <c r="A981" s="9"/>
      <c r="B981" s="9"/>
      <c r="C981" s="9"/>
      <c r="D981" s="9"/>
      <c r="E981" s="9"/>
      <c r="F981" s="9"/>
    </row>
    <row r="982">
      <c r="A982" s="9"/>
      <c r="B982" s="9"/>
      <c r="C982" s="9"/>
      <c r="D982" s="9"/>
      <c r="E982" s="9"/>
      <c r="F982" s="9"/>
    </row>
    <row r="983">
      <c r="A983" s="9"/>
      <c r="B983" s="9"/>
      <c r="C983" s="9"/>
      <c r="D983" s="9"/>
      <c r="E983" s="9"/>
      <c r="F983" s="9"/>
    </row>
    <row r="984">
      <c r="A984" s="9"/>
      <c r="B984" s="9"/>
      <c r="C984" s="9"/>
      <c r="D984" s="9"/>
      <c r="E984" s="9"/>
      <c r="F984" s="9"/>
    </row>
    <row r="985">
      <c r="A985" s="9"/>
      <c r="B985" s="9"/>
      <c r="C985" s="9"/>
      <c r="D985" s="9"/>
      <c r="E985" s="9"/>
      <c r="F985" s="9"/>
    </row>
    <row r="986">
      <c r="A986" s="9"/>
      <c r="B986" s="9"/>
      <c r="C986" s="9"/>
      <c r="D986" s="9"/>
      <c r="E986" s="9"/>
      <c r="F986" s="9"/>
    </row>
    <row r="987">
      <c r="A987" s="9"/>
      <c r="B987" s="9"/>
      <c r="C987" s="9"/>
      <c r="D987" s="9"/>
      <c r="E987" s="9"/>
      <c r="F987" s="9"/>
    </row>
    <row r="988">
      <c r="A988" s="9"/>
      <c r="B988" s="9"/>
      <c r="C988" s="9"/>
      <c r="D988" s="9"/>
      <c r="E988" s="9"/>
      <c r="F988" s="9"/>
    </row>
    <row r="989">
      <c r="A989" s="9"/>
      <c r="B989" s="9"/>
      <c r="C989" s="9"/>
      <c r="D989" s="9"/>
      <c r="E989" s="9"/>
      <c r="F989" s="9"/>
    </row>
    <row r="990">
      <c r="A990" s="9"/>
      <c r="B990" s="9"/>
      <c r="C990" s="9"/>
      <c r="D990" s="9"/>
      <c r="E990" s="9"/>
      <c r="F990" s="9"/>
    </row>
    <row r="991">
      <c r="A991" s="9"/>
      <c r="B991" s="9"/>
      <c r="C991" s="9"/>
      <c r="D991" s="9"/>
      <c r="E991" s="9"/>
      <c r="F991" s="9"/>
    </row>
    <row r="992">
      <c r="A992" s="9"/>
      <c r="B992" s="9"/>
      <c r="C992" s="9"/>
      <c r="D992" s="9"/>
      <c r="E992" s="9"/>
      <c r="F992" s="9"/>
    </row>
    <row r="993">
      <c r="A993" s="9"/>
      <c r="B993" s="9"/>
      <c r="C993" s="9"/>
      <c r="D993" s="9"/>
      <c r="E993" s="9"/>
      <c r="F993" s="9"/>
    </row>
    <row r="994">
      <c r="A994" s="9"/>
      <c r="B994" s="9"/>
      <c r="C994" s="9"/>
      <c r="D994" s="9"/>
      <c r="E994" s="9"/>
      <c r="F994" s="9"/>
    </row>
    <row r="995">
      <c r="A995" s="9"/>
      <c r="B995" s="9"/>
      <c r="C995" s="9"/>
      <c r="D995" s="9"/>
      <c r="E995" s="9"/>
      <c r="F995" s="9"/>
    </row>
    <row r="996">
      <c r="A996" s="9"/>
      <c r="B996" s="9"/>
      <c r="C996" s="9"/>
      <c r="D996" s="9"/>
      <c r="E996" s="9"/>
      <c r="F996" s="9"/>
    </row>
    <row r="997">
      <c r="A997" s="9"/>
      <c r="B997" s="9"/>
      <c r="C997" s="9"/>
      <c r="D997" s="9"/>
      <c r="E997" s="9"/>
      <c r="F997" s="9"/>
    </row>
    <row r="998">
      <c r="A998" s="9"/>
      <c r="B998" s="9"/>
      <c r="C998" s="9"/>
      <c r="D998" s="9"/>
      <c r="E998" s="9"/>
      <c r="F998" s="9"/>
    </row>
    <row r="999">
      <c r="A999" s="9"/>
      <c r="B999" s="9"/>
      <c r="C999" s="9"/>
      <c r="D999" s="9"/>
      <c r="E999" s="9"/>
      <c r="F999" s="9"/>
    </row>
  </sheetData>
  <drawing r:id="rId1"/>
</worksheet>
</file>