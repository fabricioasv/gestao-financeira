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ti\gestao-financeira\react-app\public\"/>
    </mc:Choice>
  </mc:AlternateContent>
  <xr:revisionPtr revIDLastSave="0" documentId="13_ncr:1_{7DD1030E-C559-4415-932D-37EE4AA5E884}" xr6:coauthVersionLast="47" xr6:coauthVersionMax="47" xr10:uidLastSave="{00000000-0000-0000-0000-000000000000}"/>
  <bookViews>
    <workbookView xWindow="1425" yWindow="1425" windowWidth="21600" windowHeight="10905" xr2:uid="{00000000-000D-0000-FFFF-FFFF00000000}"/>
  </bookViews>
  <sheets>
    <sheet name="Consolidado-old" sheetId="1" r:id="rId1"/>
    <sheet name="Proventos" sheetId="2" r:id="rId2"/>
    <sheet name="Cartão-Previsão" sheetId="3" r:id="rId3"/>
    <sheet name="Cartão-Detalhe" sheetId="4" r:id="rId4"/>
    <sheet name="Cartão-Forecast" sheetId="5" r:id="rId5"/>
    <sheet name="Ações-Carteira" sheetId="6" r:id="rId6"/>
    <sheet name="Renda-Projetiva" sheetId="7" r:id="rId7"/>
    <sheet name="Proventos-Recebidos" sheetId="8" r:id="rId8"/>
    <sheet name="Proventos-A-Recebe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D9" i="9"/>
  <c r="C9" i="9"/>
  <c r="B9" i="9"/>
  <c r="A9" i="9"/>
  <c r="E8" i="9"/>
  <c r="D8" i="9"/>
  <c r="C8" i="9"/>
  <c r="B8" i="9"/>
  <c r="A8" i="9"/>
  <c r="E7" i="9"/>
  <c r="D7" i="9"/>
  <c r="C7" i="9"/>
  <c r="B7" i="9"/>
  <c r="A7" i="9"/>
  <c r="E6" i="9"/>
  <c r="D6" i="9"/>
  <c r="C6" i="9"/>
  <c r="B6" i="9"/>
  <c r="A6" i="9"/>
  <c r="E5" i="9"/>
  <c r="D5" i="9"/>
  <c r="C5" i="9"/>
  <c r="B5" i="9"/>
  <c r="A5" i="9"/>
  <c r="E4" i="9"/>
  <c r="D4" i="9"/>
  <c r="C4" i="9"/>
  <c r="B4" i="9"/>
  <c r="A4" i="9"/>
  <c r="E3" i="9"/>
  <c r="D3" i="9"/>
  <c r="C3" i="9"/>
  <c r="B3" i="9"/>
  <c r="A3" i="9"/>
  <c r="E2" i="9"/>
  <c r="D2" i="9"/>
  <c r="C2" i="9"/>
  <c r="B2" i="9"/>
  <c r="A2" i="9"/>
  <c r="E1" i="9"/>
  <c r="D1" i="9"/>
  <c r="C1" i="9"/>
  <c r="B1" i="9"/>
  <c r="A1" i="9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F1" i="8"/>
  <c r="E1" i="8"/>
  <c r="D1" i="8"/>
  <c r="C1" i="8"/>
  <c r="B1" i="8"/>
  <c r="A1" i="8"/>
  <c r="K11" i="7"/>
  <c r="J11" i="7"/>
  <c r="I11" i="7"/>
  <c r="H11" i="7"/>
  <c r="K10" i="7"/>
  <c r="J10" i="7"/>
  <c r="I10" i="7"/>
  <c r="H10" i="7"/>
  <c r="F10" i="7"/>
  <c r="E10" i="7"/>
  <c r="D10" i="7"/>
  <c r="C10" i="7"/>
  <c r="B10" i="7"/>
  <c r="A10" i="7"/>
  <c r="K9" i="7"/>
  <c r="J9" i="7"/>
  <c r="I9" i="7"/>
  <c r="H9" i="7"/>
  <c r="F9" i="7"/>
  <c r="E9" i="7"/>
  <c r="D9" i="7"/>
  <c r="C9" i="7"/>
  <c r="B9" i="7"/>
  <c r="A9" i="7"/>
  <c r="K8" i="7"/>
  <c r="J8" i="7"/>
  <c r="I8" i="7"/>
  <c r="H8" i="7"/>
  <c r="F8" i="7"/>
  <c r="E8" i="7"/>
  <c r="D8" i="7"/>
  <c r="C8" i="7"/>
  <c r="B8" i="7"/>
  <c r="A8" i="7"/>
  <c r="K7" i="7"/>
  <c r="J7" i="7"/>
  <c r="I7" i="7"/>
  <c r="H7" i="7"/>
  <c r="F7" i="7"/>
  <c r="E7" i="7"/>
  <c r="D7" i="7"/>
  <c r="C7" i="7"/>
  <c r="B7" i="7"/>
  <c r="A7" i="7"/>
  <c r="K6" i="7"/>
  <c r="J6" i="7"/>
  <c r="I6" i="7"/>
  <c r="H6" i="7"/>
  <c r="F6" i="7"/>
  <c r="E6" i="7"/>
  <c r="D6" i="7"/>
  <c r="C6" i="7"/>
  <c r="B6" i="7"/>
  <c r="A6" i="7"/>
  <c r="K5" i="7"/>
  <c r="J5" i="7"/>
  <c r="I5" i="7"/>
  <c r="H5" i="7"/>
  <c r="F5" i="7"/>
  <c r="E5" i="7"/>
  <c r="D5" i="7"/>
  <c r="C5" i="7"/>
  <c r="B5" i="7"/>
  <c r="A5" i="7"/>
  <c r="K4" i="7"/>
  <c r="J4" i="7"/>
  <c r="I4" i="7"/>
  <c r="H4" i="7"/>
  <c r="F4" i="7"/>
  <c r="E4" i="7"/>
  <c r="D4" i="7"/>
  <c r="C4" i="7"/>
  <c r="B4" i="7"/>
  <c r="A4" i="7"/>
  <c r="K3" i="7"/>
  <c r="J3" i="7"/>
  <c r="I3" i="7"/>
  <c r="H3" i="7"/>
  <c r="F3" i="7"/>
  <c r="E3" i="7"/>
  <c r="D3" i="7"/>
  <c r="C3" i="7"/>
  <c r="B3" i="7"/>
  <c r="A3" i="7"/>
  <c r="J2" i="7"/>
  <c r="I2" i="7"/>
  <c r="H2" i="7"/>
  <c r="F2" i="7"/>
  <c r="E2" i="7"/>
  <c r="D2" i="7"/>
  <c r="C2" i="7"/>
  <c r="B2" i="7"/>
  <c r="A2" i="7"/>
  <c r="K1" i="7"/>
  <c r="J1" i="7"/>
  <c r="I1" i="7"/>
  <c r="H1" i="7"/>
  <c r="F1" i="7"/>
  <c r="E1" i="7"/>
  <c r="D1" i="7"/>
  <c r="C1" i="7"/>
  <c r="B1" i="7"/>
  <c r="A1" i="7"/>
  <c r="L11" i="6"/>
  <c r="K11" i="6"/>
  <c r="J11" i="6"/>
  <c r="I11" i="6"/>
  <c r="H11" i="6"/>
  <c r="G11" i="6"/>
  <c r="F11" i="6"/>
  <c r="E11" i="6"/>
  <c r="D11" i="6"/>
  <c r="C11" i="6"/>
  <c r="B11" i="6"/>
  <c r="A11" i="6"/>
  <c r="L10" i="6"/>
  <c r="K10" i="6"/>
  <c r="J10" i="6"/>
  <c r="I10" i="6"/>
  <c r="H10" i="6"/>
  <c r="G10" i="6"/>
  <c r="F10" i="6"/>
  <c r="E10" i="6"/>
  <c r="D10" i="6"/>
  <c r="C10" i="6"/>
  <c r="B10" i="6"/>
  <c r="A10" i="6"/>
  <c r="L9" i="6"/>
  <c r="K9" i="6"/>
  <c r="J9" i="6"/>
  <c r="I9" i="6"/>
  <c r="H9" i="6"/>
  <c r="G9" i="6"/>
  <c r="F9" i="6"/>
  <c r="D9" i="6"/>
  <c r="C9" i="6"/>
  <c r="B9" i="6"/>
  <c r="A9" i="6"/>
  <c r="L8" i="6"/>
  <c r="K8" i="6"/>
  <c r="J8" i="6"/>
  <c r="I8" i="6"/>
  <c r="H8" i="6"/>
  <c r="G8" i="6"/>
  <c r="F8" i="6"/>
  <c r="E8" i="6"/>
  <c r="D8" i="6"/>
  <c r="C8" i="6"/>
  <c r="B8" i="6"/>
  <c r="A8" i="6"/>
  <c r="L7" i="6"/>
  <c r="K7" i="6"/>
  <c r="J7" i="6"/>
  <c r="I7" i="6"/>
  <c r="H7" i="6"/>
  <c r="G7" i="6"/>
  <c r="F7" i="6"/>
  <c r="D7" i="6"/>
  <c r="C7" i="6"/>
  <c r="B7" i="6"/>
  <c r="A7" i="6"/>
  <c r="L6" i="6"/>
  <c r="K6" i="6"/>
  <c r="J6" i="6"/>
  <c r="I6" i="6"/>
  <c r="H6" i="6"/>
  <c r="G6" i="6"/>
  <c r="F6" i="6"/>
  <c r="E6" i="6"/>
  <c r="D6" i="6"/>
  <c r="C6" i="6"/>
  <c r="B6" i="6"/>
  <c r="A6" i="6"/>
  <c r="L5" i="6"/>
  <c r="K5" i="6"/>
  <c r="J5" i="6"/>
  <c r="I5" i="6"/>
  <c r="H5" i="6"/>
  <c r="G5" i="6"/>
  <c r="F5" i="6"/>
  <c r="E5" i="6"/>
  <c r="D5" i="6"/>
  <c r="C5" i="6"/>
  <c r="B5" i="6"/>
  <c r="A5" i="6"/>
  <c r="L4" i="6"/>
  <c r="K4" i="6"/>
  <c r="J4" i="6"/>
  <c r="I4" i="6"/>
  <c r="H4" i="6"/>
  <c r="G4" i="6"/>
  <c r="F4" i="6"/>
  <c r="E4" i="6"/>
  <c r="D4" i="6"/>
  <c r="C4" i="6"/>
  <c r="B4" i="6"/>
  <c r="A4" i="6"/>
  <c r="L3" i="6"/>
  <c r="K3" i="6"/>
  <c r="J3" i="6"/>
  <c r="I3" i="6"/>
  <c r="H3" i="6"/>
  <c r="G3" i="6"/>
  <c r="F3" i="6"/>
  <c r="E3" i="6"/>
  <c r="D3" i="6"/>
  <c r="C3" i="6"/>
  <c r="B3" i="6"/>
  <c r="A3" i="6"/>
  <c r="L2" i="6"/>
  <c r="K2" i="6"/>
  <c r="J2" i="6"/>
  <c r="I2" i="6"/>
  <c r="H2" i="6"/>
  <c r="G2" i="6"/>
  <c r="F2" i="6"/>
  <c r="E2" i="6"/>
  <c r="D2" i="6"/>
  <c r="C2" i="6"/>
  <c r="B2" i="6"/>
  <c r="A2" i="6"/>
  <c r="L1" i="6"/>
  <c r="K1" i="6"/>
  <c r="J1" i="6"/>
  <c r="I1" i="6"/>
  <c r="H1" i="6"/>
  <c r="G1" i="6"/>
  <c r="F1" i="6"/>
  <c r="E1" i="6"/>
  <c r="D1" i="6"/>
  <c r="C1" i="6"/>
  <c r="B1" i="6"/>
  <c r="A1" i="6"/>
  <c r="K19" i="5"/>
  <c r="J19" i="5"/>
  <c r="I19" i="5"/>
  <c r="A19" i="5"/>
  <c r="K18" i="5"/>
  <c r="J18" i="5"/>
  <c r="I18" i="5"/>
  <c r="H18" i="5"/>
  <c r="G18" i="5"/>
  <c r="A18" i="5"/>
  <c r="K17" i="5"/>
  <c r="J17" i="5"/>
  <c r="I17" i="5"/>
  <c r="A17" i="5"/>
  <c r="G16" i="5"/>
  <c r="F16" i="5"/>
  <c r="E16" i="5"/>
  <c r="A16" i="5"/>
  <c r="F15" i="5"/>
  <c r="E15" i="5"/>
  <c r="A15" i="5"/>
  <c r="G14" i="5"/>
  <c r="F14" i="5"/>
  <c r="E14" i="5"/>
  <c r="A14" i="5"/>
  <c r="F13" i="5"/>
  <c r="E13" i="5"/>
  <c r="A13" i="5"/>
  <c r="F12" i="5"/>
  <c r="E12" i="5"/>
  <c r="A12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Y9" i="5"/>
  <c r="X9" i="5"/>
  <c r="W9" i="5"/>
  <c r="V9" i="5"/>
  <c r="U9" i="5"/>
  <c r="T9" i="5"/>
  <c r="S9" i="5"/>
  <c r="R9" i="5"/>
  <c r="Q9" i="5"/>
  <c r="P9" i="5"/>
  <c r="O9" i="5"/>
  <c r="N9" i="5"/>
  <c r="M9" i="5"/>
  <c r="A9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B1" i="5"/>
  <c r="A1" i="5"/>
  <c r="G2049" i="4"/>
  <c r="E2049" i="4"/>
  <c r="G2048" i="4"/>
  <c r="E2048" i="4"/>
  <c r="G2047" i="4"/>
  <c r="E2047" i="4"/>
  <c r="G2046" i="4"/>
  <c r="E2046" i="4"/>
  <c r="G2045" i="4"/>
  <c r="E2045" i="4"/>
  <c r="G2044" i="4"/>
  <c r="E2044" i="4"/>
  <c r="G2043" i="4"/>
  <c r="E2043" i="4"/>
  <c r="G2042" i="4"/>
  <c r="E2042" i="4"/>
  <c r="G2041" i="4"/>
  <c r="E2041" i="4"/>
  <c r="G2040" i="4"/>
  <c r="E2040" i="4"/>
  <c r="G2039" i="4"/>
  <c r="E2039" i="4"/>
  <c r="G2038" i="4"/>
  <c r="E2038" i="4"/>
  <c r="G2037" i="4"/>
  <c r="E2037" i="4"/>
  <c r="G2036" i="4"/>
  <c r="E2036" i="4"/>
  <c r="G2035" i="4"/>
  <c r="E2035" i="4"/>
  <c r="G2034" i="4"/>
  <c r="E2034" i="4"/>
  <c r="G2033" i="4"/>
  <c r="E2033" i="4"/>
  <c r="G2032" i="4"/>
  <c r="E2032" i="4"/>
  <c r="G2031" i="4"/>
  <c r="E2031" i="4"/>
  <c r="G2030" i="4"/>
  <c r="E2030" i="4"/>
  <c r="G2029" i="4"/>
  <c r="E2029" i="4"/>
  <c r="G2028" i="4"/>
  <c r="E2028" i="4"/>
  <c r="G2027" i="4"/>
  <c r="E2027" i="4"/>
  <c r="G2026" i="4"/>
  <c r="E2026" i="4"/>
  <c r="G2025" i="4"/>
  <c r="E2025" i="4"/>
  <c r="G2024" i="4"/>
  <c r="E2024" i="4"/>
  <c r="G2023" i="4"/>
  <c r="E2023" i="4"/>
  <c r="G2022" i="4"/>
  <c r="E2022" i="4"/>
  <c r="G2021" i="4"/>
  <c r="E2021" i="4"/>
  <c r="G2020" i="4"/>
  <c r="E2020" i="4"/>
  <c r="G2019" i="4"/>
  <c r="E2019" i="4"/>
  <c r="G2018" i="4"/>
  <c r="E2018" i="4"/>
  <c r="G2017" i="4"/>
  <c r="E2017" i="4"/>
  <c r="G2016" i="4"/>
  <c r="E2016" i="4"/>
  <c r="G2015" i="4"/>
  <c r="E2015" i="4"/>
  <c r="G2014" i="4"/>
  <c r="E2014" i="4"/>
  <c r="G2013" i="4"/>
  <c r="E2013" i="4"/>
  <c r="G2012" i="4"/>
  <c r="E2012" i="4"/>
  <c r="G2011" i="4"/>
  <c r="E2011" i="4"/>
  <c r="G2010" i="4"/>
  <c r="E2010" i="4"/>
  <c r="G2009" i="4"/>
  <c r="E2009" i="4"/>
  <c r="G2008" i="4"/>
  <c r="E2008" i="4"/>
  <c r="G2007" i="4"/>
  <c r="E2007" i="4"/>
  <c r="G2006" i="4"/>
  <c r="E2006" i="4"/>
  <c r="G2005" i="4"/>
  <c r="E2005" i="4"/>
  <c r="G2004" i="4"/>
  <c r="E2004" i="4"/>
  <c r="G2003" i="4"/>
  <c r="E2003" i="4"/>
  <c r="G2002" i="4"/>
  <c r="E2002" i="4"/>
  <c r="G2001" i="4"/>
  <c r="E2001" i="4"/>
  <c r="G2000" i="4"/>
  <c r="E2000" i="4"/>
  <c r="G1999" i="4"/>
  <c r="E1999" i="4"/>
  <c r="G1998" i="4"/>
  <c r="E1998" i="4"/>
  <c r="G1997" i="4"/>
  <c r="E1997" i="4"/>
  <c r="G1996" i="4"/>
  <c r="E1996" i="4"/>
  <c r="G1995" i="4"/>
  <c r="E1995" i="4"/>
  <c r="G1994" i="4"/>
  <c r="E1994" i="4"/>
  <c r="G1993" i="4"/>
  <c r="E1993" i="4"/>
  <c r="G1992" i="4"/>
  <c r="E1992" i="4"/>
  <c r="G1991" i="4"/>
  <c r="E1991" i="4"/>
  <c r="G1990" i="4"/>
  <c r="E1990" i="4"/>
  <c r="G1989" i="4"/>
  <c r="E1989" i="4"/>
  <c r="G1988" i="4"/>
  <c r="E1988" i="4"/>
  <c r="G1987" i="4"/>
  <c r="E1987" i="4"/>
  <c r="G1986" i="4"/>
  <c r="E1986" i="4"/>
  <c r="G1985" i="4"/>
  <c r="E1985" i="4"/>
  <c r="G1984" i="4"/>
  <c r="E1984" i="4"/>
  <c r="G1983" i="4"/>
  <c r="E1983" i="4"/>
  <c r="G1982" i="4"/>
  <c r="E1982" i="4"/>
  <c r="G1981" i="4"/>
  <c r="E1981" i="4"/>
  <c r="G1980" i="4"/>
  <c r="E1980" i="4"/>
  <c r="G1979" i="4"/>
  <c r="E1979" i="4"/>
  <c r="G1978" i="4"/>
  <c r="E1978" i="4"/>
  <c r="G1977" i="4"/>
  <c r="E1977" i="4"/>
  <c r="G1976" i="4"/>
  <c r="E1976" i="4"/>
  <c r="G1975" i="4"/>
  <c r="E1975" i="4"/>
  <c r="G1974" i="4"/>
  <c r="E1974" i="4"/>
  <c r="G1973" i="4"/>
  <c r="E1973" i="4"/>
  <c r="G1972" i="4"/>
  <c r="E1972" i="4"/>
  <c r="G1971" i="4"/>
  <c r="E1971" i="4"/>
  <c r="G1970" i="4"/>
  <c r="E1970" i="4"/>
  <c r="G1969" i="4"/>
  <c r="E1969" i="4"/>
  <c r="G1968" i="4"/>
  <c r="E1968" i="4"/>
  <c r="G1967" i="4"/>
  <c r="E1967" i="4"/>
  <c r="G1966" i="4"/>
  <c r="E1966" i="4"/>
  <c r="G1965" i="4"/>
  <c r="E1965" i="4"/>
  <c r="G1964" i="4"/>
  <c r="E1964" i="4"/>
  <c r="G1963" i="4"/>
  <c r="E1963" i="4"/>
  <c r="G1962" i="4"/>
  <c r="E1962" i="4"/>
  <c r="G1961" i="4"/>
  <c r="E1961" i="4"/>
  <c r="G1960" i="4"/>
  <c r="E1960" i="4"/>
  <c r="G1959" i="4"/>
  <c r="E1959" i="4"/>
  <c r="G1958" i="4"/>
  <c r="E1958" i="4"/>
  <c r="G1957" i="4"/>
  <c r="E1957" i="4"/>
  <c r="G1956" i="4"/>
  <c r="E1956" i="4"/>
  <c r="G1955" i="4"/>
  <c r="E1955" i="4"/>
  <c r="G1954" i="4"/>
  <c r="E1954" i="4"/>
  <c r="G1953" i="4"/>
  <c r="E1953" i="4"/>
  <c r="G1952" i="4"/>
  <c r="E1952" i="4"/>
  <c r="G1951" i="4"/>
  <c r="E1951" i="4"/>
  <c r="G1950" i="4"/>
  <c r="E1950" i="4"/>
  <c r="G1949" i="4"/>
  <c r="E1949" i="4"/>
  <c r="G1948" i="4"/>
  <c r="E1948" i="4"/>
  <c r="G1947" i="4"/>
  <c r="E1947" i="4"/>
  <c r="G1946" i="4"/>
  <c r="E1946" i="4"/>
  <c r="G1945" i="4"/>
  <c r="E1945" i="4"/>
  <c r="G1944" i="4"/>
  <c r="E1944" i="4"/>
  <c r="G1943" i="4"/>
  <c r="E1943" i="4"/>
  <c r="G1942" i="4"/>
  <c r="E1942" i="4"/>
  <c r="G1941" i="4"/>
  <c r="E1941" i="4"/>
  <c r="G1940" i="4"/>
  <c r="E1940" i="4"/>
  <c r="G1939" i="4"/>
  <c r="E1939" i="4"/>
  <c r="G1938" i="4"/>
  <c r="E1938" i="4"/>
  <c r="G1937" i="4"/>
  <c r="E1937" i="4"/>
  <c r="G1936" i="4"/>
  <c r="E1936" i="4"/>
  <c r="G1935" i="4"/>
  <c r="E1935" i="4"/>
  <c r="G1934" i="4"/>
  <c r="E1934" i="4"/>
  <c r="G1933" i="4"/>
  <c r="E1933" i="4"/>
  <c r="G1932" i="4"/>
  <c r="E1932" i="4"/>
  <c r="G1931" i="4"/>
  <c r="E1931" i="4"/>
  <c r="G1930" i="4"/>
  <c r="E1930" i="4"/>
  <c r="G1929" i="4"/>
  <c r="E1929" i="4"/>
  <c r="G1928" i="4"/>
  <c r="E1928" i="4"/>
  <c r="G1927" i="4"/>
  <c r="E1927" i="4"/>
  <c r="G1926" i="4"/>
  <c r="E1926" i="4"/>
  <c r="G1925" i="4"/>
  <c r="E1925" i="4"/>
  <c r="G1924" i="4"/>
  <c r="E1924" i="4"/>
  <c r="G1923" i="4"/>
  <c r="E1923" i="4"/>
  <c r="G1922" i="4"/>
  <c r="E1922" i="4"/>
  <c r="G1921" i="4"/>
  <c r="E1921" i="4"/>
  <c r="G1920" i="4"/>
  <c r="E1920" i="4"/>
  <c r="G1919" i="4"/>
  <c r="E1919" i="4"/>
  <c r="G1918" i="4"/>
  <c r="E1918" i="4"/>
  <c r="G1917" i="4"/>
  <c r="E1917" i="4"/>
  <c r="G1916" i="4"/>
  <c r="E1916" i="4"/>
  <c r="G1915" i="4"/>
  <c r="E1915" i="4"/>
  <c r="G1914" i="4"/>
  <c r="E1914" i="4"/>
  <c r="G1913" i="4"/>
  <c r="E1913" i="4"/>
  <c r="G1912" i="4"/>
  <c r="E1912" i="4"/>
  <c r="G1911" i="4"/>
  <c r="E1911" i="4"/>
  <c r="G1910" i="4"/>
  <c r="E1910" i="4"/>
  <c r="G1909" i="4"/>
  <c r="E1909" i="4"/>
  <c r="G1908" i="4"/>
  <c r="E1908" i="4"/>
  <c r="G1907" i="4"/>
  <c r="E1907" i="4"/>
  <c r="G1906" i="4"/>
  <c r="E1906" i="4"/>
  <c r="G1905" i="4"/>
  <c r="E1905" i="4"/>
  <c r="G1904" i="4"/>
  <c r="E1904" i="4"/>
  <c r="G1903" i="4"/>
  <c r="E1903" i="4"/>
  <c r="G1902" i="4"/>
  <c r="E1902" i="4"/>
  <c r="G1901" i="4"/>
  <c r="E1901" i="4"/>
  <c r="G1900" i="4"/>
  <c r="E1900" i="4"/>
  <c r="G1899" i="4"/>
  <c r="E1899" i="4"/>
  <c r="G1898" i="4"/>
  <c r="E1898" i="4"/>
  <c r="G1897" i="4"/>
  <c r="E1897" i="4"/>
  <c r="G1896" i="4"/>
  <c r="E1896" i="4"/>
  <c r="G1895" i="4"/>
  <c r="E1895" i="4"/>
  <c r="G1894" i="4"/>
  <c r="E1894" i="4"/>
  <c r="G1893" i="4"/>
  <c r="E1893" i="4"/>
  <c r="G1892" i="4"/>
  <c r="E1892" i="4"/>
  <c r="G1891" i="4"/>
  <c r="E1891" i="4"/>
  <c r="G1890" i="4"/>
  <c r="E1890" i="4"/>
  <c r="G1889" i="4"/>
  <c r="E1889" i="4"/>
  <c r="G1888" i="4"/>
  <c r="E1888" i="4"/>
  <c r="G1887" i="4"/>
  <c r="E1887" i="4"/>
  <c r="G1886" i="4"/>
  <c r="E1886" i="4"/>
  <c r="G1885" i="4"/>
  <c r="E1885" i="4"/>
  <c r="G1884" i="4"/>
  <c r="E1884" i="4"/>
  <c r="G1883" i="4"/>
  <c r="E1883" i="4"/>
  <c r="G1882" i="4"/>
  <c r="E1882" i="4"/>
  <c r="G1881" i="4"/>
  <c r="E1881" i="4"/>
  <c r="G1880" i="4"/>
  <c r="E1880" i="4"/>
  <c r="G1879" i="4"/>
  <c r="E1879" i="4"/>
  <c r="G1878" i="4"/>
  <c r="E1878" i="4"/>
  <c r="G1877" i="4"/>
  <c r="E1877" i="4"/>
  <c r="G1876" i="4"/>
  <c r="E1876" i="4"/>
  <c r="G1875" i="4"/>
  <c r="E1875" i="4"/>
  <c r="G1874" i="4"/>
  <c r="E1874" i="4"/>
  <c r="G1873" i="4"/>
  <c r="E1873" i="4"/>
  <c r="G1872" i="4"/>
  <c r="E1872" i="4"/>
  <c r="G1871" i="4"/>
  <c r="E1871" i="4"/>
  <c r="G1870" i="4"/>
  <c r="E1870" i="4"/>
  <c r="G1869" i="4"/>
  <c r="E1869" i="4"/>
  <c r="G1868" i="4"/>
  <c r="E1868" i="4"/>
  <c r="G1867" i="4"/>
  <c r="E1867" i="4"/>
  <c r="G1866" i="4"/>
  <c r="E1866" i="4"/>
  <c r="G1865" i="4"/>
  <c r="E1865" i="4"/>
  <c r="G1864" i="4"/>
  <c r="E1864" i="4"/>
  <c r="G1863" i="4"/>
  <c r="E1863" i="4"/>
  <c r="G1862" i="4"/>
  <c r="E1862" i="4"/>
  <c r="G1861" i="4"/>
  <c r="E1861" i="4"/>
  <c r="G1860" i="4"/>
  <c r="E1860" i="4"/>
  <c r="G1859" i="4"/>
  <c r="E1859" i="4"/>
  <c r="G1858" i="4"/>
  <c r="E1858" i="4"/>
  <c r="G1857" i="4"/>
  <c r="E1857" i="4"/>
  <c r="G1856" i="4"/>
  <c r="E1856" i="4"/>
  <c r="G1855" i="4"/>
  <c r="E1855" i="4"/>
  <c r="G1854" i="4"/>
  <c r="E1854" i="4"/>
  <c r="G1853" i="4"/>
  <c r="E1853" i="4"/>
  <c r="G1852" i="4"/>
  <c r="E1852" i="4"/>
  <c r="G1851" i="4"/>
  <c r="E1851" i="4"/>
  <c r="G1850" i="4"/>
  <c r="E1850" i="4"/>
  <c r="G1849" i="4"/>
  <c r="E1849" i="4"/>
  <c r="G1848" i="4"/>
  <c r="E1848" i="4"/>
  <c r="G1847" i="4"/>
  <c r="E1847" i="4"/>
  <c r="G1846" i="4"/>
  <c r="E1846" i="4"/>
  <c r="G1845" i="4"/>
  <c r="E1845" i="4"/>
  <c r="G1844" i="4"/>
  <c r="E1844" i="4"/>
  <c r="G1843" i="4"/>
  <c r="E1843" i="4"/>
  <c r="G1842" i="4"/>
  <c r="E1842" i="4"/>
  <c r="G1841" i="4"/>
  <c r="E1841" i="4"/>
  <c r="G1840" i="4"/>
  <c r="E1840" i="4"/>
  <c r="G1839" i="4"/>
  <c r="E1839" i="4"/>
  <c r="G1838" i="4"/>
  <c r="E1838" i="4"/>
  <c r="G1837" i="4"/>
  <c r="E1837" i="4"/>
  <c r="G1836" i="4"/>
  <c r="E1836" i="4"/>
  <c r="G1835" i="4"/>
  <c r="E1835" i="4"/>
  <c r="G1834" i="4"/>
  <c r="E1834" i="4"/>
  <c r="G1833" i="4"/>
  <c r="E1833" i="4"/>
  <c r="G1832" i="4"/>
  <c r="E1832" i="4"/>
  <c r="G1831" i="4"/>
  <c r="E1831" i="4"/>
  <c r="G1830" i="4"/>
  <c r="E1830" i="4"/>
  <c r="G1829" i="4"/>
  <c r="E1829" i="4"/>
  <c r="G1828" i="4"/>
  <c r="E1828" i="4"/>
  <c r="G1827" i="4"/>
  <c r="E1827" i="4"/>
  <c r="G1826" i="4"/>
  <c r="E1826" i="4"/>
  <c r="G1825" i="4"/>
  <c r="E1825" i="4"/>
  <c r="G1824" i="4"/>
  <c r="E1824" i="4"/>
  <c r="G1823" i="4"/>
  <c r="E1823" i="4"/>
  <c r="G1822" i="4"/>
  <c r="E1822" i="4"/>
  <c r="G1821" i="4"/>
  <c r="E1821" i="4"/>
  <c r="G1820" i="4"/>
  <c r="E1820" i="4"/>
  <c r="G1819" i="4"/>
  <c r="E1819" i="4"/>
  <c r="G1818" i="4"/>
  <c r="E1818" i="4"/>
  <c r="G1817" i="4"/>
  <c r="E1817" i="4"/>
  <c r="G1816" i="4"/>
  <c r="E1816" i="4"/>
  <c r="G1815" i="4"/>
  <c r="E1815" i="4"/>
  <c r="G1814" i="4"/>
  <c r="E1814" i="4"/>
  <c r="G1813" i="4"/>
  <c r="E1813" i="4"/>
  <c r="G1812" i="4"/>
  <c r="E1812" i="4"/>
  <c r="G1811" i="4"/>
  <c r="E1811" i="4"/>
  <c r="G1810" i="4"/>
  <c r="E1810" i="4"/>
  <c r="G1809" i="4"/>
  <c r="E1809" i="4"/>
  <c r="G1808" i="4"/>
  <c r="E1808" i="4"/>
  <c r="G1807" i="4"/>
  <c r="E1807" i="4"/>
  <c r="G1806" i="4"/>
  <c r="E1806" i="4"/>
  <c r="G1805" i="4"/>
  <c r="E1805" i="4"/>
  <c r="G1804" i="4"/>
  <c r="E1804" i="4"/>
  <c r="G1803" i="4"/>
  <c r="E1803" i="4"/>
  <c r="G1802" i="4"/>
  <c r="E1802" i="4"/>
  <c r="G1801" i="4"/>
  <c r="E1801" i="4"/>
  <c r="G1800" i="4"/>
  <c r="E1800" i="4"/>
  <c r="G1799" i="4"/>
  <c r="E1799" i="4"/>
  <c r="G1798" i="4"/>
  <c r="E1798" i="4"/>
  <c r="G1797" i="4"/>
  <c r="E1797" i="4"/>
  <c r="G1796" i="4"/>
  <c r="E1796" i="4"/>
  <c r="G1795" i="4"/>
  <c r="E1795" i="4"/>
  <c r="G1794" i="4"/>
  <c r="E1794" i="4"/>
  <c r="G1793" i="4"/>
  <c r="E1793" i="4"/>
  <c r="G1792" i="4"/>
  <c r="E1792" i="4"/>
  <c r="G1791" i="4"/>
  <c r="E1791" i="4"/>
  <c r="G1790" i="4"/>
  <c r="E1790" i="4"/>
  <c r="G1789" i="4"/>
  <c r="E1789" i="4"/>
  <c r="G1788" i="4"/>
  <c r="E1788" i="4"/>
  <c r="G1787" i="4"/>
  <c r="E1787" i="4"/>
  <c r="G1786" i="4"/>
  <c r="E1786" i="4"/>
  <c r="G1785" i="4"/>
  <c r="E1785" i="4"/>
  <c r="G1784" i="4"/>
  <c r="E1784" i="4"/>
  <c r="G1783" i="4"/>
  <c r="E1783" i="4"/>
  <c r="G1782" i="4"/>
  <c r="E1782" i="4"/>
  <c r="G1781" i="4"/>
  <c r="E1781" i="4"/>
  <c r="G1780" i="4"/>
  <c r="E1780" i="4"/>
  <c r="G1779" i="4"/>
  <c r="E1779" i="4"/>
  <c r="G1778" i="4"/>
  <c r="E1778" i="4"/>
  <c r="G1777" i="4"/>
  <c r="E1777" i="4"/>
  <c r="G1776" i="4"/>
  <c r="E1776" i="4"/>
  <c r="G1775" i="4"/>
  <c r="E1775" i="4"/>
  <c r="G1774" i="4"/>
  <c r="E1774" i="4"/>
  <c r="G1773" i="4"/>
  <c r="E1773" i="4"/>
  <c r="G1772" i="4"/>
  <c r="E1772" i="4"/>
  <c r="G1771" i="4"/>
  <c r="E1771" i="4"/>
  <c r="G1770" i="4"/>
  <c r="E1770" i="4"/>
  <c r="G1769" i="4"/>
  <c r="E1769" i="4"/>
  <c r="G1768" i="4"/>
  <c r="E1768" i="4"/>
  <c r="G1767" i="4"/>
  <c r="E1767" i="4"/>
  <c r="G1766" i="4"/>
  <c r="E1766" i="4"/>
  <c r="G1765" i="4"/>
  <c r="E1765" i="4"/>
  <c r="G1764" i="4"/>
  <c r="E1764" i="4"/>
  <c r="G1763" i="4"/>
  <c r="E1763" i="4"/>
  <c r="G1762" i="4"/>
  <c r="E1762" i="4"/>
  <c r="G1761" i="4"/>
  <c r="E1761" i="4"/>
  <c r="G1760" i="4"/>
  <c r="E1760" i="4"/>
  <c r="G1759" i="4"/>
  <c r="E1759" i="4"/>
  <c r="G1758" i="4"/>
  <c r="E1758" i="4"/>
  <c r="G1757" i="4"/>
  <c r="E1757" i="4"/>
  <c r="G1756" i="4"/>
  <c r="E1756" i="4"/>
  <c r="G1755" i="4"/>
  <c r="E1755" i="4"/>
  <c r="G1754" i="4"/>
  <c r="E1754" i="4"/>
  <c r="G1753" i="4"/>
  <c r="E1753" i="4"/>
  <c r="G1752" i="4"/>
  <c r="E1752" i="4"/>
  <c r="G1751" i="4"/>
  <c r="E1751" i="4"/>
  <c r="G1750" i="4"/>
  <c r="E1750" i="4"/>
  <c r="G1749" i="4"/>
  <c r="E1749" i="4"/>
  <c r="G1748" i="4"/>
  <c r="E1748" i="4"/>
  <c r="G1747" i="4"/>
  <c r="E1747" i="4"/>
  <c r="G1746" i="4"/>
  <c r="E1746" i="4"/>
  <c r="G1745" i="4"/>
  <c r="E1745" i="4"/>
  <c r="G1744" i="4"/>
  <c r="E1744" i="4"/>
  <c r="G1743" i="4"/>
  <c r="E1743" i="4"/>
  <c r="G1742" i="4"/>
  <c r="E1742" i="4"/>
  <c r="G1741" i="4"/>
  <c r="E1741" i="4"/>
  <c r="G1740" i="4"/>
  <c r="E1740" i="4"/>
  <c r="G1739" i="4"/>
  <c r="E1739" i="4"/>
  <c r="G1738" i="4"/>
  <c r="E1738" i="4"/>
  <c r="G1737" i="4"/>
  <c r="E1737" i="4"/>
  <c r="G1736" i="4"/>
  <c r="E1736" i="4"/>
  <c r="G1735" i="4"/>
  <c r="E1735" i="4"/>
  <c r="G1734" i="4"/>
  <c r="E1734" i="4"/>
  <c r="G1733" i="4"/>
  <c r="E1733" i="4"/>
  <c r="G1732" i="4"/>
  <c r="E1732" i="4"/>
  <c r="G1731" i="4"/>
  <c r="E1731" i="4"/>
  <c r="G1730" i="4"/>
  <c r="E1730" i="4"/>
  <c r="G1729" i="4"/>
  <c r="E1729" i="4"/>
  <c r="G1728" i="4"/>
  <c r="E1728" i="4"/>
  <c r="G1727" i="4"/>
  <c r="E1727" i="4"/>
  <c r="G1726" i="4"/>
  <c r="E1726" i="4"/>
  <c r="G1725" i="4"/>
  <c r="E1725" i="4"/>
  <c r="G1724" i="4"/>
  <c r="E1724" i="4"/>
  <c r="G1723" i="4"/>
  <c r="E1723" i="4"/>
  <c r="G1722" i="4"/>
  <c r="E1722" i="4"/>
  <c r="G1721" i="4"/>
  <c r="E1721" i="4"/>
  <c r="G1720" i="4"/>
  <c r="E1720" i="4"/>
  <c r="G1719" i="4"/>
  <c r="E1719" i="4"/>
  <c r="G1718" i="4"/>
  <c r="E1718" i="4"/>
  <c r="G1717" i="4"/>
  <c r="E1717" i="4"/>
  <c r="G1716" i="4"/>
  <c r="E1716" i="4"/>
  <c r="G1715" i="4"/>
  <c r="E1715" i="4"/>
  <c r="G1714" i="4"/>
  <c r="E1714" i="4"/>
  <c r="G1713" i="4"/>
  <c r="E1713" i="4"/>
  <c r="G1712" i="4"/>
  <c r="E1712" i="4"/>
  <c r="G1711" i="4"/>
  <c r="E1711" i="4"/>
  <c r="G1710" i="4"/>
  <c r="E1710" i="4"/>
  <c r="G1709" i="4"/>
  <c r="E1709" i="4"/>
  <c r="G1708" i="4"/>
  <c r="E1708" i="4"/>
  <c r="G1707" i="4"/>
  <c r="E1707" i="4"/>
  <c r="G1706" i="4"/>
  <c r="E1706" i="4"/>
  <c r="G1705" i="4"/>
  <c r="E1705" i="4"/>
  <c r="G1704" i="4"/>
  <c r="E1704" i="4"/>
  <c r="G1703" i="4"/>
  <c r="E1703" i="4"/>
  <c r="G1702" i="4"/>
  <c r="E1702" i="4"/>
  <c r="G1701" i="4"/>
  <c r="E1701" i="4"/>
  <c r="G1700" i="4"/>
  <c r="E1700" i="4"/>
  <c r="G1699" i="4"/>
  <c r="E1699" i="4"/>
  <c r="G1698" i="4"/>
  <c r="E1698" i="4"/>
  <c r="G1697" i="4"/>
  <c r="E1697" i="4"/>
  <c r="G1696" i="4"/>
  <c r="E1696" i="4"/>
  <c r="G1695" i="4"/>
  <c r="E1695" i="4"/>
  <c r="G1694" i="4"/>
  <c r="E1694" i="4"/>
  <c r="G1693" i="4"/>
  <c r="E1693" i="4"/>
  <c r="G1692" i="4"/>
  <c r="E1692" i="4"/>
  <c r="G1691" i="4"/>
  <c r="E1691" i="4"/>
  <c r="G1690" i="4"/>
  <c r="E1690" i="4"/>
  <c r="G1689" i="4"/>
  <c r="E1689" i="4"/>
  <c r="G1688" i="4"/>
  <c r="E1688" i="4"/>
  <c r="G1687" i="4"/>
  <c r="E1687" i="4"/>
  <c r="G1686" i="4"/>
  <c r="E1686" i="4"/>
  <c r="G1685" i="4"/>
  <c r="E1685" i="4"/>
  <c r="G1684" i="4"/>
  <c r="E1684" i="4"/>
  <c r="G1683" i="4"/>
  <c r="E1683" i="4"/>
  <c r="G1682" i="4"/>
  <c r="E1682" i="4"/>
  <c r="G1681" i="4"/>
  <c r="E1681" i="4"/>
  <c r="G1680" i="4"/>
  <c r="E1680" i="4"/>
  <c r="G1679" i="4"/>
  <c r="E1679" i="4"/>
  <c r="G1678" i="4"/>
  <c r="E1678" i="4"/>
  <c r="G1677" i="4"/>
  <c r="E1677" i="4"/>
  <c r="G1676" i="4"/>
  <c r="E1676" i="4"/>
  <c r="G1675" i="4"/>
  <c r="E1675" i="4"/>
  <c r="G1674" i="4"/>
  <c r="E1674" i="4"/>
  <c r="G1673" i="4"/>
  <c r="E1673" i="4"/>
  <c r="G1672" i="4"/>
  <c r="E1672" i="4"/>
  <c r="G1671" i="4"/>
  <c r="E1671" i="4"/>
  <c r="G1670" i="4"/>
  <c r="E1670" i="4"/>
  <c r="G1669" i="4"/>
  <c r="E1669" i="4"/>
  <c r="G1668" i="4"/>
  <c r="E1668" i="4"/>
  <c r="G1667" i="4"/>
  <c r="E1667" i="4"/>
  <c r="G1666" i="4"/>
  <c r="E1666" i="4"/>
  <c r="G1665" i="4"/>
  <c r="E1665" i="4"/>
  <c r="G1664" i="4"/>
  <c r="E1664" i="4"/>
  <c r="G1663" i="4"/>
  <c r="E1663" i="4"/>
  <c r="G1662" i="4"/>
  <c r="E1662" i="4"/>
  <c r="G1661" i="4"/>
  <c r="E1661" i="4"/>
  <c r="G1660" i="4"/>
  <c r="E1660" i="4"/>
  <c r="G1659" i="4"/>
  <c r="E1659" i="4"/>
  <c r="G1658" i="4"/>
  <c r="E1658" i="4"/>
  <c r="G1657" i="4"/>
  <c r="E1657" i="4"/>
  <c r="G1656" i="4"/>
  <c r="E1656" i="4"/>
  <c r="G1655" i="4"/>
  <c r="E1655" i="4"/>
  <c r="G1654" i="4"/>
  <c r="E1654" i="4"/>
  <c r="G1653" i="4"/>
  <c r="E1653" i="4"/>
  <c r="G1652" i="4"/>
  <c r="E1652" i="4"/>
  <c r="G1651" i="4"/>
  <c r="E1651" i="4"/>
  <c r="G1650" i="4"/>
  <c r="E1650" i="4"/>
  <c r="G1649" i="4"/>
  <c r="E1649" i="4"/>
  <c r="G1648" i="4"/>
  <c r="E1648" i="4"/>
  <c r="G1647" i="4"/>
  <c r="E1647" i="4"/>
  <c r="G1646" i="4"/>
  <c r="E1646" i="4"/>
  <c r="G1645" i="4"/>
  <c r="E1645" i="4"/>
  <c r="G1644" i="4"/>
  <c r="E1644" i="4"/>
  <c r="G1643" i="4"/>
  <c r="E1643" i="4"/>
  <c r="G1642" i="4"/>
  <c r="E1642" i="4"/>
  <c r="G1641" i="4"/>
  <c r="E1641" i="4"/>
  <c r="G1640" i="4"/>
  <c r="E1640" i="4"/>
  <c r="G1639" i="4"/>
  <c r="E1639" i="4"/>
  <c r="G1638" i="4"/>
  <c r="E1638" i="4"/>
  <c r="G1637" i="4"/>
  <c r="E1637" i="4"/>
  <c r="G1636" i="4"/>
  <c r="E1636" i="4"/>
  <c r="G1635" i="4"/>
  <c r="E1635" i="4"/>
  <c r="G1634" i="4"/>
  <c r="E1634" i="4"/>
  <c r="G1633" i="4"/>
  <c r="E1633" i="4"/>
  <c r="G1632" i="4"/>
  <c r="E1632" i="4"/>
  <c r="G1631" i="4"/>
  <c r="E1631" i="4"/>
  <c r="G1630" i="4"/>
  <c r="E1630" i="4"/>
  <c r="G1629" i="4"/>
  <c r="E1629" i="4"/>
  <c r="G1628" i="4"/>
  <c r="E1628" i="4"/>
  <c r="G1627" i="4"/>
  <c r="E1627" i="4"/>
  <c r="G1626" i="4"/>
  <c r="E1626" i="4"/>
  <c r="G1625" i="4"/>
  <c r="E1625" i="4"/>
  <c r="G1624" i="4"/>
  <c r="E1624" i="4"/>
  <c r="G1623" i="4"/>
  <c r="E1623" i="4"/>
  <c r="G1622" i="4"/>
  <c r="E1622" i="4"/>
  <c r="G1621" i="4"/>
  <c r="E1621" i="4"/>
  <c r="G1620" i="4"/>
  <c r="E1620" i="4"/>
  <c r="G1619" i="4"/>
  <c r="E1619" i="4"/>
  <c r="G1618" i="4"/>
  <c r="E1618" i="4"/>
  <c r="G1617" i="4"/>
  <c r="E1617" i="4"/>
  <c r="G1616" i="4"/>
  <c r="E1616" i="4"/>
  <c r="G1615" i="4"/>
  <c r="E1615" i="4"/>
  <c r="G1614" i="4"/>
  <c r="E1614" i="4"/>
  <c r="G1613" i="4"/>
  <c r="E1613" i="4"/>
  <c r="G1612" i="4"/>
  <c r="E1612" i="4"/>
  <c r="G1611" i="4"/>
  <c r="E1611" i="4"/>
  <c r="G1610" i="4"/>
  <c r="E1610" i="4"/>
  <c r="G1609" i="4"/>
  <c r="E1609" i="4"/>
  <c r="G1608" i="4"/>
  <c r="E1608" i="4"/>
  <c r="G1607" i="4"/>
  <c r="E1607" i="4"/>
  <c r="G1606" i="4"/>
  <c r="E1606" i="4"/>
  <c r="G1605" i="4"/>
  <c r="E1605" i="4"/>
  <c r="G1604" i="4"/>
  <c r="E1604" i="4"/>
  <c r="G1603" i="4"/>
  <c r="E1603" i="4"/>
  <c r="G1602" i="4"/>
  <c r="E1602" i="4"/>
  <c r="G1601" i="4"/>
  <c r="E1601" i="4"/>
  <c r="G1600" i="4"/>
  <c r="E1600" i="4"/>
  <c r="G1599" i="4"/>
  <c r="E1599" i="4"/>
  <c r="G1598" i="4"/>
  <c r="E1598" i="4"/>
  <c r="G1597" i="4"/>
  <c r="E1597" i="4"/>
  <c r="G1596" i="4"/>
  <c r="E1596" i="4"/>
  <c r="G1595" i="4"/>
  <c r="E1595" i="4"/>
  <c r="G1594" i="4"/>
  <c r="E1594" i="4"/>
  <c r="G1593" i="4"/>
  <c r="E1593" i="4"/>
  <c r="G1592" i="4"/>
  <c r="E1592" i="4"/>
  <c r="G1591" i="4"/>
  <c r="E1591" i="4"/>
  <c r="G1590" i="4"/>
  <c r="E1590" i="4"/>
  <c r="G1589" i="4"/>
  <c r="E1589" i="4"/>
  <c r="G1588" i="4"/>
  <c r="E1588" i="4"/>
  <c r="G1587" i="4"/>
  <c r="E1587" i="4"/>
  <c r="G1586" i="4"/>
  <c r="E1586" i="4"/>
  <c r="G1585" i="4"/>
  <c r="E1585" i="4"/>
  <c r="G1584" i="4"/>
  <c r="E1584" i="4"/>
  <c r="G1583" i="4"/>
  <c r="E1583" i="4"/>
  <c r="G1582" i="4"/>
  <c r="E1582" i="4"/>
  <c r="G1581" i="4"/>
  <c r="E1581" i="4"/>
  <c r="G1580" i="4"/>
  <c r="E1580" i="4"/>
  <c r="G1579" i="4"/>
  <c r="E1579" i="4"/>
  <c r="G1578" i="4"/>
  <c r="E1578" i="4"/>
  <c r="G1577" i="4"/>
  <c r="E1577" i="4"/>
  <c r="G1576" i="4"/>
  <c r="E1576" i="4"/>
  <c r="G1575" i="4"/>
  <c r="E1575" i="4"/>
  <c r="G1574" i="4"/>
  <c r="E1574" i="4"/>
  <c r="G1573" i="4"/>
  <c r="E1573" i="4"/>
  <c r="G1572" i="4"/>
  <c r="E1572" i="4"/>
  <c r="G1571" i="4"/>
  <c r="E1571" i="4"/>
  <c r="G1570" i="4"/>
  <c r="E1570" i="4"/>
  <c r="G1569" i="4"/>
  <c r="E1569" i="4"/>
  <c r="G1568" i="4"/>
  <c r="E1568" i="4"/>
  <c r="G1567" i="4"/>
  <c r="E1567" i="4"/>
  <c r="G1566" i="4"/>
  <c r="E1566" i="4"/>
  <c r="G1565" i="4"/>
  <c r="E1565" i="4"/>
  <c r="G1564" i="4"/>
  <c r="E1564" i="4"/>
  <c r="G1563" i="4"/>
  <c r="E1563" i="4"/>
  <c r="G1562" i="4"/>
  <c r="E1562" i="4"/>
  <c r="G1561" i="4"/>
  <c r="E1561" i="4"/>
  <c r="G1560" i="4"/>
  <c r="E1560" i="4"/>
  <c r="G1559" i="4"/>
  <c r="E1559" i="4"/>
  <c r="G1558" i="4"/>
  <c r="E1558" i="4"/>
  <c r="G1557" i="4"/>
  <c r="E1557" i="4"/>
  <c r="G1556" i="4"/>
  <c r="E1556" i="4"/>
  <c r="G1555" i="4"/>
  <c r="E1555" i="4"/>
  <c r="G1554" i="4"/>
  <c r="E1554" i="4"/>
  <c r="G1553" i="4"/>
  <c r="E1553" i="4"/>
  <c r="G1552" i="4"/>
  <c r="E1552" i="4"/>
  <c r="G1551" i="4"/>
  <c r="E1551" i="4"/>
  <c r="G1550" i="4"/>
  <c r="E1550" i="4"/>
  <c r="G1549" i="4"/>
  <c r="E1549" i="4"/>
  <c r="G1548" i="4"/>
  <c r="E1548" i="4"/>
  <c r="G1547" i="4"/>
  <c r="E1547" i="4"/>
  <c r="G1546" i="4"/>
  <c r="E1546" i="4"/>
  <c r="G1545" i="4"/>
  <c r="E1545" i="4"/>
  <c r="G1544" i="4"/>
  <c r="E1544" i="4"/>
  <c r="G1543" i="4"/>
  <c r="E1543" i="4"/>
  <c r="G1542" i="4"/>
  <c r="E1542" i="4"/>
  <c r="G1541" i="4"/>
  <c r="E1541" i="4"/>
  <c r="G1540" i="4"/>
  <c r="E1540" i="4"/>
  <c r="G1539" i="4"/>
  <c r="E1539" i="4"/>
  <c r="G1538" i="4"/>
  <c r="E1538" i="4"/>
  <c r="G1537" i="4"/>
  <c r="E1537" i="4"/>
  <c r="G1536" i="4"/>
  <c r="E1536" i="4"/>
  <c r="G1535" i="4"/>
  <c r="E1535" i="4"/>
  <c r="G1534" i="4"/>
  <c r="E1534" i="4"/>
  <c r="G1533" i="4"/>
  <c r="E1533" i="4"/>
  <c r="G1532" i="4"/>
  <c r="E1532" i="4"/>
  <c r="G1531" i="4"/>
  <c r="E1531" i="4"/>
  <c r="G1530" i="4"/>
  <c r="E1530" i="4"/>
  <c r="G1529" i="4"/>
  <c r="E1529" i="4"/>
  <c r="G1528" i="4"/>
  <c r="E1528" i="4"/>
  <c r="G1527" i="4"/>
  <c r="E1527" i="4"/>
  <c r="G1526" i="4"/>
  <c r="E1526" i="4"/>
  <c r="G1525" i="4"/>
  <c r="E1525" i="4"/>
  <c r="G1524" i="4"/>
  <c r="E1524" i="4"/>
  <c r="G1523" i="4"/>
  <c r="E1523" i="4"/>
  <c r="G1522" i="4"/>
  <c r="E1522" i="4"/>
  <c r="G1521" i="4"/>
  <c r="E1521" i="4"/>
  <c r="G1520" i="4"/>
  <c r="E1520" i="4"/>
  <c r="G1519" i="4"/>
  <c r="E1519" i="4"/>
  <c r="G1518" i="4"/>
  <c r="E1518" i="4"/>
  <c r="G1517" i="4"/>
  <c r="E1517" i="4"/>
  <c r="G1516" i="4"/>
  <c r="E1516" i="4"/>
  <c r="G1515" i="4"/>
  <c r="E1515" i="4"/>
  <c r="G1514" i="4"/>
  <c r="E1514" i="4"/>
  <c r="G1513" i="4"/>
  <c r="E1513" i="4"/>
  <c r="G1512" i="4"/>
  <c r="E1512" i="4"/>
  <c r="G1511" i="4"/>
  <c r="E1511" i="4"/>
  <c r="G1510" i="4"/>
  <c r="E1510" i="4"/>
  <c r="G1509" i="4"/>
  <c r="E1509" i="4"/>
  <c r="G1508" i="4"/>
  <c r="E1508" i="4"/>
  <c r="G1507" i="4"/>
  <c r="E1507" i="4"/>
  <c r="G1506" i="4"/>
  <c r="E1506" i="4"/>
  <c r="G1505" i="4"/>
  <c r="E1505" i="4"/>
  <c r="G1504" i="4"/>
  <c r="E1504" i="4"/>
  <c r="G1503" i="4"/>
  <c r="E1503" i="4"/>
  <c r="G1502" i="4"/>
  <c r="E1502" i="4"/>
  <c r="G1501" i="4"/>
  <c r="E1501" i="4"/>
  <c r="G1500" i="4"/>
  <c r="E1500" i="4"/>
  <c r="G1499" i="4"/>
  <c r="E1499" i="4"/>
  <c r="G1498" i="4"/>
  <c r="E1498" i="4"/>
  <c r="G1497" i="4"/>
  <c r="E1497" i="4"/>
  <c r="G1496" i="4"/>
  <c r="E1496" i="4"/>
  <c r="G1495" i="4"/>
  <c r="E1495" i="4"/>
  <c r="G1494" i="4"/>
  <c r="E1494" i="4"/>
  <c r="G1493" i="4"/>
  <c r="E1493" i="4"/>
  <c r="G1492" i="4"/>
  <c r="E1492" i="4"/>
  <c r="G1491" i="4"/>
  <c r="E1491" i="4"/>
  <c r="G1490" i="4"/>
  <c r="E1490" i="4"/>
  <c r="G1489" i="4"/>
  <c r="E1489" i="4"/>
  <c r="G1488" i="4"/>
  <c r="E1488" i="4"/>
  <c r="G1487" i="4"/>
  <c r="E1487" i="4"/>
  <c r="G1486" i="4"/>
  <c r="E1486" i="4"/>
  <c r="G1485" i="4"/>
  <c r="E1485" i="4"/>
  <c r="G1484" i="4"/>
  <c r="E1484" i="4"/>
  <c r="G1483" i="4"/>
  <c r="E1483" i="4"/>
  <c r="G1482" i="4"/>
  <c r="E1482" i="4"/>
  <c r="G1481" i="4"/>
  <c r="E1481" i="4"/>
  <c r="G1480" i="4"/>
  <c r="E1480" i="4"/>
  <c r="G1479" i="4"/>
  <c r="E1479" i="4"/>
  <c r="G1478" i="4"/>
  <c r="E1478" i="4"/>
  <c r="G1477" i="4"/>
  <c r="E1477" i="4"/>
  <c r="G1476" i="4"/>
  <c r="E1476" i="4"/>
  <c r="G1475" i="4"/>
  <c r="E1475" i="4"/>
  <c r="G1474" i="4"/>
  <c r="E1474" i="4"/>
  <c r="G1473" i="4"/>
  <c r="E1473" i="4"/>
  <c r="G1472" i="4"/>
  <c r="E1472" i="4"/>
  <c r="G1471" i="4"/>
  <c r="E1471" i="4"/>
  <c r="G1470" i="4"/>
  <c r="E1470" i="4"/>
  <c r="G1469" i="4"/>
  <c r="E1469" i="4"/>
  <c r="G1468" i="4"/>
  <c r="E1468" i="4"/>
  <c r="G1467" i="4"/>
  <c r="E1467" i="4"/>
  <c r="G1466" i="4"/>
  <c r="E1466" i="4"/>
  <c r="G1465" i="4"/>
  <c r="E1465" i="4"/>
  <c r="G1464" i="4"/>
  <c r="E1464" i="4"/>
  <c r="G1463" i="4"/>
  <c r="E1463" i="4"/>
  <c r="G1462" i="4"/>
  <c r="E1462" i="4"/>
  <c r="G1461" i="4"/>
  <c r="E1461" i="4"/>
  <c r="G1460" i="4"/>
  <c r="E1460" i="4"/>
  <c r="G1459" i="4"/>
  <c r="E1459" i="4"/>
  <c r="G1458" i="4"/>
  <c r="E1458" i="4"/>
  <c r="G1457" i="4"/>
  <c r="E1457" i="4"/>
  <c r="G1456" i="4"/>
  <c r="E1456" i="4"/>
  <c r="G1455" i="4"/>
  <c r="E1455" i="4"/>
  <c r="G1454" i="4"/>
  <c r="E1454" i="4"/>
  <c r="G1453" i="4"/>
  <c r="E1453" i="4"/>
  <c r="G1452" i="4"/>
  <c r="E1452" i="4"/>
  <c r="G1451" i="4"/>
  <c r="E1451" i="4"/>
  <c r="G1450" i="4"/>
  <c r="E1450" i="4"/>
  <c r="G1449" i="4"/>
  <c r="E1449" i="4"/>
  <c r="G1448" i="4"/>
  <c r="E1448" i="4"/>
  <c r="G1447" i="4"/>
  <c r="E1447" i="4"/>
  <c r="G1446" i="4"/>
  <c r="E1446" i="4"/>
  <c r="G1445" i="4"/>
  <c r="E1445" i="4"/>
  <c r="G1444" i="4"/>
  <c r="E1444" i="4"/>
  <c r="G1443" i="4"/>
  <c r="E1443" i="4"/>
  <c r="G1442" i="4"/>
  <c r="E1442" i="4"/>
  <c r="G1441" i="4"/>
  <c r="E1441" i="4"/>
  <c r="G1440" i="4"/>
  <c r="E1440" i="4"/>
  <c r="G1439" i="4"/>
  <c r="E1439" i="4"/>
  <c r="G1438" i="4"/>
  <c r="E1438" i="4"/>
  <c r="G1437" i="4"/>
  <c r="E1437" i="4"/>
  <c r="G1436" i="4"/>
  <c r="E1436" i="4"/>
  <c r="G1435" i="4"/>
  <c r="E1435" i="4"/>
  <c r="G1434" i="4"/>
  <c r="E1434" i="4"/>
  <c r="G1433" i="4"/>
  <c r="E1433" i="4"/>
  <c r="G1432" i="4"/>
  <c r="E1432" i="4"/>
  <c r="G1431" i="4"/>
  <c r="E1431" i="4"/>
  <c r="G1430" i="4"/>
  <c r="E1430" i="4"/>
  <c r="G1429" i="4"/>
  <c r="E1429" i="4"/>
  <c r="G1428" i="4"/>
  <c r="E1428" i="4"/>
  <c r="G1427" i="4"/>
  <c r="E1427" i="4"/>
  <c r="G1426" i="4"/>
  <c r="E1426" i="4"/>
  <c r="G1425" i="4"/>
  <c r="E1425" i="4"/>
  <c r="G1424" i="4"/>
  <c r="E1424" i="4"/>
  <c r="G1423" i="4"/>
  <c r="E1423" i="4"/>
  <c r="G1422" i="4"/>
  <c r="E1422" i="4"/>
  <c r="G1421" i="4"/>
  <c r="E1421" i="4"/>
  <c r="G1420" i="4"/>
  <c r="E1420" i="4"/>
  <c r="G1419" i="4"/>
  <c r="E1419" i="4"/>
  <c r="G1418" i="4"/>
  <c r="E1418" i="4"/>
  <c r="G1417" i="4"/>
  <c r="E1417" i="4"/>
  <c r="G1416" i="4"/>
  <c r="E1416" i="4"/>
  <c r="G1415" i="4"/>
  <c r="E1415" i="4"/>
  <c r="G1414" i="4"/>
  <c r="E1414" i="4"/>
  <c r="G1413" i="4"/>
  <c r="E1413" i="4"/>
  <c r="G1412" i="4"/>
  <c r="E1412" i="4"/>
  <c r="G1411" i="4"/>
  <c r="E1411" i="4"/>
  <c r="G1410" i="4"/>
  <c r="E1410" i="4"/>
  <c r="G1409" i="4"/>
  <c r="E1409" i="4"/>
  <c r="G1408" i="4"/>
  <c r="E1408" i="4"/>
  <c r="G1407" i="4"/>
  <c r="E1407" i="4"/>
  <c r="G1406" i="4"/>
  <c r="E1406" i="4"/>
  <c r="G1405" i="4"/>
  <c r="E1405" i="4"/>
  <c r="G1404" i="4"/>
  <c r="E1404" i="4"/>
  <c r="G1403" i="4"/>
  <c r="E1403" i="4"/>
  <c r="G1402" i="4"/>
  <c r="E1402" i="4"/>
  <c r="G1401" i="4"/>
  <c r="E1401" i="4"/>
  <c r="G1400" i="4"/>
  <c r="E1400" i="4"/>
  <c r="G1399" i="4"/>
  <c r="E1399" i="4"/>
  <c r="G1398" i="4"/>
  <c r="E1398" i="4"/>
  <c r="G1397" i="4"/>
  <c r="E1397" i="4"/>
  <c r="G1396" i="4"/>
  <c r="E1396" i="4"/>
  <c r="G1395" i="4"/>
  <c r="E1395" i="4"/>
  <c r="G1394" i="4"/>
  <c r="E1394" i="4"/>
  <c r="G1393" i="4"/>
  <c r="E1393" i="4"/>
  <c r="G1392" i="4"/>
  <c r="E1392" i="4"/>
  <c r="G1391" i="4"/>
  <c r="E1391" i="4"/>
  <c r="G1390" i="4"/>
  <c r="E1390" i="4"/>
  <c r="G1389" i="4"/>
  <c r="E1389" i="4"/>
  <c r="G1388" i="4"/>
  <c r="E1388" i="4"/>
  <c r="G1387" i="4"/>
  <c r="E1387" i="4"/>
  <c r="G1386" i="4"/>
  <c r="E1386" i="4"/>
  <c r="G1385" i="4"/>
  <c r="E1385" i="4"/>
  <c r="G1384" i="4"/>
  <c r="E1384" i="4"/>
  <c r="G1383" i="4"/>
  <c r="E1383" i="4"/>
  <c r="G1382" i="4"/>
  <c r="E1382" i="4"/>
  <c r="G1381" i="4"/>
  <c r="E1381" i="4"/>
  <c r="G1380" i="4"/>
  <c r="E1380" i="4"/>
  <c r="G1379" i="4"/>
  <c r="E1379" i="4"/>
  <c r="G1378" i="4"/>
  <c r="E1378" i="4"/>
  <c r="G1377" i="4"/>
  <c r="E1377" i="4"/>
  <c r="G1376" i="4"/>
  <c r="E1376" i="4"/>
  <c r="G1375" i="4"/>
  <c r="E1375" i="4"/>
  <c r="G1374" i="4"/>
  <c r="E1374" i="4"/>
  <c r="G1373" i="4"/>
  <c r="E1373" i="4"/>
  <c r="G1372" i="4"/>
  <c r="E1372" i="4"/>
  <c r="G1371" i="4"/>
  <c r="E1371" i="4"/>
  <c r="G1370" i="4"/>
  <c r="E1370" i="4"/>
  <c r="G1369" i="4"/>
  <c r="E1369" i="4"/>
  <c r="G1368" i="4"/>
  <c r="E1368" i="4"/>
  <c r="G1367" i="4"/>
  <c r="E1367" i="4"/>
  <c r="G1366" i="4"/>
  <c r="E1366" i="4"/>
  <c r="G1365" i="4"/>
  <c r="E1365" i="4"/>
  <c r="G1364" i="4"/>
  <c r="E1364" i="4"/>
  <c r="G1363" i="4"/>
  <c r="E1363" i="4"/>
  <c r="G1362" i="4"/>
  <c r="E1362" i="4"/>
  <c r="G1361" i="4"/>
  <c r="E1361" i="4"/>
  <c r="G1360" i="4"/>
  <c r="E1360" i="4"/>
  <c r="G1359" i="4"/>
  <c r="E1359" i="4"/>
  <c r="G1358" i="4"/>
  <c r="E1358" i="4"/>
  <c r="G1357" i="4"/>
  <c r="E1357" i="4"/>
  <c r="G1356" i="4"/>
  <c r="E1356" i="4"/>
  <c r="G1355" i="4"/>
  <c r="E1355" i="4"/>
  <c r="G1354" i="4"/>
  <c r="E1354" i="4"/>
  <c r="G1353" i="4"/>
  <c r="E1353" i="4"/>
  <c r="G1352" i="4"/>
  <c r="E1352" i="4"/>
  <c r="G1351" i="4"/>
  <c r="E1351" i="4"/>
  <c r="G1350" i="4"/>
  <c r="E1350" i="4"/>
  <c r="G1349" i="4"/>
  <c r="E1349" i="4"/>
  <c r="G1348" i="4"/>
  <c r="E1348" i="4"/>
  <c r="G1347" i="4"/>
  <c r="E1347" i="4"/>
  <c r="G1346" i="4"/>
  <c r="E1346" i="4"/>
  <c r="G1345" i="4"/>
  <c r="E1345" i="4"/>
  <c r="G1344" i="4"/>
  <c r="E1344" i="4"/>
  <c r="G1343" i="4"/>
  <c r="E1343" i="4"/>
  <c r="G1342" i="4"/>
  <c r="E1342" i="4"/>
  <c r="G1341" i="4"/>
  <c r="E1341" i="4"/>
  <c r="G1340" i="4"/>
  <c r="E1340" i="4"/>
  <c r="G1339" i="4"/>
  <c r="E1339" i="4"/>
  <c r="G1338" i="4"/>
  <c r="E1338" i="4"/>
  <c r="G1337" i="4"/>
  <c r="E1337" i="4"/>
  <c r="G1336" i="4"/>
  <c r="E1336" i="4"/>
  <c r="G1335" i="4"/>
  <c r="E1335" i="4"/>
  <c r="G1334" i="4"/>
  <c r="E1334" i="4"/>
  <c r="G1333" i="4"/>
  <c r="E1333" i="4"/>
  <c r="G1332" i="4"/>
  <c r="E1332" i="4"/>
  <c r="G1331" i="4"/>
  <c r="E1331" i="4"/>
  <c r="G1330" i="4"/>
  <c r="E1330" i="4"/>
  <c r="G1329" i="4"/>
  <c r="E1329" i="4"/>
  <c r="G1328" i="4"/>
  <c r="E1328" i="4"/>
  <c r="G1327" i="4"/>
  <c r="E1327" i="4"/>
  <c r="G1326" i="4"/>
  <c r="E1326" i="4"/>
  <c r="G1325" i="4"/>
  <c r="E1325" i="4"/>
  <c r="G1324" i="4"/>
  <c r="E1324" i="4"/>
  <c r="G1323" i="4"/>
  <c r="E1323" i="4"/>
  <c r="G1322" i="4"/>
  <c r="E1322" i="4"/>
  <c r="G1321" i="4"/>
  <c r="E1321" i="4"/>
  <c r="G1320" i="4"/>
  <c r="E1320" i="4"/>
  <c r="G1319" i="4"/>
  <c r="E1319" i="4"/>
  <c r="G1318" i="4"/>
  <c r="E1318" i="4"/>
  <c r="G1317" i="4"/>
  <c r="E1317" i="4"/>
  <c r="G1316" i="4"/>
  <c r="E1316" i="4"/>
  <c r="G1315" i="4"/>
  <c r="E1315" i="4"/>
  <c r="G1314" i="4"/>
  <c r="E1314" i="4"/>
  <c r="G1313" i="4"/>
  <c r="E1313" i="4"/>
  <c r="G1312" i="4"/>
  <c r="E1312" i="4"/>
  <c r="G1311" i="4"/>
  <c r="E1311" i="4"/>
  <c r="G1310" i="4"/>
  <c r="E1310" i="4"/>
  <c r="G1309" i="4"/>
  <c r="E1309" i="4"/>
  <c r="G1308" i="4"/>
  <c r="E1308" i="4"/>
  <c r="G1307" i="4"/>
  <c r="E1307" i="4"/>
  <c r="G1306" i="4"/>
  <c r="E1306" i="4"/>
  <c r="G1305" i="4"/>
  <c r="E1305" i="4"/>
  <c r="G1304" i="4"/>
  <c r="E1304" i="4"/>
  <c r="G1303" i="4"/>
  <c r="E1303" i="4"/>
  <c r="G1302" i="4"/>
  <c r="E1302" i="4"/>
  <c r="G1301" i="4"/>
  <c r="E1301" i="4"/>
  <c r="G1300" i="4"/>
  <c r="E1300" i="4"/>
  <c r="G1299" i="4"/>
  <c r="E1299" i="4"/>
  <c r="G1298" i="4"/>
  <c r="E1298" i="4"/>
  <c r="G1297" i="4"/>
  <c r="E1297" i="4"/>
  <c r="G1296" i="4"/>
  <c r="E1296" i="4"/>
  <c r="G1295" i="4"/>
  <c r="E1295" i="4"/>
  <c r="G1294" i="4"/>
  <c r="E1294" i="4"/>
  <c r="G1293" i="4"/>
  <c r="E1293" i="4"/>
  <c r="G1292" i="4"/>
  <c r="E1292" i="4"/>
  <c r="G1291" i="4"/>
  <c r="E1291" i="4"/>
  <c r="G1290" i="4"/>
  <c r="E1290" i="4"/>
  <c r="G1289" i="4"/>
  <c r="E1289" i="4"/>
  <c r="G1288" i="4"/>
  <c r="E1288" i="4"/>
  <c r="G1287" i="4"/>
  <c r="E1287" i="4"/>
  <c r="G1286" i="4"/>
  <c r="E1286" i="4"/>
  <c r="G1285" i="4"/>
  <c r="E1285" i="4"/>
  <c r="G1284" i="4"/>
  <c r="E1284" i="4"/>
  <c r="G1283" i="4"/>
  <c r="E1283" i="4"/>
  <c r="G1282" i="4"/>
  <c r="E1282" i="4"/>
  <c r="G1281" i="4"/>
  <c r="E1281" i="4"/>
  <c r="G1280" i="4"/>
  <c r="E1280" i="4"/>
  <c r="G1279" i="4"/>
  <c r="E1279" i="4"/>
  <c r="G1278" i="4"/>
  <c r="E1278" i="4"/>
  <c r="G1277" i="4"/>
  <c r="E1277" i="4"/>
  <c r="G1276" i="4"/>
  <c r="E1276" i="4"/>
  <c r="G1275" i="4"/>
  <c r="E1275" i="4"/>
  <c r="G1274" i="4"/>
  <c r="E1274" i="4"/>
  <c r="G1273" i="4"/>
  <c r="E1273" i="4"/>
  <c r="G1272" i="4"/>
  <c r="E1272" i="4"/>
  <c r="G1271" i="4"/>
  <c r="E1271" i="4"/>
  <c r="G1270" i="4"/>
  <c r="E1270" i="4"/>
  <c r="G1269" i="4"/>
  <c r="E1269" i="4"/>
  <c r="G1268" i="4"/>
  <c r="E1268" i="4"/>
  <c r="G1267" i="4"/>
  <c r="E1267" i="4"/>
  <c r="G1266" i="4"/>
  <c r="E1266" i="4"/>
  <c r="G1265" i="4"/>
  <c r="E1265" i="4"/>
  <c r="G1264" i="4"/>
  <c r="E1264" i="4"/>
  <c r="G1263" i="4"/>
  <c r="E1263" i="4"/>
  <c r="G1262" i="4"/>
  <c r="E1262" i="4"/>
  <c r="G1261" i="4"/>
  <c r="E1261" i="4"/>
  <c r="G1260" i="4"/>
  <c r="E1260" i="4"/>
  <c r="G1259" i="4"/>
  <c r="E1259" i="4"/>
  <c r="G1258" i="4"/>
  <c r="E1258" i="4"/>
  <c r="G1257" i="4"/>
  <c r="E1257" i="4"/>
  <c r="G1256" i="4"/>
  <c r="E1256" i="4"/>
  <c r="G1255" i="4"/>
  <c r="E1255" i="4"/>
  <c r="G1254" i="4"/>
  <c r="E1254" i="4"/>
  <c r="G1253" i="4"/>
  <c r="E1253" i="4"/>
  <c r="G1252" i="4"/>
  <c r="E1252" i="4"/>
  <c r="G1251" i="4"/>
  <c r="E1251" i="4"/>
  <c r="G1250" i="4"/>
  <c r="E1250" i="4"/>
  <c r="G1249" i="4"/>
  <c r="E1249" i="4"/>
  <c r="G1248" i="4"/>
  <c r="E1248" i="4"/>
  <c r="G1247" i="4"/>
  <c r="E1247" i="4"/>
  <c r="G1246" i="4"/>
  <c r="E1246" i="4"/>
  <c r="G1245" i="4"/>
  <c r="E1245" i="4"/>
  <c r="G1244" i="4"/>
  <c r="E1244" i="4"/>
  <c r="G1243" i="4"/>
  <c r="E1243" i="4"/>
  <c r="G1242" i="4"/>
  <c r="E1242" i="4"/>
  <c r="G1241" i="4"/>
  <c r="E1241" i="4"/>
  <c r="G1240" i="4"/>
  <c r="E1240" i="4"/>
  <c r="G1239" i="4"/>
  <c r="E1239" i="4"/>
  <c r="G1238" i="4"/>
  <c r="E1238" i="4"/>
  <c r="G1237" i="4"/>
  <c r="E1237" i="4"/>
  <c r="G1236" i="4"/>
  <c r="E1236" i="4"/>
  <c r="G1235" i="4"/>
  <c r="E1235" i="4"/>
  <c r="G1234" i="4"/>
  <c r="E1234" i="4"/>
  <c r="G1233" i="4"/>
  <c r="E1233" i="4"/>
  <c r="G1232" i="4"/>
  <c r="E1232" i="4"/>
  <c r="G1231" i="4"/>
  <c r="E1231" i="4"/>
  <c r="G1230" i="4"/>
  <c r="E1230" i="4"/>
  <c r="G1229" i="4"/>
  <c r="E1229" i="4"/>
  <c r="G1228" i="4"/>
  <c r="E1228" i="4"/>
  <c r="G1227" i="4"/>
  <c r="E1227" i="4"/>
  <c r="G1226" i="4"/>
  <c r="E1226" i="4"/>
  <c r="G1225" i="4"/>
  <c r="E1225" i="4"/>
  <c r="G1224" i="4"/>
  <c r="E1224" i="4"/>
  <c r="G1223" i="4"/>
  <c r="E1223" i="4"/>
  <c r="G1222" i="4"/>
  <c r="E1222" i="4"/>
  <c r="G1221" i="4"/>
  <c r="E1221" i="4"/>
  <c r="G1220" i="4"/>
  <c r="E1220" i="4"/>
  <c r="G1219" i="4"/>
  <c r="E1219" i="4"/>
  <c r="G1218" i="4"/>
  <c r="E1218" i="4"/>
  <c r="G1217" i="4"/>
  <c r="E1217" i="4"/>
  <c r="G1216" i="4"/>
  <c r="E1216" i="4"/>
  <c r="G1215" i="4"/>
  <c r="E1215" i="4"/>
  <c r="G1214" i="4"/>
  <c r="E1214" i="4"/>
  <c r="G1213" i="4"/>
  <c r="E1213" i="4"/>
  <c r="G1212" i="4"/>
  <c r="E1212" i="4"/>
  <c r="G1211" i="4"/>
  <c r="E1211" i="4"/>
  <c r="G1210" i="4"/>
  <c r="E1210" i="4"/>
  <c r="G1209" i="4"/>
  <c r="E1209" i="4"/>
  <c r="G1208" i="4"/>
  <c r="E1208" i="4"/>
  <c r="G1207" i="4"/>
  <c r="E1207" i="4"/>
  <c r="G1206" i="4"/>
  <c r="E1206" i="4"/>
  <c r="G1205" i="4"/>
  <c r="E1205" i="4"/>
  <c r="G1204" i="4"/>
  <c r="E1204" i="4"/>
  <c r="G1203" i="4"/>
  <c r="E1203" i="4"/>
  <c r="G1202" i="4"/>
  <c r="E1202" i="4"/>
  <c r="G1201" i="4"/>
  <c r="E1201" i="4"/>
  <c r="G1200" i="4"/>
  <c r="E1200" i="4"/>
  <c r="G1199" i="4"/>
  <c r="E1199" i="4"/>
  <c r="G1198" i="4"/>
  <c r="E1198" i="4"/>
  <c r="G1197" i="4"/>
  <c r="E1197" i="4"/>
  <c r="G1196" i="4"/>
  <c r="E1196" i="4"/>
  <c r="G1195" i="4"/>
  <c r="E1195" i="4"/>
  <c r="G1194" i="4"/>
  <c r="F1194" i="4"/>
  <c r="E1194" i="4"/>
  <c r="D1194" i="4"/>
  <c r="C1194" i="4"/>
  <c r="A1194" i="4"/>
  <c r="G1193" i="4"/>
  <c r="F1193" i="4"/>
  <c r="E1193" i="4"/>
  <c r="D1193" i="4"/>
  <c r="C1193" i="4"/>
  <c r="A1193" i="4"/>
  <c r="G1192" i="4"/>
  <c r="F1192" i="4"/>
  <c r="E1192" i="4"/>
  <c r="D1192" i="4"/>
  <c r="C1192" i="4"/>
  <c r="A1192" i="4"/>
  <c r="G1191" i="4"/>
  <c r="F1191" i="4"/>
  <c r="E1191" i="4"/>
  <c r="D1191" i="4"/>
  <c r="C1191" i="4"/>
  <c r="A1191" i="4"/>
  <c r="G1190" i="4"/>
  <c r="F1190" i="4"/>
  <c r="E1190" i="4"/>
  <c r="D1190" i="4"/>
  <c r="C1190" i="4"/>
  <c r="A1190" i="4"/>
  <c r="G1189" i="4"/>
  <c r="F1189" i="4"/>
  <c r="E1189" i="4"/>
  <c r="D1189" i="4"/>
  <c r="C1189" i="4"/>
  <c r="A1189" i="4"/>
  <c r="G1188" i="4"/>
  <c r="F1188" i="4"/>
  <c r="E1188" i="4"/>
  <c r="D1188" i="4"/>
  <c r="C1188" i="4"/>
  <c r="A1188" i="4"/>
  <c r="G1187" i="4"/>
  <c r="F1187" i="4"/>
  <c r="E1187" i="4"/>
  <c r="D1187" i="4"/>
  <c r="C1187" i="4"/>
  <c r="A1187" i="4"/>
  <c r="G1186" i="4"/>
  <c r="F1186" i="4"/>
  <c r="E1186" i="4"/>
  <c r="D1186" i="4"/>
  <c r="C1186" i="4"/>
  <c r="A1186" i="4"/>
  <c r="G1185" i="4"/>
  <c r="F1185" i="4"/>
  <c r="E1185" i="4"/>
  <c r="D1185" i="4"/>
  <c r="C1185" i="4"/>
  <c r="A1185" i="4"/>
  <c r="G1184" i="4"/>
  <c r="F1184" i="4"/>
  <c r="E1184" i="4"/>
  <c r="D1184" i="4"/>
  <c r="C1184" i="4"/>
  <c r="A1184" i="4"/>
  <c r="G1183" i="4"/>
  <c r="F1183" i="4"/>
  <c r="E1183" i="4"/>
  <c r="D1183" i="4"/>
  <c r="C1183" i="4"/>
  <c r="A1183" i="4"/>
  <c r="G1182" i="4"/>
  <c r="F1182" i="4"/>
  <c r="E1182" i="4"/>
  <c r="D1182" i="4"/>
  <c r="C1182" i="4"/>
  <c r="A1182" i="4"/>
  <c r="G1181" i="4"/>
  <c r="F1181" i="4"/>
  <c r="E1181" i="4"/>
  <c r="D1181" i="4"/>
  <c r="C1181" i="4"/>
  <c r="A1181" i="4"/>
  <c r="G1180" i="4"/>
  <c r="F1180" i="4"/>
  <c r="E1180" i="4"/>
  <c r="D1180" i="4"/>
  <c r="C1180" i="4"/>
  <c r="A1180" i="4"/>
  <c r="G1179" i="4"/>
  <c r="F1179" i="4"/>
  <c r="E1179" i="4"/>
  <c r="D1179" i="4"/>
  <c r="C1179" i="4"/>
  <c r="A1179" i="4"/>
  <c r="G1178" i="4"/>
  <c r="F1178" i="4"/>
  <c r="E1178" i="4"/>
  <c r="D1178" i="4"/>
  <c r="C1178" i="4"/>
  <c r="A1178" i="4"/>
  <c r="G1177" i="4"/>
  <c r="F1177" i="4"/>
  <c r="E1177" i="4"/>
  <c r="D1177" i="4"/>
  <c r="C1177" i="4"/>
  <c r="A1177" i="4"/>
  <c r="G1176" i="4"/>
  <c r="F1176" i="4"/>
  <c r="E1176" i="4"/>
  <c r="D1176" i="4"/>
  <c r="C1176" i="4"/>
  <c r="A1176" i="4"/>
  <c r="G1175" i="4"/>
  <c r="F1175" i="4"/>
  <c r="E1175" i="4"/>
  <c r="D1175" i="4"/>
  <c r="C1175" i="4"/>
  <c r="A1175" i="4"/>
  <c r="G1174" i="4"/>
  <c r="F1174" i="4"/>
  <c r="E1174" i="4"/>
  <c r="D1174" i="4"/>
  <c r="C1174" i="4"/>
  <c r="A1174" i="4"/>
  <c r="G1173" i="4"/>
  <c r="F1173" i="4"/>
  <c r="E1173" i="4"/>
  <c r="D1173" i="4"/>
  <c r="C1173" i="4"/>
  <c r="A1173" i="4"/>
  <c r="G1172" i="4"/>
  <c r="F1172" i="4"/>
  <c r="E1172" i="4"/>
  <c r="D1172" i="4"/>
  <c r="C1172" i="4"/>
  <c r="A1172" i="4"/>
  <c r="G1171" i="4"/>
  <c r="F1171" i="4"/>
  <c r="E1171" i="4"/>
  <c r="D1171" i="4"/>
  <c r="C1171" i="4"/>
  <c r="A1171" i="4"/>
  <c r="G1170" i="4"/>
  <c r="F1170" i="4"/>
  <c r="E1170" i="4"/>
  <c r="D1170" i="4"/>
  <c r="C1170" i="4"/>
  <c r="A1170" i="4"/>
  <c r="G1169" i="4"/>
  <c r="F1169" i="4"/>
  <c r="E1169" i="4"/>
  <c r="D1169" i="4"/>
  <c r="C1169" i="4"/>
  <c r="A1169" i="4"/>
  <c r="G1168" i="4"/>
  <c r="F1168" i="4"/>
  <c r="E1168" i="4"/>
  <c r="D1168" i="4"/>
  <c r="C1168" i="4"/>
  <c r="A1168" i="4"/>
  <c r="G1167" i="4"/>
  <c r="F1167" i="4"/>
  <c r="E1167" i="4"/>
  <c r="D1167" i="4"/>
  <c r="C1167" i="4"/>
  <c r="A1167" i="4"/>
  <c r="G1166" i="4"/>
  <c r="F1166" i="4"/>
  <c r="E1166" i="4"/>
  <c r="D1166" i="4"/>
  <c r="C1166" i="4"/>
  <c r="A1166" i="4"/>
  <c r="G1165" i="4"/>
  <c r="F1165" i="4"/>
  <c r="E1165" i="4"/>
  <c r="D1165" i="4"/>
  <c r="C1165" i="4"/>
  <c r="A1165" i="4"/>
  <c r="G1164" i="4"/>
  <c r="F1164" i="4"/>
  <c r="E1164" i="4"/>
  <c r="D1164" i="4"/>
  <c r="C1164" i="4"/>
  <c r="A1164" i="4"/>
  <c r="G1163" i="4"/>
  <c r="F1163" i="4"/>
  <c r="E1163" i="4"/>
  <c r="D1163" i="4"/>
  <c r="C1163" i="4"/>
  <c r="A1163" i="4"/>
  <c r="G1162" i="4"/>
  <c r="F1162" i="4"/>
  <c r="E1162" i="4"/>
  <c r="D1162" i="4"/>
  <c r="C1162" i="4"/>
  <c r="A1162" i="4"/>
  <c r="G1161" i="4"/>
  <c r="F1161" i="4"/>
  <c r="E1161" i="4"/>
  <c r="D1161" i="4"/>
  <c r="C1161" i="4"/>
  <c r="A1161" i="4"/>
  <c r="G1160" i="4"/>
  <c r="F1160" i="4"/>
  <c r="E1160" i="4"/>
  <c r="D1160" i="4"/>
  <c r="C1160" i="4"/>
  <c r="A1160" i="4"/>
  <c r="G1159" i="4"/>
  <c r="F1159" i="4"/>
  <c r="E1159" i="4"/>
  <c r="D1159" i="4"/>
  <c r="C1159" i="4"/>
  <c r="A1159" i="4"/>
  <c r="G1158" i="4"/>
  <c r="F1158" i="4"/>
  <c r="E1158" i="4"/>
  <c r="D1158" i="4"/>
  <c r="C1158" i="4"/>
  <c r="A1158" i="4"/>
  <c r="G1157" i="4"/>
  <c r="F1157" i="4"/>
  <c r="E1157" i="4"/>
  <c r="D1157" i="4"/>
  <c r="C1157" i="4"/>
  <c r="A1157" i="4"/>
  <c r="G1156" i="4"/>
  <c r="F1156" i="4"/>
  <c r="E1156" i="4"/>
  <c r="D1156" i="4"/>
  <c r="C1156" i="4"/>
  <c r="A1156" i="4"/>
  <c r="G1155" i="4"/>
  <c r="F1155" i="4"/>
  <c r="E1155" i="4"/>
  <c r="D1155" i="4"/>
  <c r="C1155" i="4"/>
  <c r="A1155" i="4"/>
  <c r="G1154" i="4"/>
  <c r="F1154" i="4"/>
  <c r="E1154" i="4"/>
  <c r="D1154" i="4"/>
  <c r="C1154" i="4"/>
  <c r="A1154" i="4"/>
  <c r="G1153" i="4"/>
  <c r="F1153" i="4"/>
  <c r="E1153" i="4"/>
  <c r="D1153" i="4"/>
  <c r="C1153" i="4"/>
  <c r="A1153" i="4"/>
  <c r="G1152" i="4"/>
  <c r="F1152" i="4"/>
  <c r="E1152" i="4"/>
  <c r="D1152" i="4"/>
  <c r="C1152" i="4"/>
  <c r="A1152" i="4"/>
  <c r="G1151" i="4"/>
  <c r="F1151" i="4"/>
  <c r="E1151" i="4"/>
  <c r="D1151" i="4"/>
  <c r="C1151" i="4"/>
  <c r="A1151" i="4"/>
  <c r="G1150" i="4"/>
  <c r="F1150" i="4"/>
  <c r="E1150" i="4"/>
  <c r="D1150" i="4"/>
  <c r="C1150" i="4"/>
  <c r="A1150" i="4"/>
  <c r="G1149" i="4"/>
  <c r="F1149" i="4"/>
  <c r="E1149" i="4"/>
  <c r="D1149" i="4"/>
  <c r="C1149" i="4"/>
  <c r="A1149" i="4"/>
  <c r="G1148" i="4"/>
  <c r="F1148" i="4"/>
  <c r="E1148" i="4"/>
  <c r="D1148" i="4"/>
  <c r="C1148" i="4"/>
  <c r="A1148" i="4"/>
  <c r="G1147" i="4"/>
  <c r="F1147" i="4"/>
  <c r="E1147" i="4"/>
  <c r="D1147" i="4"/>
  <c r="C1147" i="4"/>
  <c r="A1147" i="4"/>
  <c r="G1146" i="4"/>
  <c r="F1146" i="4"/>
  <c r="E1146" i="4"/>
  <c r="D1146" i="4"/>
  <c r="C1146" i="4"/>
  <c r="A1146" i="4"/>
  <c r="G1145" i="4"/>
  <c r="F1145" i="4"/>
  <c r="E1145" i="4"/>
  <c r="D1145" i="4"/>
  <c r="C1145" i="4"/>
  <c r="A1145" i="4"/>
  <c r="G1144" i="4"/>
  <c r="F1144" i="4"/>
  <c r="E1144" i="4"/>
  <c r="D1144" i="4"/>
  <c r="C1144" i="4"/>
  <c r="A1144" i="4"/>
  <c r="G1143" i="4"/>
  <c r="F1143" i="4"/>
  <c r="E1143" i="4"/>
  <c r="D1143" i="4"/>
  <c r="C1143" i="4"/>
  <c r="A1143" i="4"/>
  <c r="G1142" i="4"/>
  <c r="F1142" i="4"/>
  <c r="E1142" i="4"/>
  <c r="D1142" i="4"/>
  <c r="C1142" i="4"/>
  <c r="A1142" i="4"/>
  <c r="G1141" i="4"/>
  <c r="F1141" i="4"/>
  <c r="E1141" i="4"/>
  <c r="D1141" i="4"/>
  <c r="C1141" i="4"/>
  <c r="A1141" i="4"/>
  <c r="G1140" i="4"/>
  <c r="F1140" i="4"/>
  <c r="E1140" i="4"/>
  <c r="D1140" i="4"/>
  <c r="C1140" i="4"/>
  <c r="A1140" i="4"/>
  <c r="G1139" i="4"/>
  <c r="F1139" i="4"/>
  <c r="E1139" i="4"/>
  <c r="D1139" i="4"/>
  <c r="C1139" i="4"/>
  <c r="A1139" i="4"/>
  <c r="G1138" i="4"/>
  <c r="F1138" i="4"/>
  <c r="E1138" i="4"/>
  <c r="D1138" i="4"/>
  <c r="C1138" i="4"/>
  <c r="A1138" i="4"/>
  <c r="G1137" i="4"/>
  <c r="F1137" i="4"/>
  <c r="E1137" i="4"/>
  <c r="D1137" i="4"/>
  <c r="C1137" i="4"/>
  <c r="A1137" i="4"/>
  <c r="G1136" i="4"/>
  <c r="F1136" i="4"/>
  <c r="E1136" i="4"/>
  <c r="D1136" i="4"/>
  <c r="C1136" i="4"/>
  <c r="A1136" i="4"/>
  <c r="G1135" i="4"/>
  <c r="F1135" i="4"/>
  <c r="E1135" i="4"/>
  <c r="D1135" i="4"/>
  <c r="C1135" i="4"/>
  <c r="A1135" i="4"/>
  <c r="G1134" i="4"/>
  <c r="F1134" i="4"/>
  <c r="E1134" i="4"/>
  <c r="D1134" i="4"/>
  <c r="C1134" i="4"/>
  <c r="A1134" i="4"/>
  <c r="G1133" i="4"/>
  <c r="F1133" i="4"/>
  <c r="E1133" i="4"/>
  <c r="D1133" i="4"/>
  <c r="C1133" i="4"/>
  <c r="A1133" i="4"/>
  <c r="G1132" i="4"/>
  <c r="F1132" i="4"/>
  <c r="E1132" i="4"/>
  <c r="D1132" i="4"/>
  <c r="C1132" i="4"/>
  <c r="A1132" i="4"/>
  <c r="G1131" i="4"/>
  <c r="F1131" i="4"/>
  <c r="E1131" i="4"/>
  <c r="D1131" i="4"/>
  <c r="C1131" i="4"/>
  <c r="A1131" i="4"/>
  <c r="G1130" i="4"/>
  <c r="F1130" i="4"/>
  <c r="E1130" i="4"/>
  <c r="D1130" i="4"/>
  <c r="C1130" i="4"/>
  <c r="A1130" i="4"/>
  <c r="G1129" i="4"/>
  <c r="F1129" i="4"/>
  <c r="E1129" i="4"/>
  <c r="D1129" i="4"/>
  <c r="C1129" i="4"/>
  <c r="A1129" i="4"/>
  <c r="G1128" i="4"/>
  <c r="F1128" i="4"/>
  <c r="E1128" i="4"/>
  <c r="D1128" i="4"/>
  <c r="C1128" i="4"/>
  <c r="A1128" i="4"/>
  <c r="G1127" i="4"/>
  <c r="F1127" i="4"/>
  <c r="E1127" i="4"/>
  <c r="D1127" i="4"/>
  <c r="C1127" i="4"/>
  <c r="A1127" i="4"/>
  <c r="G1126" i="4"/>
  <c r="F1126" i="4"/>
  <c r="E1126" i="4"/>
  <c r="D1126" i="4"/>
  <c r="C1126" i="4"/>
  <c r="A1126" i="4"/>
  <c r="G1125" i="4"/>
  <c r="F1125" i="4"/>
  <c r="E1125" i="4"/>
  <c r="D1125" i="4"/>
  <c r="C1125" i="4"/>
  <c r="A1125" i="4"/>
  <c r="G1124" i="4"/>
  <c r="F1124" i="4"/>
  <c r="E1124" i="4"/>
  <c r="D1124" i="4"/>
  <c r="C1124" i="4"/>
  <c r="A1124" i="4"/>
  <c r="G1123" i="4"/>
  <c r="F1123" i="4"/>
  <c r="E1123" i="4"/>
  <c r="D1123" i="4"/>
  <c r="C1123" i="4"/>
  <c r="A1123" i="4"/>
  <c r="G1122" i="4"/>
  <c r="F1122" i="4"/>
  <c r="E1122" i="4"/>
  <c r="D1122" i="4"/>
  <c r="C1122" i="4"/>
  <c r="A1122" i="4"/>
  <c r="G1121" i="4"/>
  <c r="F1121" i="4"/>
  <c r="E1121" i="4"/>
  <c r="D1121" i="4"/>
  <c r="C1121" i="4"/>
  <c r="A1121" i="4"/>
  <c r="G1120" i="4"/>
  <c r="F1120" i="4"/>
  <c r="E1120" i="4"/>
  <c r="D1120" i="4"/>
  <c r="C1120" i="4"/>
  <c r="A1120" i="4"/>
  <c r="G1119" i="4"/>
  <c r="F1119" i="4"/>
  <c r="E1119" i="4"/>
  <c r="D1119" i="4"/>
  <c r="C1119" i="4"/>
  <c r="A1119" i="4"/>
  <c r="G1118" i="4"/>
  <c r="F1118" i="4"/>
  <c r="E1118" i="4"/>
  <c r="D1118" i="4"/>
  <c r="C1118" i="4"/>
  <c r="A1118" i="4"/>
  <c r="G1117" i="4"/>
  <c r="F1117" i="4"/>
  <c r="E1117" i="4"/>
  <c r="D1117" i="4"/>
  <c r="C1117" i="4"/>
  <c r="A1117" i="4"/>
  <c r="G1116" i="4"/>
  <c r="F1116" i="4"/>
  <c r="E1116" i="4"/>
  <c r="D1116" i="4"/>
  <c r="C1116" i="4"/>
  <c r="A1116" i="4"/>
  <c r="G1115" i="4"/>
  <c r="F1115" i="4"/>
  <c r="E1115" i="4"/>
  <c r="D1115" i="4"/>
  <c r="C1115" i="4"/>
  <c r="A1115" i="4"/>
  <c r="G1114" i="4"/>
  <c r="F1114" i="4"/>
  <c r="E1114" i="4"/>
  <c r="D1114" i="4"/>
  <c r="C1114" i="4"/>
  <c r="A1114" i="4"/>
  <c r="G1113" i="4"/>
  <c r="F1113" i="4"/>
  <c r="E1113" i="4"/>
  <c r="D1113" i="4"/>
  <c r="C1113" i="4"/>
  <c r="A1113" i="4"/>
  <c r="G1112" i="4"/>
  <c r="F1112" i="4"/>
  <c r="E1112" i="4"/>
  <c r="D1112" i="4"/>
  <c r="C1112" i="4"/>
  <c r="A1112" i="4"/>
  <c r="G1111" i="4"/>
  <c r="F1111" i="4"/>
  <c r="E1111" i="4"/>
  <c r="D1111" i="4"/>
  <c r="C1111" i="4"/>
  <c r="A1111" i="4"/>
  <c r="G1110" i="4"/>
  <c r="F1110" i="4"/>
  <c r="E1110" i="4"/>
  <c r="D1110" i="4"/>
  <c r="C1110" i="4"/>
  <c r="A1110" i="4"/>
  <c r="G1109" i="4"/>
  <c r="F1109" i="4"/>
  <c r="E1109" i="4"/>
  <c r="D1109" i="4"/>
  <c r="C1109" i="4"/>
  <c r="A1109" i="4"/>
  <c r="G1108" i="4"/>
  <c r="F1108" i="4"/>
  <c r="E1108" i="4"/>
  <c r="D1108" i="4"/>
  <c r="C1108" i="4"/>
  <c r="A1108" i="4"/>
  <c r="G1107" i="4"/>
  <c r="F1107" i="4"/>
  <c r="E1107" i="4"/>
  <c r="D1107" i="4"/>
  <c r="C1107" i="4"/>
  <c r="A1107" i="4"/>
  <c r="G1106" i="4"/>
  <c r="F1106" i="4"/>
  <c r="E1106" i="4"/>
  <c r="D1106" i="4"/>
  <c r="C1106" i="4"/>
  <c r="A1106" i="4"/>
  <c r="G1105" i="4"/>
  <c r="F1105" i="4"/>
  <c r="E1105" i="4"/>
  <c r="D1105" i="4"/>
  <c r="C1105" i="4"/>
  <c r="A1105" i="4"/>
  <c r="G1104" i="4"/>
  <c r="F1104" i="4"/>
  <c r="E1104" i="4"/>
  <c r="D1104" i="4"/>
  <c r="C1104" i="4"/>
  <c r="A1104" i="4"/>
  <c r="G1103" i="4"/>
  <c r="F1103" i="4"/>
  <c r="E1103" i="4"/>
  <c r="D1103" i="4"/>
  <c r="C1103" i="4"/>
  <c r="A1103" i="4"/>
  <c r="G1102" i="4"/>
  <c r="F1102" i="4"/>
  <c r="E1102" i="4"/>
  <c r="D1102" i="4"/>
  <c r="C1102" i="4"/>
  <c r="A1102" i="4"/>
  <c r="G1101" i="4"/>
  <c r="F1101" i="4"/>
  <c r="E1101" i="4"/>
  <c r="D1101" i="4"/>
  <c r="C1101" i="4"/>
  <c r="A1101" i="4"/>
  <c r="G1100" i="4"/>
  <c r="F1100" i="4"/>
  <c r="E1100" i="4"/>
  <c r="D1100" i="4"/>
  <c r="C1100" i="4"/>
  <c r="A1100" i="4"/>
  <c r="G1099" i="4"/>
  <c r="F1099" i="4"/>
  <c r="E1099" i="4"/>
  <c r="D1099" i="4"/>
  <c r="C1099" i="4"/>
  <c r="A1099" i="4"/>
  <c r="G1098" i="4"/>
  <c r="F1098" i="4"/>
  <c r="E1098" i="4"/>
  <c r="D1098" i="4"/>
  <c r="C1098" i="4"/>
  <c r="A1098" i="4"/>
  <c r="G1097" i="4"/>
  <c r="F1097" i="4"/>
  <c r="E1097" i="4"/>
  <c r="D1097" i="4"/>
  <c r="C1097" i="4"/>
  <c r="A1097" i="4"/>
  <c r="G1096" i="4"/>
  <c r="F1096" i="4"/>
  <c r="E1096" i="4"/>
  <c r="D1096" i="4"/>
  <c r="C1096" i="4"/>
  <c r="A1096" i="4"/>
  <c r="G1095" i="4"/>
  <c r="F1095" i="4"/>
  <c r="E1095" i="4"/>
  <c r="D1095" i="4"/>
  <c r="C1095" i="4"/>
  <c r="A1095" i="4"/>
  <c r="G1094" i="4"/>
  <c r="F1094" i="4"/>
  <c r="E1094" i="4"/>
  <c r="D1094" i="4"/>
  <c r="C1094" i="4"/>
  <c r="A1094" i="4"/>
  <c r="G1093" i="4"/>
  <c r="F1093" i="4"/>
  <c r="E1093" i="4"/>
  <c r="D1093" i="4"/>
  <c r="C1093" i="4"/>
  <c r="A1093" i="4"/>
  <c r="G1092" i="4"/>
  <c r="F1092" i="4"/>
  <c r="E1092" i="4"/>
  <c r="D1092" i="4"/>
  <c r="C1092" i="4"/>
  <c r="A1092" i="4"/>
  <c r="G1091" i="4"/>
  <c r="F1091" i="4"/>
  <c r="E1091" i="4"/>
  <c r="D1091" i="4"/>
  <c r="C1091" i="4"/>
  <c r="A1091" i="4"/>
  <c r="G1090" i="4"/>
  <c r="F1090" i="4"/>
  <c r="E1090" i="4"/>
  <c r="D1090" i="4"/>
  <c r="C1090" i="4"/>
  <c r="A1090" i="4"/>
  <c r="G1089" i="4"/>
  <c r="F1089" i="4"/>
  <c r="E1089" i="4"/>
  <c r="D1089" i="4"/>
  <c r="C1089" i="4"/>
  <c r="A1089" i="4"/>
  <c r="G1088" i="4"/>
  <c r="F1088" i="4"/>
  <c r="E1088" i="4"/>
  <c r="D1088" i="4"/>
  <c r="C1088" i="4"/>
  <c r="A1088" i="4"/>
  <c r="G1087" i="4"/>
  <c r="F1087" i="4"/>
  <c r="E1087" i="4"/>
  <c r="D1087" i="4"/>
  <c r="C1087" i="4"/>
  <c r="A1087" i="4"/>
  <c r="G1086" i="4"/>
  <c r="F1086" i="4"/>
  <c r="E1086" i="4"/>
  <c r="D1086" i="4"/>
  <c r="C1086" i="4"/>
  <c r="A1086" i="4"/>
  <c r="G1085" i="4"/>
  <c r="F1085" i="4"/>
  <c r="E1085" i="4"/>
  <c r="D1085" i="4"/>
  <c r="C1085" i="4"/>
  <c r="A1085" i="4"/>
  <c r="G1084" i="4"/>
  <c r="F1084" i="4"/>
  <c r="E1084" i="4"/>
  <c r="D1084" i="4"/>
  <c r="C1084" i="4"/>
  <c r="A1084" i="4"/>
  <c r="G1083" i="4"/>
  <c r="F1083" i="4"/>
  <c r="E1083" i="4"/>
  <c r="D1083" i="4"/>
  <c r="C1083" i="4"/>
  <c r="A1083" i="4"/>
  <c r="G1082" i="4"/>
  <c r="F1082" i="4"/>
  <c r="E1082" i="4"/>
  <c r="D1082" i="4"/>
  <c r="C1082" i="4"/>
  <c r="A1082" i="4"/>
  <c r="G1081" i="4"/>
  <c r="F1081" i="4"/>
  <c r="E1081" i="4"/>
  <c r="D1081" i="4"/>
  <c r="C1081" i="4"/>
  <c r="A1081" i="4"/>
  <c r="G1080" i="4"/>
  <c r="F1080" i="4"/>
  <c r="E1080" i="4"/>
  <c r="D1080" i="4"/>
  <c r="C1080" i="4"/>
  <c r="A1080" i="4"/>
  <c r="G1079" i="4"/>
  <c r="F1079" i="4"/>
  <c r="E1079" i="4"/>
  <c r="D1079" i="4"/>
  <c r="C1079" i="4"/>
  <c r="A1079" i="4"/>
  <c r="G1078" i="4"/>
  <c r="F1078" i="4"/>
  <c r="E1078" i="4"/>
  <c r="D1078" i="4"/>
  <c r="C1078" i="4"/>
  <c r="A1078" i="4"/>
  <c r="G1077" i="4"/>
  <c r="F1077" i="4"/>
  <c r="E1077" i="4"/>
  <c r="D1077" i="4"/>
  <c r="C1077" i="4"/>
  <c r="A1077" i="4"/>
  <c r="G1076" i="4"/>
  <c r="F1076" i="4"/>
  <c r="E1076" i="4"/>
  <c r="D1076" i="4"/>
  <c r="C1076" i="4"/>
  <c r="A1076" i="4"/>
  <c r="G1075" i="4"/>
  <c r="F1075" i="4"/>
  <c r="E1075" i="4"/>
  <c r="D1075" i="4"/>
  <c r="C1075" i="4"/>
  <c r="A1075" i="4"/>
  <c r="G1074" i="4"/>
  <c r="F1074" i="4"/>
  <c r="E1074" i="4"/>
  <c r="D1074" i="4"/>
  <c r="C1074" i="4"/>
  <c r="A1074" i="4"/>
  <c r="G1073" i="4"/>
  <c r="F1073" i="4"/>
  <c r="E1073" i="4"/>
  <c r="D1073" i="4"/>
  <c r="C1073" i="4"/>
  <c r="A1073" i="4"/>
  <c r="G1072" i="4"/>
  <c r="F1072" i="4"/>
  <c r="E1072" i="4"/>
  <c r="D1072" i="4"/>
  <c r="C1072" i="4"/>
  <c r="A1072" i="4"/>
  <c r="G1071" i="4"/>
  <c r="F1071" i="4"/>
  <c r="E1071" i="4"/>
  <c r="D1071" i="4"/>
  <c r="C1071" i="4"/>
  <c r="A1071" i="4"/>
  <c r="G1070" i="4"/>
  <c r="F1070" i="4"/>
  <c r="E1070" i="4"/>
  <c r="D1070" i="4"/>
  <c r="C1070" i="4"/>
  <c r="A1070" i="4"/>
  <c r="G1069" i="4"/>
  <c r="F1069" i="4"/>
  <c r="E1069" i="4"/>
  <c r="D1069" i="4"/>
  <c r="C1069" i="4"/>
  <c r="A1069" i="4"/>
  <c r="G1068" i="4"/>
  <c r="F1068" i="4"/>
  <c r="E1068" i="4"/>
  <c r="D1068" i="4"/>
  <c r="C1068" i="4"/>
  <c r="A1068" i="4"/>
  <c r="G1067" i="4"/>
  <c r="F1067" i="4"/>
  <c r="E1067" i="4"/>
  <c r="D1067" i="4"/>
  <c r="C1067" i="4"/>
  <c r="A1067" i="4"/>
  <c r="G1066" i="4"/>
  <c r="F1066" i="4"/>
  <c r="E1066" i="4"/>
  <c r="D1066" i="4"/>
  <c r="C1066" i="4"/>
  <c r="A1066" i="4"/>
  <c r="G1065" i="4"/>
  <c r="F1065" i="4"/>
  <c r="E1065" i="4"/>
  <c r="D1065" i="4"/>
  <c r="C1065" i="4"/>
  <c r="A1065" i="4"/>
  <c r="G1064" i="4"/>
  <c r="F1064" i="4"/>
  <c r="E1064" i="4"/>
  <c r="D1064" i="4"/>
  <c r="C1064" i="4"/>
  <c r="A1064" i="4"/>
  <c r="G1063" i="4"/>
  <c r="F1063" i="4"/>
  <c r="E1063" i="4"/>
  <c r="D1063" i="4"/>
  <c r="C1063" i="4"/>
  <c r="A1063" i="4"/>
  <c r="G1062" i="4"/>
  <c r="F1062" i="4"/>
  <c r="E1062" i="4"/>
  <c r="D1062" i="4"/>
  <c r="C1062" i="4"/>
  <c r="A1062" i="4"/>
  <c r="G1061" i="4"/>
  <c r="F1061" i="4"/>
  <c r="E1061" i="4"/>
  <c r="D1061" i="4"/>
  <c r="C1061" i="4"/>
  <c r="A1061" i="4"/>
  <c r="G1060" i="4"/>
  <c r="F1060" i="4"/>
  <c r="E1060" i="4"/>
  <c r="D1060" i="4"/>
  <c r="C1060" i="4"/>
  <c r="A1060" i="4"/>
  <c r="G1059" i="4"/>
  <c r="F1059" i="4"/>
  <c r="E1059" i="4"/>
  <c r="D1059" i="4"/>
  <c r="C1059" i="4"/>
  <c r="A1059" i="4"/>
  <c r="G1058" i="4"/>
  <c r="F1058" i="4"/>
  <c r="E1058" i="4"/>
  <c r="D1058" i="4"/>
  <c r="C1058" i="4"/>
  <c r="A1058" i="4"/>
  <c r="G1057" i="4"/>
  <c r="F1057" i="4"/>
  <c r="E1057" i="4"/>
  <c r="D1057" i="4"/>
  <c r="C1057" i="4"/>
  <c r="A1057" i="4"/>
  <c r="G1056" i="4"/>
  <c r="F1056" i="4"/>
  <c r="E1056" i="4"/>
  <c r="D1056" i="4"/>
  <c r="C1056" i="4"/>
  <c r="A1056" i="4"/>
  <c r="G1055" i="4"/>
  <c r="F1055" i="4"/>
  <c r="E1055" i="4"/>
  <c r="D1055" i="4"/>
  <c r="C1055" i="4"/>
  <c r="A1055" i="4"/>
  <c r="G1054" i="4"/>
  <c r="F1054" i="4"/>
  <c r="E1054" i="4"/>
  <c r="D1054" i="4"/>
  <c r="C1054" i="4"/>
  <c r="A1054" i="4"/>
  <c r="G1053" i="4"/>
  <c r="F1053" i="4"/>
  <c r="E1053" i="4"/>
  <c r="D1053" i="4"/>
  <c r="C1053" i="4"/>
  <c r="A1053" i="4"/>
  <c r="G1052" i="4"/>
  <c r="F1052" i="4"/>
  <c r="E1052" i="4"/>
  <c r="D1052" i="4"/>
  <c r="C1052" i="4"/>
  <c r="A1052" i="4"/>
  <c r="G1051" i="4"/>
  <c r="F1051" i="4"/>
  <c r="E1051" i="4"/>
  <c r="D1051" i="4"/>
  <c r="C1051" i="4"/>
  <c r="A1051" i="4"/>
  <c r="G1050" i="4"/>
  <c r="F1050" i="4"/>
  <c r="E1050" i="4"/>
  <c r="D1050" i="4"/>
  <c r="C1050" i="4"/>
  <c r="A1050" i="4"/>
  <c r="G1049" i="4"/>
  <c r="F1049" i="4"/>
  <c r="E1049" i="4"/>
  <c r="D1049" i="4"/>
  <c r="C1049" i="4"/>
  <c r="A1049" i="4"/>
  <c r="G1048" i="4"/>
  <c r="F1048" i="4"/>
  <c r="E1048" i="4"/>
  <c r="D1048" i="4"/>
  <c r="C1048" i="4"/>
  <c r="A1048" i="4"/>
  <c r="G1047" i="4"/>
  <c r="F1047" i="4"/>
  <c r="E1047" i="4"/>
  <c r="D1047" i="4"/>
  <c r="C1047" i="4"/>
  <c r="A1047" i="4"/>
  <c r="G1046" i="4"/>
  <c r="F1046" i="4"/>
  <c r="E1046" i="4"/>
  <c r="D1046" i="4"/>
  <c r="C1046" i="4"/>
  <c r="A1046" i="4"/>
  <c r="G1045" i="4"/>
  <c r="F1045" i="4"/>
  <c r="E1045" i="4"/>
  <c r="D1045" i="4"/>
  <c r="C1045" i="4"/>
  <c r="A1045" i="4"/>
  <c r="G1044" i="4"/>
  <c r="F1044" i="4"/>
  <c r="E1044" i="4"/>
  <c r="D1044" i="4"/>
  <c r="C1044" i="4"/>
  <c r="B1044" i="4"/>
  <c r="A1044" i="4"/>
  <c r="G1043" i="4"/>
  <c r="F1043" i="4"/>
  <c r="E1043" i="4"/>
  <c r="D1043" i="4"/>
  <c r="C1043" i="4"/>
  <c r="B1043" i="4"/>
  <c r="A1043" i="4"/>
  <c r="G1042" i="4"/>
  <c r="F1042" i="4"/>
  <c r="E1042" i="4"/>
  <c r="D1042" i="4"/>
  <c r="C1042" i="4"/>
  <c r="B1042" i="4"/>
  <c r="A1042" i="4"/>
  <c r="G1041" i="4"/>
  <c r="F1041" i="4"/>
  <c r="E1041" i="4"/>
  <c r="D1041" i="4"/>
  <c r="C1041" i="4"/>
  <c r="B1041" i="4"/>
  <c r="A1041" i="4"/>
  <c r="G1040" i="4"/>
  <c r="F1040" i="4"/>
  <c r="E1040" i="4"/>
  <c r="D1040" i="4"/>
  <c r="C1040" i="4"/>
  <c r="B1040" i="4"/>
  <c r="A1040" i="4"/>
  <c r="G1039" i="4"/>
  <c r="F1039" i="4"/>
  <c r="E1039" i="4"/>
  <c r="D1039" i="4"/>
  <c r="C1039" i="4"/>
  <c r="B1039" i="4"/>
  <c r="A1039" i="4"/>
  <c r="G1038" i="4"/>
  <c r="F1038" i="4"/>
  <c r="E1038" i="4"/>
  <c r="D1038" i="4"/>
  <c r="C1038" i="4"/>
  <c r="B1038" i="4"/>
  <c r="A1038" i="4"/>
  <c r="G1037" i="4"/>
  <c r="F1037" i="4"/>
  <c r="E1037" i="4"/>
  <c r="D1037" i="4"/>
  <c r="C1037" i="4"/>
  <c r="B1037" i="4"/>
  <c r="A1037" i="4"/>
  <c r="G1036" i="4"/>
  <c r="F1036" i="4"/>
  <c r="E1036" i="4"/>
  <c r="D1036" i="4"/>
  <c r="C1036" i="4"/>
  <c r="B1036" i="4"/>
  <c r="A1036" i="4"/>
  <c r="G1035" i="4"/>
  <c r="F1035" i="4"/>
  <c r="E1035" i="4"/>
  <c r="D1035" i="4"/>
  <c r="C1035" i="4"/>
  <c r="B1035" i="4"/>
  <c r="A1035" i="4"/>
  <c r="G1034" i="4"/>
  <c r="F1034" i="4"/>
  <c r="E1034" i="4"/>
  <c r="D1034" i="4"/>
  <c r="C1034" i="4"/>
  <c r="B1034" i="4"/>
  <c r="A1034" i="4"/>
  <c r="G1033" i="4"/>
  <c r="F1033" i="4"/>
  <c r="E1033" i="4"/>
  <c r="D1033" i="4"/>
  <c r="C1033" i="4"/>
  <c r="B1033" i="4"/>
  <c r="A1033" i="4"/>
  <c r="G1032" i="4"/>
  <c r="F1032" i="4"/>
  <c r="E1032" i="4"/>
  <c r="D1032" i="4"/>
  <c r="C1032" i="4"/>
  <c r="B1032" i="4"/>
  <c r="A1032" i="4"/>
  <c r="G1031" i="4"/>
  <c r="F1031" i="4"/>
  <c r="E1031" i="4"/>
  <c r="D1031" i="4"/>
  <c r="C1031" i="4"/>
  <c r="B1031" i="4"/>
  <c r="A1031" i="4"/>
  <c r="G1030" i="4"/>
  <c r="F1030" i="4"/>
  <c r="E1030" i="4"/>
  <c r="D1030" i="4"/>
  <c r="C1030" i="4"/>
  <c r="B1030" i="4"/>
  <c r="A1030" i="4"/>
  <c r="G1029" i="4"/>
  <c r="F1029" i="4"/>
  <c r="E1029" i="4"/>
  <c r="D1029" i="4"/>
  <c r="C1029" i="4"/>
  <c r="B1029" i="4"/>
  <c r="A1029" i="4"/>
  <c r="G1028" i="4"/>
  <c r="F1028" i="4"/>
  <c r="E1028" i="4"/>
  <c r="D1028" i="4"/>
  <c r="C1028" i="4"/>
  <c r="B1028" i="4"/>
  <c r="A1028" i="4"/>
  <c r="G1027" i="4"/>
  <c r="F1027" i="4"/>
  <c r="E1027" i="4"/>
  <c r="D1027" i="4"/>
  <c r="C1027" i="4"/>
  <c r="B1027" i="4"/>
  <c r="A1027" i="4"/>
  <c r="G1026" i="4"/>
  <c r="F1026" i="4"/>
  <c r="E1026" i="4"/>
  <c r="D1026" i="4"/>
  <c r="C1026" i="4"/>
  <c r="B1026" i="4"/>
  <c r="A1026" i="4"/>
  <c r="G1025" i="4"/>
  <c r="F1025" i="4"/>
  <c r="E1025" i="4"/>
  <c r="D1025" i="4"/>
  <c r="C1025" i="4"/>
  <c r="B1025" i="4"/>
  <c r="A1025" i="4"/>
  <c r="G1024" i="4"/>
  <c r="F1024" i="4"/>
  <c r="E1024" i="4"/>
  <c r="D1024" i="4"/>
  <c r="C1024" i="4"/>
  <c r="B1024" i="4"/>
  <c r="A1024" i="4"/>
  <c r="G1023" i="4"/>
  <c r="F1023" i="4"/>
  <c r="E1023" i="4"/>
  <c r="D1023" i="4"/>
  <c r="C1023" i="4"/>
  <c r="B1023" i="4"/>
  <c r="A1023" i="4"/>
  <c r="G1022" i="4"/>
  <c r="F1022" i="4"/>
  <c r="E1022" i="4"/>
  <c r="D1022" i="4"/>
  <c r="C1022" i="4"/>
  <c r="B1022" i="4"/>
  <c r="A1022" i="4"/>
  <c r="G1021" i="4"/>
  <c r="F1021" i="4"/>
  <c r="E1021" i="4"/>
  <c r="D1021" i="4"/>
  <c r="C1021" i="4"/>
  <c r="B1021" i="4"/>
  <c r="A1021" i="4"/>
  <c r="G1020" i="4"/>
  <c r="F1020" i="4"/>
  <c r="E1020" i="4"/>
  <c r="D1020" i="4"/>
  <c r="C1020" i="4"/>
  <c r="B1020" i="4"/>
  <c r="A1020" i="4"/>
  <c r="G1019" i="4"/>
  <c r="F1019" i="4"/>
  <c r="E1019" i="4"/>
  <c r="D1019" i="4"/>
  <c r="C1019" i="4"/>
  <c r="B1019" i="4"/>
  <c r="A1019" i="4"/>
  <c r="G1018" i="4"/>
  <c r="F1018" i="4"/>
  <c r="E1018" i="4"/>
  <c r="D1018" i="4"/>
  <c r="C1018" i="4"/>
  <c r="B1018" i="4"/>
  <c r="A1018" i="4"/>
  <c r="G1017" i="4"/>
  <c r="F1017" i="4"/>
  <c r="E1017" i="4"/>
  <c r="D1017" i="4"/>
  <c r="C1017" i="4"/>
  <c r="B1017" i="4"/>
  <c r="A1017" i="4"/>
  <c r="G1016" i="4"/>
  <c r="F1016" i="4"/>
  <c r="E1016" i="4"/>
  <c r="D1016" i="4"/>
  <c r="C1016" i="4"/>
  <c r="B1016" i="4"/>
  <c r="A1016" i="4"/>
  <c r="G1015" i="4"/>
  <c r="F1015" i="4"/>
  <c r="E1015" i="4"/>
  <c r="D1015" i="4"/>
  <c r="C1015" i="4"/>
  <c r="B1015" i="4"/>
  <c r="A1015" i="4"/>
  <c r="G1014" i="4"/>
  <c r="F1014" i="4"/>
  <c r="E1014" i="4"/>
  <c r="D1014" i="4"/>
  <c r="C1014" i="4"/>
  <c r="B1014" i="4"/>
  <c r="A1014" i="4"/>
  <c r="G1013" i="4"/>
  <c r="F1013" i="4"/>
  <c r="E1013" i="4"/>
  <c r="D1013" i="4"/>
  <c r="C1013" i="4"/>
  <c r="B1013" i="4"/>
  <c r="A1013" i="4"/>
  <c r="G1012" i="4"/>
  <c r="F1012" i="4"/>
  <c r="E1012" i="4"/>
  <c r="D1012" i="4"/>
  <c r="C1012" i="4"/>
  <c r="B1012" i="4"/>
  <c r="A1012" i="4"/>
  <c r="G1011" i="4"/>
  <c r="F1011" i="4"/>
  <c r="E1011" i="4"/>
  <c r="D1011" i="4"/>
  <c r="C1011" i="4"/>
  <c r="B1011" i="4"/>
  <c r="A1011" i="4"/>
  <c r="G1010" i="4"/>
  <c r="F1010" i="4"/>
  <c r="E1010" i="4"/>
  <c r="D1010" i="4"/>
  <c r="C1010" i="4"/>
  <c r="B1010" i="4"/>
  <c r="A1010" i="4"/>
  <c r="G1009" i="4"/>
  <c r="F1009" i="4"/>
  <c r="E1009" i="4"/>
  <c r="D1009" i="4"/>
  <c r="C1009" i="4"/>
  <c r="B1009" i="4"/>
  <c r="A1009" i="4"/>
  <c r="G1008" i="4"/>
  <c r="F1008" i="4"/>
  <c r="E1008" i="4"/>
  <c r="D1008" i="4"/>
  <c r="C1008" i="4"/>
  <c r="B1008" i="4"/>
  <c r="A1008" i="4"/>
  <c r="G1007" i="4"/>
  <c r="F1007" i="4"/>
  <c r="E1007" i="4"/>
  <c r="D1007" i="4"/>
  <c r="C1007" i="4"/>
  <c r="B1007" i="4"/>
  <c r="A1007" i="4"/>
  <c r="G1006" i="4"/>
  <c r="F1006" i="4"/>
  <c r="E1006" i="4"/>
  <c r="D1006" i="4"/>
  <c r="C1006" i="4"/>
  <c r="B1006" i="4"/>
  <c r="A1006" i="4"/>
  <c r="G1005" i="4"/>
  <c r="F1005" i="4"/>
  <c r="E1005" i="4"/>
  <c r="D1005" i="4"/>
  <c r="C1005" i="4"/>
  <c r="B1005" i="4"/>
  <c r="A1005" i="4"/>
  <c r="G1004" i="4"/>
  <c r="F1004" i="4"/>
  <c r="E1004" i="4"/>
  <c r="D1004" i="4"/>
  <c r="C1004" i="4"/>
  <c r="B1004" i="4"/>
  <c r="A1004" i="4"/>
  <c r="G1003" i="4"/>
  <c r="F1003" i="4"/>
  <c r="E1003" i="4"/>
  <c r="D1003" i="4"/>
  <c r="C1003" i="4"/>
  <c r="B1003" i="4"/>
  <c r="A1003" i="4"/>
  <c r="G1002" i="4"/>
  <c r="F1002" i="4"/>
  <c r="E1002" i="4"/>
  <c r="D1002" i="4"/>
  <c r="C1002" i="4"/>
  <c r="B1002" i="4"/>
  <c r="A1002" i="4"/>
  <c r="G1001" i="4"/>
  <c r="F1001" i="4"/>
  <c r="E1001" i="4"/>
  <c r="D1001" i="4"/>
  <c r="C1001" i="4"/>
  <c r="B1001" i="4"/>
  <c r="A1001" i="4"/>
  <c r="G1000" i="4"/>
  <c r="F1000" i="4"/>
  <c r="E1000" i="4"/>
  <c r="D1000" i="4"/>
  <c r="C1000" i="4"/>
  <c r="B1000" i="4"/>
  <c r="A1000" i="4"/>
  <c r="G999" i="4"/>
  <c r="F999" i="4"/>
  <c r="E999" i="4"/>
  <c r="D999" i="4"/>
  <c r="C999" i="4"/>
  <c r="B999" i="4"/>
  <c r="A999" i="4"/>
  <c r="G998" i="4"/>
  <c r="F998" i="4"/>
  <c r="E998" i="4"/>
  <c r="D998" i="4"/>
  <c r="C998" i="4"/>
  <c r="B998" i="4"/>
  <c r="A998" i="4"/>
  <c r="G997" i="4"/>
  <c r="F997" i="4"/>
  <c r="E997" i="4"/>
  <c r="D997" i="4"/>
  <c r="C997" i="4"/>
  <c r="B997" i="4"/>
  <c r="A997" i="4"/>
  <c r="G996" i="4"/>
  <c r="F996" i="4"/>
  <c r="E996" i="4"/>
  <c r="D996" i="4"/>
  <c r="C996" i="4"/>
  <c r="B996" i="4"/>
  <c r="A996" i="4"/>
  <c r="G995" i="4"/>
  <c r="F995" i="4"/>
  <c r="E995" i="4"/>
  <c r="D995" i="4"/>
  <c r="C995" i="4"/>
  <c r="B995" i="4"/>
  <c r="A995" i="4"/>
  <c r="G994" i="4"/>
  <c r="F994" i="4"/>
  <c r="E994" i="4"/>
  <c r="D994" i="4"/>
  <c r="C994" i="4"/>
  <c r="B994" i="4"/>
  <c r="A994" i="4"/>
  <c r="G993" i="4"/>
  <c r="F993" i="4"/>
  <c r="E993" i="4"/>
  <c r="D993" i="4"/>
  <c r="C993" i="4"/>
  <c r="B993" i="4"/>
  <c r="A993" i="4"/>
  <c r="G992" i="4"/>
  <c r="F992" i="4"/>
  <c r="E992" i="4"/>
  <c r="D992" i="4"/>
  <c r="C992" i="4"/>
  <c r="B992" i="4"/>
  <c r="A992" i="4"/>
  <c r="G991" i="4"/>
  <c r="F991" i="4"/>
  <c r="E991" i="4"/>
  <c r="D991" i="4"/>
  <c r="C991" i="4"/>
  <c r="B991" i="4"/>
  <c r="A991" i="4"/>
  <c r="G990" i="4"/>
  <c r="F990" i="4"/>
  <c r="E990" i="4"/>
  <c r="D990" i="4"/>
  <c r="C990" i="4"/>
  <c r="B990" i="4"/>
  <c r="A990" i="4"/>
  <c r="G989" i="4"/>
  <c r="F989" i="4"/>
  <c r="E989" i="4"/>
  <c r="D989" i="4"/>
  <c r="C989" i="4"/>
  <c r="B989" i="4"/>
  <c r="A989" i="4"/>
  <c r="G988" i="4"/>
  <c r="F988" i="4"/>
  <c r="E988" i="4"/>
  <c r="D988" i="4"/>
  <c r="C988" i="4"/>
  <c r="B988" i="4"/>
  <c r="A988" i="4"/>
  <c r="G987" i="4"/>
  <c r="F987" i="4"/>
  <c r="E987" i="4"/>
  <c r="D987" i="4"/>
  <c r="C987" i="4"/>
  <c r="B987" i="4"/>
  <c r="A987" i="4"/>
  <c r="G986" i="4"/>
  <c r="F986" i="4"/>
  <c r="E986" i="4"/>
  <c r="D986" i="4"/>
  <c r="C986" i="4"/>
  <c r="B986" i="4"/>
  <c r="A986" i="4"/>
  <c r="G985" i="4"/>
  <c r="F985" i="4"/>
  <c r="E985" i="4"/>
  <c r="D985" i="4"/>
  <c r="C985" i="4"/>
  <c r="B985" i="4"/>
  <c r="A985" i="4"/>
  <c r="G984" i="4"/>
  <c r="F984" i="4"/>
  <c r="E984" i="4"/>
  <c r="D984" i="4"/>
  <c r="C984" i="4"/>
  <c r="B984" i="4"/>
  <c r="A984" i="4"/>
  <c r="G983" i="4"/>
  <c r="F983" i="4"/>
  <c r="E983" i="4"/>
  <c r="D983" i="4"/>
  <c r="C983" i="4"/>
  <c r="B983" i="4"/>
  <c r="A983" i="4"/>
  <c r="G982" i="4"/>
  <c r="F982" i="4"/>
  <c r="E982" i="4"/>
  <c r="D982" i="4"/>
  <c r="C982" i="4"/>
  <c r="B982" i="4"/>
  <c r="A982" i="4"/>
  <c r="G981" i="4"/>
  <c r="F981" i="4"/>
  <c r="E981" i="4"/>
  <c r="D981" i="4"/>
  <c r="C981" i="4"/>
  <c r="B981" i="4"/>
  <c r="A981" i="4"/>
  <c r="G980" i="4"/>
  <c r="F980" i="4"/>
  <c r="E980" i="4"/>
  <c r="D980" i="4"/>
  <c r="C980" i="4"/>
  <c r="B980" i="4"/>
  <c r="A980" i="4"/>
  <c r="G979" i="4"/>
  <c r="F979" i="4"/>
  <c r="E979" i="4"/>
  <c r="D979" i="4"/>
  <c r="C979" i="4"/>
  <c r="B979" i="4"/>
  <c r="A979" i="4"/>
  <c r="G978" i="4"/>
  <c r="F978" i="4"/>
  <c r="E978" i="4"/>
  <c r="D978" i="4"/>
  <c r="C978" i="4"/>
  <c r="B978" i="4"/>
  <c r="A978" i="4"/>
  <c r="G977" i="4"/>
  <c r="F977" i="4"/>
  <c r="E977" i="4"/>
  <c r="D977" i="4"/>
  <c r="C977" i="4"/>
  <c r="B977" i="4"/>
  <c r="A977" i="4"/>
  <c r="G976" i="4"/>
  <c r="F976" i="4"/>
  <c r="E976" i="4"/>
  <c r="D976" i="4"/>
  <c r="C976" i="4"/>
  <c r="B976" i="4"/>
  <c r="A976" i="4"/>
  <c r="G975" i="4"/>
  <c r="F975" i="4"/>
  <c r="E975" i="4"/>
  <c r="D975" i="4"/>
  <c r="C975" i="4"/>
  <c r="B975" i="4"/>
  <c r="A975" i="4"/>
  <c r="G974" i="4"/>
  <c r="F974" i="4"/>
  <c r="E974" i="4"/>
  <c r="D974" i="4"/>
  <c r="C974" i="4"/>
  <c r="B974" i="4"/>
  <c r="A974" i="4"/>
  <c r="G973" i="4"/>
  <c r="F973" i="4"/>
  <c r="E973" i="4"/>
  <c r="D973" i="4"/>
  <c r="C973" i="4"/>
  <c r="B973" i="4"/>
  <c r="A973" i="4"/>
  <c r="G972" i="4"/>
  <c r="F972" i="4"/>
  <c r="E972" i="4"/>
  <c r="D972" i="4"/>
  <c r="C972" i="4"/>
  <c r="B972" i="4"/>
  <c r="A972" i="4"/>
  <c r="G971" i="4"/>
  <c r="F971" i="4"/>
  <c r="E971" i="4"/>
  <c r="D971" i="4"/>
  <c r="C971" i="4"/>
  <c r="B971" i="4"/>
  <c r="A971" i="4"/>
  <c r="G970" i="4"/>
  <c r="F970" i="4"/>
  <c r="E970" i="4"/>
  <c r="D970" i="4"/>
  <c r="C970" i="4"/>
  <c r="B970" i="4"/>
  <c r="A970" i="4"/>
  <c r="G969" i="4"/>
  <c r="F969" i="4"/>
  <c r="E969" i="4"/>
  <c r="D969" i="4"/>
  <c r="C969" i="4"/>
  <c r="B969" i="4"/>
  <c r="A969" i="4"/>
  <c r="G968" i="4"/>
  <c r="F968" i="4"/>
  <c r="E968" i="4"/>
  <c r="D968" i="4"/>
  <c r="C968" i="4"/>
  <c r="B968" i="4"/>
  <c r="A968" i="4"/>
  <c r="G967" i="4"/>
  <c r="F967" i="4"/>
  <c r="E967" i="4"/>
  <c r="D967" i="4"/>
  <c r="C967" i="4"/>
  <c r="B967" i="4"/>
  <c r="A967" i="4"/>
  <c r="G966" i="4"/>
  <c r="F966" i="4"/>
  <c r="E966" i="4"/>
  <c r="D966" i="4"/>
  <c r="C966" i="4"/>
  <c r="B966" i="4"/>
  <c r="A966" i="4"/>
  <c r="G965" i="4"/>
  <c r="F965" i="4"/>
  <c r="E965" i="4"/>
  <c r="D965" i="4"/>
  <c r="C965" i="4"/>
  <c r="B965" i="4"/>
  <c r="A965" i="4"/>
  <c r="G964" i="4"/>
  <c r="F964" i="4"/>
  <c r="E964" i="4"/>
  <c r="D964" i="4"/>
  <c r="C964" i="4"/>
  <c r="B964" i="4"/>
  <c r="A964" i="4"/>
  <c r="G963" i="4"/>
  <c r="F963" i="4"/>
  <c r="E963" i="4"/>
  <c r="D963" i="4"/>
  <c r="C963" i="4"/>
  <c r="B963" i="4"/>
  <c r="A963" i="4"/>
  <c r="G962" i="4"/>
  <c r="F962" i="4"/>
  <c r="E962" i="4"/>
  <c r="D962" i="4"/>
  <c r="C962" i="4"/>
  <c r="B962" i="4"/>
  <c r="A962" i="4"/>
  <c r="G961" i="4"/>
  <c r="F961" i="4"/>
  <c r="E961" i="4"/>
  <c r="D961" i="4"/>
  <c r="C961" i="4"/>
  <c r="B961" i="4"/>
  <c r="A961" i="4"/>
  <c r="G960" i="4"/>
  <c r="F960" i="4"/>
  <c r="E960" i="4"/>
  <c r="D960" i="4"/>
  <c r="C960" i="4"/>
  <c r="B960" i="4"/>
  <c r="A960" i="4"/>
  <c r="G959" i="4"/>
  <c r="F959" i="4"/>
  <c r="E959" i="4"/>
  <c r="D959" i="4"/>
  <c r="C959" i="4"/>
  <c r="B959" i="4"/>
  <c r="A959" i="4"/>
  <c r="G958" i="4"/>
  <c r="F958" i="4"/>
  <c r="E958" i="4"/>
  <c r="D958" i="4"/>
  <c r="C958" i="4"/>
  <c r="B958" i="4"/>
  <c r="A958" i="4"/>
  <c r="G957" i="4"/>
  <c r="F957" i="4"/>
  <c r="E957" i="4"/>
  <c r="D957" i="4"/>
  <c r="C957" i="4"/>
  <c r="B957" i="4"/>
  <c r="A957" i="4"/>
  <c r="G956" i="4"/>
  <c r="F956" i="4"/>
  <c r="E956" i="4"/>
  <c r="D956" i="4"/>
  <c r="C956" i="4"/>
  <c r="B956" i="4"/>
  <c r="A956" i="4"/>
  <c r="G955" i="4"/>
  <c r="F955" i="4"/>
  <c r="E955" i="4"/>
  <c r="D955" i="4"/>
  <c r="C955" i="4"/>
  <c r="B955" i="4"/>
  <c r="A955" i="4"/>
  <c r="G954" i="4"/>
  <c r="F954" i="4"/>
  <c r="E954" i="4"/>
  <c r="D954" i="4"/>
  <c r="C954" i="4"/>
  <c r="B954" i="4"/>
  <c r="A954" i="4"/>
  <c r="G953" i="4"/>
  <c r="F953" i="4"/>
  <c r="E953" i="4"/>
  <c r="D953" i="4"/>
  <c r="C953" i="4"/>
  <c r="B953" i="4"/>
  <c r="A953" i="4"/>
  <c r="G952" i="4"/>
  <c r="F952" i="4"/>
  <c r="E952" i="4"/>
  <c r="D952" i="4"/>
  <c r="C952" i="4"/>
  <c r="B952" i="4"/>
  <c r="A952" i="4"/>
  <c r="G951" i="4"/>
  <c r="F951" i="4"/>
  <c r="E951" i="4"/>
  <c r="D951" i="4"/>
  <c r="C951" i="4"/>
  <c r="B951" i="4"/>
  <c r="A951" i="4"/>
  <c r="G950" i="4"/>
  <c r="F950" i="4"/>
  <c r="E950" i="4"/>
  <c r="D950" i="4"/>
  <c r="C950" i="4"/>
  <c r="B950" i="4"/>
  <c r="A950" i="4"/>
  <c r="G949" i="4"/>
  <c r="F949" i="4"/>
  <c r="E949" i="4"/>
  <c r="D949" i="4"/>
  <c r="C949" i="4"/>
  <c r="B949" i="4"/>
  <c r="A949" i="4"/>
  <c r="G948" i="4"/>
  <c r="F948" i="4"/>
  <c r="E948" i="4"/>
  <c r="D948" i="4"/>
  <c r="C948" i="4"/>
  <c r="B948" i="4"/>
  <c r="A948" i="4"/>
  <c r="G947" i="4"/>
  <c r="F947" i="4"/>
  <c r="E947" i="4"/>
  <c r="D947" i="4"/>
  <c r="C947" i="4"/>
  <c r="B947" i="4"/>
  <c r="A947" i="4"/>
  <c r="G946" i="4"/>
  <c r="F946" i="4"/>
  <c r="E946" i="4"/>
  <c r="D946" i="4"/>
  <c r="C946" i="4"/>
  <c r="B946" i="4"/>
  <c r="A946" i="4"/>
  <c r="G945" i="4"/>
  <c r="F945" i="4"/>
  <c r="E945" i="4"/>
  <c r="D945" i="4"/>
  <c r="C945" i="4"/>
  <c r="B945" i="4"/>
  <c r="A945" i="4"/>
  <c r="G944" i="4"/>
  <c r="F944" i="4"/>
  <c r="E944" i="4"/>
  <c r="D944" i="4"/>
  <c r="C944" i="4"/>
  <c r="B944" i="4"/>
  <c r="A944" i="4"/>
  <c r="G943" i="4"/>
  <c r="F943" i="4"/>
  <c r="E943" i="4"/>
  <c r="D943" i="4"/>
  <c r="C943" i="4"/>
  <c r="B943" i="4"/>
  <c r="A943" i="4"/>
  <c r="G942" i="4"/>
  <c r="F942" i="4"/>
  <c r="E942" i="4"/>
  <c r="D942" i="4"/>
  <c r="C942" i="4"/>
  <c r="B942" i="4"/>
  <c r="A942" i="4"/>
  <c r="G941" i="4"/>
  <c r="F941" i="4"/>
  <c r="E941" i="4"/>
  <c r="D941" i="4"/>
  <c r="C941" i="4"/>
  <c r="B941" i="4"/>
  <c r="A941" i="4"/>
  <c r="G940" i="4"/>
  <c r="F940" i="4"/>
  <c r="E940" i="4"/>
  <c r="D940" i="4"/>
  <c r="C940" i="4"/>
  <c r="B940" i="4"/>
  <c r="A940" i="4"/>
  <c r="G939" i="4"/>
  <c r="F939" i="4"/>
  <c r="E939" i="4"/>
  <c r="D939" i="4"/>
  <c r="C939" i="4"/>
  <c r="B939" i="4"/>
  <c r="A939" i="4"/>
  <c r="G938" i="4"/>
  <c r="F938" i="4"/>
  <c r="E938" i="4"/>
  <c r="D938" i="4"/>
  <c r="C938" i="4"/>
  <c r="B938" i="4"/>
  <c r="A938" i="4"/>
  <c r="G937" i="4"/>
  <c r="F937" i="4"/>
  <c r="E937" i="4"/>
  <c r="D937" i="4"/>
  <c r="C937" i="4"/>
  <c r="B937" i="4"/>
  <c r="A937" i="4"/>
  <c r="G936" i="4"/>
  <c r="F936" i="4"/>
  <c r="E936" i="4"/>
  <c r="D936" i="4"/>
  <c r="C936" i="4"/>
  <c r="B936" i="4"/>
  <c r="A936" i="4"/>
  <c r="G935" i="4"/>
  <c r="F935" i="4"/>
  <c r="E935" i="4"/>
  <c r="D935" i="4"/>
  <c r="C935" i="4"/>
  <c r="B935" i="4"/>
  <c r="A935" i="4"/>
  <c r="G934" i="4"/>
  <c r="F934" i="4"/>
  <c r="E934" i="4"/>
  <c r="D934" i="4"/>
  <c r="C934" i="4"/>
  <c r="B934" i="4"/>
  <c r="A934" i="4"/>
  <c r="G933" i="4"/>
  <c r="F933" i="4"/>
  <c r="E933" i="4"/>
  <c r="D933" i="4"/>
  <c r="C933" i="4"/>
  <c r="B933" i="4"/>
  <c r="A933" i="4"/>
  <c r="G932" i="4"/>
  <c r="F932" i="4"/>
  <c r="E932" i="4"/>
  <c r="D932" i="4"/>
  <c r="C932" i="4"/>
  <c r="B932" i="4"/>
  <c r="A932" i="4"/>
  <c r="G931" i="4"/>
  <c r="F931" i="4"/>
  <c r="E931" i="4"/>
  <c r="D931" i="4"/>
  <c r="C931" i="4"/>
  <c r="B931" i="4"/>
  <c r="A931" i="4"/>
  <c r="G930" i="4"/>
  <c r="F930" i="4"/>
  <c r="E930" i="4"/>
  <c r="D930" i="4"/>
  <c r="C930" i="4"/>
  <c r="B930" i="4"/>
  <c r="A930" i="4"/>
  <c r="G929" i="4"/>
  <c r="F929" i="4"/>
  <c r="E929" i="4"/>
  <c r="D929" i="4"/>
  <c r="C929" i="4"/>
  <c r="B929" i="4"/>
  <c r="A929" i="4"/>
  <c r="G928" i="4"/>
  <c r="F928" i="4"/>
  <c r="E928" i="4"/>
  <c r="D928" i="4"/>
  <c r="C928" i="4"/>
  <c r="B928" i="4"/>
  <c r="A928" i="4"/>
  <c r="G927" i="4"/>
  <c r="F927" i="4"/>
  <c r="E927" i="4"/>
  <c r="D927" i="4"/>
  <c r="C927" i="4"/>
  <c r="B927" i="4"/>
  <c r="A927" i="4"/>
  <c r="G926" i="4"/>
  <c r="F926" i="4"/>
  <c r="E926" i="4"/>
  <c r="D926" i="4"/>
  <c r="C926" i="4"/>
  <c r="B926" i="4"/>
  <c r="A926" i="4"/>
  <c r="G925" i="4"/>
  <c r="F925" i="4"/>
  <c r="E925" i="4"/>
  <c r="D925" i="4"/>
  <c r="C925" i="4"/>
  <c r="B925" i="4"/>
  <c r="A925" i="4"/>
  <c r="G924" i="4"/>
  <c r="F924" i="4"/>
  <c r="E924" i="4"/>
  <c r="D924" i="4"/>
  <c r="C924" i="4"/>
  <c r="B924" i="4"/>
  <c r="A924" i="4"/>
  <c r="G923" i="4"/>
  <c r="F923" i="4"/>
  <c r="E923" i="4"/>
  <c r="D923" i="4"/>
  <c r="C923" i="4"/>
  <c r="B923" i="4"/>
  <c r="A923" i="4"/>
  <c r="G922" i="4"/>
  <c r="F922" i="4"/>
  <c r="E922" i="4"/>
  <c r="D922" i="4"/>
  <c r="C922" i="4"/>
  <c r="B922" i="4"/>
  <c r="A922" i="4"/>
  <c r="G921" i="4"/>
  <c r="F921" i="4"/>
  <c r="E921" i="4"/>
  <c r="D921" i="4"/>
  <c r="C921" i="4"/>
  <c r="B921" i="4"/>
  <c r="A921" i="4"/>
  <c r="G920" i="4"/>
  <c r="F920" i="4"/>
  <c r="E920" i="4"/>
  <c r="D920" i="4"/>
  <c r="C920" i="4"/>
  <c r="B920" i="4"/>
  <c r="A920" i="4"/>
  <c r="G919" i="4"/>
  <c r="F919" i="4"/>
  <c r="E919" i="4"/>
  <c r="D919" i="4"/>
  <c r="C919" i="4"/>
  <c r="B919" i="4"/>
  <c r="A919" i="4"/>
  <c r="G918" i="4"/>
  <c r="F918" i="4"/>
  <c r="E918" i="4"/>
  <c r="D918" i="4"/>
  <c r="C918" i="4"/>
  <c r="B918" i="4"/>
  <c r="A918" i="4"/>
  <c r="G917" i="4"/>
  <c r="F917" i="4"/>
  <c r="E917" i="4"/>
  <c r="D917" i="4"/>
  <c r="C917" i="4"/>
  <c r="B917" i="4"/>
  <c r="A917" i="4"/>
  <c r="G916" i="4"/>
  <c r="F916" i="4"/>
  <c r="E916" i="4"/>
  <c r="D916" i="4"/>
  <c r="C916" i="4"/>
  <c r="B916" i="4"/>
  <c r="A916" i="4"/>
  <c r="G915" i="4"/>
  <c r="F915" i="4"/>
  <c r="E915" i="4"/>
  <c r="D915" i="4"/>
  <c r="C915" i="4"/>
  <c r="B915" i="4"/>
  <c r="A915" i="4"/>
  <c r="G914" i="4"/>
  <c r="F914" i="4"/>
  <c r="E914" i="4"/>
  <c r="D914" i="4"/>
  <c r="C914" i="4"/>
  <c r="B914" i="4"/>
  <c r="A914" i="4"/>
  <c r="G913" i="4"/>
  <c r="F913" i="4"/>
  <c r="E913" i="4"/>
  <c r="D913" i="4"/>
  <c r="C913" i="4"/>
  <c r="B913" i="4"/>
  <c r="A913" i="4"/>
  <c r="G912" i="4"/>
  <c r="F912" i="4"/>
  <c r="E912" i="4"/>
  <c r="D912" i="4"/>
  <c r="C912" i="4"/>
  <c r="B912" i="4"/>
  <c r="A912" i="4"/>
  <c r="G911" i="4"/>
  <c r="F911" i="4"/>
  <c r="E911" i="4"/>
  <c r="D911" i="4"/>
  <c r="C911" i="4"/>
  <c r="B911" i="4"/>
  <c r="A911" i="4"/>
  <c r="G910" i="4"/>
  <c r="F910" i="4"/>
  <c r="E910" i="4"/>
  <c r="D910" i="4"/>
  <c r="C910" i="4"/>
  <c r="B910" i="4"/>
  <c r="A910" i="4"/>
  <c r="G909" i="4"/>
  <c r="F909" i="4"/>
  <c r="E909" i="4"/>
  <c r="D909" i="4"/>
  <c r="C909" i="4"/>
  <c r="B909" i="4"/>
  <c r="A909" i="4"/>
  <c r="G908" i="4"/>
  <c r="F908" i="4"/>
  <c r="E908" i="4"/>
  <c r="D908" i="4"/>
  <c r="C908" i="4"/>
  <c r="B908" i="4"/>
  <c r="A908" i="4"/>
  <c r="G907" i="4"/>
  <c r="F907" i="4"/>
  <c r="E907" i="4"/>
  <c r="D907" i="4"/>
  <c r="C907" i="4"/>
  <c r="B907" i="4"/>
  <c r="A907" i="4"/>
  <c r="G906" i="4"/>
  <c r="F906" i="4"/>
  <c r="E906" i="4"/>
  <c r="D906" i="4"/>
  <c r="C906" i="4"/>
  <c r="B906" i="4"/>
  <c r="A906" i="4"/>
  <c r="G905" i="4"/>
  <c r="F905" i="4"/>
  <c r="E905" i="4"/>
  <c r="D905" i="4"/>
  <c r="C905" i="4"/>
  <c r="B905" i="4"/>
  <c r="A905" i="4"/>
  <c r="G904" i="4"/>
  <c r="F904" i="4"/>
  <c r="E904" i="4"/>
  <c r="D904" i="4"/>
  <c r="C904" i="4"/>
  <c r="B904" i="4"/>
  <c r="A904" i="4"/>
  <c r="G903" i="4"/>
  <c r="F903" i="4"/>
  <c r="E903" i="4"/>
  <c r="D903" i="4"/>
  <c r="C903" i="4"/>
  <c r="B903" i="4"/>
  <c r="A903" i="4"/>
  <c r="G902" i="4"/>
  <c r="F902" i="4"/>
  <c r="E902" i="4"/>
  <c r="D902" i="4"/>
  <c r="C902" i="4"/>
  <c r="B902" i="4"/>
  <c r="A902" i="4"/>
  <c r="G901" i="4"/>
  <c r="F901" i="4"/>
  <c r="E901" i="4"/>
  <c r="D901" i="4"/>
  <c r="C901" i="4"/>
  <c r="B901" i="4"/>
  <c r="A901" i="4"/>
  <c r="G900" i="4"/>
  <c r="F900" i="4"/>
  <c r="E900" i="4"/>
  <c r="D900" i="4"/>
  <c r="C900" i="4"/>
  <c r="B900" i="4"/>
  <c r="A900" i="4"/>
  <c r="G899" i="4"/>
  <c r="F899" i="4"/>
  <c r="E899" i="4"/>
  <c r="D899" i="4"/>
  <c r="C899" i="4"/>
  <c r="B899" i="4"/>
  <c r="A899" i="4"/>
  <c r="G898" i="4"/>
  <c r="F898" i="4"/>
  <c r="E898" i="4"/>
  <c r="D898" i="4"/>
  <c r="C898" i="4"/>
  <c r="B898" i="4"/>
  <c r="A898" i="4"/>
  <c r="G897" i="4"/>
  <c r="F897" i="4"/>
  <c r="E897" i="4"/>
  <c r="D897" i="4"/>
  <c r="C897" i="4"/>
  <c r="B897" i="4"/>
  <c r="A897" i="4"/>
  <c r="G896" i="4"/>
  <c r="F896" i="4"/>
  <c r="E896" i="4"/>
  <c r="D896" i="4"/>
  <c r="C896" i="4"/>
  <c r="B896" i="4"/>
  <c r="A896" i="4"/>
  <c r="G895" i="4"/>
  <c r="F895" i="4"/>
  <c r="E895" i="4"/>
  <c r="D895" i="4"/>
  <c r="C895" i="4"/>
  <c r="B895" i="4"/>
  <c r="A895" i="4"/>
  <c r="G894" i="4"/>
  <c r="F894" i="4"/>
  <c r="E894" i="4"/>
  <c r="D894" i="4"/>
  <c r="C894" i="4"/>
  <c r="B894" i="4"/>
  <c r="A894" i="4"/>
  <c r="G893" i="4"/>
  <c r="F893" i="4"/>
  <c r="E893" i="4"/>
  <c r="D893" i="4"/>
  <c r="C893" i="4"/>
  <c r="B893" i="4"/>
  <c r="A893" i="4"/>
  <c r="G892" i="4"/>
  <c r="F892" i="4"/>
  <c r="E892" i="4"/>
  <c r="D892" i="4"/>
  <c r="C892" i="4"/>
  <c r="B892" i="4"/>
  <c r="A892" i="4"/>
  <c r="G891" i="4"/>
  <c r="F891" i="4"/>
  <c r="E891" i="4"/>
  <c r="D891" i="4"/>
  <c r="C891" i="4"/>
  <c r="B891" i="4"/>
  <c r="A891" i="4"/>
  <c r="G890" i="4"/>
  <c r="F890" i="4"/>
  <c r="E890" i="4"/>
  <c r="D890" i="4"/>
  <c r="C890" i="4"/>
  <c r="B890" i="4"/>
  <c r="A890" i="4"/>
  <c r="G889" i="4"/>
  <c r="F889" i="4"/>
  <c r="E889" i="4"/>
  <c r="D889" i="4"/>
  <c r="C889" i="4"/>
  <c r="B889" i="4"/>
  <c r="A889" i="4"/>
  <c r="G888" i="4"/>
  <c r="F888" i="4"/>
  <c r="E888" i="4"/>
  <c r="D888" i="4"/>
  <c r="C888" i="4"/>
  <c r="B888" i="4"/>
  <c r="A888" i="4"/>
  <c r="G887" i="4"/>
  <c r="F887" i="4"/>
  <c r="E887" i="4"/>
  <c r="D887" i="4"/>
  <c r="C887" i="4"/>
  <c r="B887" i="4"/>
  <c r="A887" i="4"/>
  <c r="G886" i="4"/>
  <c r="F886" i="4"/>
  <c r="E886" i="4"/>
  <c r="D886" i="4"/>
  <c r="C886" i="4"/>
  <c r="B886" i="4"/>
  <c r="A886" i="4"/>
  <c r="G885" i="4"/>
  <c r="F885" i="4"/>
  <c r="E885" i="4"/>
  <c r="D885" i="4"/>
  <c r="C885" i="4"/>
  <c r="B885" i="4"/>
  <c r="A885" i="4"/>
  <c r="G884" i="4"/>
  <c r="F884" i="4"/>
  <c r="E884" i="4"/>
  <c r="D884" i="4"/>
  <c r="C884" i="4"/>
  <c r="B884" i="4"/>
  <c r="A884" i="4"/>
  <c r="G883" i="4"/>
  <c r="F883" i="4"/>
  <c r="E883" i="4"/>
  <c r="D883" i="4"/>
  <c r="C883" i="4"/>
  <c r="B883" i="4"/>
  <c r="A883" i="4"/>
  <c r="G882" i="4"/>
  <c r="F882" i="4"/>
  <c r="E882" i="4"/>
  <c r="D882" i="4"/>
  <c r="C882" i="4"/>
  <c r="B882" i="4"/>
  <c r="A882" i="4"/>
  <c r="G881" i="4"/>
  <c r="F881" i="4"/>
  <c r="E881" i="4"/>
  <c r="D881" i="4"/>
  <c r="C881" i="4"/>
  <c r="B881" i="4"/>
  <c r="A881" i="4"/>
  <c r="G880" i="4"/>
  <c r="F880" i="4"/>
  <c r="E880" i="4"/>
  <c r="D880" i="4"/>
  <c r="C880" i="4"/>
  <c r="B880" i="4"/>
  <c r="A880" i="4"/>
  <c r="G879" i="4"/>
  <c r="F879" i="4"/>
  <c r="E879" i="4"/>
  <c r="D879" i="4"/>
  <c r="C879" i="4"/>
  <c r="B879" i="4"/>
  <c r="A879" i="4"/>
  <c r="G878" i="4"/>
  <c r="F878" i="4"/>
  <c r="E878" i="4"/>
  <c r="D878" i="4"/>
  <c r="C878" i="4"/>
  <c r="B878" i="4"/>
  <c r="A878" i="4"/>
  <c r="G877" i="4"/>
  <c r="F877" i="4"/>
  <c r="E877" i="4"/>
  <c r="D877" i="4"/>
  <c r="C877" i="4"/>
  <c r="B877" i="4"/>
  <c r="A877" i="4"/>
  <c r="G876" i="4"/>
  <c r="F876" i="4"/>
  <c r="E876" i="4"/>
  <c r="D876" i="4"/>
  <c r="C876" i="4"/>
  <c r="B876" i="4"/>
  <c r="A876" i="4"/>
  <c r="G875" i="4"/>
  <c r="F875" i="4"/>
  <c r="E875" i="4"/>
  <c r="D875" i="4"/>
  <c r="C875" i="4"/>
  <c r="B875" i="4"/>
  <c r="A875" i="4"/>
  <c r="G874" i="4"/>
  <c r="F874" i="4"/>
  <c r="E874" i="4"/>
  <c r="D874" i="4"/>
  <c r="C874" i="4"/>
  <c r="B874" i="4"/>
  <c r="A874" i="4"/>
  <c r="G873" i="4"/>
  <c r="F873" i="4"/>
  <c r="E873" i="4"/>
  <c r="D873" i="4"/>
  <c r="C873" i="4"/>
  <c r="B873" i="4"/>
  <c r="A873" i="4"/>
  <c r="G872" i="4"/>
  <c r="F872" i="4"/>
  <c r="E872" i="4"/>
  <c r="D872" i="4"/>
  <c r="C872" i="4"/>
  <c r="B872" i="4"/>
  <c r="A872" i="4"/>
  <c r="G871" i="4"/>
  <c r="F871" i="4"/>
  <c r="E871" i="4"/>
  <c r="D871" i="4"/>
  <c r="C871" i="4"/>
  <c r="B871" i="4"/>
  <c r="A871" i="4"/>
  <c r="G870" i="4"/>
  <c r="F870" i="4"/>
  <c r="E870" i="4"/>
  <c r="D870" i="4"/>
  <c r="C870" i="4"/>
  <c r="B870" i="4"/>
  <c r="A870" i="4"/>
  <c r="G869" i="4"/>
  <c r="F869" i="4"/>
  <c r="E869" i="4"/>
  <c r="D869" i="4"/>
  <c r="C869" i="4"/>
  <c r="B869" i="4"/>
  <c r="A869" i="4"/>
  <c r="G868" i="4"/>
  <c r="F868" i="4"/>
  <c r="E868" i="4"/>
  <c r="D868" i="4"/>
  <c r="C868" i="4"/>
  <c r="B868" i="4"/>
  <c r="A868" i="4"/>
  <c r="G867" i="4"/>
  <c r="F867" i="4"/>
  <c r="E867" i="4"/>
  <c r="D867" i="4"/>
  <c r="C867" i="4"/>
  <c r="B867" i="4"/>
  <c r="A867" i="4"/>
  <c r="G866" i="4"/>
  <c r="F866" i="4"/>
  <c r="E866" i="4"/>
  <c r="D866" i="4"/>
  <c r="C866" i="4"/>
  <c r="B866" i="4"/>
  <c r="A866" i="4"/>
  <c r="G865" i="4"/>
  <c r="F865" i="4"/>
  <c r="E865" i="4"/>
  <c r="D865" i="4"/>
  <c r="C865" i="4"/>
  <c r="B865" i="4"/>
  <c r="A865" i="4"/>
  <c r="G864" i="4"/>
  <c r="F864" i="4"/>
  <c r="E864" i="4"/>
  <c r="D864" i="4"/>
  <c r="C864" i="4"/>
  <c r="B864" i="4"/>
  <c r="A864" i="4"/>
  <c r="G863" i="4"/>
  <c r="F863" i="4"/>
  <c r="E863" i="4"/>
  <c r="D863" i="4"/>
  <c r="C863" i="4"/>
  <c r="B863" i="4"/>
  <c r="A863" i="4"/>
  <c r="G862" i="4"/>
  <c r="F862" i="4"/>
  <c r="E862" i="4"/>
  <c r="D862" i="4"/>
  <c r="C862" i="4"/>
  <c r="B862" i="4"/>
  <c r="A862" i="4"/>
  <c r="G861" i="4"/>
  <c r="F861" i="4"/>
  <c r="E861" i="4"/>
  <c r="D861" i="4"/>
  <c r="C861" i="4"/>
  <c r="B861" i="4"/>
  <c r="A861" i="4"/>
  <c r="G860" i="4"/>
  <c r="F860" i="4"/>
  <c r="E860" i="4"/>
  <c r="D860" i="4"/>
  <c r="C860" i="4"/>
  <c r="B860" i="4"/>
  <c r="A860" i="4"/>
  <c r="G859" i="4"/>
  <c r="F859" i="4"/>
  <c r="E859" i="4"/>
  <c r="D859" i="4"/>
  <c r="C859" i="4"/>
  <c r="B859" i="4"/>
  <c r="A859" i="4"/>
  <c r="G858" i="4"/>
  <c r="F858" i="4"/>
  <c r="E858" i="4"/>
  <c r="D858" i="4"/>
  <c r="C858" i="4"/>
  <c r="B858" i="4"/>
  <c r="A858" i="4"/>
  <c r="G857" i="4"/>
  <c r="F857" i="4"/>
  <c r="E857" i="4"/>
  <c r="D857" i="4"/>
  <c r="C857" i="4"/>
  <c r="B857" i="4"/>
  <c r="A857" i="4"/>
  <c r="G856" i="4"/>
  <c r="F856" i="4"/>
  <c r="E856" i="4"/>
  <c r="D856" i="4"/>
  <c r="C856" i="4"/>
  <c r="B856" i="4"/>
  <c r="A856" i="4"/>
  <c r="G855" i="4"/>
  <c r="F855" i="4"/>
  <c r="E855" i="4"/>
  <c r="D855" i="4"/>
  <c r="C855" i="4"/>
  <c r="B855" i="4"/>
  <c r="A855" i="4"/>
  <c r="G854" i="4"/>
  <c r="F854" i="4"/>
  <c r="E854" i="4"/>
  <c r="D854" i="4"/>
  <c r="C854" i="4"/>
  <c r="B854" i="4"/>
  <c r="A854" i="4"/>
  <c r="G853" i="4"/>
  <c r="F853" i="4"/>
  <c r="E853" i="4"/>
  <c r="D853" i="4"/>
  <c r="C853" i="4"/>
  <c r="B853" i="4"/>
  <c r="A853" i="4"/>
  <c r="G852" i="4"/>
  <c r="F852" i="4"/>
  <c r="E852" i="4"/>
  <c r="D852" i="4"/>
  <c r="C852" i="4"/>
  <c r="B852" i="4"/>
  <c r="A852" i="4"/>
  <c r="G851" i="4"/>
  <c r="F851" i="4"/>
  <c r="E851" i="4"/>
  <c r="D851" i="4"/>
  <c r="C851" i="4"/>
  <c r="B851" i="4"/>
  <c r="A851" i="4"/>
  <c r="G850" i="4"/>
  <c r="F850" i="4"/>
  <c r="E850" i="4"/>
  <c r="D850" i="4"/>
  <c r="C850" i="4"/>
  <c r="B850" i="4"/>
  <c r="A850" i="4"/>
  <c r="G849" i="4"/>
  <c r="F849" i="4"/>
  <c r="E849" i="4"/>
  <c r="D849" i="4"/>
  <c r="C849" i="4"/>
  <c r="B849" i="4"/>
  <c r="A849" i="4"/>
  <c r="G848" i="4"/>
  <c r="F848" i="4"/>
  <c r="E848" i="4"/>
  <c r="D848" i="4"/>
  <c r="C848" i="4"/>
  <c r="B848" i="4"/>
  <c r="A848" i="4"/>
  <c r="G847" i="4"/>
  <c r="F847" i="4"/>
  <c r="E847" i="4"/>
  <c r="D847" i="4"/>
  <c r="C847" i="4"/>
  <c r="B847" i="4"/>
  <c r="A847" i="4"/>
  <c r="G846" i="4"/>
  <c r="F846" i="4"/>
  <c r="E846" i="4"/>
  <c r="D846" i="4"/>
  <c r="C846" i="4"/>
  <c r="B846" i="4"/>
  <c r="A846" i="4"/>
  <c r="G845" i="4"/>
  <c r="F845" i="4"/>
  <c r="E845" i="4"/>
  <c r="D845" i="4"/>
  <c r="C845" i="4"/>
  <c r="B845" i="4"/>
  <c r="A845" i="4"/>
  <c r="G844" i="4"/>
  <c r="F844" i="4"/>
  <c r="E844" i="4"/>
  <c r="D844" i="4"/>
  <c r="C844" i="4"/>
  <c r="B844" i="4"/>
  <c r="A844" i="4"/>
  <c r="G843" i="4"/>
  <c r="F843" i="4"/>
  <c r="E843" i="4"/>
  <c r="D843" i="4"/>
  <c r="C843" i="4"/>
  <c r="B843" i="4"/>
  <c r="A843" i="4"/>
  <c r="G842" i="4"/>
  <c r="F842" i="4"/>
  <c r="E842" i="4"/>
  <c r="D842" i="4"/>
  <c r="C842" i="4"/>
  <c r="B842" i="4"/>
  <c r="A842" i="4"/>
  <c r="G841" i="4"/>
  <c r="F841" i="4"/>
  <c r="E841" i="4"/>
  <c r="D841" i="4"/>
  <c r="C841" i="4"/>
  <c r="B841" i="4"/>
  <c r="A841" i="4"/>
  <c r="G840" i="4"/>
  <c r="F840" i="4"/>
  <c r="E840" i="4"/>
  <c r="D840" i="4"/>
  <c r="C840" i="4"/>
  <c r="B840" i="4"/>
  <c r="A840" i="4"/>
  <c r="G839" i="4"/>
  <c r="F839" i="4"/>
  <c r="E839" i="4"/>
  <c r="D839" i="4"/>
  <c r="C839" i="4"/>
  <c r="B839" i="4"/>
  <c r="A839" i="4"/>
  <c r="G838" i="4"/>
  <c r="F838" i="4"/>
  <c r="E838" i="4"/>
  <c r="D838" i="4"/>
  <c r="C838" i="4"/>
  <c r="B838" i="4"/>
  <c r="A838" i="4"/>
  <c r="G837" i="4"/>
  <c r="F837" i="4"/>
  <c r="E837" i="4"/>
  <c r="D837" i="4"/>
  <c r="C837" i="4"/>
  <c r="B837" i="4"/>
  <c r="A837" i="4"/>
  <c r="G836" i="4"/>
  <c r="F836" i="4"/>
  <c r="E836" i="4"/>
  <c r="D836" i="4"/>
  <c r="C836" i="4"/>
  <c r="B836" i="4"/>
  <c r="A836" i="4"/>
  <c r="G835" i="4"/>
  <c r="F835" i="4"/>
  <c r="E835" i="4"/>
  <c r="D835" i="4"/>
  <c r="C835" i="4"/>
  <c r="B835" i="4"/>
  <c r="A835" i="4"/>
  <c r="G834" i="4"/>
  <c r="F834" i="4"/>
  <c r="E834" i="4"/>
  <c r="D834" i="4"/>
  <c r="C834" i="4"/>
  <c r="B834" i="4"/>
  <c r="A834" i="4"/>
  <c r="G833" i="4"/>
  <c r="F833" i="4"/>
  <c r="E833" i="4"/>
  <c r="D833" i="4"/>
  <c r="C833" i="4"/>
  <c r="B833" i="4"/>
  <c r="A833" i="4"/>
  <c r="G832" i="4"/>
  <c r="F832" i="4"/>
  <c r="E832" i="4"/>
  <c r="D832" i="4"/>
  <c r="C832" i="4"/>
  <c r="B832" i="4"/>
  <c r="A832" i="4"/>
  <c r="G831" i="4"/>
  <c r="F831" i="4"/>
  <c r="E831" i="4"/>
  <c r="D831" i="4"/>
  <c r="C831" i="4"/>
  <c r="B831" i="4"/>
  <c r="A831" i="4"/>
  <c r="G830" i="4"/>
  <c r="F830" i="4"/>
  <c r="E830" i="4"/>
  <c r="D830" i="4"/>
  <c r="C830" i="4"/>
  <c r="B830" i="4"/>
  <c r="A830" i="4"/>
  <c r="G829" i="4"/>
  <c r="F829" i="4"/>
  <c r="E829" i="4"/>
  <c r="D829" i="4"/>
  <c r="C829" i="4"/>
  <c r="B829" i="4"/>
  <c r="A829" i="4"/>
  <c r="G828" i="4"/>
  <c r="F828" i="4"/>
  <c r="E828" i="4"/>
  <c r="D828" i="4"/>
  <c r="C828" i="4"/>
  <c r="B828" i="4"/>
  <c r="A828" i="4"/>
  <c r="G827" i="4"/>
  <c r="F827" i="4"/>
  <c r="E827" i="4"/>
  <c r="D827" i="4"/>
  <c r="C827" i="4"/>
  <c r="B827" i="4"/>
  <c r="A827" i="4"/>
  <c r="G826" i="4"/>
  <c r="F826" i="4"/>
  <c r="E826" i="4"/>
  <c r="D826" i="4"/>
  <c r="C826" i="4"/>
  <c r="B826" i="4"/>
  <c r="A826" i="4"/>
  <c r="G825" i="4"/>
  <c r="F825" i="4"/>
  <c r="E825" i="4"/>
  <c r="D825" i="4"/>
  <c r="C825" i="4"/>
  <c r="B825" i="4"/>
  <c r="A825" i="4"/>
  <c r="G824" i="4"/>
  <c r="F824" i="4"/>
  <c r="E824" i="4"/>
  <c r="D824" i="4"/>
  <c r="C824" i="4"/>
  <c r="B824" i="4"/>
  <c r="A824" i="4"/>
  <c r="G823" i="4"/>
  <c r="F823" i="4"/>
  <c r="E823" i="4"/>
  <c r="D823" i="4"/>
  <c r="C823" i="4"/>
  <c r="B823" i="4"/>
  <c r="A823" i="4"/>
  <c r="G822" i="4"/>
  <c r="F822" i="4"/>
  <c r="E822" i="4"/>
  <c r="D822" i="4"/>
  <c r="C822" i="4"/>
  <c r="B822" i="4"/>
  <c r="A822" i="4"/>
  <c r="G821" i="4"/>
  <c r="F821" i="4"/>
  <c r="E821" i="4"/>
  <c r="D821" i="4"/>
  <c r="C821" i="4"/>
  <c r="B821" i="4"/>
  <c r="A821" i="4"/>
  <c r="G820" i="4"/>
  <c r="F820" i="4"/>
  <c r="E820" i="4"/>
  <c r="D820" i="4"/>
  <c r="C820" i="4"/>
  <c r="B820" i="4"/>
  <c r="A820" i="4"/>
  <c r="G819" i="4"/>
  <c r="F819" i="4"/>
  <c r="E819" i="4"/>
  <c r="D819" i="4"/>
  <c r="C819" i="4"/>
  <c r="B819" i="4"/>
  <c r="A819" i="4"/>
  <c r="G818" i="4"/>
  <c r="F818" i="4"/>
  <c r="E818" i="4"/>
  <c r="D818" i="4"/>
  <c r="C818" i="4"/>
  <c r="B818" i="4"/>
  <c r="A818" i="4"/>
  <c r="G817" i="4"/>
  <c r="F817" i="4"/>
  <c r="E817" i="4"/>
  <c r="D817" i="4"/>
  <c r="C817" i="4"/>
  <c r="B817" i="4"/>
  <c r="A817" i="4"/>
  <c r="G816" i="4"/>
  <c r="F816" i="4"/>
  <c r="E816" i="4"/>
  <c r="D816" i="4"/>
  <c r="C816" i="4"/>
  <c r="B816" i="4"/>
  <c r="A816" i="4"/>
  <c r="G815" i="4"/>
  <c r="F815" i="4"/>
  <c r="E815" i="4"/>
  <c r="D815" i="4"/>
  <c r="C815" i="4"/>
  <c r="B815" i="4"/>
  <c r="A815" i="4"/>
  <c r="G814" i="4"/>
  <c r="F814" i="4"/>
  <c r="E814" i="4"/>
  <c r="D814" i="4"/>
  <c r="C814" i="4"/>
  <c r="B814" i="4"/>
  <c r="A814" i="4"/>
  <c r="G813" i="4"/>
  <c r="F813" i="4"/>
  <c r="E813" i="4"/>
  <c r="D813" i="4"/>
  <c r="C813" i="4"/>
  <c r="B813" i="4"/>
  <c r="A813" i="4"/>
  <c r="G812" i="4"/>
  <c r="F812" i="4"/>
  <c r="E812" i="4"/>
  <c r="D812" i="4"/>
  <c r="C812" i="4"/>
  <c r="B812" i="4"/>
  <c r="A812" i="4"/>
  <c r="G811" i="4"/>
  <c r="F811" i="4"/>
  <c r="E811" i="4"/>
  <c r="D811" i="4"/>
  <c r="C811" i="4"/>
  <c r="B811" i="4"/>
  <c r="A811" i="4"/>
  <c r="G810" i="4"/>
  <c r="F810" i="4"/>
  <c r="E810" i="4"/>
  <c r="D810" i="4"/>
  <c r="C810" i="4"/>
  <c r="B810" i="4"/>
  <c r="A810" i="4"/>
  <c r="G809" i="4"/>
  <c r="F809" i="4"/>
  <c r="E809" i="4"/>
  <c r="D809" i="4"/>
  <c r="C809" i="4"/>
  <c r="B809" i="4"/>
  <c r="A809" i="4"/>
  <c r="G808" i="4"/>
  <c r="F808" i="4"/>
  <c r="E808" i="4"/>
  <c r="D808" i="4"/>
  <c r="C808" i="4"/>
  <c r="B808" i="4"/>
  <c r="A808" i="4"/>
  <c r="G807" i="4"/>
  <c r="F807" i="4"/>
  <c r="E807" i="4"/>
  <c r="D807" i="4"/>
  <c r="C807" i="4"/>
  <c r="B807" i="4"/>
  <c r="A807" i="4"/>
  <c r="G806" i="4"/>
  <c r="F806" i="4"/>
  <c r="E806" i="4"/>
  <c r="D806" i="4"/>
  <c r="C806" i="4"/>
  <c r="B806" i="4"/>
  <c r="A806" i="4"/>
  <c r="G805" i="4"/>
  <c r="F805" i="4"/>
  <c r="E805" i="4"/>
  <c r="D805" i="4"/>
  <c r="C805" i="4"/>
  <c r="B805" i="4"/>
  <c r="A805" i="4"/>
  <c r="G804" i="4"/>
  <c r="F804" i="4"/>
  <c r="E804" i="4"/>
  <c r="D804" i="4"/>
  <c r="C804" i="4"/>
  <c r="B804" i="4"/>
  <c r="A804" i="4"/>
  <c r="G803" i="4"/>
  <c r="F803" i="4"/>
  <c r="E803" i="4"/>
  <c r="D803" i="4"/>
  <c r="C803" i="4"/>
  <c r="B803" i="4"/>
  <c r="A803" i="4"/>
  <c r="G802" i="4"/>
  <c r="F802" i="4"/>
  <c r="E802" i="4"/>
  <c r="D802" i="4"/>
  <c r="C802" i="4"/>
  <c r="B802" i="4"/>
  <c r="A802" i="4"/>
  <c r="G801" i="4"/>
  <c r="F801" i="4"/>
  <c r="E801" i="4"/>
  <c r="D801" i="4"/>
  <c r="C801" i="4"/>
  <c r="B801" i="4"/>
  <c r="A801" i="4"/>
  <c r="G800" i="4"/>
  <c r="F800" i="4"/>
  <c r="E800" i="4"/>
  <c r="D800" i="4"/>
  <c r="C800" i="4"/>
  <c r="B800" i="4"/>
  <c r="A800" i="4"/>
  <c r="G799" i="4"/>
  <c r="F799" i="4"/>
  <c r="E799" i="4"/>
  <c r="D799" i="4"/>
  <c r="C799" i="4"/>
  <c r="B799" i="4"/>
  <c r="A799" i="4"/>
  <c r="G798" i="4"/>
  <c r="F798" i="4"/>
  <c r="E798" i="4"/>
  <c r="D798" i="4"/>
  <c r="C798" i="4"/>
  <c r="B798" i="4"/>
  <c r="A798" i="4"/>
  <c r="G797" i="4"/>
  <c r="F797" i="4"/>
  <c r="E797" i="4"/>
  <c r="D797" i="4"/>
  <c r="C797" i="4"/>
  <c r="B797" i="4"/>
  <c r="A797" i="4"/>
  <c r="G796" i="4"/>
  <c r="F796" i="4"/>
  <c r="E796" i="4"/>
  <c r="D796" i="4"/>
  <c r="C796" i="4"/>
  <c r="B796" i="4"/>
  <c r="A796" i="4"/>
  <c r="G795" i="4"/>
  <c r="F795" i="4"/>
  <c r="E795" i="4"/>
  <c r="D795" i="4"/>
  <c r="C795" i="4"/>
  <c r="B795" i="4"/>
  <c r="A795" i="4"/>
  <c r="G794" i="4"/>
  <c r="F794" i="4"/>
  <c r="E794" i="4"/>
  <c r="D794" i="4"/>
  <c r="C794" i="4"/>
  <c r="B794" i="4"/>
  <c r="A794" i="4"/>
  <c r="G793" i="4"/>
  <c r="F793" i="4"/>
  <c r="E793" i="4"/>
  <c r="D793" i="4"/>
  <c r="C793" i="4"/>
  <c r="B793" i="4"/>
  <c r="A793" i="4"/>
  <c r="G792" i="4"/>
  <c r="F792" i="4"/>
  <c r="E792" i="4"/>
  <c r="D792" i="4"/>
  <c r="C792" i="4"/>
  <c r="B792" i="4"/>
  <c r="A792" i="4"/>
  <c r="G791" i="4"/>
  <c r="F791" i="4"/>
  <c r="E791" i="4"/>
  <c r="D791" i="4"/>
  <c r="C791" i="4"/>
  <c r="B791" i="4"/>
  <c r="A791" i="4"/>
  <c r="G790" i="4"/>
  <c r="F790" i="4"/>
  <c r="E790" i="4"/>
  <c r="D790" i="4"/>
  <c r="C790" i="4"/>
  <c r="B790" i="4"/>
  <c r="A790" i="4"/>
  <c r="G789" i="4"/>
  <c r="F789" i="4"/>
  <c r="E789" i="4"/>
  <c r="D789" i="4"/>
  <c r="C789" i="4"/>
  <c r="B789" i="4"/>
  <c r="A789" i="4"/>
  <c r="G788" i="4"/>
  <c r="F788" i="4"/>
  <c r="E788" i="4"/>
  <c r="D788" i="4"/>
  <c r="C788" i="4"/>
  <c r="B788" i="4"/>
  <c r="A788" i="4"/>
  <c r="G787" i="4"/>
  <c r="F787" i="4"/>
  <c r="E787" i="4"/>
  <c r="D787" i="4"/>
  <c r="C787" i="4"/>
  <c r="B787" i="4"/>
  <c r="A787" i="4"/>
  <c r="G786" i="4"/>
  <c r="F786" i="4"/>
  <c r="E786" i="4"/>
  <c r="D786" i="4"/>
  <c r="C786" i="4"/>
  <c r="B786" i="4"/>
  <c r="A786" i="4"/>
  <c r="G785" i="4"/>
  <c r="F785" i="4"/>
  <c r="E785" i="4"/>
  <c r="D785" i="4"/>
  <c r="C785" i="4"/>
  <c r="B785" i="4"/>
  <c r="A785" i="4"/>
  <c r="G784" i="4"/>
  <c r="F784" i="4"/>
  <c r="E784" i="4"/>
  <c r="D784" i="4"/>
  <c r="C784" i="4"/>
  <c r="B784" i="4"/>
  <c r="A784" i="4"/>
  <c r="G783" i="4"/>
  <c r="F783" i="4"/>
  <c r="E783" i="4"/>
  <c r="D783" i="4"/>
  <c r="C783" i="4"/>
  <c r="B783" i="4"/>
  <c r="A783" i="4"/>
  <c r="G782" i="4"/>
  <c r="F782" i="4"/>
  <c r="E782" i="4"/>
  <c r="D782" i="4"/>
  <c r="C782" i="4"/>
  <c r="B782" i="4"/>
  <c r="A782" i="4"/>
  <c r="G781" i="4"/>
  <c r="F781" i="4"/>
  <c r="E781" i="4"/>
  <c r="D781" i="4"/>
  <c r="C781" i="4"/>
  <c r="B781" i="4"/>
  <c r="A781" i="4"/>
  <c r="G780" i="4"/>
  <c r="F780" i="4"/>
  <c r="E780" i="4"/>
  <c r="D780" i="4"/>
  <c r="C780" i="4"/>
  <c r="B780" i="4"/>
  <c r="A780" i="4"/>
  <c r="G779" i="4"/>
  <c r="F779" i="4"/>
  <c r="E779" i="4"/>
  <c r="D779" i="4"/>
  <c r="C779" i="4"/>
  <c r="B779" i="4"/>
  <c r="A779" i="4"/>
  <c r="G778" i="4"/>
  <c r="F778" i="4"/>
  <c r="E778" i="4"/>
  <c r="D778" i="4"/>
  <c r="C778" i="4"/>
  <c r="B778" i="4"/>
  <c r="A778" i="4"/>
  <c r="G777" i="4"/>
  <c r="F777" i="4"/>
  <c r="E777" i="4"/>
  <c r="D777" i="4"/>
  <c r="C777" i="4"/>
  <c r="B777" i="4"/>
  <c r="A777" i="4"/>
  <c r="G776" i="4"/>
  <c r="F776" i="4"/>
  <c r="E776" i="4"/>
  <c r="D776" i="4"/>
  <c r="C776" i="4"/>
  <c r="B776" i="4"/>
  <c r="A776" i="4"/>
  <c r="G775" i="4"/>
  <c r="F775" i="4"/>
  <c r="E775" i="4"/>
  <c r="D775" i="4"/>
  <c r="C775" i="4"/>
  <c r="B775" i="4"/>
  <c r="A775" i="4"/>
  <c r="G774" i="4"/>
  <c r="F774" i="4"/>
  <c r="E774" i="4"/>
  <c r="D774" i="4"/>
  <c r="C774" i="4"/>
  <c r="B774" i="4"/>
  <c r="A774" i="4"/>
  <c r="G773" i="4"/>
  <c r="F773" i="4"/>
  <c r="E773" i="4"/>
  <c r="D773" i="4"/>
  <c r="C773" i="4"/>
  <c r="B773" i="4"/>
  <c r="A773" i="4"/>
  <c r="G772" i="4"/>
  <c r="F772" i="4"/>
  <c r="E772" i="4"/>
  <c r="D772" i="4"/>
  <c r="C772" i="4"/>
  <c r="B772" i="4"/>
  <c r="A772" i="4"/>
  <c r="G771" i="4"/>
  <c r="F771" i="4"/>
  <c r="E771" i="4"/>
  <c r="D771" i="4"/>
  <c r="C771" i="4"/>
  <c r="B771" i="4"/>
  <c r="A771" i="4"/>
  <c r="G770" i="4"/>
  <c r="F770" i="4"/>
  <c r="E770" i="4"/>
  <c r="D770" i="4"/>
  <c r="C770" i="4"/>
  <c r="B770" i="4"/>
  <c r="A770" i="4"/>
  <c r="G769" i="4"/>
  <c r="F769" i="4"/>
  <c r="E769" i="4"/>
  <c r="D769" i="4"/>
  <c r="C769" i="4"/>
  <c r="B769" i="4"/>
  <c r="A769" i="4"/>
  <c r="G768" i="4"/>
  <c r="F768" i="4"/>
  <c r="E768" i="4"/>
  <c r="D768" i="4"/>
  <c r="C768" i="4"/>
  <c r="B768" i="4"/>
  <c r="A768" i="4"/>
  <c r="G767" i="4"/>
  <c r="F767" i="4"/>
  <c r="E767" i="4"/>
  <c r="D767" i="4"/>
  <c r="C767" i="4"/>
  <c r="B767" i="4"/>
  <c r="A767" i="4"/>
  <c r="G766" i="4"/>
  <c r="F766" i="4"/>
  <c r="E766" i="4"/>
  <c r="D766" i="4"/>
  <c r="C766" i="4"/>
  <c r="B766" i="4"/>
  <c r="A766" i="4"/>
  <c r="G765" i="4"/>
  <c r="F765" i="4"/>
  <c r="E765" i="4"/>
  <c r="D765" i="4"/>
  <c r="C765" i="4"/>
  <c r="B765" i="4"/>
  <c r="A765" i="4"/>
  <c r="G764" i="4"/>
  <c r="F764" i="4"/>
  <c r="E764" i="4"/>
  <c r="D764" i="4"/>
  <c r="C764" i="4"/>
  <c r="B764" i="4"/>
  <c r="A764" i="4"/>
  <c r="G763" i="4"/>
  <c r="F763" i="4"/>
  <c r="E763" i="4"/>
  <c r="D763" i="4"/>
  <c r="C763" i="4"/>
  <c r="B763" i="4"/>
  <c r="A763" i="4"/>
  <c r="G762" i="4"/>
  <c r="F762" i="4"/>
  <c r="E762" i="4"/>
  <c r="D762" i="4"/>
  <c r="C762" i="4"/>
  <c r="B762" i="4"/>
  <c r="A762" i="4"/>
  <c r="G761" i="4"/>
  <c r="F761" i="4"/>
  <c r="E761" i="4"/>
  <c r="D761" i="4"/>
  <c r="C761" i="4"/>
  <c r="B761" i="4"/>
  <c r="A761" i="4"/>
  <c r="G760" i="4"/>
  <c r="F760" i="4"/>
  <c r="E760" i="4"/>
  <c r="D760" i="4"/>
  <c r="C760" i="4"/>
  <c r="B760" i="4"/>
  <c r="A760" i="4"/>
  <c r="G759" i="4"/>
  <c r="F759" i="4"/>
  <c r="E759" i="4"/>
  <c r="D759" i="4"/>
  <c r="C759" i="4"/>
  <c r="B759" i="4"/>
  <c r="A759" i="4"/>
  <c r="G758" i="4"/>
  <c r="F758" i="4"/>
  <c r="E758" i="4"/>
  <c r="D758" i="4"/>
  <c r="C758" i="4"/>
  <c r="B758" i="4"/>
  <c r="A758" i="4"/>
  <c r="G757" i="4"/>
  <c r="F757" i="4"/>
  <c r="E757" i="4"/>
  <c r="D757" i="4"/>
  <c r="C757" i="4"/>
  <c r="B757" i="4"/>
  <c r="A757" i="4"/>
  <c r="G756" i="4"/>
  <c r="F756" i="4"/>
  <c r="E756" i="4"/>
  <c r="D756" i="4"/>
  <c r="C756" i="4"/>
  <c r="B756" i="4"/>
  <c r="A756" i="4"/>
  <c r="G755" i="4"/>
  <c r="F755" i="4"/>
  <c r="E755" i="4"/>
  <c r="D755" i="4"/>
  <c r="C755" i="4"/>
  <c r="B755" i="4"/>
  <c r="A755" i="4"/>
  <c r="G754" i="4"/>
  <c r="F754" i="4"/>
  <c r="E754" i="4"/>
  <c r="D754" i="4"/>
  <c r="C754" i="4"/>
  <c r="B754" i="4"/>
  <c r="A754" i="4"/>
  <c r="G753" i="4"/>
  <c r="F753" i="4"/>
  <c r="E753" i="4"/>
  <c r="D753" i="4"/>
  <c r="C753" i="4"/>
  <c r="B753" i="4"/>
  <c r="A753" i="4"/>
  <c r="G752" i="4"/>
  <c r="F752" i="4"/>
  <c r="E752" i="4"/>
  <c r="D752" i="4"/>
  <c r="C752" i="4"/>
  <c r="B752" i="4"/>
  <c r="A752" i="4"/>
  <c r="G751" i="4"/>
  <c r="F751" i="4"/>
  <c r="E751" i="4"/>
  <c r="D751" i="4"/>
  <c r="C751" i="4"/>
  <c r="B751" i="4"/>
  <c r="A751" i="4"/>
  <c r="G750" i="4"/>
  <c r="F750" i="4"/>
  <c r="E750" i="4"/>
  <c r="D750" i="4"/>
  <c r="C750" i="4"/>
  <c r="B750" i="4"/>
  <c r="A750" i="4"/>
  <c r="G749" i="4"/>
  <c r="F749" i="4"/>
  <c r="E749" i="4"/>
  <c r="D749" i="4"/>
  <c r="C749" i="4"/>
  <c r="B749" i="4"/>
  <c r="A749" i="4"/>
  <c r="G748" i="4"/>
  <c r="F748" i="4"/>
  <c r="E748" i="4"/>
  <c r="D748" i="4"/>
  <c r="C748" i="4"/>
  <c r="B748" i="4"/>
  <c r="A748" i="4"/>
  <c r="G747" i="4"/>
  <c r="F747" i="4"/>
  <c r="E747" i="4"/>
  <c r="D747" i="4"/>
  <c r="C747" i="4"/>
  <c r="B747" i="4"/>
  <c r="A747" i="4"/>
  <c r="G746" i="4"/>
  <c r="F746" i="4"/>
  <c r="E746" i="4"/>
  <c r="D746" i="4"/>
  <c r="C746" i="4"/>
  <c r="B746" i="4"/>
  <c r="A746" i="4"/>
  <c r="G745" i="4"/>
  <c r="F745" i="4"/>
  <c r="E745" i="4"/>
  <c r="D745" i="4"/>
  <c r="C745" i="4"/>
  <c r="B745" i="4"/>
  <c r="A745" i="4"/>
  <c r="G744" i="4"/>
  <c r="F744" i="4"/>
  <c r="E744" i="4"/>
  <c r="D744" i="4"/>
  <c r="C744" i="4"/>
  <c r="B744" i="4"/>
  <c r="A744" i="4"/>
  <c r="G743" i="4"/>
  <c r="F743" i="4"/>
  <c r="E743" i="4"/>
  <c r="D743" i="4"/>
  <c r="C743" i="4"/>
  <c r="B743" i="4"/>
  <c r="A743" i="4"/>
  <c r="G742" i="4"/>
  <c r="F742" i="4"/>
  <c r="E742" i="4"/>
  <c r="D742" i="4"/>
  <c r="C742" i="4"/>
  <c r="B742" i="4"/>
  <c r="A742" i="4"/>
  <c r="G741" i="4"/>
  <c r="F741" i="4"/>
  <c r="E741" i="4"/>
  <c r="D741" i="4"/>
  <c r="C741" i="4"/>
  <c r="B741" i="4"/>
  <c r="A741" i="4"/>
  <c r="G740" i="4"/>
  <c r="F740" i="4"/>
  <c r="E740" i="4"/>
  <c r="D740" i="4"/>
  <c r="C740" i="4"/>
  <c r="B740" i="4"/>
  <c r="A740" i="4"/>
  <c r="G739" i="4"/>
  <c r="F739" i="4"/>
  <c r="E739" i="4"/>
  <c r="D739" i="4"/>
  <c r="C739" i="4"/>
  <c r="B739" i="4"/>
  <c r="A739" i="4"/>
  <c r="G738" i="4"/>
  <c r="F738" i="4"/>
  <c r="E738" i="4"/>
  <c r="D738" i="4"/>
  <c r="C738" i="4"/>
  <c r="B738" i="4"/>
  <c r="A738" i="4"/>
  <c r="G737" i="4"/>
  <c r="F737" i="4"/>
  <c r="E737" i="4"/>
  <c r="D737" i="4"/>
  <c r="C737" i="4"/>
  <c r="B737" i="4"/>
  <c r="A737" i="4"/>
  <c r="G736" i="4"/>
  <c r="F736" i="4"/>
  <c r="E736" i="4"/>
  <c r="D736" i="4"/>
  <c r="C736" i="4"/>
  <c r="B736" i="4"/>
  <c r="A736" i="4"/>
  <c r="G735" i="4"/>
  <c r="F735" i="4"/>
  <c r="E735" i="4"/>
  <c r="D735" i="4"/>
  <c r="C735" i="4"/>
  <c r="B735" i="4"/>
  <c r="A735" i="4"/>
  <c r="G734" i="4"/>
  <c r="F734" i="4"/>
  <c r="E734" i="4"/>
  <c r="D734" i="4"/>
  <c r="C734" i="4"/>
  <c r="B734" i="4"/>
  <c r="A734" i="4"/>
  <c r="G733" i="4"/>
  <c r="F733" i="4"/>
  <c r="E733" i="4"/>
  <c r="D733" i="4"/>
  <c r="C733" i="4"/>
  <c r="B733" i="4"/>
  <c r="A733" i="4"/>
  <c r="G732" i="4"/>
  <c r="F732" i="4"/>
  <c r="E732" i="4"/>
  <c r="D732" i="4"/>
  <c r="C732" i="4"/>
  <c r="B732" i="4"/>
  <c r="A732" i="4"/>
  <c r="G731" i="4"/>
  <c r="F731" i="4"/>
  <c r="E731" i="4"/>
  <c r="D731" i="4"/>
  <c r="C731" i="4"/>
  <c r="B731" i="4"/>
  <c r="A731" i="4"/>
  <c r="G730" i="4"/>
  <c r="F730" i="4"/>
  <c r="E730" i="4"/>
  <c r="D730" i="4"/>
  <c r="C730" i="4"/>
  <c r="B730" i="4"/>
  <c r="A730" i="4"/>
  <c r="G729" i="4"/>
  <c r="F729" i="4"/>
  <c r="E729" i="4"/>
  <c r="D729" i="4"/>
  <c r="C729" i="4"/>
  <c r="B729" i="4"/>
  <c r="A729" i="4"/>
  <c r="G728" i="4"/>
  <c r="F728" i="4"/>
  <c r="E728" i="4"/>
  <c r="D728" i="4"/>
  <c r="C728" i="4"/>
  <c r="B728" i="4"/>
  <c r="A728" i="4"/>
  <c r="G727" i="4"/>
  <c r="F727" i="4"/>
  <c r="E727" i="4"/>
  <c r="D727" i="4"/>
  <c r="C727" i="4"/>
  <c r="B727" i="4"/>
  <c r="A727" i="4"/>
  <c r="G726" i="4"/>
  <c r="F726" i="4"/>
  <c r="E726" i="4"/>
  <c r="D726" i="4"/>
  <c r="C726" i="4"/>
  <c r="B726" i="4"/>
  <c r="A726" i="4"/>
  <c r="G725" i="4"/>
  <c r="F725" i="4"/>
  <c r="E725" i="4"/>
  <c r="D725" i="4"/>
  <c r="C725" i="4"/>
  <c r="B725" i="4"/>
  <c r="A725" i="4"/>
  <c r="G724" i="4"/>
  <c r="F724" i="4"/>
  <c r="E724" i="4"/>
  <c r="D724" i="4"/>
  <c r="C724" i="4"/>
  <c r="B724" i="4"/>
  <c r="A724" i="4"/>
  <c r="G723" i="4"/>
  <c r="F723" i="4"/>
  <c r="E723" i="4"/>
  <c r="D723" i="4"/>
  <c r="C723" i="4"/>
  <c r="B723" i="4"/>
  <c r="A723" i="4"/>
  <c r="G722" i="4"/>
  <c r="F722" i="4"/>
  <c r="E722" i="4"/>
  <c r="D722" i="4"/>
  <c r="C722" i="4"/>
  <c r="B722" i="4"/>
  <c r="A722" i="4"/>
  <c r="G721" i="4"/>
  <c r="F721" i="4"/>
  <c r="E721" i="4"/>
  <c r="D721" i="4"/>
  <c r="C721" i="4"/>
  <c r="B721" i="4"/>
  <c r="A721" i="4"/>
  <c r="G720" i="4"/>
  <c r="F720" i="4"/>
  <c r="E720" i="4"/>
  <c r="D720" i="4"/>
  <c r="C720" i="4"/>
  <c r="B720" i="4"/>
  <c r="A720" i="4"/>
  <c r="G719" i="4"/>
  <c r="F719" i="4"/>
  <c r="E719" i="4"/>
  <c r="D719" i="4"/>
  <c r="C719" i="4"/>
  <c r="B719" i="4"/>
  <c r="A719" i="4"/>
  <c r="G718" i="4"/>
  <c r="F718" i="4"/>
  <c r="E718" i="4"/>
  <c r="D718" i="4"/>
  <c r="C718" i="4"/>
  <c r="B718" i="4"/>
  <c r="A718" i="4"/>
  <c r="G717" i="4"/>
  <c r="F717" i="4"/>
  <c r="E717" i="4"/>
  <c r="D717" i="4"/>
  <c r="C717" i="4"/>
  <c r="B717" i="4"/>
  <c r="A717" i="4"/>
  <c r="G716" i="4"/>
  <c r="F716" i="4"/>
  <c r="E716" i="4"/>
  <c r="D716" i="4"/>
  <c r="C716" i="4"/>
  <c r="B716" i="4"/>
  <c r="A716" i="4"/>
  <c r="G715" i="4"/>
  <c r="F715" i="4"/>
  <c r="E715" i="4"/>
  <c r="D715" i="4"/>
  <c r="C715" i="4"/>
  <c r="B715" i="4"/>
  <c r="A715" i="4"/>
  <c r="G714" i="4"/>
  <c r="F714" i="4"/>
  <c r="E714" i="4"/>
  <c r="D714" i="4"/>
  <c r="C714" i="4"/>
  <c r="B714" i="4"/>
  <c r="A714" i="4"/>
  <c r="G713" i="4"/>
  <c r="F713" i="4"/>
  <c r="E713" i="4"/>
  <c r="D713" i="4"/>
  <c r="C713" i="4"/>
  <c r="B713" i="4"/>
  <c r="A713" i="4"/>
  <c r="G712" i="4"/>
  <c r="F712" i="4"/>
  <c r="E712" i="4"/>
  <c r="D712" i="4"/>
  <c r="C712" i="4"/>
  <c r="B712" i="4"/>
  <c r="A712" i="4"/>
  <c r="G711" i="4"/>
  <c r="F711" i="4"/>
  <c r="E711" i="4"/>
  <c r="D711" i="4"/>
  <c r="C711" i="4"/>
  <c r="B711" i="4"/>
  <c r="A711" i="4"/>
  <c r="G710" i="4"/>
  <c r="F710" i="4"/>
  <c r="E710" i="4"/>
  <c r="D710" i="4"/>
  <c r="C710" i="4"/>
  <c r="B710" i="4"/>
  <c r="A710" i="4"/>
  <c r="G709" i="4"/>
  <c r="F709" i="4"/>
  <c r="E709" i="4"/>
  <c r="D709" i="4"/>
  <c r="C709" i="4"/>
  <c r="B709" i="4"/>
  <c r="A709" i="4"/>
  <c r="G708" i="4"/>
  <c r="F708" i="4"/>
  <c r="E708" i="4"/>
  <c r="D708" i="4"/>
  <c r="C708" i="4"/>
  <c r="B708" i="4"/>
  <c r="A708" i="4"/>
  <c r="G707" i="4"/>
  <c r="F707" i="4"/>
  <c r="E707" i="4"/>
  <c r="D707" i="4"/>
  <c r="C707" i="4"/>
  <c r="B707" i="4"/>
  <c r="A707" i="4"/>
  <c r="G706" i="4"/>
  <c r="F706" i="4"/>
  <c r="E706" i="4"/>
  <c r="D706" i="4"/>
  <c r="C706" i="4"/>
  <c r="B706" i="4"/>
  <c r="A706" i="4"/>
  <c r="G705" i="4"/>
  <c r="F705" i="4"/>
  <c r="E705" i="4"/>
  <c r="D705" i="4"/>
  <c r="C705" i="4"/>
  <c r="B705" i="4"/>
  <c r="A705" i="4"/>
  <c r="G704" i="4"/>
  <c r="F704" i="4"/>
  <c r="E704" i="4"/>
  <c r="D704" i="4"/>
  <c r="C704" i="4"/>
  <c r="B704" i="4"/>
  <c r="A704" i="4"/>
  <c r="G703" i="4"/>
  <c r="F703" i="4"/>
  <c r="E703" i="4"/>
  <c r="D703" i="4"/>
  <c r="C703" i="4"/>
  <c r="B703" i="4"/>
  <c r="A703" i="4"/>
  <c r="G702" i="4"/>
  <c r="F702" i="4"/>
  <c r="E702" i="4"/>
  <c r="D702" i="4"/>
  <c r="C702" i="4"/>
  <c r="B702" i="4"/>
  <c r="A702" i="4"/>
  <c r="G701" i="4"/>
  <c r="F701" i="4"/>
  <c r="E701" i="4"/>
  <c r="D701" i="4"/>
  <c r="C701" i="4"/>
  <c r="B701" i="4"/>
  <c r="A701" i="4"/>
  <c r="G700" i="4"/>
  <c r="F700" i="4"/>
  <c r="E700" i="4"/>
  <c r="D700" i="4"/>
  <c r="C700" i="4"/>
  <c r="B700" i="4"/>
  <c r="A700" i="4"/>
  <c r="G699" i="4"/>
  <c r="F699" i="4"/>
  <c r="E699" i="4"/>
  <c r="D699" i="4"/>
  <c r="C699" i="4"/>
  <c r="B699" i="4"/>
  <c r="A699" i="4"/>
  <c r="G698" i="4"/>
  <c r="F698" i="4"/>
  <c r="E698" i="4"/>
  <c r="D698" i="4"/>
  <c r="C698" i="4"/>
  <c r="B698" i="4"/>
  <c r="A698" i="4"/>
  <c r="G697" i="4"/>
  <c r="F697" i="4"/>
  <c r="E697" i="4"/>
  <c r="D697" i="4"/>
  <c r="C697" i="4"/>
  <c r="B697" i="4"/>
  <c r="A697" i="4"/>
  <c r="G696" i="4"/>
  <c r="F696" i="4"/>
  <c r="E696" i="4"/>
  <c r="D696" i="4"/>
  <c r="C696" i="4"/>
  <c r="B696" i="4"/>
  <c r="A696" i="4"/>
  <c r="G695" i="4"/>
  <c r="F695" i="4"/>
  <c r="E695" i="4"/>
  <c r="D695" i="4"/>
  <c r="C695" i="4"/>
  <c r="B695" i="4"/>
  <c r="A695" i="4"/>
  <c r="G694" i="4"/>
  <c r="F694" i="4"/>
  <c r="E694" i="4"/>
  <c r="D694" i="4"/>
  <c r="C694" i="4"/>
  <c r="B694" i="4"/>
  <c r="A694" i="4"/>
  <c r="G693" i="4"/>
  <c r="F693" i="4"/>
  <c r="E693" i="4"/>
  <c r="D693" i="4"/>
  <c r="C693" i="4"/>
  <c r="B693" i="4"/>
  <c r="A693" i="4"/>
  <c r="G692" i="4"/>
  <c r="F692" i="4"/>
  <c r="E692" i="4"/>
  <c r="D692" i="4"/>
  <c r="C692" i="4"/>
  <c r="B692" i="4"/>
  <c r="A692" i="4"/>
  <c r="G691" i="4"/>
  <c r="F691" i="4"/>
  <c r="E691" i="4"/>
  <c r="D691" i="4"/>
  <c r="C691" i="4"/>
  <c r="B691" i="4"/>
  <c r="A691" i="4"/>
  <c r="G690" i="4"/>
  <c r="F690" i="4"/>
  <c r="E690" i="4"/>
  <c r="D690" i="4"/>
  <c r="C690" i="4"/>
  <c r="B690" i="4"/>
  <c r="A690" i="4"/>
  <c r="G689" i="4"/>
  <c r="F689" i="4"/>
  <c r="E689" i="4"/>
  <c r="D689" i="4"/>
  <c r="C689" i="4"/>
  <c r="B689" i="4"/>
  <c r="A689" i="4"/>
  <c r="G688" i="4"/>
  <c r="F688" i="4"/>
  <c r="E688" i="4"/>
  <c r="D688" i="4"/>
  <c r="C688" i="4"/>
  <c r="B688" i="4"/>
  <c r="A688" i="4"/>
  <c r="G687" i="4"/>
  <c r="F687" i="4"/>
  <c r="E687" i="4"/>
  <c r="D687" i="4"/>
  <c r="C687" i="4"/>
  <c r="B687" i="4"/>
  <c r="A687" i="4"/>
  <c r="G686" i="4"/>
  <c r="F686" i="4"/>
  <c r="E686" i="4"/>
  <c r="D686" i="4"/>
  <c r="C686" i="4"/>
  <c r="B686" i="4"/>
  <c r="A686" i="4"/>
  <c r="G685" i="4"/>
  <c r="F685" i="4"/>
  <c r="E685" i="4"/>
  <c r="D685" i="4"/>
  <c r="C685" i="4"/>
  <c r="B685" i="4"/>
  <c r="A685" i="4"/>
  <c r="G684" i="4"/>
  <c r="F684" i="4"/>
  <c r="E684" i="4"/>
  <c r="D684" i="4"/>
  <c r="C684" i="4"/>
  <c r="B684" i="4"/>
  <c r="A684" i="4"/>
  <c r="G683" i="4"/>
  <c r="F683" i="4"/>
  <c r="E683" i="4"/>
  <c r="D683" i="4"/>
  <c r="C683" i="4"/>
  <c r="B683" i="4"/>
  <c r="A683" i="4"/>
  <c r="G682" i="4"/>
  <c r="F682" i="4"/>
  <c r="E682" i="4"/>
  <c r="D682" i="4"/>
  <c r="C682" i="4"/>
  <c r="B682" i="4"/>
  <c r="A682" i="4"/>
  <c r="G681" i="4"/>
  <c r="F681" i="4"/>
  <c r="E681" i="4"/>
  <c r="D681" i="4"/>
  <c r="C681" i="4"/>
  <c r="B681" i="4"/>
  <c r="A681" i="4"/>
  <c r="G680" i="4"/>
  <c r="F680" i="4"/>
  <c r="E680" i="4"/>
  <c r="D680" i="4"/>
  <c r="C680" i="4"/>
  <c r="B680" i="4"/>
  <c r="A680" i="4"/>
  <c r="G679" i="4"/>
  <c r="F679" i="4"/>
  <c r="E679" i="4"/>
  <c r="D679" i="4"/>
  <c r="C679" i="4"/>
  <c r="B679" i="4"/>
  <c r="A679" i="4"/>
  <c r="G678" i="4"/>
  <c r="F678" i="4"/>
  <c r="E678" i="4"/>
  <c r="D678" i="4"/>
  <c r="C678" i="4"/>
  <c r="B678" i="4"/>
  <c r="A678" i="4"/>
  <c r="G677" i="4"/>
  <c r="F677" i="4"/>
  <c r="E677" i="4"/>
  <c r="D677" i="4"/>
  <c r="C677" i="4"/>
  <c r="B677" i="4"/>
  <c r="A677" i="4"/>
  <c r="G676" i="4"/>
  <c r="F676" i="4"/>
  <c r="E676" i="4"/>
  <c r="D676" i="4"/>
  <c r="C676" i="4"/>
  <c r="B676" i="4"/>
  <c r="A676" i="4"/>
  <c r="G675" i="4"/>
  <c r="F675" i="4"/>
  <c r="E675" i="4"/>
  <c r="D675" i="4"/>
  <c r="C675" i="4"/>
  <c r="B675" i="4"/>
  <c r="A675" i="4"/>
  <c r="G674" i="4"/>
  <c r="F674" i="4"/>
  <c r="E674" i="4"/>
  <c r="D674" i="4"/>
  <c r="C674" i="4"/>
  <c r="B674" i="4"/>
  <c r="A674" i="4"/>
  <c r="G673" i="4"/>
  <c r="F673" i="4"/>
  <c r="E673" i="4"/>
  <c r="D673" i="4"/>
  <c r="C673" i="4"/>
  <c r="B673" i="4"/>
  <c r="A673" i="4"/>
  <c r="G672" i="4"/>
  <c r="F672" i="4"/>
  <c r="E672" i="4"/>
  <c r="D672" i="4"/>
  <c r="C672" i="4"/>
  <c r="B672" i="4"/>
  <c r="A672" i="4"/>
  <c r="G671" i="4"/>
  <c r="F671" i="4"/>
  <c r="E671" i="4"/>
  <c r="D671" i="4"/>
  <c r="C671" i="4"/>
  <c r="B671" i="4"/>
  <c r="A671" i="4"/>
  <c r="G670" i="4"/>
  <c r="F670" i="4"/>
  <c r="E670" i="4"/>
  <c r="D670" i="4"/>
  <c r="C670" i="4"/>
  <c r="B670" i="4"/>
  <c r="A670" i="4"/>
  <c r="G669" i="4"/>
  <c r="F669" i="4"/>
  <c r="E669" i="4"/>
  <c r="D669" i="4"/>
  <c r="C669" i="4"/>
  <c r="B669" i="4"/>
  <c r="A669" i="4"/>
  <c r="G668" i="4"/>
  <c r="F668" i="4"/>
  <c r="E668" i="4"/>
  <c r="D668" i="4"/>
  <c r="C668" i="4"/>
  <c r="B668" i="4"/>
  <c r="A668" i="4"/>
  <c r="G667" i="4"/>
  <c r="F667" i="4"/>
  <c r="E667" i="4"/>
  <c r="D667" i="4"/>
  <c r="C667" i="4"/>
  <c r="B667" i="4"/>
  <c r="A667" i="4"/>
  <c r="G666" i="4"/>
  <c r="F666" i="4"/>
  <c r="E666" i="4"/>
  <c r="D666" i="4"/>
  <c r="C666" i="4"/>
  <c r="B666" i="4"/>
  <c r="A666" i="4"/>
  <c r="G665" i="4"/>
  <c r="F665" i="4"/>
  <c r="E665" i="4"/>
  <c r="D665" i="4"/>
  <c r="C665" i="4"/>
  <c r="B665" i="4"/>
  <c r="A665" i="4"/>
  <c r="G664" i="4"/>
  <c r="F664" i="4"/>
  <c r="E664" i="4"/>
  <c r="D664" i="4"/>
  <c r="C664" i="4"/>
  <c r="B664" i="4"/>
  <c r="A664" i="4"/>
  <c r="G663" i="4"/>
  <c r="F663" i="4"/>
  <c r="E663" i="4"/>
  <c r="D663" i="4"/>
  <c r="C663" i="4"/>
  <c r="B663" i="4"/>
  <c r="A663" i="4"/>
  <c r="G662" i="4"/>
  <c r="F662" i="4"/>
  <c r="E662" i="4"/>
  <c r="D662" i="4"/>
  <c r="C662" i="4"/>
  <c r="B662" i="4"/>
  <c r="A662" i="4"/>
  <c r="G661" i="4"/>
  <c r="F661" i="4"/>
  <c r="E661" i="4"/>
  <c r="D661" i="4"/>
  <c r="C661" i="4"/>
  <c r="B661" i="4"/>
  <c r="A661" i="4"/>
  <c r="G660" i="4"/>
  <c r="F660" i="4"/>
  <c r="E660" i="4"/>
  <c r="D660" i="4"/>
  <c r="C660" i="4"/>
  <c r="B660" i="4"/>
  <c r="A660" i="4"/>
  <c r="G659" i="4"/>
  <c r="F659" i="4"/>
  <c r="E659" i="4"/>
  <c r="D659" i="4"/>
  <c r="C659" i="4"/>
  <c r="B659" i="4"/>
  <c r="A659" i="4"/>
  <c r="G658" i="4"/>
  <c r="F658" i="4"/>
  <c r="E658" i="4"/>
  <c r="D658" i="4"/>
  <c r="C658" i="4"/>
  <c r="B658" i="4"/>
  <c r="A658" i="4"/>
  <c r="G657" i="4"/>
  <c r="F657" i="4"/>
  <c r="E657" i="4"/>
  <c r="D657" i="4"/>
  <c r="C657" i="4"/>
  <c r="B657" i="4"/>
  <c r="A657" i="4"/>
  <c r="G656" i="4"/>
  <c r="F656" i="4"/>
  <c r="E656" i="4"/>
  <c r="D656" i="4"/>
  <c r="C656" i="4"/>
  <c r="B656" i="4"/>
  <c r="A656" i="4"/>
  <c r="G655" i="4"/>
  <c r="F655" i="4"/>
  <c r="E655" i="4"/>
  <c r="D655" i="4"/>
  <c r="C655" i="4"/>
  <c r="B655" i="4"/>
  <c r="A655" i="4"/>
  <c r="G654" i="4"/>
  <c r="F654" i="4"/>
  <c r="E654" i="4"/>
  <c r="D654" i="4"/>
  <c r="C654" i="4"/>
  <c r="B654" i="4"/>
  <c r="A654" i="4"/>
  <c r="G653" i="4"/>
  <c r="F653" i="4"/>
  <c r="E653" i="4"/>
  <c r="D653" i="4"/>
  <c r="C653" i="4"/>
  <c r="B653" i="4"/>
  <c r="A653" i="4"/>
  <c r="G652" i="4"/>
  <c r="F652" i="4"/>
  <c r="E652" i="4"/>
  <c r="D652" i="4"/>
  <c r="C652" i="4"/>
  <c r="B652" i="4"/>
  <c r="A652" i="4"/>
  <c r="G651" i="4"/>
  <c r="F651" i="4"/>
  <c r="E651" i="4"/>
  <c r="D651" i="4"/>
  <c r="C651" i="4"/>
  <c r="B651" i="4"/>
  <c r="A651" i="4"/>
  <c r="G650" i="4"/>
  <c r="F650" i="4"/>
  <c r="E650" i="4"/>
  <c r="D650" i="4"/>
  <c r="C650" i="4"/>
  <c r="B650" i="4"/>
  <c r="A650" i="4"/>
  <c r="G649" i="4"/>
  <c r="F649" i="4"/>
  <c r="E649" i="4"/>
  <c r="D649" i="4"/>
  <c r="C649" i="4"/>
  <c r="B649" i="4"/>
  <c r="A649" i="4"/>
  <c r="G648" i="4"/>
  <c r="F648" i="4"/>
  <c r="E648" i="4"/>
  <c r="D648" i="4"/>
  <c r="C648" i="4"/>
  <c r="B648" i="4"/>
  <c r="A648" i="4"/>
  <c r="G647" i="4"/>
  <c r="F647" i="4"/>
  <c r="E647" i="4"/>
  <c r="D647" i="4"/>
  <c r="C647" i="4"/>
  <c r="B647" i="4"/>
  <c r="A647" i="4"/>
  <c r="G646" i="4"/>
  <c r="F646" i="4"/>
  <c r="E646" i="4"/>
  <c r="D646" i="4"/>
  <c r="C646" i="4"/>
  <c r="B646" i="4"/>
  <c r="A646" i="4"/>
  <c r="G645" i="4"/>
  <c r="F645" i="4"/>
  <c r="E645" i="4"/>
  <c r="D645" i="4"/>
  <c r="C645" i="4"/>
  <c r="B645" i="4"/>
  <c r="A645" i="4"/>
  <c r="G644" i="4"/>
  <c r="F644" i="4"/>
  <c r="E644" i="4"/>
  <c r="D644" i="4"/>
  <c r="C644" i="4"/>
  <c r="B644" i="4"/>
  <c r="A644" i="4"/>
  <c r="G643" i="4"/>
  <c r="F643" i="4"/>
  <c r="E643" i="4"/>
  <c r="D643" i="4"/>
  <c r="C643" i="4"/>
  <c r="B643" i="4"/>
  <c r="A643" i="4"/>
  <c r="G642" i="4"/>
  <c r="F642" i="4"/>
  <c r="E642" i="4"/>
  <c r="D642" i="4"/>
  <c r="C642" i="4"/>
  <c r="B642" i="4"/>
  <c r="A642" i="4"/>
  <c r="G641" i="4"/>
  <c r="F641" i="4"/>
  <c r="E641" i="4"/>
  <c r="D641" i="4"/>
  <c r="C641" i="4"/>
  <c r="B641" i="4"/>
  <c r="A641" i="4"/>
  <c r="G640" i="4"/>
  <c r="F640" i="4"/>
  <c r="E640" i="4"/>
  <c r="D640" i="4"/>
  <c r="C640" i="4"/>
  <c r="B640" i="4"/>
  <c r="A640" i="4"/>
  <c r="G639" i="4"/>
  <c r="F639" i="4"/>
  <c r="E639" i="4"/>
  <c r="D639" i="4"/>
  <c r="C639" i="4"/>
  <c r="B639" i="4"/>
  <c r="A639" i="4"/>
  <c r="G638" i="4"/>
  <c r="F638" i="4"/>
  <c r="E638" i="4"/>
  <c r="D638" i="4"/>
  <c r="C638" i="4"/>
  <c r="B638" i="4"/>
  <c r="A638" i="4"/>
  <c r="G637" i="4"/>
  <c r="F637" i="4"/>
  <c r="E637" i="4"/>
  <c r="D637" i="4"/>
  <c r="C637" i="4"/>
  <c r="B637" i="4"/>
  <c r="A637" i="4"/>
  <c r="G636" i="4"/>
  <c r="F636" i="4"/>
  <c r="E636" i="4"/>
  <c r="D636" i="4"/>
  <c r="C636" i="4"/>
  <c r="B636" i="4"/>
  <c r="A636" i="4"/>
  <c r="G635" i="4"/>
  <c r="F635" i="4"/>
  <c r="E635" i="4"/>
  <c r="D635" i="4"/>
  <c r="C635" i="4"/>
  <c r="B635" i="4"/>
  <c r="A635" i="4"/>
  <c r="G634" i="4"/>
  <c r="F634" i="4"/>
  <c r="E634" i="4"/>
  <c r="D634" i="4"/>
  <c r="C634" i="4"/>
  <c r="B634" i="4"/>
  <c r="A634" i="4"/>
  <c r="G633" i="4"/>
  <c r="F633" i="4"/>
  <c r="E633" i="4"/>
  <c r="D633" i="4"/>
  <c r="C633" i="4"/>
  <c r="B633" i="4"/>
  <c r="A633" i="4"/>
  <c r="G632" i="4"/>
  <c r="F632" i="4"/>
  <c r="E632" i="4"/>
  <c r="D632" i="4"/>
  <c r="C632" i="4"/>
  <c r="B632" i="4"/>
  <c r="A632" i="4"/>
  <c r="G631" i="4"/>
  <c r="F631" i="4"/>
  <c r="E631" i="4"/>
  <c r="D631" i="4"/>
  <c r="C631" i="4"/>
  <c r="B631" i="4"/>
  <c r="A631" i="4"/>
  <c r="G630" i="4"/>
  <c r="F630" i="4"/>
  <c r="E630" i="4"/>
  <c r="D630" i="4"/>
  <c r="C630" i="4"/>
  <c r="B630" i="4"/>
  <c r="A630" i="4"/>
  <c r="G629" i="4"/>
  <c r="F629" i="4"/>
  <c r="E629" i="4"/>
  <c r="D629" i="4"/>
  <c r="C629" i="4"/>
  <c r="B629" i="4"/>
  <c r="A629" i="4"/>
  <c r="G628" i="4"/>
  <c r="F628" i="4"/>
  <c r="E628" i="4"/>
  <c r="D628" i="4"/>
  <c r="C628" i="4"/>
  <c r="B628" i="4"/>
  <c r="A628" i="4"/>
  <c r="G627" i="4"/>
  <c r="F627" i="4"/>
  <c r="E627" i="4"/>
  <c r="D627" i="4"/>
  <c r="C627" i="4"/>
  <c r="B627" i="4"/>
  <c r="A627" i="4"/>
  <c r="G626" i="4"/>
  <c r="F626" i="4"/>
  <c r="E626" i="4"/>
  <c r="D626" i="4"/>
  <c r="C626" i="4"/>
  <c r="B626" i="4"/>
  <c r="A626" i="4"/>
  <c r="G625" i="4"/>
  <c r="F625" i="4"/>
  <c r="E625" i="4"/>
  <c r="D625" i="4"/>
  <c r="C625" i="4"/>
  <c r="B625" i="4"/>
  <c r="A625" i="4"/>
  <c r="G624" i="4"/>
  <c r="F624" i="4"/>
  <c r="E624" i="4"/>
  <c r="D624" i="4"/>
  <c r="C624" i="4"/>
  <c r="B624" i="4"/>
  <c r="A624" i="4"/>
  <c r="G623" i="4"/>
  <c r="F623" i="4"/>
  <c r="E623" i="4"/>
  <c r="D623" i="4"/>
  <c r="C623" i="4"/>
  <c r="B623" i="4"/>
  <c r="A623" i="4"/>
  <c r="G622" i="4"/>
  <c r="F622" i="4"/>
  <c r="E622" i="4"/>
  <c r="D622" i="4"/>
  <c r="C622" i="4"/>
  <c r="B622" i="4"/>
  <c r="A622" i="4"/>
  <c r="G621" i="4"/>
  <c r="F621" i="4"/>
  <c r="E621" i="4"/>
  <c r="D621" i="4"/>
  <c r="C621" i="4"/>
  <c r="B621" i="4"/>
  <c r="A621" i="4"/>
  <c r="G620" i="4"/>
  <c r="F620" i="4"/>
  <c r="E620" i="4"/>
  <c r="D620" i="4"/>
  <c r="C620" i="4"/>
  <c r="B620" i="4"/>
  <c r="A620" i="4"/>
  <c r="G619" i="4"/>
  <c r="F619" i="4"/>
  <c r="E619" i="4"/>
  <c r="D619" i="4"/>
  <c r="C619" i="4"/>
  <c r="B619" i="4"/>
  <c r="A619" i="4"/>
  <c r="G618" i="4"/>
  <c r="F618" i="4"/>
  <c r="E618" i="4"/>
  <c r="D618" i="4"/>
  <c r="C618" i="4"/>
  <c r="B618" i="4"/>
  <c r="A618" i="4"/>
  <c r="G617" i="4"/>
  <c r="F617" i="4"/>
  <c r="E617" i="4"/>
  <c r="D617" i="4"/>
  <c r="C617" i="4"/>
  <c r="B617" i="4"/>
  <c r="A617" i="4"/>
  <c r="G616" i="4"/>
  <c r="F616" i="4"/>
  <c r="E616" i="4"/>
  <c r="D616" i="4"/>
  <c r="C616" i="4"/>
  <c r="B616" i="4"/>
  <c r="A616" i="4"/>
  <c r="G615" i="4"/>
  <c r="F615" i="4"/>
  <c r="E615" i="4"/>
  <c r="D615" i="4"/>
  <c r="C615" i="4"/>
  <c r="B615" i="4"/>
  <c r="A615" i="4"/>
  <c r="G614" i="4"/>
  <c r="F614" i="4"/>
  <c r="E614" i="4"/>
  <c r="D614" i="4"/>
  <c r="C614" i="4"/>
  <c r="B614" i="4"/>
  <c r="A614" i="4"/>
  <c r="G613" i="4"/>
  <c r="F613" i="4"/>
  <c r="E613" i="4"/>
  <c r="D613" i="4"/>
  <c r="C613" i="4"/>
  <c r="B613" i="4"/>
  <c r="A613" i="4"/>
  <c r="G612" i="4"/>
  <c r="F612" i="4"/>
  <c r="E612" i="4"/>
  <c r="D612" i="4"/>
  <c r="C612" i="4"/>
  <c r="B612" i="4"/>
  <c r="A612" i="4"/>
  <c r="G611" i="4"/>
  <c r="F611" i="4"/>
  <c r="E611" i="4"/>
  <c r="D611" i="4"/>
  <c r="C611" i="4"/>
  <c r="B611" i="4"/>
  <c r="A611" i="4"/>
  <c r="G610" i="4"/>
  <c r="F610" i="4"/>
  <c r="E610" i="4"/>
  <c r="D610" i="4"/>
  <c r="C610" i="4"/>
  <c r="B610" i="4"/>
  <c r="A610" i="4"/>
  <c r="G609" i="4"/>
  <c r="F609" i="4"/>
  <c r="E609" i="4"/>
  <c r="D609" i="4"/>
  <c r="C609" i="4"/>
  <c r="B609" i="4"/>
  <c r="A609" i="4"/>
  <c r="G608" i="4"/>
  <c r="F608" i="4"/>
  <c r="E608" i="4"/>
  <c r="D608" i="4"/>
  <c r="C608" i="4"/>
  <c r="B608" i="4"/>
  <c r="A608" i="4"/>
  <c r="G607" i="4"/>
  <c r="F607" i="4"/>
  <c r="E607" i="4"/>
  <c r="D607" i="4"/>
  <c r="C607" i="4"/>
  <c r="B607" i="4"/>
  <c r="A607" i="4"/>
  <c r="G606" i="4"/>
  <c r="F606" i="4"/>
  <c r="E606" i="4"/>
  <c r="D606" i="4"/>
  <c r="C606" i="4"/>
  <c r="B606" i="4"/>
  <c r="A606" i="4"/>
  <c r="G605" i="4"/>
  <c r="F605" i="4"/>
  <c r="E605" i="4"/>
  <c r="D605" i="4"/>
  <c r="C605" i="4"/>
  <c r="B605" i="4"/>
  <c r="A605" i="4"/>
  <c r="G604" i="4"/>
  <c r="F604" i="4"/>
  <c r="E604" i="4"/>
  <c r="D604" i="4"/>
  <c r="C604" i="4"/>
  <c r="B604" i="4"/>
  <c r="A604" i="4"/>
  <c r="G603" i="4"/>
  <c r="F603" i="4"/>
  <c r="E603" i="4"/>
  <c r="D603" i="4"/>
  <c r="C603" i="4"/>
  <c r="B603" i="4"/>
  <c r="A603" i="4"/>
  <c r="G602" i="4"/>
  <c r="F602" i="4"/>
  <c r="E602" i="4"/>
  <c r="D602" i="4"/>
  <c r="C602" i="4"/>
  <c r="B602" i="4"/>
  <c r="A602" i="4"/>
  <c r="G601" i="4"/>
  <c r="F601" i="4"/>
  <c r="E601" i="4"/>
  <c r="D601" i="4"/>
  <c r="C601" i="4"/>
  <c r="B601" i="4"/>
  <c r="A601" i="4"/>
  <c r="G600" i="4"/>
  <c r="F600" i="4"/>
  <c r="E600" i="4"/>
  <c r="D600" i="4"/>
  <c r="C600" i="4"/>
  <c r="B600" i="4"/>
  <c r="A600" i="4"/>
  <c r="G599" i="4"/>
  <c r="F599" i="4"/>
  <c r="E599" i="4"/>
  <c r="D599" i="4"/>
  <c r="C599" i="4"/>
  <c r="B599" i="4"/>
  <c r="A599" i="4"/>
  <c r="G598" i="4"/>
  <c r="F598" i="4"/>
  <c r="E598" i="4"/>
  <c r="D598" i="4"/>
  <c r="C598" i="4"/>
  <c r="B598" i="4"/>
  <c r="A598" i="4"/>
  <c r="G597" i="4"/>
  <c r="F597" i="4"/>
  <c r="E597" i="4"/>
  <c r="D597" i="4"/>
  <c r="C597" i="4"/>
  <c r="B597" i="4"/>
  <c r="A597" i="4"/>
  <c r="G596" i="4"/>
  <c r="F596" i="4"/>
  <c r="E596" i="4"/>
  <c r="D596" i="4"/>
  <c r="C596" i="4"/>
  <c r="B596" i="4"/>
  <c r="A596" i="4"/>
  <c r="G595" i="4"/>
  <c r="F595" i="4"/>
  <c r="E595" i="4"/>
  <c r="D595" i="4"/>
  <c r="C595" i="4"/>
  <c r="B595" i="4"/>
  <c r="A595" i="4"/>
  <c r="G594" i="4"/>
  <c r="F594" i="4"/>
  <c r="E594" i="4"/>
  <c r="D594" i="4"/>
  <c r="C594" i="4"/>
  <c r="B594" i="4"/>
  <c r="A594" i="4"/>
  <c r="G593" i="4"/>
  <c r="F593" i="4"/>
  <c r="E593" i="4"/>
  <c r="D593" i="4"/>
  <c r="C593" i="4"/>
  <c r="B593" i="4"/>
  <c r="A593" i="4"/>
  <c r="G592" i="4"/>
  <c r="F592" i="4"/>
  <c r="E592" i="4"/>
  <c r="D592" i="4"/>
  <c r="C592" i="4"/>
  <c r="B592" i="4"/>
  <c r="A592" i="4"/>
  <c r="G591" i="4"/>
  <c r="F591" i="4"/>
  <c r="E591" i="4"/>
  <c r="D591" i="4"/>
  <c r="C591" i="4"/>
  <c r="B591" i="4"/>
  <c r="A591" i="4"/>
  <c r="G590" i="4"/>
  <c r="F590" i="4"/>
  <c r="E590" i="4"/>
  <c r="D590" i="4"/>
  <c r="C590" i="4"/>
  <c r="B590" i="4"/>
  <c r="A590" i="4"/>
  <c r="G589" i="4"/>
  <c r="F589" i="4"/>
  <c r="E589" i="4"/>
  <c r="D589" i="4"/>
  <c r="C589" i="4"/>
  <c r="B589" i="4"/>
  <c r="A589" i="4"/>
  <c r="G588" i="4"/>
  <c r="F588" i="4"/>
  <c r="E588" i="4"/>
  <c r="D588" i="4"/>
  <c r="C588" i="4"/>
  <c r="B588" i="4"/>
  <c r="A588" i="4"/>
  <c r="G587" i="4"/>
  <c r="F587" i="4"/>
  <c r="E587" i="4"/>
  <c r="D587" i="4"/>
  <c r="C587" i="4"/>
  <c r="B587" i="4"/>
  <c r="A587" i="4"/>
  <c r="G586" i="4"/>
  <c r="F586" i="4"/>
  <c r="E586" i="4"/>
  <c r="D586" i="4"/>
  <c r="C586" i="4"/>
  <c r="B586" i="4"/>
  <c r="A586" i="4"/>
  <c r="G585" i="4"/>
  <c r="F585" i="4"/>
  <c r="E585" i="4"/>
  <c r="D585" i="4"/>
  <c r="C585" i="4"/>
  <c r="B585" i="4"/>
  <c r="A585" i="4"/>
  <c r="G584" i="4"/>
  <c r="F584" i="4"/>
  <c r="E584" i="4"/>
  <c r="D584" i="4"/>
  <c r="C584" i="4"/>
  <c r="B584" i="4"/>
  <c r="A584" i="4"/>
  <c r="G583" i="4"/>
  <c r="F583" i="4"/>
  <c r="E583" i="4"/>
  <c r="D583" i="4"/>
  <c r="C583" i="4"/>
  <c r="B583" i="4"/>
  <c r="A583" i="4"/>
  <c r="G582" i="4"/>
  <c r="F582" i="4"/>
  <c r="E582" i="4"/>
  <c r="D582" i="4"/>
  <c r="C582" i="4"/>
  <c r="B582" i="4"/>
  <c r="A582" i="4"/>
  <c r="G581" i="4"/>
  <c r="F581" i="4"/>
  <c r="E581" i="4"/>
  <c r="D581" i="4"/>
  <c r="C581" i="4"/>
  <c r="B581" i="4"/>
  <c r="A581" i="4"/>
  <c r="G580" i="4"/>
  <c r="F580" i="4"/>
  <c r="E580" i="4"/>
  <c r="D580" i="4"/>
  <c r="C580" i="4"/>
  <c r="B580" i="4"/>
  <c r="A580" i="4"/>
  <c r="G579" i="4"/>
  <c r="F579" i="4"/>
  <c r="E579" i="4"/>
  <c r="D579" i="4"/>
  <c r="C579" i="4"/>
  <c r="B579" i="4"/>
  <c r="A579" i="4"/>
  <c r="G578" i="4"/>
  <c r="F578" i="4"/>
  <c r="E578" i="4"/>
  <c r="D578" i="4"/>
  <c r="C578" i="4"/>
  <c r="B578" i="4"/>
  <c r="A578" i="4"/>
  <c r="G577" i="4"/>
  <c r="F577" i="4"/>
  <c r="E577" i="4"/>
  <c r="D577" i="4"/>
  <c r="C577" i="4"/>
  <c r="B577" i="4"/>
  <c r="A577" i="4"/>
  <c r="G576" i="4"/>
  <c r="F576" i="4"/>
  <c r="E576" i="4"/>
  <c r="D576" i="4"/>
  <c r="C576" i="4"/>
  <c r="B576" i="4"/>
  <c r="A576" i="4"/>
  <c r="G575" i="4"/>
  <c r="F575" i="4"/>
  <c r="E575" i="4"/>
  <c r="D575" i="4"/>
  <c r="C575" i="4"/>
  <c r="B575" i="4"/>
  <c r="A575" i="4"/>
  <c r="G574" i="4"/>
  <c r="F574" i="4"/>
  <c r="E574" i="4"/>
  <c r="D574" i="4"/>
  <c r="C574" i="4"/>
  <c r="B574" i="4"/>
  <c r="A574" i="4"/>
  <c r="G573" i="4"/>
  <c r="F573" i="4"/>
  <c r="E573" i="4"/>
  <c r="D573" i="4"/>
  <c r="C573" i="4"/>
  <c r="B573" i="4"/>
  <c r="A573" i="4"/>
  <c r="G572" i="4"/>
  <c r="F572" i="4"/>
  <c r="E572" i="4"/>
  <c r="D572" i="4"/>
  <c r="C572" i="4"/>
  <c r="B572" i="4"/>
  <c r="A572" i="4"/>
  <c r="G571" i="4"/>
  <c r="F571" i="4"/>
  <c r="E571" i="4"/>
  <c r="D571" i="4"/>
  <c r="C571" i="4"/>
  <c r="B571" i="4"/>
  <c r="A571" i="4"/>
  <c r="G570" i="4"/>
  <c r="F570" i="4"/>
  <c r="E570" i="4"/>
  <c r="D570" i="4"/>
  <c r="C570" i="4"/>
  <c r="B570" i="4"/>
  <c r="A570" i="4"/>
  <c r="G569" i="4"/>
  <c r="F569" i="4"/>
  <c r="E569" i="4"/>
  <c r="D569" i="4"/>
  <c r="C569" i="4"/>
  <c r="B569" i="4"/>
  <c r="A569" i="4"/>
  <c r="G568" i="4"/>
  <c r="F568" i="4"/>
  <c r="E568" i="4"/>
  <c r="D568" i="4"/>
  <c r="C568" i="4"/>
  <c r="B568" i="4"/>
  <c r="A568" i="4"/>
  <c r="G567" i="4"/>
  <c r="F567" i="4"/>
  <c r="E567" i="4"/>
  <c r="D567" i="4"/>
  <c r="C567" i="4"/>
  <c r="B567" i="4"/>
  <c r="A567" i="4"/>
  <c r="G566" i="4"/>
  <c r="F566" i="4"/>
  <c r="E566" i="4"/>
  <c r="D566" i="4"/>
  <c r="C566" i="4"/>
  <c r="B566" i="4"/>
  <c r="A566" i="4"/>
  <c r="G565" i="4"/>
  <c r="F565" i="4"/>
  <c r="E565" i="4"/>
  <c r="D565" i="4"/>
  <c r="C565" i="4"/>
  <c r="B565" i="4"/>
  <c r="A565" i="4"/>
  <c r="G564" i="4"/>
  <c r="F564" i="4"/>
  <c r="E564" i="4"/>
  <c r="D564" i="4"/>
  <c r="C564" i="4"/>
  <c r="B564" i="4"/>
  <c r="A564" i="4"/>
  <c r="G563" i="4"/>
  <c r="F563" i="4"/>
  <c r="E563" i="4"/>
  <c r="D563" i="4"/>
  <c r="C563" i="4"/>
  <c r="B563" i="4"/>
  <c r="A563" i="4"/>
  <c r="G562" i="4"/>
  <c r="F562" i="4"/>
  <c r="E562" i="4"/>
  <c r="D562" i="4"/>
  <c r="C562" i="4"/>
  <c r="B562" i="4"/>
  <c r="A562" i="4"/>
  <c r="G561" i="4"/>
  <c r="F561" i="4"/>
  <c r="E561" i="4"/>
  <c r="D561" i="4"/>
  <c r="C561" i="4"/>
  <c r="B561" i="4"/>
  <c r="A561" i="4"/>
  <c r="G560" i="4"/>
  <c r="F560" i="4"/>
  <c r="E560" i="4"/>
  <c r="D560" i="4"/>
  <c r="C560" i="4"/>
  <c r="B560" i="4"/>
  <c r="A560" i="4"/>
  <c r="G559" i="4"/>
  <c r="F559" i="4"/>
  <c r="E559" i="4"/>
  <c r="D559" i="4"/>
  <c r="C559" i="4"/>
  <c r="B559" i="4"/>
  <c r="A559" i="4"/>
  <c r="G558" i="4"/>
  <c r="F558" i="4"/>
  <c r="E558" i="4"/>
  <c r="D558" i="4"/>
  <c r="C558" i="4"/>
  <c r="B558" i="4"/>
  <c r="A558" i="4"/>
  <c r="G557" i="4"/>
  <c r="F557" i="4"/>
  <c r="E557" i="4"/>
  <c r="D557" i="4"/>
  <c r="C557" i="4"/>
  <c r="B557" i="4"/>
  <c r="A557" i="4"/>
  <c r="G556" i="4"/>
  <c r="F556" i="4"/>
  <c r="E556" i="4"/>
  <c r="D556" i="4"/>
  <c r="C556" i="4"/>
  <c r="B556" i="4"/>
  <c r="A556" i="4"/>
  <c r="G555" i="4"/>
  <c r="F555" i="4"/>
  <c r="E555" i="4"/>
  <c r="D555" i="4"/>
  <c r="C555" i="4"/>
  <c r="B555" i="4"/>
  <c r="A555" i="4"/>
  <c r="G554" i="4"/>
  <c r="F554" i="4"/>
  <c r="E554" i="4"/>
  <c r="D554" i="4"/>
  <c r="C554" i="4"/>
  <c r="B554" i="4"/>
  <c r="A554" i="4"/>
  <c r="G553" i="4"/>
  <c r="F553" i="4"/>
  <c r="E553" i="4"/>
  <c r="D553" i="4"/>
  <c r="C553" i="4"/>
  <c r="B553" i="4"/>
  <c r="A553" i="4"/>
  <c r="G552" i="4"/>
  <c r="F552" i="4"/>
  <c r="E552" i="4"/>
  <c r="D552" i="4"/>
  <c r="C552" i="4"/>
  <c r="B552" i="4"/>
  <c r="A552" i="4"/>
  <c r="G551" i="4"/>
  <c r="F551" i="4"/>
  <c r="E551" i="4"/>
  <c r="D551" i="4"/>
  <c r="C551" i="4"/>
  <c r="B551" i="4"/>
  <c r="A551" i="4"/>
  <c r="G550" i="4"/>
  <c r="F550" i="4"/>
  <c r="E550" i="4"/>
  <c r="D550" i="4"/>
  <c r="C550" i="4"/>
  <c r="B550" i="4"/>
  <c r="A550" i="4"/>
  <c r="G549" i="4"/>
  <c r="F549" i="4"/>
  <c r="E549" i="4"/>
  <c r="D549" i="4"/>
  <c r="C549" i="4"/>
  <c r="B549" i="4"/>
  <c r="A549" i="4"/>
  <c r="G548" i="4"/>
  <c r="F548" i="4"/>
  <c r="E548" i="4"/>
  <c r="D548" i="4"/>
  <c r="C548" i="4"/>
  <c r="B548" i="4"/>
  <c r="A548" i="4"/>
  <c r="G547" i="4"/>
  <c r="F547" i="4"/>
  <c r="E547" i="4"/>
  <c r="D547" i="4"/>
  <c r="C547" i="4"/>
  <c r="B547" i="4"/>
  <c r="A547" i="4"/>
  <c r="G546" i="4"/>
  <c r="F546" i="4"/>
  <c r="E546" i="4"/>
  <c r="D546" i="4"/>
  <c r="C546" i="4"/>
  <c r="B546" i="4"/>
  <c r="A546" i="4"/>
  <c r="G545" i="4"/>
  <c r="F545" i="4"/>
  <c r="E545" i="4"/>
  <c r="D545" i="4"/>
  <c r="C545" i="4"/>
  <c r="B545" i="4"/>
  <c r="A545" i="4"/>
  <c r="G544" i="4"/>
  <c r="F544" i="4"/>
  <c r="E544" i="4"/>
  <c r="D544" i="4"/>
  <c r="C544" i="4"/>
  <c r="B544" i="4"/>
  <c r="A544" i="4"/>
  <c r="G543" i="4"/>
  <c r="F543" i="4"/>
  <c r="E543" i="4"/>
  <c r="D543" i="4"/>
  <c r="C543" i="4"/>
  <c r="B543" i="4"/>
  <c r="A543" i="4"/>
  <c r="G542" i="4"/>
  <c r="F542" i="4"/>
  <c r="E542" i="4"/>
  <c r="D542" i="4"/>
  <c r="C542" i="4"/>
  <c r="B542" i="4"/>
  <c r="A542" i="4"/>
  <c r="G541" i="4"/>
  <c r="F541" i="4"/>
  <c r="E541" i="4"/>
  <c r="D541" i="4"/>
  <c r="C541" i="4"/>
  <c r="B541" i="4"/>
  <c r="A541" i="4"/>
  <c r="G540" i="4"/>
  <c r="F540" i="4"/>
  <c r="E540" i="4"/>
  <c r="D540" i="4"/>
  <c r="C540" i="4"/>
  <c r="B540" i="4"/>
  <c r="A540" i="4"/>
  <c r="G539" i="4"/>
  <c r="F539" i="4"/>
  <c r="E539" i="4"/>
  <c r="D539" i="4"/>
  <c r="C539" i="4"/>
  <c r="B539" i="4"/>
  <c r="A539" i="4"/>
  <c r="G538" i="4"/>
  <c r="F538" i="4"/>
  <c r="E538" i="4"/>
  <c r="D538" i="4"/>
  <c r="C538" i="4"/>
  <c r="B538" i="4"/>
  <c r="A538" i="4"/>
  <c r="G537" i="4"/>
  <c r="F537" i="4"/>
  <c r="E537" i="4"/>
  <c r="D537" i="4"/>
  <c r="C537" i="4"/>
  <c r="B537" i="4"/>
  <c r="A537" i="4"/>
  <c r="G536" i="4"/>
  <c r="F536" i="4"/>
  <c r="E536" i="4"/>
  <c r="D536" i="4"/>
  <c r="C536" i="4"/>
  <c r="B536" i="4"/>
  <c r="A536" i="4"/>
  <c r="G535" i="4"/>
  <c r="F535" i="4"/>
  <c r="E535" i="4"/>
  <c r="D535" i="4"/>
  <c r="C535" i="4"/>
  <c r="B535" i="4"/>
  <c r="A535" i="4"/>
  <c r="G534" i="4"/>
  <c r="F534" i="4"/>
  <c r="E534" i="4"/>
  <c r="D534" i="4"/>
  <c r="C534" i="4"/>
  <c r="B534" i="4"/>
  <c r="A534" i="4"/>
  <c r="G533" i="4"/>
  <c r="F533" i="4"/>
  <c r="E533" i="4"/>
  <c r="D533" i="4"/>
  <c r="C533" i="4"/>
  <c r="B533" i="4"/>
  <c r="A533" i="4"/>
  <c r="G532" i="4"/>
  <c r="F532" i="4"/>
  <c r="E532" i="4"/>
  <c r="D532" i="4"/>
  <c r="C532" i="4"/>
  <c r="B532" i="4"/>
  <c r="A532" i="4"/>
  <c r="G531" i="4"/>
  <c r="F531" i="4"/>
  <c r="E531" i="4"/>
  <c r="D531" i="4"/>
  <c r="C531" i="4"/>
  <c r="B531" i="4"/>
  <c r="A531" i="4"/>
  <c r="G530" i="4"/>
  <c r="F530" i="4"/>
  <c r="E530" i="4"/>
  <c r="D530" i="4"/>
  <c r="C530" i="4"/>
  <c r="B530" i="4"/>
  <c r="A530" i="4"/>
  <c r="G529" i="4"/>
  <c r="F529" i="4"/>
  <c r="E529" i="4"/>
  <c r="D529" i="4"/>
  <c r="C529" i="4"/>
  <c r="B529" i="4"/>
  <c r="A529" i="4"/>
  <c r="G528" i="4"/>
  <c r="F528" i="4"/>
  <c r="E528" i="4"/>
  <c r="D528" i="4"/>
  <c r="C528" i="4"/>
  <c r="B528" i="4"/>
  <c r="A528" i="4"/>
  <c r="G527" i="4"/>
  <c r="F527" i="4"/>
  <c r="E527" i="4"/>
  <c r="D527" i="4"/>
  <c r="C527" i="4"/>
  <c r="B527" i="4"/>
  <c r="A527" i="4"/>
  <c r="G526" i="4"/>
  <c r="F526" i="4"/>
  <c r="E526" i="4"/>
  <c r="D526" i="4"/>
  <c r="C526" i="4"/>
  <c r="B526" i="4"/>
  <c r="A526" i="4"/>
  <c r="G525" i="4"/>
  <c r="F525" i="4"/>
  <c r="E525" i="4"/>
  <c r="D525" i="4"/>
  <c r="C525" i="4"/>
  <c r="B525" i="4"/>
  <c r="A525" i="4"/>
  <c r="G524" i="4"/>
  <c r="F524" i="4"/>
  <c r="E524" i="4"/>
  <c r="D524" i="4"/>
  <c r="C524" i="4"/>
  <c r="B524" i="4"/>
  <c r="A524" i="4"/>
  <c r="G523" i="4"/>
  <c r="F523" i="4"/>
  <c r="E523" i="4"/>
  <c r="D523" i="4"/>
  <c r="C523" i="4"/>
  <c r="B523" i="4"/>
  <c r="A523" i="4"/>
  <c r="G522" i="4"/>
  <c r="F522" i="4"/>
  <c r="E522" i="4"/>
  <c r="D522" i="4"/>
  <c r="C522" i="4"/>
  <c r="B522" i="4"/>
  <c r="A522" i="4"/>
  <c r="G521" i="4"/>
  <c r="F521" i="4"/>
  <c r="E521" i="4"/>
  <c r="D521" i="4"/>
  <c r="C521" i="4"/>
  <c r="B521" i="4"/>
  <c r="A521" i="4"/>
  <c r="G520" i="4"/>
  <c r="F520" i="4"/>
  <c r="E520" i="4"/>
  <c r="D520" i="4"/>
  <c r="C520" i="4"/>
  <c r="B520" i="4"/>
  <c r="A520" i="4"/>
  <c r="G519" i="4"/>
  <c r="F519" i="4"/>
  <c r="E519" i="4"/>
  <c r="D519" i="4"/>
  <c r="C519" i="4"/>
  <c r="B519" i="4"/>
  <c r="A519" i="4"/>
  <c r="G518" i="4"/>
  <c r="F518" i="4"/>
  <c r="E518" i="4"/>
  <c r="D518" i="4"/>
  <c r="C518" i="4"/>
  <c r="B518" i="4"/>
  <c r="A518" i="4"/>
  <c r="G517" i="4"/>
  <c r="F517" i="4"/>
  <c r="E517" i="4"/>
  <c r="D517" i="4"/>
  <c r="C517" i="4"/>
  <c r="B517" i="4"/>
  <c r="A517" i="4"/>
  <c r="G516" i="4"/>
  <c r="F516" i="4"/>
  <c r="E516" i="4"/>
  <c r="D516" i="4"/>
  <c r="C516" i="4"/>
  <c r="B516" i="4"/>
  <c r="A516" i="4"/>
  <c r="G515" i="4"/>
  <c r="F515" i="4"/>
  <c r="E515" i="4"/>
  <c r="D515" i="4"/>
  <c r="C515" i="4"/>
  <c r="B515" i="4"/>
  <c r="A515" i="4"/>
  <c r="G514" i="4"/>
  <c r="F514" i="4"/>
  <c r="E514" i="4"/>
  <c r="D514" i="4"/>
  <c r="C514" i="4"/>
  <c r="B514" i="4"/>
  <c r="A514" i="4"/>
  <c r="G513" i="4"/>
  <c r="F513" i="4"/>
  <c r="E513" i="4"/>
  <c r="D513" i="4"/>
  <c r="C513" i="4"/>
  <c r="B513" i="4"/>
  <c r="A513" i="4"/>
  <c r="G512" i="4"/>
  <c r="F512" i="4"/>
  <c r="E512" i="4"/>
  <c r="D512" i="4"/>
  <c r="C512" i="4"/>
  <c r="B512" i="4"/>
  <c r="A512" i="4"/>
  <c r="G511" i="4"/>
  <c r="F511" i="4"/>
  <c r="E511" i="4"/>
  <c r="D511" i="4"/>
  <c r="C511" i="4"/>
  <c r="B511" i="4"/>
  <c r="A511" i="4"/>
  <c r="G510" i="4"/>
  <c r="F510" i="4"/>
  <c r="E510" i="4"/>
  <c r="D510" i="4"/>
  <c r="C510" i="4"/>
  <c r="B510" i="4"/>
  <c r="A510" i="4"/>
  <c r="G509" i="4"/>
  <c r="F509" i="4"/>
  <c r="E509" i="4"/>
  <c r="D509" i="4"/>
  <c r="C509" i="4"/>
  <c r="B509" i="4"/>
  <c r="A509" i="4"/>
  <c r="G508" i="4"/>
  <c r="F508" i="4"/>
  <c r="E508" i="4"/>
  <c r="D508" i="4"/>
  <c r="C508" i="4"/>
  <c r="B508" i="4"/>
  <c r="A508" i="4"/>
  <c r="G507" i="4"/>
  <c r="F507" i="4"/>
  <c r="E507" i="4"/>
  <c r="D507" i="4"/>
  <c r="C507" i="4"/>
  <c r="B507" i="4"/>
  <c r="A507" i="4"/>
  <c r="G506" i="4"/>
  <c r="F506" i="4"/>
  <c r="E506" i="4"/>
  <c r="D506" i="4"/>
  <c r="C506" i="4"/>
  <c r="B506" i="4"/>
  <c r="A506" i="4"/>
  <c r="G505" i="4"/>
  <c r="F505" i="4"/>
  <c r="E505" i="4"/>
  <c r="D505" i="4"/>
  <c r="C505" i="4"/>
  <c r="B505" i="4"/>
  <c r="A505" i="4"/>
  <c r="G504" i="4"/>
  <c r="F504" i="4"/>
  <c r="E504" i="4"/>
  <c r="D504" i="4"/>
  <c r="C504" i="4"/>
  <c r="B504" i="4"/>
  <c r="A504" i="4"/>
  <c r="G503" i="4"/>
  <c r="F503" i="4"/>
  <c r="E503" i="4"/>
  <c r="D503" i="4"/>
  <c r="C503" i="4"/>
  <c r="B503" i="4"/>
  <c r="A503" i="4"/>
  <c r="G502" i="4"/>
  <c r="F502" i="4"/>
  <c r="E502" i="4"/>
  <c r="D502" i="4"/>
  <c r="C502" i="4"/>
  <c r="B502" i="4"/>
  <c r="A502" i="4"/>
  <c r="G501" i="4"/>
  <c r="F501" i="4"/>
  <c r="E501" i="4"/>
  <c r="D501" i="4"/>
  <c r="C501" i="4"/>
  <c r="B501" i="4"/>
  <c r="A501" i="4"/>
  <c r="G500" i="4"/>
  <c r="F500" i="4"/>
  <c r="E500" i="4"/>
  <c r="D500" i="4"/>
  <c r="C500" i="4"/>
  <c r="B500" i="4"/>
  <c r="A500" i="4"/>
  <c r="G499" i="4"/>
  <c r="F499" i="4"/>
  <c r="E499" i="4"/>
  <c r="D499" i="4"/>
  <c r="C499" i="4"/>
  <c r="B499" i="4"/>
  <c r="A499" i="4"/>
  <c r="G498" i="4"/>
  <c r="F498" i="4"/>
  <c r="E498" i="4"/>
  <c r="D498" i="4"/>
  <c r="C498" i="4"/>
  <c r="B498" i="4"/>
  <c r="A498" i="4"/>
  <c r="G497" i="4"/>
  <c r="F497" i="4"/>
  <c r="E497" i="4"/>
  <c r="D497" i="4"/>
  <c r="C497" i="4"/>
  <c r="B497" i="4"/>
  <c r="A497" i="4"/>
  <c r="G496" i="4"/>
  <c r="F496" i="4"/>
  <c r="E496" i="4"/>
  <c r="D496" i="4"/>
  <c r="C496" i="4"/>
  <c r="B496" i="4"/>
  <c r="A496" i="4"/>
  <c r="G495" i="4"/>
  <c r="F495" i="4"/>
  <c r="E495" i="4"/>
  <c r="D495" i="4"/>
  <c r="C495" i="4"/>
  <c r="B495" i="4"/>
  <c r="A495" i="4"/>
  <c r="G494" i="4"/>
  <c r="F494" i="4"/>
  <c r="E494" i="4"/>
  <c r="D494" i="4"/>
  <c r="C494" i="4"/>
  <c r="B494" i="4"/>
  <c r="A494" i="4"/>
  <c r="G493" i="4"/>
  <c r="F493" i="4"/>
  <c r="E493" i="4"/>
  <c r="D493" i="4"/>
  <c r="C493" i="4"/>
  <c r="B493" i="4"/>
  <c r="A493" i="4"/>
  <c r="G492" i="4"/>
  <c r="F492" i="4"/>
  <c r="E492" i="4"/>
  <c r="D492" i="4"/>
  <c r="C492" i="4"/>
  <c r="B492" i="4"/>
  <c r="A492" i="4"/>
  <c r="G491" i="4"/>
  <c r="F491" i="4"/>
  <c r="E491" i="4"/>
  <c r="D491" i="4"/>
  <c r="C491" i="4"/>
  <c r="B491" i="4"/>
  <c r="A491" i="4"/>
  <c r="G490" i="4"/>
  <c r="F490" i="4"/>
  <c r="E490" i="4"/>
  <c r="D490" i="4"/>
  <c r="C490" i="4"/>
  <c r="B490" i="4"/>
  <c r="A490" i="4"/>
  <c r="G489" i="4"/>
  <c r="F489" i="4"/>
  <c r="E489" i="4"/>
  <c r="D489" i="4"/>
  <c r="C489" i="4"/>
  <c r="B489" i="4"/>
  <c r="A489" i="4"/>
  <c r="G488" i="4"/>
  <c r="F488" i="4"/>
  <c r="E488" i="4"/>
  <c r="D488" i="4"/>
  <c r="C488" i="4"/>
  <c r="B488" i="4"/>
  <c r="A488" i="4"/>
  <c r="G487" i="4"/>
  <c r="F487" i="4"/>
  <c r="E487" i="4"/>
  <c r="D487" i="4"/>
  <c r="C487" i="4"/>
  <c r="B487" i="4"/>
  <c r="A487" i="4"/>
  <c r="G486" i="4"/>
  <c r="F486" i="4"/>
  <c r="E486" i="4"/>
  <c r="D486" i="4"/>
  <c r="C486" i="4"/>
  <c r="B486" i="4"/>
  <c r="A486" i="4"/>
  <c r="G485" i="4"/>
  <c r="F485" i="4"/>
  <c r="E485" i="4"/>
  <c r="D485" i="4"/>
  <c r="C485" i="4"/>
  <c r="B485" i="4"/>
  <c r="A485" i="4"/>
  <c r="G484" i="4"/>
  <c r="F484" i="4"/>
  <c r="E484" i="4"/>
  <c r="D484" i="4"/>
  <c r="C484" i="4"/>
  <c r="B484" i="4"/>
  <c r="A484" i="4"/>
  <c r="G483" i="4"/>
  <c r="F483" i="4"/>
  <c r="E483" i="4"/>
  <c r="D483" i="4"/>
  <c r="C483" i="4"/>
  <c r="B483" i="4"/>
  <c r="A483" i="4"/>
  <c r="G482" i="4"/>
  <c r="F482" i="4"/>
  <c r="E482" i="4"/>
  <c r="D482" i="4"/>
  <c r="C482" i="4"/>
  <c r="B482" i="4"/>
  <c r="A482" i="4"/>
  <c r="G481" i="4"/>
  <c r="F481" i="4"/>
  <c r="E481" i="4"/>
  <c r="D481" i="4"/>
  <c r="C481" i="4"/>
  <c r="B481" i="4"/>
  <c r="A481" i="4"/>
  <c r="G480" i="4"/>
  <c r="F480" i="4"/>
  <c r="E480" i="4"/>
  <c r="D480" i="4"/>
  <c r="C480" i="4"/>
  <c r="B480" i="4"/>
  <c r="A480" i="4"/>
  <c r="G479" i="4"/>
  <c r="F479" i="4"/>
  <c r="E479" i="4"/>
  <c r="D479" i="4"/>
  <c r="C479" i="4"/>
  <c r="B479" i="4"/>
  <c r="A479" i="4"/>
  <c r="G478" i="4"/>
  <c r="F478" i="4"/>
  <c r="E478" i="4"/>
  <c r="D478" i="4"/>
  <c r="C478" i="4"/>
  <c r="B478" i="4"/>
  <c r="A478" i="4"/>
  <c r="G477" i="4"/>
  <c r="F477" i="4"/>
  <c r="E477" i="4"/>
  <c r="D477" i="4"/>
  <c r="C477" i="4"/>
  <c r="B477" i="4"/>
  <c r="A477" i="4"/>
  <c r="G476" i="4"/>
  <c r="F476" i="4"/>
  <c r="E476" i="4"/>
  <c r="D476" i="4"/>
  <c r="C476" i="4"/>
  <c r="B476" i="4"/>
  <c r="A476" i="4"/>
  <c r="G475" i="4"/>
  <c r="F475" i="4"/>
  <c r="E475" i="4"/>
  <c r="D475" i="4"/>
  <c r="C475" i="4"/>
  <c r="B475" i="4"/>
  <c r="A475" i="4"/>
  <c r="G474" i="4"/>
  <c r="F474" i="4"/>
  <c r="E474" i="4"/>
  <c r="D474" i="4"/>
  <c r="C474" i="4"/>
  <c r="B474" i="4"/>
  <c r="A474" i="4"/>
  <c r="G473" i="4"/>
  <c r="F473" i="4"/>
  <c r="E473" i="4"/>
  <c r="D473" i="4"/>
  <c r="C473" i="4"/>
  <c r="B473" i="4"/>
  <c r="A473" i="4"/>
  <c r="G472" i="4"/>
  <c r="F472" i="4"/>
  <c r="E472" i="4"/>
  <c r="D472" i="4"/>
  <c r="C472" i="4"/>
  <c r="B472" i="4"/>
  <c r="A472" i="4"/>
  <c r="G471" i="4"/>
  <c r="F471" i="4"/>
  <c r="E471" i="4"/>
  <c r="D471" i="4"/>
  <c r="C471" i="4"/>
  <c r="B471" i="4"/>
  <c r="A471" i="4"/>
  <c r="G470" i="4"/>
  <c r="F470" i="4"/>
  <c r="E470" i="4"/>
  <c r="D470" i="4"/>
  <c r="C470" i="4"/>
  <c r="B470" i="4"/>
  <c r="A470" i="4"/>
  <c r="G469" i="4"/>
  <c r="F469" i="4"/>
  <c r="E469" i="4"/>
  <c r="D469" i="4"/>
  <c r="C469" i="4"/>
  <c r="B469" i="4"/>
  <c r="A469" i="4"/>
  <c r="G468" i="4"/>
  <c r="F468" i="4"/>
  <c r="E468" i="4"/>
  <c r="D468" i="4"/>
  <c r="C468" i="4"/>
  <c r="B468" i="4"/>
  <c r="A468" i="4"/>
  <c r="G467" i="4"/>
  <c r="F467" i="4"/>
  <c r="E467" i="4"/>
  <c r="D467" i="4"/>
  <c r="C467" i="4"/>
  <c r="B467" i="4"/>
  <c r="A467" i="4"/>
  <c r="G466" i="4"/>
  <c r="F466" i="4"/>
  <c r="E466" i="4"/>
  <c r="D466" i="4"/>
  <c r="C466" i="4"/>
  <c r="B466" i="4"/>
  <c r="A466" i="4"/>
  <c r="G465" i="4"/>
  <c r="F465" i="4"/>
  <c r="E465" i="4"/>
  <c r="D465" i="4"/>
  <c r="C465" i="4"/>
  <c r="B465" i="4"/>
  <c r="A465" i="4"/>
  <c r="G464" i="4"/>
  <c r="F464" i="4"/>
  <c r="E464" i="4"/>
  <c r="D464" i="4"/>
  <c r="C464" i="4"/>
  <c r="B464" i="4"/>
  <c r="A464" i="4"/>
  <c r="G463" i="4"/>
  <c r="F463" i="4"/>
  <c r="E463" i="4"/>
  <c r="D463" i="4"/>
  <c r="C463" i="4"/>
  <c r="B463" i="4"/>
  <c r="A463" i="4"/>
  <c r="G462" i="4"/>
  <c r="F462" i="4"/>
  <c r="E462" i="4"/>
  <c r="D462" i="4"/>
  <c r="C462" i="4"/>
  <c r="B462" i="4"/>
  <c r="A462" i="4"/>
  <c r="G461" i="4"/>
  <c r="F461" i="4"/>
  <c r="E461" i="4"/>
  <c r="D461" i="4"/>
  <c r="C461" i="4"/>
  <c r="B461" i="4"/>
  <c r="A461" i="4"/>
  <c r="G460" i="4"/>
  <c r="F460" i="4"/>
  <c r="E460" i="4"/>
  <c r="D460" i="4"/>
  <c r="C460" i="4"/>
  <c r="B460" i="4"/>
  <c r="A460" i="4"/>
  <c r="G459" i="4"/>
  <c r="F459" i="4"/>
  <c r="E459" i="4"/>
  <c r="D459" i="4"/>
  <c r="C459" i="4"/>
  <c r="B459" i="4"/>
  <c r="A459" i="4"/>
  <c r="G458" i="4"/>
  <c r="F458" i="4"/>
  <c r="E458" i="4"/>
  <c r="D458" i="4"/>
  <c r="C458" i="4"/>
  <c r="B458" i="4"/>
  <c r="A458" i="4"/>
  <c r="G457" i="4"/>
  <c r="F457" i="4"/>
  <c r="E457" i="4"/>
  <c r="D457" i="4"/>
  <c r="C457" i="4"/>
  <c r="B457" i="4"/>
  <c r="A457" i="4"/>
  <c r="G456" i="4"/>
  <c r="F456" i="4"/>
  <c r="E456" i="4"/>
  <c r="D456" i="4"/>
  <c r="C456" i="4"/>
  <c r="B456" i="4"/>
  <c r="A456" i="4"/>
  <c r="G455" i="4"/>
  <c r="F455" i="4"/>
  <c r="E455" i="4"/>
  <c r="D455" i="4"/>
  <c r="C455" i="4"/>
  <c r="B455" i="4"/>
  <c r="A455" i="4"/>
  <c r="G454" i="4"/>
  <c r="F454" i="4"/>
  <c r="E454" i="4"/>
  <c r="D454" i="4"/>
  <c r="C454" i="4"/>
  <c r="B454" i="4"/>
  <c r="A454" i="4"/>
  <c r="G453" i="4"/>
  <c r="F453" i="4"/>
  <c r="E453" i="4"/>
  <c r="D453" i="4"/>
  <c r="C453" i="4"/>
  <c r="B453" i="4"/>
  <c r="A453" i="4"/>
  <c r="G452" i="4"/>
  <c r="F452" i="4"/>
  <c r="E452" i="4"/>
  <c r="D452" i="4"/>
  <c r="C452" i="4"/>
  <c r="B452" i="4"/>
  <c r="A452" i="4"/>
  <c r="G451" i="4"/>
  <c r="F451" i="4"/>
  <c r="E451" i="4"/>
  <c r="D451" i="4"/>
  <c r="C451" i="4"/>
  <c r="B451" i="4"/>
  <c r="A451" i="4"/>
  <c r="G450" i="4"/>
  <c r="F450" i="4"/>
  <c r="E450" i="4"/>
  <c r="D450" i="4"/>
  <c r="C450" i="4"/>
  <c r="B450" i="4"/>
  <c r="A450" i="4"/>
  <c r="G449" i="4"/>
  <c r="F449" i="4"/>
  <c r="E449" i="4"/>
  <c r="D449" i="4"/>
  <c r="C449" i="4"/>
  <c r="B449" i="4"/>
  <c r="A449" i="4"/>
  <c r="G448" i="4"/>
  <c r="F448" i="4"/>
  <c r="E448" i="4"/>
  <c r="D448" i="4"/>
  <c r="C448" i="4"/>
  <c r="B448" i="4"/>
  <c r="A448" i="4"/>
  <c r="G447" i="4"/>
  <c r="F447" i="4"/>
  <c r="E447" i="4"/>
  <c r="D447" i="4"/>
  <c r="C447" i="4"/>
  <c r="B447" i="4"/>
  <c r="A447" i="4"/>
  <c r="G446" i="4"/>
  <c r="F446" i="4"/>
  <c r="E446" i="4"/>
  <c r="D446" i="4"/>
  <c r="C446" i="4"/>
  <c r="B446" i="4"/>
  <c r="A446" i="4"/>
  <c r="G445" i="4"/>
  <c r="F445" i="4"/>
  <c r="E445" i="4"/>
  <c r="D445" i="4"/>
  <c r="C445" i="4"/>
  <c r="B445" i="4"/>
  <c r="A445" i="4"/>
  <c r="G444" i="4"/>
  <c r="F444" i="4"/>
  <c r="E444" i="4"/>
  <c r="D444" i="4"/>
  <c r="C444" i="4"/>
  <c r="B444" i="4"/>
  <c r="A444" i="4"/>
  <c r="G443" i="4"/>
  <c r="F443" i="4"/>
  <c r="E443" i="4"/>
  <c r="D443" i="4"/>
  <c r="C443" i="4"/>
  <c r="B443" i="4"/>
  <c r="A443" i="4"/>
  <c r="G442" i="4"/>
  <c r="F442" i="4"/>
  <c r="E442" i="4"/>
  <c r="D442" i="4"/>
  <c r="C442" i="4"/>
  <c r="B442" i="4"/>
  <c r="A442" i="4"/>
  <c r="G441" i="4"/>
  <c r="F441" i="4"/>
  <c r="E441" i="4"/>
  <c r="D441" i="4"/>
  <c r="C441" i="4"/>
  <c r="B441" i="4"/>
  <c r="A441" i="4"/>
  <c r="G440" i="4"/>
  <c r="F440" i="4"/>
  <c r="E440" i="4"/>
  <c r="D440" i="4"/>
  <c r="C440" i="4"/>
  <c r="B440" i="4"/>
  <c r="A440" i="4"/>
  <c r="G439" i="4"/>
  <c r="F439" i="4"/>
  <c r="E439" i="4"/>
  <c r="D439" i="4"/>
  <c r="C439" i="4"/>
  <c r="B439" i="4"/>
  <c r="A439" i="4"/>
  <c r="G438" i="4"/>
  <c r="F438" i="4"/>
  <c r="E438" i="4"/>
  <c r="D438" i="4"/>
  <c r="C438" i="4"/>
  <c r="B438" i="4"/>
  <c r="A438" i="4"/>
  <c r="G437" i="4"/>
  <c r="F437" i="4"/>
  <c r="E437" i="4"/>
  <c r="D437" i="4"/>
  <c r="C437" i="4"/>
  <c r="B437" i="4"/>
  <c r="A437" i="4"/>
  <c r="G436" i="4"/>
  <c r="F436" i="4"/>
  <c r="E436" i="4"/>
  <c r="D436" i="4"/>
  <c r="C436" i="4"/>
  <c r="B436" i="4"/>
  <c r="A436" i="4"/>
  <c r="G435" i="4"/>
  <c r="F435" i="4"/>
  <c r="E435" i="4"/>
  <c r="D435" i="4"/>
  <c r="C435" i="4"/>
  <c r="B435" i="4"/>
  <c r="A435" i="4"/>
  <c r="G434" i="4"/>
  <c r="F434" i="4"/>
  <c r="E434" i="4"/>
  <c r="D434" i="4"/>
  <c r="C434" i="4"/>
  <c r="B434" i="4"/>
  <c r="A434" i="4"/>
  <c r="G433" i="4"/>
  <c r="F433" i="4"/>
  <c r="E433" i="4"/>
  <c r="D433" i="4"/>
  <c r="C433" i="4"/>
  <c r="B433" i="4"/>
  <c r="A433" i="4"/>
  <c r="G432" i="4"/>
  <c r="F432" i="4"/>
  <c r="E432" i="4"/>
  <c r="D432" i="4"/>
  <c r="C432" i="4"/>
  <c r="B432" i="4"/>
  <c r="A432" i="4"/>
  <c r="G431" i="4"/>
  <c r="F431" i="4"/>
  <c r="E431" i="4"/>
  <c r="D431" i="4"/>
  <c r="C431" i="4"/>
  <c r="B431" i="4"/>
  <c r="A431" i="4"/>
  <c r="G430" i="4"/>
  <c r="F430" i="4"/>
  <c r="E430" i="4"/>
  <c r="D430" i="4"/>
  <c r="C430" i="4"/>
  <c r="B430" i="4"/>
  <c r="A430" i="4"/>
  <c r="G429" i="4"/>
  <c r="F429" i="4"/>
  <c r="E429" i="4"/>
  <c r="D429" i="4"/>
  <c r="C429" i="4"/>
  <c r="B429" i="4"/>
  <c r="A429" i="4"/>
  <c r="G428" i="4"/>
  <c r="F428" i="4"/>
  <c r="E428" i="4"/>
  <c r="D428" i="4"/>
  <c r="C428" i="4"/>
  <c r="B428" i="4"/>
  <c r="A428" i="4"/>
  <c r="G427" i="4"/>
  <c r="F427" i="4"/>
  <c r="E427" i="4"/>
  <c r="D427" i="4"/>
  <c r="C427" i="4"/>
  <c r="B427" i="4"/>
  <c r="A427" i="4"/>
  <c r="G426" i="4"/>
  <c r="F426" i="4"/>
  <c r="E426" i="4"/>
  <c r="D426" i="4"/>
  <c r="C426" i="4"/>
  <c r="B426" i="4"/>
  <c r="A426" i="4"/>
  <c r="G425" i="4"/>
  <c r="F425" i="4"/>
  <c r="E425" i="4"/>
  <c r="D425" i="4"/>
  <c r="C425" i="4"/>
  <c r="B425" i="4"/>
  <c r="A425" i="4"/>
  <c r="G424" i="4"/>
  <c r="F424" i="4"/>
  <c r="E424" i="4"/>
  <c r="D424" i="4"/>
  <c r="C424" i="4"/>
  <c r="B424" i="4"/>
  <c r="A424" i="4"/>
  <c r="G423" i="4"/>
  <c r="F423" i="4"/>
  <c r="E423" i="4"/>
  <c r="D423" i="4"/>
  <c r="C423" i="4"/>
  <c r="B423" i="4"/>
  <c r="A423" i="4"/>
  <c r="G422" i="4"/>
  <c r="F422" i="4"/>
  <c r="E422" i="4"/>
  <c r="D422" i="4"/>
  <c r="C422" i="4"/>
  <c r="B422" i="4"/>
  <c r="A422" i="4"/>
  <c r="G421" i="4"/>
  <c r="F421" i="4"/>
  <c r="E421" i="4"/>
  <c r="D421" i="4"/>
  <c r="C421" i="4"/>
  <c r="B421" i="4"/>
  <c r="A421" i="4"/>
  <c r="G420" i="4"/>
  <c r="F420" i="4"/>
  <c r="E420" i="4"/>
  <c r="D420" i="4"/>
  <c r="C420" i="4"/>
  <c r="B420" i="4"/>
  <c r="A420" i="4"/>
  <c r="G419" i="4"/>
  <c r="F419" i="4"/>
  <c r="E419" i="4"/>
  <c r="D419" i="4"/>
  <c r="C419" i="4"/>
  <c r="B419" i="4"/>
  <c r="A419" i="4"/>
  <c r="G418" i="4"/>
  <c r="F418" i="4"/>
  <c r="E418" i="4"/>
  <c r="D418" i="4"/>
  <c r="C418" i="4"/>
  <c r="B418" i="4"/>
  <c r="A418" i="4"/>
  <c r="G417" i="4"/>
  <c r="F417" i="4"/>
  <c r="E417" i="4"/>
  <c r="D417" i="4"/>
  <c r="C417" i="4"/>
  <c r="B417" i="4"/>
  <c r="A417" i="4"/>
  <c r="G416" i="4"/>
  <c r="F416" i="4"/>
  <c r="E416" i="4"/>
  <c r="D416" i="4"/>
  <c r="C416" i="4"/>
  <c r="B416" i="4"/>
  <c r="A416" i="4"/>
  <c r="G415" i="4"/>
  <c r="F415" i="4"/>
  <c r="E415" i="4"/>
  <c r="D415" i="4"/>
  <c r="C415" i="4"/>
  <c r="B415" i="4"/>
  <c r="A415" i="4"/>
  <c r="G414" i="4"/>
  <c r="F414" i="4"/>
  <c r="E414" i="4"/>
  <c r="D414" i="4"/>
  <c r="C414" i="4"/>
  <c r="B414" i="4"/>
  <c r="A414" i="4"/>
  <c r="G413" i="4"/>
  <c r="F413" i="4"/>
  <c r="E413" i="4"/>
  <c r="D413" i="4"/>
  <c r="C413" i="4"/>
  <c r="B413" i="4"/>
  <c r="A413" i="4"/>
  <c r="G412" i="4"/>
  <c r="F412" i="4"/>
  <c r="E412" i="4"/>
  <c r="D412" i="4"/>
  <c r="C412" i="4"/>
  <c r="B412" i="4"/>
  <c r="A412" i="4"/>
  <c r="G411" i="4"/>
  <c r="F411" i="4"/>
  <c r="E411" i="4"/>
  <c r="D411" i="4"/>
  <c r="C411" i="4"/>
  <c r="B411" i="4"/>
  <c r="A411" i="4"/>
  <c r="G410" i="4"/>
  <c r="F410" i="4"/>
  <c r="E410" i="4"/>
  <c r="D410" i="4"/>
  <c r="C410" i="4"/>
  <c r="B410" i="4"/>
  <c r="A410" i="4"/>
  <c r="G409" i="4"/>
  <c r="F409" i="4"/>
  <c r="E409" i="4"/>
  <c r="D409" i="4"/>
  <c r="C409" i="4"/>
  <c r="B409" i="4"/>
  <c r="A409" i="4"/>
  <c r="G408" i="4"/>
  <c r="F408" i="4"/>
  <c r="E408" i="4"/>
  <c r="D408" i="4"/>
  <c r="C408" i="4"/>
  <c r="B408" i="4"/>
  <c r="A408" i="4"/>
  <c r="G407" i="4"/>
  <c r="F407" i="4"/>
  <c r="E407" i="4"/>
  <c r="D407" i="4"/>
  <c r="C407" i="4"/>
  <c r="B407" i="4"/>
  <c r="A407" i="4"/>
  <c r="G406" i="4"/>
  <c r="F406" i="4"/>
  <c r="E406" i="4"/>
  <c r="D406" i="4"/>
  <c r="C406" i="4"/>
  <c r="B406" i="4"/>
  <c r="A406" i="4"/>
  <c r="G405" i="4"/>
  <c r="F405" i="4"/>
  <c r="E405" i="4"/>
  <c r="D405" i="4"/>
  <c r="C405" i="4"/>
  <c r="B405" i="4"/>
  <c r="A405" i="4"/>
  <c r="G404" i="4"/>
  <c r="F404" i="4"/>
  <c r="E404" i="4"/>
  <c r="D404" i="4"/>
  <c r="C404" i="4"/>
  <c r="B404" i="4"/>
  <c r="A404" i="4"/>
  <c r="G403" i="4"/>
  <c r="F403" i="4"/>
  <c r="E403" i="4"/>
  <c r="D403" i="4"/>
  <c r="C403" i="4"/>
  <c r="B403" i="4"/>
  <c r="A403" i="4"/>
  <c r="G402" i="4"/>
  <c r="F402" i="4"/>
  <c r="E402" i="4"/>
  <c r="D402" i="4"/>
  <c r="C402" i="4"/>
  <c r="B402" i="4"/>
  <c r="A402" i="4"/>
  <c r="G401" i="4"/>
  <c r="F401" i="4"/>
  <c r="E401" i="4"/>
  <c r="D401" i="4"/>
  <c r="C401" i="4"/>
  <c r="B401" i="4"/>
  <c r="A401" i="4"/>
  <c r="G400" i="4"/>
  <c r="F400" i="4"/>
  <c r="E400" i="4"/>
  <c r="D400" i="4"/>
  <c r="C400" i="4"/>
  <c r="B400" i="4"/>
  <c r="A400" i="4"/>
  <c r="G399" i="4"/>
  <c r="F399" i="4"/>
  <c r="E399" i="4"/>
  <c r="D399" i="4"/>
  <c r="C399" i="4"/>
  <c r="B399" i="4"/>
  <c r="A399" i="4"/>
  <c r="G398" i="4"/>
  <c r="F398" i="4"/>
  <c r="E398" i="4"/>
  <c r="D398" i="4"/>
  <c r="C398" i="4"/>
  <c r="B398" i="4"/>
  <c r="A398" i="4"/>
  <c r="G397" i="4"/>
  <c r="F397" i="4"/>
  <c r="E397" i="4"/>
  <c r="D397" i="4"/>
  <c r="C397" i="4"/>
  <c r="B397" i="4"/>
  <c r="A397" i="4"/>
  <c r="G396" i="4"/>
  <c r="F396" i="4"/>
  <c r="E396" i="4"/>
  <c r="D396" i="4"/>
  <c r="C396" i="4"/>
  <c r="B396" i="4"/>
  <c r="A396" i="4"/>
  <c r="G395" i="4"/>
  <c r="F395" i="4"/>
  <c r="E395" i="4"/>
  <c r="D395" i="4"/>
  <c r="C395" i="4"/>
  <c r="B395" i="4"/>
  <c r="A395" i="4"/>
  <c r="G394" i="4"/>
  <c r="F394" i="4"/>
  <c r="E394" i="4"/>
  <c r="D394" i="4"/>
  <c r="C394" i="4"/>
  <c r="B394" i="4"/>
  <c r="A394" i="4"/>
  <c r="G393" i="4"/>
  <c r="F393" i="4"/>
  <c r="E393" i="4"/>
  <c r="D393" i="4"/>
  <c r="C393" i="4"/>
  <c r="B393" i="4"/>
  <c r="A393" i="4"/>
  <c r="G392" i="4"/>
  <c r="F392" i="4"/>
  <c r="E392" i="4"/>
  <c r="D392" i="4"/>
  <c r="C392" i="4"/>
  <c r="B392" i="4"/>
  <c r="A392" i="4"/>
  <c r="G391" i="4"/>
  <c r="F391" i="4"/>
  <c r="E391" i="4"/>
  <c r="D391" i="4"/>
  <c r="C391" i="4"/>
  <c r="B391" i="4"/>
  <c r="A391" i="4"/>
  <c r="G390" i="4"/>
  <c r="F390" i="4"/>
  <c r="E390" i="4"/>
  <c r="D390" i="4"/>
  <c r="C390" i="4"/>
  <c r="B390" i="4"/>
  <c r="A390" i="4"/>
  <c r="G389" i="4"/>
  <c r="F389" i="4"/>
  <c r="E389" i="4"/>
  <c r="D389" i="4"/>
  <c r="C389" i="4"/>
  <c r="B389" i="4"/>
  <c r="A389" i="4"/>
  <c r="G388" i="4"/>
  <c r="F388" i="4"/>
  <c r="E388" i="4"/>
  <c r="D388" i="4"/>
  <c r="C388" i="4"/>
  <c r="B388" i="4"/>
  <c r="A388" i="4"/>
  <c r="G387" i="4"/>
  <c r="F387" i="4"/>
  <c r="E387" i="4"/>
  <c r="D387" i="4"/>
  <c r="C387" i="4"/>
  <c r="B387" i="4"/>
  <c r="A387" i="4"/>
  <c r="G386" i="4"/>
  <c r="F386" i="4"/>
  <c r="E386" i="4"/>
  <c r="D386" i="4"/>
  <c r="C386" i="4"/>
  <c r="B386" i="4"/>
  <c r="A386" i="4"/>
  <c r="G385" i="4"/>
  <c r="F385" i="4"/>
  <c r="E385" i="4"/>
  <c r="D385" i="4"/>
  <c r="C385" i="4"/>
  <c r="B385" i="4"/>
  <c r="A385" i="4"/>
  <c r="G384" i="4"/>
  <c r="F384" i="4"/>
  <c r="E384" i="4"/>
  <c r="D384" i="4"/>
  <c r="C384" i="4"/>
  <c r="B384" i="4"/>
  <c r="A384" i="4"/>
  <c r="G383" i="4"/>
  <c r="F383" i="4"/>
  <c r="E383" i="4"/>
  <c r="D383" i="4"/>
  <c r="C383" i="4"/>
  <c r="B383" i="4"/>
  <c r="A383" i="4"/>
  <c r="G382" i="4"/>
  <c r="F382" i="4"/>
  <c r="E382" i="4"/>
  <c r="D382" i="4"/>
  <c r="C382" i="4"/>
  <c r="B382" i="4"/>
  <c r="A382" i="4"/>
  <c r="G381" i="4"/>
  <c r="F381" i="4"/>
  <c r="E381" i="4"/>
  <c r="D381" i="4"/>
  <c r="C381" i="4"/>
  <c r="B381" i="4"/>
  <c r="A381" i="4"/>
  <c r="G380" i="4"/>
  <c r="F380" i="4"/>
  <c r="E380" i="4"/>
  <c r="D380" i="4"/>
  <c r="C380" i="4"/>
  <c r="B380" i="4"/>
  <c r="A380" i="4"/>
  <c r="G379" i="4"/>
  <c r="F379" i="4"/>
  <c r="E379" i="4"/>
  <c r="D379" i="4"/>
  <c r="C379" i="4"/>
  <c r="B379" i="4"/>
  <c r="A379" i="4"/>
  <c r="G378" i="4"/>
  <c r="F378" i="4"/>
  <c r="E378" i="4"/>
  <c r="D378" i="4"/>
  <c r="C378" i="4"/>
  <c r="B378" i="4"/>
  <c r="A378" i="4"/>
  <c r="G377" i="4"/>
  <c r="F377" i="4"/>
  <c r="E377" i="4"/>
  <c r="D377" i="4"/>
  <c r="C377" i="4"/>
  <c r="B377" i="4"/>
  <c r="A377" i="4"/>
  <c r="G376" i="4"/>
  <c r="F376" i="4"/>
  <c r="E376" i="4"/>
  <c r="D376" i="4"/>
  <c r="C376" i="4"/>
  <c r="B376" i="4"/>
  <c r="A376" i="4"/>
  <c r="G375" i="4"/>
  <c r="F375" i="4"/>
  <c r="E375" i="4"/>
  <c r="D375" i="4"/>
  <c r="C375" i="4"/>
  <c r="B375" i="4"/>
  <c r="A375" i="4"/>
  <c r="G374" i="4"/>
  <c r="F374" i="4"/>
  <c r="E374" i="4"/>
  <c r="D374" i="4"/>
  <c r="C374" i="4"/>
  <c r="B374" i="4"/>
  <c r="A374" i="4"/>
  <c r="G373" i="4"/>
  <c r="F373" i="4"/>
  <c r="E373" i="4"/>
  <c r="D373" i="4"/>
  <c r="C373" i="4"/>
  <c r="B373" i="4"/>
  <c r="A373" i="4"/>
  <c r="G372" i="4"/>
  <c r="F372" i="4"/>
  <c r="E372" i="4"/>
  <c r="D372" i="4"/>
  <c r="C372" i="4"/>
  <c r="B372" i="4"/>
  <c r="A372" i="4"/>
  <c r="G371" i="4"/>
  <c r="F371" i="4"/>
  <c r="E371" i="4"/>
  <c r="D371" i="4"/>
  <c r="C371" i="4"/>
  <c r="B371" i="4"/>
  <c r="A371" i="4"/>
  <c r="G370" i="4"/>
  <c r="F370" i="4"/>
  <c r="E370" i="4"/>
  <c r="D370" i="4"/>
  <c r="C370" i="4"/>
  <c r="B370" i="4"/>
  <c r="A370" i="4"/>
  <c r="G369" i="4"/>
  <c r="F369" i="4"/>
  <c r="E369" i="4"/>
  <c r="D369" i="4"/>
  <c r="C369" i="4"/>
  <c r="B369" i="4"/>
  <c r="A369" i="4"/>
  <c r="G368" i="4"/>
  <c r="F368" i="4"/>
  <c r="E368" i="4"/>
  <c r="D368" i="4"/>
  <c r="C368" i="4"/>
  <c r="B368" i="4"/>
  <c r="A368" i="4"/>
  <c r="G367" i="4"/>
  <c r="F367" i="4"/>
  <c r="E367" i="4"/>
  <c r="D367" i="4"/>
  <c r="C367" i="4"/>
  <c r="B367" i="4"/>
  <c r="A367" i="4"/>
  <c r="G366" i="4"/>
  <c r="F366" i="4"/>
  <c r="E366" i="4"/>
  <c r="D366" i="4"/>
  <c r="C366" i="4"/>
  <c r="B366" i="4"/>
  <c r="A366" i="4"/>
  <c r="G365" i="4"/>
  <c r="F365" i="4"/>
  <c r="E365" i="4"/>
  <c r="D365" i="4"/>
  <c r="C365" i="4"/>
  <c r="B365" i="4"/>
  <c r="A365" i="4"/>
  <c r="G364" i="4"/>
  <c r="F364" i="4"/>
  <c r="E364" i="4"/>
  <c r="D364" i="4"/>
  <c r="C364" i="4"/>
  <c r="B364" i="4"/>
  <c r="A364" i="4"/>
  <c r="G363" i="4"/>
  <c r="F363" i="4"/>
  <c r="E363" i="4"/>
  <c r="D363" i="4"/>
  <c r="C363" i="4"/>
  <c r="B363" i="4"/>
  <c r="A363" i="4"/>
  <c r="G362" i="4"/>
  <c r="F362" i="4"/>
  <c r="E362" i="4"/>
  <c r="D362" i="4"/>
  <c r="C362" i="4"/>
  <c r="B362" i="4"/>
  <c r="A362" i="4"/>
  <c r="G361" i="4"/>
  <c r="F361" i="4"/>
  <c r="E361" i="4"/>
  <c r="D361" i="4"/>
  <c r="C361" i="4"/>
  <c r="B361" i="4"/>
  <c r="A361" i="4"/>
  <c r="G360" i="4"/>
  <c r="F360" i="4"/>
  <c r="E360" i="4"/>
  <c r="D360" i="4"/>
  <c r="C360" i="4"/>
  <c r="B360" i="4"/>
  <c r="A360" i="4"/>
  <c r="G359" i="4"/>
  <c r="F359" i="4"/>
  <c r="E359" i="4"/>
  <c r="D359" i="4"/>
  <c r="C359" i="4"/>
  <c r="B359" i="4"/>
  <c r="A359" i="4"/>
  <c r="G358" i="4"/>
  <c r="F358" i="4"/>
  <c r="E358" i="4"/>
  <c r="D358" i="4"/>
  <c r="C358" i="4"/>
  <c r="B358" i="4"/>
  <c r="A358" i="4"/>
  <c r="G357" i="4"/>
  <c r="F357" i="4"/>
  <c r="E357" i="4"/>
  <c r="D357" i="4"/>
  <c r="C357" i="4"/>
  <c r="B357" i="4"/>
  <c r="A357" i="4"/>
  <c r="G356" i="4"/>
  <c r="F356" i="4"/>
  <c r="E356" i="4"/>
  <c r="D356" i="4"/>
  <c r="C356" i="4"/>
  <c r="B356" i="4"/>
  <c r="A356" i="4"/>
  <c r="G355" i="4"/>
  <c r="F355" i="4"/>
  <c r="E355" i="4"/>
  <c r="D355" i="4"/>
  <c r="C355" i="4"/>
  <c r="B355" i="4"/>
  <c r="A355" i="4"/>
  <c r="G354" i="4"/>
  <c r="F354" i="4"/>
  <c r="E354" i="4"/>
  <c r="D354" i="4"/>
  <c r="C354" i="4"/>
  <c r="B354" i="4"/>
  <c r="A354" i="4"/>
  <c r="G353" i="4"/>
  <c r="F353" i="4"/>
  <c r="E353" i="4"/>
  <c r="D353" i="4"/>
  <c r="C353" i="4"/>
  <c r="B353" i="4"/>
  <c r="A353" i="4"/>
  <c r="G352" i="4"/>
  <c r="F352" i="4"/>
  <c r="E352" i="4"/>
  <c r="D352" i="4"/>
  <c r="C352" i="4"/>
  <c r="B352" i="4"/>
  <c r="A352" i="4"/>
  <c r="G351" i="4"/>
  <c r="F351" i="4"/>
  <c r="E351" i="4"/>
  <c r="D351" i="4"/>
  <c r="C351" i="4"/>
  <c r="B351" i="4"/>
  <c r="A351" i="4"/>
  <c r="G350" i="4"/>
  <c r="F350" i="4"/>
  <c r="E350" i="4"/>
  <c r="D350" i="4"/>
  <c r="C350" i="4"/>
  <c r="B350" i="4"/>
  <c r="A350" i="4"/>
  <c r="G349" i="4"/>
  <c r="F349" i="4"/>
  <c r="E349" i="4"/>
  <c r="D349" i="4"/>
  <c r="C349" i="4"/>
  <c r="B349" i="4"/>
  <c r="A349" i="4"/>
  <c r="G348" i="4"/>
  <c r="F348" i="4"/>
  <c r="E348" i="4"/>
  <c r="D348" i="4"/>
  <c r="C348" i="4"/>
  <c r="B348" i="4"/>
  <c r="A348" i="4"/>
  <c r="G347" i="4"/>
  <c r="F347" i="4"/>
  <c r="E347" i="4"/>
  <c r="D347" i="4"/>
  <c r="C347" i="4"/>
  <c r="B347" i="4"/>
  <c r="A347" i="4"/>
  <c r="G346" i="4"/>
  <c r="F346" i="4"/>
  <c r="E346" i="4"/>
  <c r="D346" i="4"/>
  <c r="C346" i="4"/>
  <c r="B346" i="4"/>
  <c r="A346" i="4"/>
  <c r="G345" i="4"/>
  <c r="F345" i="4"/>
  <c r="E345" i="4"/>
  <c r="D345" i="4"/>
  <c r="C345" i="4"/>
  <c r="B345" i="4"/>
  <c r="A345" i="4"/>
  <c r="G344" i="4"/>
  <c r="F344" i="4"/>
  <c r="E344" i="4"/>
  <c r="D344" i="4"/>
  <c r="C344" i="4"/>
  <c r="B344" i="4"/>
  <c r="A344" i="4"/>
  <c r="G343" i="4"/>
  <c r="F343" i="4"/>
  <c r="E343" i="4"/>
  <c r="D343" i="4"/>
  <c r="C343" i="4"/>
  <c r="B343" i="4"/>
  <c r="A343" i="4"/>
  <c r="G342" i="4"/>
  <c r="F342" i="4"/>
  <c r="E342" i="4"/>
  <c r="D342" i="4"/>
  <c r="C342" i="4"/>
  <c r="B342" i="4"/>
  <c r="A342" i="4"/>
  <c r="G341" i="4"/>
  <c r="F341" i="4"/>
  <c r="E341" i="4"/>
  <c r="D341" i="4"/>
  <c r="C341" i="4"/>
  <c r="B341" i="4"/>
  <c r="A341" i="4"/>
  <c r="G340" i="4"/>
  <c r="F340" i="4"/>
  <c r="E340" i="4"/>
  <c r="D340" i="4"/>
  <c r="C340" i="4"/>
  <c r="B340" i="4"/>
  <c r="A340" i="4"/>
  <c r="G339" i="4"/>
  <c r="F339" i="4"/>
  <c r="E339" i="4"/>
  <c r="D339" i="4"/>
  <c r="C339" i="4"/>
  <c r="B339" i="4"/>
  <c r="A339" i="4"/>
  <c r="G338" i="4"/>
  <c r="F338" i="4"/>
  <c r="E338" i="4"/>
  <c r="D338" i="4"/>
  <c r="C338" i="4"/>
  <c r="B338" i="4"/>
  <c r="A338" i="4"/>
  <c r="G337" i="4"/>
  <c r="F337" i="4"/>
  <c r="E337" i="4"/>
  <c r="D337" i="4"/>
  <c r="C337" i="4"/>
  <c r="B337" i="4"/>
  <c r="A337" i="4"/>
  <c r="G336" i="4"/>
  <c r="F336" i="4"/>
  <c r="E336" i="4"/>
  <c r="D336" i="4"/>
  <c r="C336" i="4"/>
  <c r="B336" i="4"/>
  <c r="A336" i="4"/>
  <c r="G335" i="4"/>
  <c r="F335" i="4"/>
  <c r="E335" i="4"/>
  <c r="D335" i="4"/>
  <c r="C335" i="4"/>
  <c r="B335" i="4"/>
  <c r="A335" i="4"/>
  <c r="G334" i="4"/>
  <c r="F334" i="4"/>
  <c r="E334" i="4"/>
  <c r="D334" i="4"/>
  <c r="C334" i="4"/>
  <c r="B334" i="4"/>
  <c r="A334" i="4"/>
  <c r="G333" i="4"/>
  <c r="F333" i="4"/>
  <c r="E333" i="4"/>
  <c r="D333" i="4"/>
  <c r="C333" i="4"/>
  <c r="B333" i="4"/>
  <c r="A333" i="4"/>
  <c r="G332" i="4"/>
  <c r="F332" i="4"/>
  <c r="E332" i="4"/>
  <c r="D332" i="4"/>
  <c r="C332" i="4"/>
  <c r="B332" i="4"/>
  <c r="A332" i="4"/>
  <c r="G331" i="4"/>
  <c r="F331" i="4"/>
  <c r="E331" i="4"/>
  <c r="D331" i="4"/>
  <c r="C331" i="4"/>
  <c r="B331" i="4"/>
  <c r="A331" i="4"/>
  <c r="G330" i="4"/>
  <c r="F330" i="4"/>
  <c r="E330" i="4"/>
  <c r="D330" i="4"/>
  <c r="C330" i="4"/>
  <c r="B330" i="4"/>
  <c r="A330" i="4"/>
  <c r="G329" i="4"/>
  <c r="F329" i="4"/>
  <c r="E329" i="4"/>
  <c r="D329" i="4"/>
  <c r="C329" i="4"/>
  <c r="B329" i="4"/>
  <c r="A329" i="4"/>
  <c r="G328" i="4"/>
  <c r="F328" i="4"/>
  <c r="E328" i="4"/>
  <c r="D328" i="4"/>
  <c r="C328" i="4"/>
  <c r="B328" i="4"/>
  <c r="A328" i="4"/>
  <c r="G327" i="4"/>
  <c r="F327" i="4"/>
  <c r="E327" i="4"/>
  <c r="D327" i="4"/>
  <c r="C327" i="4"/>
  <c r="B327" i="4"/>
  <c r="A327" i="4"/>
  <c r="G326" i="4"/>
  <c r="F326" i="4"/>
  <c r="E326" i="4"/>
  <c r="D326" i="4"/>
  <c r="C326" i="4"/>
  <c r="B326" i="4"/>
  <c r="A326" i="4"/>
  <c r="G325" i="4"/>
  <c r="F325" i="4"/>
  <c r="E325" i="4"/>
  <c r="D325" i="4"/>
  <c r="C325" i="4"/>
  <c r="B325" i="4"/>
  <c r="A325" i="4"/>
  <c r="G324" i="4"/>
  <c r="F324" i="4"/>
  <c r="E324" i="4"/>
  <c r="D324" i="4"/>
  <c r="C324" i="4"/>
  <c r="B324" i="4"/>
  <c r="A324" i="4"/>
  <c r="G323" i="4"/>
  <c r="F323" i="4"/>
  <c r="E323" i="4"/>
  <c r="D323" i="4"/>
  <c r="C323" i="4"/>
  <c r="B323" i="4"/>
  <c r="A323" i="4"/>
  <c r="G322" i="4"/>
  <c r="F322" i="4"/>
  <c r="E322" i="4"/>
  <c r="D322" i="4"/>
  <c r="C322" i="4"/>
  <c r="B322" i="4"/>
  <c r="A322" i="4"/>
  <c r="G321" i="4"/>
  <c r="F321" i="4"/>
  <c r="E321" i="4"/>
  <c r="D321" i="4"/>
  <c r="C321" i="4"/>
  <c r="B321" i="4"/>
  <c r="A321" i="4"/>
  <c r="G320" i="4"/>
  <c r="F320" i="4"/>
  <c r="E320" i="4"/>
  <c r="D320" i="4"/>
  <c r="C320" i="4"/>
  <c r="B320" i="4"/>
  <c r="A320" i="4"/>
  <c r="G319" i="4"/>
  <c r="F319" i="4"/>
  <c r="E319" i="4"/>
  <c r="D319" i="4"/>
  <c r="C319" i="4"/>
  <c r="B319" i="4"/>
  <c r="A319" i="4"/>
  <c r="G318" i="4"/>
  <c r="F318" i="4"/>
  <c r="E318" i="4"/>
  <c r="D318" i="4"/>
  <c r="C318" i="4"/>
  <c r="B318" i="4"/>
  <c r="A318" i="4"/>
  <c r="G317" i="4"/>
  <c r="F317" i="4"/>
  <c r="E317" i="4"/>
  <c r="D317" i="4"/>
  <c r="C317" i="4"/>
  <c r="B317" i="4"/>
  <c r="A317" i="4"/>
  <c r="G316" i="4"/>
  <c r="F316" i="4"/>
  <c r="E316" i="4"/>
  <c r="D316" i="4"/>
  <c r="C316" i="4"/>
  <c r="B316" i="4"/>
  <c r="A316" i="4"/>
  <c r="G315" i="4"/>
  <c r="F315" i="4"/>
  <c r="E315" i="4"/>
  <c r="D315" i="4"/>
  <c r="C315" i="4"/>
  <c r="B315" i="4"/>
  <c r="A315" i="4"/>
  <c r="G314" i="4"/>
  <c r="F314" i="4"/>
  <c r="E314" i="4"/>
  <c r="D314" i="4"/>
  <c r="C314" i="4"/>
  <c r="B314" i="4"/>
  <c r="A314" i="4"/>
  <c r="G313" i="4"/>
  <c r="F313" i="4"/>
  <c r="E313" i="4"/>
  <c r="D313" i="4"/>
  <c r="C313" i="4"/>
  <c r="B313" i="4"/>
  <c r="A313" i="4"/>
  <c r="G312" i="4"/>
  <c r="F312" i="4"/>
  <c r="E312" i="4"/>
  <c r="D312" i="4"/>
  <c r="C312" i="4"/>
  <c r="B312" i="4"/>
  <c r="A312" i="4"/>
  <c r="G311" i="4"/>
  <c r="F311" i="4"/>
  <c r="E311" i="4"/>
  <c r="D311" i="4"/>
  <c r="C311" i="4"/>
  <c r="B311" i="4"/>
  <c r="A311" i="4"/>
  <c r="G310" i="4"/>
  <c r="F310" i="4"/>
  <c r="E310" i="4"/>
  <c r="D310" i="4"/>
  <c r="C310" i="4"/>
  <c r="B310" i="4"/>
  <c r="A310" i="4"/>
  <c r="G309" i="4"/>
  <c r="F309" i="4"/>
  <c r="E309" i="4"/>
  <c r="D309" i="4"/>
  <c r="C309" i="4"/>
  <c r="B309" i="4"/>
  <c r="A309" i="4"/>
  <c r="G308" i="4"/>
  <c r="F308" i="4"/>
  <c r="E308" i="4"/>
  <c r="D308" i="4"/>
  <c r="C308" i="4"/>
  <c r="B308" i="4"/>
  <c r="A308" i="4"/>
  <c r="G307" i="4"/>
  <c r="F307" i="4"/>
  <c r="E307" i="4"/>
  <c r="D307" i="4"/>
  <c r="C307" i="4"/>
  <c r="B307" i="4"/>
  <c r="A307" i="4"/>
  <c r="G306" i="4"/>
  <c r="F306" i="4"/>
  <c r="E306" i="4"/>
  <c r="D306" i="4"/>
  <c r="C306" i="4"/>
  <c r="B306" i="4"/>
  <c r="A306" i="4"/>
  <c r="G305" i="4"/>
  <c r="F305" i="4"/>
  <c r="E305" i="4"/>
  <c r="D305" i="4"/>
  <c r="C305" i="4"/>
  <c r="B305" i="4"/>
  <c r="A305" i="4"/>
  <c r="G304" i="4"/>
  <c r="F304" i="4"/>
  <c r="E304" i="4"/>
  <c r="D304" i="4"/>
  <c r="C304" i="4"/>
  <c r="B304" i="4"/>
  <c r="A304" i="4"/>
  <c r="G303" i="4"/>
  <c r="F303" i="4"/>
  <c r="E303" i="4"/>
  <c r="D303" i="4"/>
  <c r="C303" i="4"/>
  <c r="B303" i="4"/>
  <c r="A303" i="4"/>
  <c r="G302" i="4"/>
  <c r="F302" i="4"/>
  <c r="E302" i="4"/>
  <c r="D302" i="4"/>
  <c r="C302" i="4"/>
  <c r="B302" i="4"/>
  <c r="A302" i="4"/>
  <c r="G301" i="4"/>
  <c r="F301" i="4"/>
  <c r="E301" i="4"/>
  <c r="D301" i="4"/>
  <c r="C301" i="4"/>
  <c r="B301" i="4"/>
  <c r="A301" i="4"/>
  <c r="G300" i="4"/>
  <c r="F300" i="4"/>
  <c r="E300" i="4"/>
  <c r="D300" i="4"/>
  <c r="C300" i="4"/>
  <c r="B300" i="4"/>
  <c r="A300" i="4"/>
  <c r="G299" i="4"/>
  <c r="F299" i="4"/>
  <c r="E299" i="4"/>
  <c r="D299" i="4"/>
  <c r="C299" i="4"/>
  <c r="B299" i="4"/>
  <c r="A299" i="4"/>
  <c r="G298" i="4"/>
  <c r="F298" i="4"/>
  <c r="E298" i="4"/>
  <c r="D298" i="4"/>
  <c r="C298" i="4"/>
  <c r="B298" i="4"/>
  <c r="A298" i="4"/>
  <c r="G297" i="4"/>
  <c r="F297" i="4"/>
  <c r="E297" i="4"/>
  <c r="D297" i="4"/>
  <c r="C297" i="4"/>
  <c r="B297" i="4"/>
  <c r="A297" i="4"/>
  <c r="G296" i="4"/>
  <c r="F296" i="4"/>
  <c r="E296" i="4"/>
  <c r="D296" i="4"/>
  <c r="C296" i="4"/>
  <c r="B296" i="4"/>
  <c r="A296" i="4"/>
  <c r="G295" i="4"/>
  <c r="F295" i="4"/>
  <c r="E295" i="4"/>
  <c r="D295" i="4"/>
  <c r="C295" i="4"/>
  <c r="B295" i="4"/>
  <c r="A295" i="4"/>
  <c r="G294" i="4"/>
  <c r="F294" i="4"/>
  <c r="E294" i="4"/>
  <c r="D294" i="4"/>
  <c r="C294" i="4"/>
  <c r="B294" i="4"/>
  <c r="A294" i="4"/>
  <c r="G293" i="4"/>
  <c r="F293" i="4"/>
  <c r="E293" i="4"/>
  <c r="D293" i="4"/>
  <c r="C293" i="4"/>
  <c r="B293" i="4"/>
  <c r="A293" i="4"/>
  <c r="G292" i="4"/>
  <c r="F292" i="4"/>
  <c r="E292" i="4"/>
  <c r="D292" i="4"/>
  <c r="C292" i="4"/>
  <c r="B292" i="4"/>
  <c r="A292" i="4"/>
  <c r="G291" i="4"/>
  <c r="F291" i="4"/>
  <c r="E291" i="4"/>
  <c r="D291" i="4"/>
  <c r="C291" i="4"/>
  <c r="B291" i="4"/>
  <c r="A291" i="4"/>
  <c r="G290" i="4"/>
  <c r="F290" i="4"/>
  <c r="E290" i="4"/>
  <c r="D290" i="4"/>
  <c r="C290" i="4"/>
  <c r="B290" i="4"/>
  <c r="A290" i="4"/>
  <c r="G289" i="4"/>
  <c r="F289" i="4"/>
  <c r="E289" i="4"/>
  <c r="D289" i="4"/>
  <c r="C289" i="4"/>
  <c r="B289" i="4"/>
  <c r="A289" i="4"/>
  <c r="G288" i="4"/>
  <c r="F288" i="4"/>
  <c r="E288" i="4"/>
  <c r="D288" i="4"/>
  <c r="C288" i="4"/>
  <c r="B288" i="4"/>
  <c r="A288" i="4"/>
  <c r="G287" i="4"/>
  <c r="F287" i="4"/>
  <c r="E287" i="4"/>
  <c r="D287" i="4"/>
  <c r="C287" i="4"/>
  <c r="B287" i="4"/>
  <c r="A287" i="4"/>
  <c r="G286" i="4"/>
  <c r="F286" i="4"/>
  <c r="E286" i="4"/>
  <c r="D286" i="4"/>
  <c r="C286" i="4"/>
  <c r="B286" i="4"/>
  <c r="A286" i="4"/>
  <c r="G285" i="4"/>
  <c r="F285" i="4"/>
  <c r="E285" i="4"/>
  <c r="D285" i="4"/>
  <c r="C285" i="4"/>
  <c r="B285" i="4"/>
  <c r="A285" i="4"/>
  <c r="G284" i="4"/>
  <c r="F284" i="4"/>
  <c r="E284" i="4"/>
  <c r="D284" i="4"/>
  <c r="C284" i="4"/>
  <c r="B284" i="4"/>
  <c r="A284" i="4"/>
  <c r="G283" i="4"/>
  <c r="F283" i="4"/>
  <c r="E283" i="4"/>
  <c r="D283" i="4"/>
  <c r="C283" i="4"/>
  <c r="B283" i="4"/>
  <c r="A283" i="4"/>
  <c r="G282" i="4"/>
  <c r="F282" i="4"/>
  <c r="E282" i="4"/>
  <c r="D282" i="4"/>
  <c r="C282" i="4"/>
  <c r="B282" i="4"/>
  <c r="A282" i="4"/>
  <c r="G281" i="4"/>
  <c r="F281" i="4"/>
  <c r="E281" i="4"/>
  <c r="D281" i="4"/>
  <c r="C281" i="4"/>
  <c r="B281" i="4"/>
  <c r="A281" i="4"/>
  <c r="G280" i="4"/>
  <c r="F280" i="4"/>
  <c r="E280" i="4"/>
  <c r="D280" i="4"/>
  <c r="C280" i="4"/>
  <c r="B280" i="4"/>
  <c r="A280" i="4"/>
  <c r="G279" i="4"/>
  <c r="F279" i="4"/>
  <c r="E279" i="4"/>
  <c r="D279" i="4"/>
  <c r="C279" i="4"/>
  <c r="B279" i="4"/>
  <c r="A279" i="4"/>
  <c r="G278" i="4"/>
  <c r="F278" i="4"/>
  <c r="E278" i="4"/>
  <c r="D278" i="4"/>
  <c r="C278" i="4"/>
  <c r="B278" i="4"/>
  <c r="A278" i="4"/>
  <c r="G277" i="4"/>
  <c r="F277" i="4"/>
  <c r="E277" i="4"/>
  <c r="D277" i="4"/>
  <c r="C277" i="4"/>
  <c r="B277" i="4"/>
  <c r="A277" i="4"/>
  <c r="G276" i="4"/>
  <c r="F276" i="4"/>
  <c r="E276" i="4"/>
  <c r="D276" i="4"/>
  <c r="C276" i="4"/>
  <c r="B276" i="4"/>
  <c r="A276" i="4"/>
  <c r="G275" i="4"/>
  <c r="F275" i="4"/>
  <c r="E275" i="4"/>
  <c r="D275" i="4"/>
  <c r="C275" i="4"/>
  <c r="B275" i="4"/>
  <c r="A275" i="4"/>
  <c r="G274" i="4"/>
  <c r="F274" i="4"/>
  <c r="E274" i="4"/>
  <c r="D274" i="4"/>
  <c r="C274" i="4"/>
  <c r="B274" i="4"/>
  <c r="A274" i="4"/>
  <c r="G273" i="4"/>
  <c r="F273" i="4"/>
  <c r="E273" i="4"/>
  <c r="D273" i="4"/>
  <c r="C273" i="4"/>
  <c r="B273" i="4"/>
  <c r="A273" i="4"/>
  <c r="G272" i="4"/>
  <c r="F272" i="4"/>
  <c r="E272" i="4"/>
  <c r="D272" i="4"/>
  <c r="C272" i="4"/>
  <c r="B272" i="4"/>
  <c r="A272" i="4"/>
  <c r="G271" i="4"/>
  <c r="F271" i="4"/>
  <c r="E271" i="4"/>
  <c r="D271" i="4"/>
  <c r="C271" i="4"/>
  <c r="B271" i="4"/>
  <c r="A271" i="4"/>
  <c r="G270" i="4"/>
  <c r="F270" i="4"/>
  <c r="E270" i="4"/>
  <c r="D270" i="4"/>
  <c r="C270" i="4"/>
  <c r="B270" i="4"/>
  <c r="A270" i="4"/>
  <c r="G269" i="4"/>
  <c r="F269" i="4"/>
  <c r="E269" i="4"/>
  <c r="D269" i="4"/>
  <c r="C269" i="4"/>
  <c r="B269" i="4"/>
  <c r="A269" i="4"/>
  <c r="G268" i="4"/>
  <c r="F268" i="4"/>
  <c r="E268" i="4"/>
  <c r="D268" i="4"/>
  <c r="C268" i="4"/>
  <c r="B268" i="4"/>
  <c r="A268" i="4"/>
  <c r="G267" i="4"/>
  <c r="F267" i="4"/>
  <c r="E267" i="4"/>
  <c r="D267" i="4"/>
  <c r="C267" i="4"/>
  <c r="B267" i="4"/>
  <c r="A267" i="4"/>
  <c r="G266" i="4"/>
  <c r="F266" i="4"/>
  <c r="E266" i="4"/>
  <c r="D266" i="4"/>
  <c r="C266" i="4"/>
  <c r="B266" i="4"/>
  <c r="A266" i="4"/>
  <c r="G265" i="4"/>
  <c r="F265" i="4"/>
  <c r="E265" i="4"/>
  <c r="D265" i="4"/>
  <c r="C265" i="4"/>
  <c r="B265" i="4"/>
  <c r="A265" i="4"/>
  <c r="G264" i="4"/>
  <c r="F264" i="4"/>
  <c r="E264" i="4"/>
  <c r="D264" i="4"/>
  <c r="C264" i="4"/>
  <c r="B264" i="4"/>
  <c r="A264" i="4"/>
  <c r="G263" i="4"/>
  <c r="F263" i="4"/>
  <c r="E263" i="4"/>
  <c r="D263" i="4"/>
  <c r="C263" i="4"/>
  <c r="B263" i="4"/>
  <c r="A263" i="4"/>
  <c r="G262" i="4"/>
  <c r="F262" i="4"/>
  <c r="E262" i="4"/>
  <c r="D262" i="4"/>
  <c r="C262" i="4"/>
  <c r="B262" i="4"/>
  <c r="A262" i="4"/>
  <c r="G261" i="4"/>
  <c r="F261" i="4"/>
  <c r="E261" i="4"/>
  <c r="D261" i="4"/>
  <c r="C261" i="4"/>
  <c r="B261" i="4"/>
  <c r="A261" i="4"/>
  <c r="G260" i="4"/>
  <c r="F260" i="4"/>
  <c r="E260" i="4"/>
  <c r="D260" i="4"/>
  <c r="C260" i="4"/>
  <c r="B260" i="4"/>
  <c r="A260" i="4"/>
  <c r="G259" i="4"/>
  <c r="F259" i="4"/>
  <c r="E259" i="4"/>
  <c r="D259" i="4"/>
  <c r="C259" i="4"/>
  <c r="B259" i="4"/>
  <c r="A259" i="4"/>
  <c r="G258" i="4"/>
  <c r="F258" i="4"/>
  <c r="E258" i="4"/>
  <c r="D258" i="4"/>
  <c r="C258" i="4"/>
  <c r="B258" i="4"/>
  <c r="A258" i="4"/>
  <c r="G257" i="4"/>
  <c r="F257" i="4"/>
  <c r="E257" i="4"/>
  <c r="D257" i="4"/>
  <c r="C257" i="4"/>
  <c r="B257" i="4"/>
  <c r="A257" i="4"/>
  <c r="G256" i="4"/>
  <c r="F256" i="4"/>
  <c r="E256" i="4"/>
  <c r="D256" i="4"/>
  <c r="C256" i="4"/>
  <c r="B256" i="4"/>
  <c r="A256" i="4"/>
  <c r="G255" i="4"/>
  <c r="F255" i="4"/>
  <c r="E255" i="4"/>
  <c r="D255" i="4"/>
  <c r="C255" i="4"/>
  <c r="B255" i="4"/>
  <c r="A255" i="4"/>
  <c r="G254" i="4"/>
  <c r="F254" i="4"/>
  <c r="E254" i="4"/>
  <c r="D254" i="4"/>
  <c r="C254" i="4"/>
  <c r="B254" i="4"/>
  <c r="A254" i="4"/>
  <c r="G253" i="4"/>
  <c r="F253" i="4"/>
  <c r="E253" i="4"/>
  <c r="D253" i="4"/>
  <c r="C253" i="4"/>
  <c r="B253" i="4"/>
  <c r="A253" i="4"/>
  <c r="G252" i="4"/>
  <c r="F252" i="4"/>
  <c r="E252" i="4"/>
  <c r="D252" i="4"/>
  <c r="C252" i="4"/>
  <c r="B252" i="4"/>
  <c r="A252" i="4"/>
  <c r="G251" i="4"/>
  <c r="F251" i="4"/>
  <c r="E251" i="4"/>
  <c r="D251" i="4"/>
  <c r="C251" i="4"/>
  <c r="B251" i="4"/>
  <c r="A251" i="4"/>
  <c r="G250" i="4"/>
  <c r="F250" i="4"/>
  <c r="E250" i="4"/>
  <c r="D250" i="4"/>
  <c r="C250" i="4"/>
  <c r="B250" i="4"/>
  <c r="A250" i="4"/>
  <c r="G249" i="4"/>
  <c r="F249" i="4"/>
  <c r="E249" i="4"/>
  <c r="D249" i="4"/>
  <c r="C249" i="4"/>
  <c r="B249" i="4"/>
  <c r="A249" i="4"/>
  <c r="G248" i="4"/>
  <c r="F248" i="4"/>
  <c r="E248" i="4"/>
  <c r="D248" i="4"/>
  <c r="C248" i="4"/>
  <c r="B248" i="4"/>
  <c r="A248" i="4"/>
  <c r="G247" i="4"/>
  <c r="F247" i="4"/>
  <c r="E247" i="4"/>
  <c r="D247" i="4"/>
  <c r="C247" i="4"/>
  <c r="B247" i="4"/>
  <c r="A247" i="4"/>
  <c r="G246" i="4"/>
  <c r="F246" i="4"/>
  <c r="E246" i="4"/>
  <c r="D246" i="4"/>
  <c r="C246" i="4"/>
  <c r="B246" i="4"/>
  <c r="A246" i="4"/>
  <c r="G245" i="4"/>
  <c r="F245" i="4"/>
  <c r="E245" i="4"/>
  <c r="D245" i="4"/>
  <c r="C245" i="4"/>
  <c r="B245" i="4"/>
  <c r="A245" i="4"/>
  <c r="G244" i="4"/>
  <c r="F244" i="4"/>
  <c r="E244" i="4"/>
  <c r="D244" i="4"/>
  <c r="C244" i="4"/>
  <c r="B244" i="4"/>
  <c r="A244" i="4"/>
  <c r="G243" i="4"/>
  <c r="F243" i="4"/>
  <c r="E243" i="4"/>
  <c r="D243" i="4"/>
  <c r="C243" i="4"/>
  <c r="B243" i="4"/>
  <c r="A243" i="4"/>
  <c r="G242" i="4"/>
  <c r="F242" i="4"/>
  <c r="E242" i="4"/>
  <c r="D242" i="4"/>
  <c r="C242" i="4"/>
  <c r="B242" i="4"/>
  <c r="A242" i="4"/>
  <c r="G241" i="4"/>
  <c r="F241" i="4"/>
  <c r="E241" i="4"/>
  <c r="D241" i="4"/>
  <c r="C241" i="4"/>
  <c r="B241" i="4"/>
  <c r="A241" i="4"/>
  <c r="G240" i="4"/>
  <c r="F240" i="4"/>
  <c r="E240" i="4"/>
  <c r="D240" i="4"/>
  <c r="C240" i="4"/>
  <c r="B240" i="4"/>
  <c r="A240" i="4"/>
  <c r="G239" i="4"/>
  <c r="F239" i="4"/>
  <c r="E239" i="4"/>
  <c r="D239" i="4"/>
  <c r="C239" i="4"/>
  <c r="B239" i="4"/>
  <c r="A239" i="4"/>
  <c r="G238" i="4"/>
  <c r="F238" i="4"/>
  <c r="E238" i="4"/>
  <c r="D238" i="4"/>
  <c r="C238" i="4"/>
  <c r="B238" i="4"/>
  <c r="A238" i="4"/>
  <c r="G237" i="4"/>
  <c r="F237" i="4"/>
  <c r="E237" i="4"/>
  <c r="D237" i="4"/>
  <c r="C237" i="4"/>
  <c r="B237" i="4"/>
  <c r="A237" i="4"/>
  <c r="G236" i="4"/>
  <c r="F236" i="4"/>
  <c r="E236" i="4"/>
  <c r="D236" i="4"/>
  <c r="C236" i="4"/>
  <c r="B236" i="4"/>
  <c r="A236" i="4"/>
  <c r="G235" i="4"/>
  <c r="F235" i="4"/>
  <c r="E235" i="4"/>
  <c r="D235" i="4"/>
  <c r="C235" i="4"/>
  <c r="B235" i="4"/>
  <c r="A235" i="4"/>
  <c r="G234" i="4"/>
  <c r="F234" i="4"/>
  <c r="E234" i="4"/>
  <c r="D234" i="4"/>
  <c r="C234" i="4"/>
  <c r="B234" i="4"/>
  <c r="A234" i="4"/>
  <c r="G233" i="4"/>
  <c r="F233" i="4"/>
  <c r="E233" i="4"/>
  <c r="D233" i="4"/>
  <c r="C233" i="4"/>
  <c r="B233" i="4"/>
  <c r="A233" i="4"/>
  <c r="G232" i="4"/>
  <c r="F232" i="4"/>
  <c r="E232" i="4"/>
  <c r="D232" i="4"/>
  <c r="C232" i="4"/>
  <c r="B232" i="4"/>
  <c r="A232" i="4"/>
  <c r="G231" i="4"/>
  <c r="F231" i="4"/>
  <c r="E231" i="4"/>
  <c r="D231" i="4"/>
  <c r="C231" i="4"/>
  <c r="B231" i="4"/>
  <c r="A231" i="4"/>
  <c r="G230" i="4"/>
  <c r="F230" i="4"/>
  <c r="E230" i="4"/>
  <c r="D230" i="4"/>
  <c r="C230" i="4"/>
  <c r="B230" i="4"/>
  <c r="A230" i="4"/>
  <c r="G229" i="4"/>
  <c r="F229" i="4"/>
  <c r="E229" i="4"/>
  <c r="D229" i="4"/>
  <c r="C229" i="4"/>
  <c r="B229" i="4"/>
  <c r="A229" i="4"/>
  <c r="G228" i="4"/>
  <c r="F228" i="4"/>
  <c r="E228" i="4"/>
  <c r="D228" i="4"/>
  <c r="C228" i="4"/>
  <c r="B228" i="4"/>
  <c r="A228" i="4"/>
  <c r="G227" i="4"/>
  <c r="F227" i="4"/>
  <c r="E227" i="4"/>
  <c r="D227" i="4"/>
  <c r="C227" i="4"/>
  <c r="B227" i="4"/>
  <c r="A227" i="4"/>
  <c r="G226" i="4"/>
  <c r="F226" i="4"/>
  <c r="E226" i="4"/>
  <c r="D226" i="4"/>
  <c r="C226" i="4"/>
  <c r="B226" i="4"/>
  <c r="A226" i="4"/>
  <c r="G225" i="4"/>
  <c r="F225" i="4"/>
  <c r="E225" i="4"/>
  <c r="D225" i="4"/>
  <c r="C225" i="4"/>
  <c r="B225" i="4"/>
  <c r="A225" i="4"/>
  <c r="G224" i="4"/>
  <c r="F224" i="4"/>
  <c r="E224" i="4"/>
  <c r="D224" i="4"/>
  <c r="C224" i="4"/>
  <c r="B224" i="4"/>
  <c r="A224" i="4"/>
  <c r="G223" i="4"/>
  <c r="F223" i="4"/>
  <c r="E223" i="4"/>
  <c r="D223" i="4"/>
  <c r="C223" i="4"/>
  <c r="B223" i="4"/>
  <c r="A223" i="4"/>
  <c r="G222" i="4"/>
  <c r="F222" i="4"/>
  <c r="E222" i="4"/>
  <c r="D222" i="4"/>
  <c r="C222" i="4"/>
  <c r="B222" i="4"/>
  <c r="A222" i="4"/>
  <c r="G221" i="4"/>
  <c r="F221" i="4"/>
  <c r="E221" i="4"/>
  <c r="D221" i="4"/>
  <c r="C221" i="4"/>
  <c r="B221" i="4"/>
  <c r="A221" i="4"/>
  <c r="G220" i="4"/>
  <c r="F220" i="4"/>
  <c r="E220" i="4"/>
  <c r="D220" i="4"/>
  <c r="C220" i="4"/>
  <c r="B220" i="4"/>
  <c r="A220" i="4"/>
  <c r="G219" i="4"/>
  <c r="F219" i="4"/>
  <c r="E219" i="4"/>
  <c r="D219" i="4"/>
  <c r="C219" i="4"/>
  <c r="B219" i="4"/>
  <c r="A219" i="4"/>
  <c r="G218" i="4"/>
  <c r="F218" i="4"/>
  <c r="E218" i="4"/>
  <c r="D218" i="4"/>
  <c r="C218" i="4"/>
  <c r="B218" i="4"/>
  <c r="A218" i="4"/>
  <c r="G217" i="4"/>
  <c r="F217" i="4"/>
  <c r="E217" i="4"/>
  <c r="D217" i="4"/>
  <c r="C217" i="4"/>
  <c r="B217" i="4"/>
  <c r="A217" i="4"/>
  <c r="G216" i="4"/>
  <c r="F216" i="4"/>
  <c r="E216" i="4"/>
  <c r="D216" i="4"/>
  <c r="C216" i="4"/>
  <c r="B216" i="4"/>
  <c r="A216" i="4"/>
  <c r="G215" i="4"/>
  <c r="F215" i="4"/>
  <c r="E215" i="4"/>
  <c r="D215" i="4"/>
  <c r="C215" i="4"/>
  <c r="B215" i="4"/>
  <c r="A215" i="4"/>
  <c r="G214" i="4"/>
  <c r="F214" i="4"/>
  <c r="E214" i="4"/>
  <c r="D214" i="4"/>
  <c r="C214" i="4"/>
  <c r="B214" i="4"/>
  <c r="A214" i="4"/>
  <c r="G213" i="4"/>
  <c r="F213" i="4"/>
  <c r="E213" i="4"/>
  <c r="D213" i="4"/>
  <c r="C213" i="4"/>
  <c r="B213" i="4"/>
  <c r="A213" i="4"/>
  <c r="G212" i="4"/>
  <c r="F212" i="4"/>
  <c r="E212" i="4"/>
  <c r="D212" i="4"/>
  <c r="C212" i="4"/>
  <c r="B212" i="4"/>
  <c r="A212" i="4"/>
  <c r="G211" i="4"/>
  <c r="F211" i="4"/>
  <c r="E211" i="4"/>
  <c r="D211" i="4"/>
  <c r="C211" i="4"/>
  <c r="B211" i="4"/>
  <c r="A211" i="4"/>
  <c r="G210" i="4"/>
  <c r="F210" i="4"/>
  <c r="E210" i="4"/>
  <c r="D210" i="4"/>
  <c r="C210" i="4"/>
  <c r="B210" i="4"/>
  <c r="A210" i="4"/>
  <c r="G209" i="4"/>
  <c r="F209" i="4"/>
  <c r="E209" i="4"/>
  <c r="D209" i="4"/>
  <c r="C209" i="4"/>
  <c r="B209" i="4"/>
  <c r="A209" i="4"/>
  <c r="G208" i="4"/>
  <c r="F208" i="4"/>
  <c r="E208" i="4"/>
  <c r="D208" i="4"/>
  <c r="C208" i="4"/>
  <c r="B208" i="4"/>
  <c r="A208" i="4"/>
  <c r="G207" i="4"/>
  <c r="F207" i="4"/>
  <c r="E207" i="4"/>
  <c r="D207" i="4"/>
  <c r="C207" i="4"/>
  <c r="B207" i="4"/>
  <c r="A207" i="4"/>
  <c r="G206" i="4"/>
  <c r="F206" i="4"/>
  <c r="E206" i="4"/>
  <c r="D206" i="4"/>
  <c r="C206" i="4"/>
  <c r="B206" i="4"/>
  <c r="A206" i="4"/>
  <c r="G205" i="4"/>
  <c r="F205" i="4"/>
  <c r="E205" i="4"/>
  <c r="D205" i="4"/>
  <c r="C205" i="4"/>
  <c r="B205" i="4"/>
  <c r="A205" i="4"/>
  <c r="G204" i="4"/>
  <c r="F204" i="4"/>
  <c r="E204" i="4"/>
  <c r="D204" i="4"/>
  <c r="C204" i="4"/>
  <c r="B204" i="4"/>
  <c r="A204" i="4"/>
  <c r="G203" i="4"/>
  <c r="F203" i="4"/>
  <c r="E203" i="4"/>
  <c r="D203" i="4"/>
  <c r="C203" i="4"/>
  <c r="B203" i="4"/>
  <c r="A203" i="4"/>
  <c r="G202" i="4"/>
  <c r="F202" i="4"/>
  <c r="E202" i="4"/>
  <c r="D202" i="4"/>
  <c r="C202" i="4"/>
  <c r="B202" i="4"/>
  <c r="A202" i="4"/>
  <c r="G201" i="4"/>
  <c r="F201" i="4"/>
  <c r="E201" i="4"/>
  <c r="D201" i="4"/>
  <c r="C201" i="4"/>
  <c r="B201" i="4"/>
  <c r="A201" i="4"/>
  <c r="G200" i="4"/>
  <c r="F200" i="4"/>
  <c r="E200" i="4"/>
  <c r="D200" i="4"/>
  <c r="C200" i="4"/>
  <c r="B200" i="4"/>
  <c r="A200" i="4"/>
  <c r="G199" i="4"/>
  <c r="F199" i="4"/>
  <c r="E199" i="4"/>
  <c r="D199" i="4"/>
  <c r="C199" i="4"/>
  <c r="B199" i="4"/>
  <c r="A199" i="4"/>
  <c r="G198" i="4"/>
  <c r="F198" i="4"/>
  <c r="E198" i="4"/>
  <c r="D198" i="4"/>
  <c r="C198" i="4"/>
  <c r="B198" i="4"/>
  <c r="A198" i="4"/>
  <c r="G197" i="4"/>
  <c r="F197" i="4"/>
  <c r="E197" i="4"/>
  <c r="D197" i="4"/>
  <c r="C197" i="4"/>
  <c r="B197" i="4"/>
  <c r="A197" i="4"/>
  <c r="G196" i="4"/>
  <c r="F196" i="4"/>
  <c r="E196" i="4"/>
  <c r="D196" i="4"/>
  <c r="C196" i="4"/>
  <c r="B196" i="4"/>
  <c r="A196" i="4"/>
  <c r="G195" i="4"/>
  <c r="F195" i="4"/>
  <c r="E195" i="4"/>
  <c r="D195" i="4"/>
  <c r="C195" i="4"/>
  <c r="B195" i="4"/>
  <c r="A195" i="4"/>
  <c r="G194" i="4"/>
  <c r="F194" i="4"/>
  <c r="E194" i="4"/>
  <c r="D194" i="4"/>
  <c r="C194" i="4"/>
  <c r="B194" i="4"/>
  <c r="A194" i="4"/>
  <c r="G193" i="4"/>
  <c r="F193" i="4"/>
  <c r="E193" i="4"/>
  <c r="D193" i="4"/>
  <c r="C193" i="4"/>
  <c r="B193" i="4"/>
  <c r="A193" i="4"/>
  <c r="G192" i="4"/>
  <c r="F192" i="4"/>
  <c r="E192" i="4"/>
  <c r="D192" i="4"/>
  <c r="C192" i="4"/>
  <c r="B192" i="4"/>
  <c r="A192" i="4"/>
  <c r="G191" i="4"/>
  <c r="F191" i="4"/>
  <c r="E191" i="4"/>
  <c r="D191" i="4"/>
  <c r="C191" i="4"/>
  <c r="B191" i="4"/>
  <c r="A191" i="4"/>
  <c r="G190" i="4"/>
  <c r="F190" i="4"/>
  <c r="E190" i="4"/>
  <c r="D190" i="4"/>
  <c r="C190" i="4"/>
  <c r="B190" i="4"/>
  <c r="A190" i="4"/>
  <c r="G189" i="4"/>
  <c r="F189" i="4"/>
  <c r="E189" i="4"/>
  <c r="D189" i="4"/>
  <c r="C189" i="4"/>
  <c r="B189" i="4"/>
  <c r="A189" i="4"/>
  <c r="G188" i="4"/>
  <c r="F188" i="4"/>
  <c r="E188" i="4"/>
  <c r="D188" i="4"/>
  <c r="C188" i="4"/>
  <c r="B188" i="4"/>
  <c r="A188" i="4"/>
  <c r="G187" i="4"/>
  <c r="F187" i="4"/>
  <c r="E187" i="4"/>
  <c r="D187" i="4"/>
  <c r="C187" i="4"/>
  <c r="B187" i="4"/>
  <c r="A187" i="4"/>
  <c r="G186" i="4"/>
  <c r="F186" i="4"/>
  <c r="E186" i="4"/>
  <c r="D186" i="4"/>
  <c r="C186" i="4"/>
  <c r="B186" i="4"/>
  <c r="A186" i="4"/>
  <c r="G185" i="4"/>
  <c r="F185" i="4"/>
  <c r="E185" i="4"/>
  <c r="D185" i="4"/>
  <c r="C185" i="4"/>
  <c r="B185" i="4"/>
  <c r="A185" i="4"/>
  <c r="G184" i="4"/>
  <c r="F184" i="4"/>
  <c r="E184" i="4"/>
  <c r="D184" i="4"/>
  <c r="C184" i="4"/>
  <c r="B184" i="4"/>
  <c r="A184" i="4"/>
  <c r="G183" i="4"/>
  <c r="F183" i="4"/>
  <c r="E183" i="4"/>
  <c r="D183" i="4"/>
  <c r="C183" i="4"/>
  <c r="B183" i="4"/>
  <c r="A183" i="4"/>
  <c r="G182" i="4"/>
  <c r="F182" i="4"/>
  <c r="E182" i="4"/>
  <c r="D182" i="4"/>
  <c r="C182" i="4"/>
  <c r="B182" i="4"/>
  <c r="A182" i="4"/>
  <c r="G181" i="4"/>
  <c r="F181" i="4"/>
  <c r="E181" i="4"/>
  <c r="D181" i="4"/>
  <c r="C181" i="4"/>
  <c r="B181" i="4"/>
  <c r="A181" i="4"/>
  <c r="G180" i="4"/>
  <c r="F180" i="4"/>
  <c r="E180" i="4"/>
  <c r="D180" i="4"/>
  <c r="C180" i="4"/>
  <c r="B180" i="4"/>
  <c r="A180" i="4"/>
  <c r="G179" i="4"/>
  <c r="F179" i="4"/>
  <c r="E179" i="4"/>
  <c r="D179" i="4"/>
  <c r="C179" i="4"/>
  <c r="B179" i="4"/>
  <c r="A179" i="4"/>
  <c r="G178" i="4"/>
  <c r="F178" i="4"/>
  <c r="E178" i="4"/>
  <c r="D178" i="4"/>
  <c r="C178" i="4"/>
  <c r="B178" i="4"/>
  <c r="A178" i="4"/>
  <c r="G177" i="4"/>
  <c r="F177" i="4"/>
  <c r="E177" i="4"/>
  <c r="D177" i="4"/>
  <c r="C177" i="4"/>
  <c r="B177" i="4"/>
  <c r="A177" i="4"/>
  <c r="G176" i="4"/>
  <c r="F176" i="4"/>
  <c r="E176" i="4"/>
  <c r="D176" i="4"/>
  <c r="C176" i="4"/>
  <c r="B176" i="4"/>
  <c r="A176" i="4"/>
  <c r="G175" i="4"/>
  <c r="F175" i="4"/>
  <c r="E175" i="4"/>
  <c r="D175" i="4"/>
  <c r="C175" i="4"/>
  <c r="B175" i="4"/>
  <c r="A175" i="4"/>
  <c r="G174" i="4"/>
  <c r="F174" i="4"/>
  <c r="E174" i="4"/>
  <c r="D174" i="4"/>
  <c r="C174" i="4"/>
  <c r="B174" i="4"/>
  <c r="A174" i="4"/>
  <c r="G173" i="4"/>
  <c r="F173" i="4"/>
  <c r="E173" i="4"/>
  <c r="D173" i="4"/>
  <c r="C173" i="4"/>
  <c r="B173" i="4"/>
  <c r="A173" i="4"/>
  <c r="G172" i="4"/>
  <c r="F172" i="4"/>
  <c r="E172" i="4"/>
  <c r="D172" i="4"/>
  <c r="C172" i="4"/>
  <c r="B172" i="4"/>
  <c r="A172" i="4"/>
  <c r="G171" i="4"/>
  <c r="F171" i="4"/>
  <c r="E171" i="4"/>
  <c r="D171" i="4"/>
  <c r="C171" i="4"/>
  <c r="B171" i="4"/>
  <c r="A171" i="4"/>
  <c r="G170" i="4"/>
  <c r="F170" i="4"/>
  <c r="E170" i="4"/>
  <c r="D170" i="4"/>
  <c r="C170" i="4"/>
  <c r="B170" i="4"/>
  <c r="A170" i="4"/>
  <c r="G169" i="4"/>
  <c r="F169" i="4"/>
  <c r="E169" i="4"/>
  <c r="D169" i="4"/>
  <c r="C169" i="4"/>
  <c r="B169" i="4"/>
  <c r="A169" i="4"/>
  <c r="G168" i="4"/>
  <c r="F168" i="4"/>
  <c r="E168" i="4"/>
  <c r="D168" i="4"/>
  <c r="C168" i="4"/>
  <c r="B168" i="4"/>
  <c r="A168" i="4"/>
  <c r="G167" i="4"/>
  <c r="F167" i="4"/>
  <c r="E167" i="4"/>
  <c r="D167" i="4"/>
  <c r="C167" i="4"/>
  <c r="B167" i="4"/>
  <c r="A167" i="4"/>
  <c r="G166" i="4"/>
  <c r="F166" i="4"/>
  <c r="E166" i="4"/>
  <c r="D166" i="4"/>
  <c r="C166" i="4"/>
  <c r="B166" i="4"/>
  <c r="A166" i="4"/>
  <c r="G165" i="4"/>
  <c r="F165" i="4"/>
  <c r="E165" i="4"/>
  <c r="D165" i="4"/>
  <c r="C165" i="4"/>
  <c r="B165" i="4"/>
  <c r="A165" i="4"/>
  <c r="G164" i="4"/>
  <c r="F164" i="4"/>
  <c r="E164" i="4"/>
  <c r="D164" i="4"/>
  <c r="C164" i="4"/>
  <c r="B164" i="4"/>
  <c r="A164" i="4"/>
  <c r="G163" i="4"/>
  <c r="F163" i="4"/>
  <c r="E163" i="4"/>
  <c r="D163" i="4"/>
  <c r="C163" i="4"/>
  <c r="B163" i="4"/>
  <c r="A163" i="4"/>
  <c r="G162" i="4"/>
  <c r="F162" i="4"/>
  <c r="E162" i="4"/>
  <c r="D162" i="4"/>
  <c r="C162" i="4"/>
  <c r="B162" i="4"/>
  <c r="A162" i="4"/>
  <c r="G161" i="4"/>
  <c r="F161" i="4"/>
  <c r="E161" i="4"/>
  <c r="D161" i="4"/>
  <c r="C161" i="4"/>
  <c r="B161" i="4"/>
  <c r="A161" i="4"/>
  <c r="G160" i="4"/>
  <c r="F160" i="4"/>
  <c r="E160" i="4"/>
  <c r="D160" i="4"/>
  <c r="C160" i="4"/>
  <c r="B160" i="4"/>
  <c r="A160" i="4"/>
  <c r="G159" i="4"/>
  <c r="F159" i="4"/>
  <c r="E159" i="4"/>
  <c r="D159" i="4"/>
  <c r="C159" i="4"/>
  <c r="B159" i="4"/>
  <c r="A159" i="4"/>
  <c r="G158" i="4"/>
  <c r="F158" i="4"/>
  <c r="E158" i="4"/>
  <c r="D158" i="4"/>
  <c r="C158" i="4"/>
  <c r="B158" i="4"/>
  <c r="A158" i="4"/>
  <c r="G157" i="4"/>
  <c r="F157" i="4"/>
  <c r="E157" i="4"/>
  <c r="D157" i="4"/>
  <c r="C157" i="4"/>
  <c r="B157" i="4"/>
  <c r="A157" i="4"/>
  <c r="G156" i="4"/>
  <c r="F156" i="4"/>
  <c r="E156" i="4"/>
  <c r="D156" i="4"/>
  <c r="C156" i="4"/>
  <c r="B156" i="4"/>
  <c r="A156" i="4"/>
  <c r="G155" i="4"/>
  <c r="F155" i="4"/>
  <c r="E155" i="4"/>
  <c r="D155" i="4"/>
  <c r="C155" i="4"/>
  <c r="B155" i="4"/>
  <c r="A155" i="4"/>
  <c r="G154" i="4"/>
  <c r="F154" i="4"/>
  <c r="E154" i="4"/>
  <c r="D154" i="4"/>
  <c r="C154" i="4"/>
  <c r="B154" i="4"/>
  <c r="A154" i="4"/>
  <c r="G153" i="4"/>
  <c r="F153" i="4"/>
  <c r="E153" i="4"/>
  <c r="D153" i="4"/>
  <c r="C153" i="4"/>
  <c r="B153" i="4"/>
  <c r="A153" i="4"/>
  <c r="G152" i="4"/>
  <c r="F152" i="4"/>
  <c r="E152" i="4"/>
  <c r="D152" i="4"/>
  <c r="C152" i="4"/>
  <c r="B152" i="4"/>
  <c r="A152" i="4"/>
  <c r="G151" i="4"/>
  <c r="F151" i="4"/>
  <c r="E151" i="4"/>
  <c r="D151" i="4"/>
  <c r="C151" i="4"/>
  <c r="B151" i="4"/>
  <c r="A151" i="4"/>
  <c r="G150" i="4"/>
  <c r="F150" i="4"/>
  <c r="E150" i="4"/>
  <c r="D150" i="4"/>
  <c r="C150" i="4"/>
  <c r="B150" i="4"/>
  <c r="A150" i="4"/>
  <c r="G149" i="4"/>
  <c r="F149" i="4"/>
  <c r="E149" i="4"/>
  <c r="D149" i="4"/>
  <c r="C149" i="4"/>
  <c r="B149" i="4"/>
  <c r="A149" i="4"/>
  <c r="G148" i="4"/>
  <c r="F148" i="4"/>
  <c r="E148" i="4"/>
  <c r="D148" i="4"/>
  <c r="C148" i="4"/>
  <c r="B148" i="4"/>
  <c r="A148" i="4"/>
  <c r="G147" i="4"/>
  <c r="F147" i="4"/>
  <c r="E147" i="4"/>
  <c r="D147" i="4"/>
  <c r="C147" i="4"/>
  <c r="B147" i="4"/>
  <c r="A147" i="4"/>
  <c r="G146" i="4"/>
  <c r="F146" i="4"/>
  <c r="E146" i="4"/>
  <c r="D146" i="4"/>
  <c r="C146" i="4"/>
  <c r="B146" i="4"/>
  <c r="A146" i="4"/>
  <c r="G145" i="4"/>
  <c r="F145" i="4"/>
  <c r="E145" i="4"/>
  <c r="D145" i="4"/>
  <c r="C145" i="4"/>
  <c r="B145" i="4"/>
  <c r="A145" i="4"/>
  <c r="G144" i="4"/>
  <c r="F144" i="4"/>
  <c r="E144" i="4"/>
  <c r="D144" i="4"/>
  <c r="C144" i="4"/>
  <c r="B144" i="4"/>
  <c r="A144" i="4"/>
  <c r="G143" i="4"/>
  <c r="F143" i="4"/>
  <c r="E143" i="4"/>
  <c r="D143" i="4"/>
  <c r="C143" i="4"/>
  <c r="B143" i="4"/>
  <c r="A143" i="4"/>
  <c r="G142" i="4"/>
  <c r="F142" i="4"/>
  <c r="E142" i="4"/>
  <c r="D142" i="4"/>
  <c r="C142" i="4"/>
  <c r="B142" i="4"/>
  <c r="A142" i="4"/>
  <c r="G141" i="4"/>
  <c r="F141" i="4"/>
  <c r="E141" i="4"/>
  <c r="D141" i="4"/>
  <c r="C141" i="4"/>
  <c r="B141" i="4"/>
  <c r="A141" i="4"/>
  <c r="G140" i="4"/>
  <c r="F140" i="4"/>
  <c r="E140" i="4"/>
  <c r="D140" i="4"/>
  <c r="C140" i="4"/>
  <c r="B140" i="4"/>
  <c r="A140" i="4"/>
  <c r="G139" i="4"/>
  <c r="F139" i="4"/>
  <c r="E139" i="4"/>
  <c r="D139" i="4"/>
  <c r="C139" i="4"/>
  <c r="B139" i="4"/>
  <c r="A139" i="4"/>
  <c r="G138" i="4"/>
  <c r="F138" i="4"/>
  <c r="E138" i="4"/>
  <c r="D138" i="4"/>
  <c r="C138" i="4"/>
  <c r="B138" i="4"/>
  <c r="A138" i="4"/>
  <c r="G137" i="4"/>
  <c r="F137" i="4"/>
  <c r="E137" i="4"/>
  <c r="D137" i="4"/>
  <c r="C137" i="4"/>
  <c r="B137" i="4"/>
  <c r="A137" i="4"/>
  <c r="G136" i="4"/>
  <c r="F136" i="4"/>
  <c r="E136" i="4"/>
  <c r="D136" i="4"/>
  <c r="C136" i="4"/>
  <c r="B136" i="4"/>
  <c r="A136" i="4"/>
  <c r="G135" i="4"/>
  <c r="F135" i="4"/>
  <c r="E135" i="4"/>
  <c r="D135" i="4"/>
  <c r="C135" i="4"/>
  <c r="B135" i="4"/>
  <c r="A135" i="4"/>
  <c r="G134" i="4"/>
  <c r="F134" i="4"/>
  <c r="E134" i="4"/>
  <c r="D134" i="4"/>
  <c r="C134" i="4"/>
  <c r="B134" i="4"/>
  <c r="A134" i="4"/>
  <c r="G133" i="4"/>
  <c r="F133" i="4"/>
  <c r="E133" i="4"/>
  <c r="D133" i="4"/>
  <c r="C133" i="4"/>
  <c r="B133" i="4"/>
  <c r="A133" i="4"/>
  <c r="G132" i="4"/>
  <c r="F132" i="4"/>
  <c r="E132" i="4"/>
  <c r="D132" i="4"/>
  <c r="C132" i="4"/>
  <c r="B132" i="4"/>
  <c r="A132" i="4"/>
  <c r="G131" i="4"/>
  <c r="F131" i="4"/>
  <c r="E131" i="4"/>
  <c r="D131" i="4"/>
  <c r="C131" i="4"/>
  <c r="B131" i="4"/>
  <c r="A131" i="4"/>
  <c r="G130" i="4"/>
  <c r="F130" i="4"/>
  <c r="E130" i="4"/>
  <c r="D130" i="4"/>
  <c r="C130" i="4"/>
  <c r="B130" i="4"/>
  <c r="A130" i="4"/>
  <c r="G129" i="4"/>
  <c r="F129" i="4"/>
  <c r="E129" i="4"/>
  <c r="D129" i="4"/>
  <c r="C129" i="4"/>
  <c r="B129" i="4"/>
  <c r="A129" i="4"/>
  <c r="G128" i="4"/>
  <c r="F128" i="4"/>
  <c r="E128" i="4"/>
  <c r="D128" i="4"/>
  <c r="C128" i="4"/>
  <c r="B128" i="4"/>
  <c r="A128" i="4"/>
  <c r="G127" i="4"/>
  <c r="F127" i="4"/>
  <c r="E127" i="4"/>
  <c r="D127" i="4"/>
  <c r="C127" i="4"/>
  <c r="B127" i="4"/>
  <c r="A127" i="4"/>
  <c r="G126" i="4"/>
  <c r="F126" i="4"/>
  <c r="E126" i="4"/>
  <c r="D126" i="4"/>
  <c r="C126" i="4"/>
  <c r="B126" i="4"/>
  <c r="A126" i="4"/>
  <c r="G125" i="4"/>
  <c r="F125" i="4"/>
  <c r="E125" i="4"/>
  <c r="D125" i="4"/>
  <c r="C125" i="4"/>
  <c r="B125" i="4"/>
  <c r="A125" i="4"/>
  <c r="G124" i="4"/>
  <c r="F124" i="4"/>
  <c r="E124" i="4"/>
  <c r="D124" i="4"/>
  <c r="C124" i="4"/>
  <c r="B124" i="4"/>
  <c r="A124" i="4"/>
  <c r="G123" i="4"/>
  <c r="F123" i="4"/>
  <c r="E123" i="4"/>
  <c r="D123" i="4"/>
  <c r="C123" i="4"/>
  <c r="B123" i="4"/>
  <c r="A123" i="4"/>
  <c r="G122" i="4"/>
  <c r="F122" i="4"/>
  <c r="E122" i="4"/>
  <c r="D122" i="4"/>
  <c r="C122" i="4"/>
  <c r="B122" i="4"/>
  <c r="A122" i="4"/>
  <c r="G121" i="4"/>
  <c r="F121" i="4"/>
  <c r="E121" i="4"/>
  <c r="D121" i="4"/>
  <c r="C121" i="4"/>
  <c r="B121" i="4"/>
  <c r="A121" i="4"/>
  <c r="G120" i="4"/>
  <c r="F120" i="4"/>
  <c r="E120" i="4"/>
  <c r="D120" i="4"/>
  <c r="C120" i="4"/>
  <c r="B120" i="4"/>
  <c r="A120" i="4"/>
  <c r="G119" i="4"/>
  <c r="F119" i="4"/>
  <c r="E119" i="4"/>
  <c r="D119" i="4"/>
  <c r="C119" i="4"/>
  <c r="B119" i="4"/>
  <c r="A119" i="4"/>
  <c r="G118" i="4"/>
  <c r="F118" i="4"/>
  <c r="E118" i="4"/>
  <c r="D118" i="4"/>
  <c r="C118" i="4"/>
  <c r="B118" i="4"/>
  <c r="A118" i="4"/>
  <c r="G117" i="4"/>
  <c r="F117" i="4"/>
  <c r="E117" i="4"/>
  <c r="D117" i="4"/>
  <c r="C117" i="4"/>
  <c r="B117" i="4"/>
  <c r="A117" i="4"/>
  <c r="G116" i="4"/>
  <c r="F116" i="4"/>
  <c r="E116" i="4"/>
  <c r="D116" i="4"/>
  <c r="C116" i="4"/>
  <c r="B116" i="4"/>
  <c r="A116" i="4"/>
  <c r="G115" i="4"/>
  <c r="F115" i="4"/>
  <c r="E115" i="4"/>
  <c r="D115" i="4"/>
  <c r="C115" i="4"/>
  <c r="B115" i="4"/>
  <c r="A115" i="4"/>
  <c r="G114" i="4"/>
  <c r="F114" i="4"/>
  <c r="E114" i="4"/>
  <c r="D114" i="4"/>
  <c r="C114" i="4"/>
  <c r="B114" i="4"/>
  <c r="A114" i="4"/>
  <c r="G113" i="4"/>
  <c r="F113" i="4"/>
  <c r="E113" i="4"/>
  <c r="D113" i="4"/>
  <c r="C113" i="4"/>
  <c r="B113" i="4"/>
  <c r="A113" i="4"/>
  <c r="G112" i="4"/>
  <c r="F112" i="4"/>
  <c r="E112" i="4"/>
  <c r="D112" i="4"/>
  <c r="C112" i="4"/>
  <c r="B112" i="4"/>
  <c r="A112" i="4"/>
  <c r="G111" i="4"/>
  <c r="F111" i="4"/>
  <c r="E111" i="4"/>
  <c r="D111" i="4"/>
  <c r="C111" i="4"/>
  <c r="B111" i="4"/>
  <c r="A111" i="4"/>
  <c r="G110" i="4"/>
  <c r="F110" i="4"/>
  <c r="E110" i="4"/>
  <c r="D110" i="4"/>
  <c r="C110" i="4"/>
  <c r="B110" i="4"/>
  <c r="A110" i="4"/>
  <c r="G109" i="4"/>
  <c r="F109" i="4"/>
  <c r="E109" i="4"/>
  <c r="D109" i="4"/>
  <c r="C109" i="4"/>
  <c r="B109" i="4"/>
  <c r="A109" i="4"/>
  <c r="G108" i="4"/>
  <c r="F108" i="4"/>
  <c r="E108" i="4"/>
  <c r="D108" i="4"/>
  <c r="C108" i="4"/>
  <c r="B108" i="4"/>
  <c r="A108" i="4"/>
  <c r="G107" i="4"/>
  <c r="F107" i="4"/>
  <c r="E107" i="4"/>
  <c r="D107" i="4"/>
  <c r="C107" i="4"/>
  <c r="B107" i="4"/>
  <c r="A107" i="4"/>
  <c r="G106" i="4"/>
  <c r="F106" i="4"/>
  <c r="E106" i="4"/>
  <c r="D106" i="4"/>
  <c r="C106" i="4"/>
  <c r="B106" i="4"/>
  <c r="A106" i="4"/>
  <c r="G105" i="4"/>
  <c r="F105" i="4"/>
  <c r="E105" i="4"/>
  <c r="D105" i="4"/>
  <c r="C105" i="4"/>
  <c r="B105" i="4"/>
  <c r="A105" i="4"/>
  <c r="G104" i="4"/>
  <c r="F104" i="4"/>
  <c r="E104" i="4"/>
  <c r="D104" i="4"/>
  <c r="C104" i="4"/>
  <c r="B104" i="4"/>
  <c r="A104" i="4"/>
  <c r="G103" i="4"/>
  <c r="F103" i="4"/>
  <c r="E103" i="4"/>
  <c r="D103" i="4"/>
  <c r="C103" i="4"/>
  <c r="B103" i="4"/>
  <c r="A103" i="4"/>
  <c r="G102" i="4"/>
  <c r="F102" i="4"/>
  <c r="E102" i="4"/>
  <c r="D102" i="4"/>
  <c r="C102" i="4"/>
  <c r="B102" i="4"/>
  <c r="A102" i="4"/>
  <c r="G101" i="4"/>
  <c r="F101" i="4"/>
  <c r="E101" i="4"/>
  <c r="D101" i="4"/>
  <c r="C101" i="4"/>
  <c r="B101" i="4"/>
  <c r="A101" i="4"/>
  <c r="G100" i="4"/>
  <c r="F100" i="4"/>
  <c r="E100" i="4"/>
  <c r="D100" i="4"/>
  <c r="C100" i="4"/>
  <c r="B100" i="4"/>
  <c r="A100" i="4"/>
  <c r="G99" i="4"/>
  <c r="F99" i="4"/>
  <c r="E99" i="4"/>
  <c r="D99" i="4"/>
  <c r="C99" i="4"/>
  <c r="B99" i="4"/>
  <c r="A99" i="4"/>
  <c r="G98" i="4"/>
  <c r="F98" i="4"/>
  <c r="E98" i="4"/>
  <c r="D98" i="4"/>
  <c r="C98" i="4"/>
  <c r="B98" i="4"/>
  <c r="A98" i="4"/>
  <c r="G97" i="4"/>
  <c r="F97" i="4"/>
  <c r="E97" i="4"/>
  <c r="D97" i="4"/>
  <c r="C97" i="4"/>
  <c r="B97" i="4"/>
  <c r="A97" i="4"/>
  <c r="G96" i="4"/>
  <c r="F96" i="4"/>
  <c r="E96" i="4"/>
  <c r="D96" i="4"/>
  <c r="C96" i="4"/>
  <c r="B96" i="4"/>
  <c r="A96" i="4"/>
  <c r="G95" i="4"/>
  <c r="F95" i="4"/>
  <c r="E95" i="4"/>
  <c r="D95" i="4"/>
  <c r="C95" i="4"/>
  <c r="B95" i="4"/>
  <c r="A95" i="4"/>
  <c r="G94" i="4"/>
  <c r="F94" i="4"/>
  <c r="E94" i="4"/>
  <c r="D94" i="4"/>
  <c r="C94" i="4"/>
  <c r="B94" i="4"/>
  <c r="A94" i="4"/>
  <c r="G93" i="4"/>
  <c r="F93" i="4"/>
  <c r="E93" i="4"/>
  <c r="D93" i="4"/>
  <c r="C93" i="4"/>
  <c r="B93" i="4"/>
  <c r="A93" i="4"/>
  <c r="G92" i="4"/>
  <c r="F92" i="4"/>
  <c r="E92" i="4"/>
  <c r="D92" i="4"/>
  <c r="C92" i="4"/>
  <c r="B92" i="4"/>
  <c r="A92" i="4"/>
  <c r="G91" i="4"/>
  <c r="F91" i="4"/>
  <c r="E91" i="4"/>
  <c r="D91" i="4"/>
  <c r="C91" i="4"/>
  <c r="B91" i="4"/>
  <c r="A91" i="4"/>
  <c r="G90" i="4"/>
  <c r="F90" i="4"/>
  <c r="E90" i="4"/>
  <c r="D90" i="4"/>
  <c r="C90" i="4"/>
  <c r="B90" i="4"/>
  <c r="A90" i="4"/>
  <c r="G89" i="4"/>
  <c r="F89" i="4"/>
  <c r="E89" i="4"/>
  <c r="D89" i="4"/>
  <c r="C89" i="4"/>
  <c r="B89" i="4"/>
  <c r="A89" i="4"/>
  <c r="G88" i="4"/>
  <c r="F88" i="4"/>
  <c r="E88" i="4"/>
  <c r="D88" i="4"/>
  <c r="C88" i="4"/>
  <c r="B88" i="4"/>
  <c r="A88" i="4"/>
  <c r="G87" i="4"/>
  <c r="F87" i="4"/>
  <c r="E87" i="4"/>
  <c r="D87" i="4"/>
  <c r="C87" i="4"/>
  <c r="B87" i="4"/>
  <c r="A87" i="4"/>
  <c r="G86" i="4"/>
  <c r="F86" i="4"/>
  <c r="E86" i="4"/>
  <c r="D86" i="4"/>
  <c r="C86" i="4"/>
  <c r="B86" i="4"/>
  <c r="A86" i="4"/>
  <c r="G85" i="4"/>
  <c r="F85" i="4"/>
  <c r="E85" i="4"/>
  <c r="D85" i="4"/>
  <c r="C85" i="4"/>
  <c r="B85" i="4"/>
  <c r="A85" i="4"/>
  <c r="G84" i="4"/>
  <c r="F84" i="4"/>
  <c r="E84" i="4"/>
  <c r="D84" i="4"/>
  <c r="C84" i="4"/>
  <c r="B84" i="4"/>
  <c r="A84" i="4"/>
  <c r="G83" i="4"/>
  <c r="F83" i="4"/>
  <c r="E83" i="4"/>
  <c r="D83" i="4"/>
  <c r="C83" i="4"/>
  <c r="B83" i="4"/>
  <c r="A83" i="4"/>
  <c r="G82" i="4"/>
  <c r="F82" i="4"/>
  <c r="E82" i="4"/>
  <c r="D82" i="4"/>
  <c r="C82" i="4"/>
  <c r="B82" i="4"/>
  <c r="A82" i="4"/>
  <c r="G81" i="4"/>
  <c r="F81" i="4"/>
  <c r="E81" i="4"/>
  <c r="D81" i="4"/>
  <c r="C81" i="4"/>
  <c r="B81" i="4"/>
  <c r="A81" i="4"/>
  <c r="G80" i="4"/>
  <c r="F80" i="4"/>
  <c r="E80" i="4"/>
  <c r="D80" i="4"/>
  <c r="C80" i="4"/>
  <c r="B80" i="4"/>
  <c r="A80" i="4"/>
  <c r="G79" i="4"/>
  <c r="F79" i="4"/>
  <c r="E79" i="4"/>
  <c r="D79" i="4"/>
  <c r="C79" i="4"/>
  <c r="B79" i="4"/>
  <c r="A79" i="4"/>
  <c r="G78" i="4"/>
  <c r="F78" i="4"/>
  <c r="E78" i="4"/>
  <c r="D78" i="4"/>
  <c r="C78" i="4"/>
  <c r="B78" i="4"/>
  <c r="A78" i="4"/>
  <c r="G77" i="4"/>
  <c r="F77" i="4"/>
  <c r="E77" i="4"/>
  <c r="D77" i="4"/>
  <c r="C77" i="4"/>
  <c r="B77" i="4"/>
  <c r="A77" i="4"/>
  <c r="G76" i="4"/>
  <c r="F76" i="4"/>
  <c r="E76" i="4"/>
  <c r="D76" i="4"/>
  <c r="C76" i="4"/>
  <c r="B76" i="4"/>
  <c r="A76" i="4"/>
  <c r="G75" i="4"/>
  <c r="F75" i="4"/>
  <c r="E75" i="4"/>
  <c r="D75" i="4"/>
  <c r="C75" i="4"/>
  <c r="B75" i="4"/>
  <c r="A75" i="4"/>
  <c r="G74" i="4"/>
  <c r="F74" i="4"/>
  <c r="E74" i="4"/>
  <c r="D74" i="4"/>
  <c r="C74" i="4"/>
  <c r="B74" i="4"/>
  <c r="A74" i="4"/>
  <c r="G73" i="4"/>
  <c r="F73" i="4"/>
  <c r="E73" i="4"/>
  <c r="D73" i="4"/>
  <c r="C73" i="4"/>
  <c r="B73" i="4"/>
  <c r="A73" i="4"/>
  <c r="G72" i="4"/>
  <c r="F72" i="4"/>
  <c r="E72" i="4"/>
  <c r="D72" i="4"/>
  <c r="C72" i="4"/>
  <c r="B72" i="4"/>
  <c r="A72" i="4"/>
  <c r="G71" i="4"/>
  <c r="F71" i="4"/>
  <c r="E71" i="4"/>
  <c r="D71" i="4"/>
  <c r="C71" i="4"/>
  <c r="B71" i="4"/>
  <c r="A71" i="4"/>
  <c r="G70" i="4"/>
  <c r="F70" i="4"/>
  <c r="E70" i="4"/>
  <c r="D70" i="4"/>
  <c r="C70" i="4"/>
  <c r="B70" i="4"/>
  <c r="A70" i="4"/>
  <c r="G69" i="4"/>
  <c r="F69" i="4"/>
  <c r="E69" i="4"/>
  <c r="D69" i="4"/>
  <c r="C69" i="4"/>
  <c r="B69" i="4"/>
  <c r="A69" i="4"/>
  <c r="G68" i="4"/>
  <c r="F68" i="4"/>
  <c r="E68" i="4"/>
  <c r="D68" i="4"/>
  <c r="C68" i="4"/>
  <c r="B68" i="4"/>
  <c r="A68" i="4"/>
  <c r="G67" i="4"/>
  <c r="F67" i="4"/>
  <c r="E67" i="4"/>
  <c r="D67" i="4"/>
  <c r="C67" i="4"/>
  <c r="B67" i="4"/>
  <c r="A67" i="4"/>
  <c r="G66" i="4"/>
  <c r="F66" i="4"/>
  <c r="E66" i="4"/>
  <c r="D66" i="4"/>
  <c r="C66" i="4"/>
  <c r="B66" i="4"/>
  <c r="A66" i="4"/>
  <c r="G65" i="4"/>
  <c r="F65" i="4"/>
  <c r="E65" i="4"/>
  <c r="D65" i="4"/>
  <c r="C65" i="4"/>
  <c r="B65" i="4"/>
  <c r="A65" i="4"/>
  <c r="G64" i="4"/>
  <c r="F64" i="4"/>
  <c r="E64" i="4"/>
  <c r="D64" i="4"/>
  <c r="C64" i="4"/>
  <c r="B64" i="4"/>
  <c r="A64" i="4"/>
  <c r="G63" i="4"/>
  <c r="F63" i="4"/>
  <c r="E63" i="4"/>
  <c r="D63" i="4"/>
  <c r="C63" i="4"/>
  <c r="B63" i="4"/>
  <c r="A63" i="4"/>
  <c r="G62" i="4"/>
  <c r="F62" i="4"/>
  <c r="E62" i="4"/>
  <c r="D62" i="4"/>
  <c r="C62" i="4"/>
  <c r="B62" i="4"/>
  <c r="A62" i="4"/>
  <c r="G61" i="4"/>
  <c r="F61" i="4"/>
  <c r="E61" i="4"/>
  <c r="D61" i="4"/>
  <c r="C61" i="4"/>
  <c r="B61" i="4"/>
  <c r="A61" i="4"/>
  <c r="G60" i="4"/>
  <c r="F60" i="4"/>
  <c r="E60" i="4"/>
  <c r="D60" i="4"/>
  <c r="C60" i="4"/>
  <c r="B60" i="4"/>
  <c r="A60" i="4"/>
  <c r="G59" i="4"/>
  <c r="F59" i="4"/>
  <c r="E59" i="4"/>
  <c r="D59" i="4"/>
  <c r="C59" i="4"/>
  <c r="B59" i="4"/>
  <c r="A59" i="4"/>
  <c r="G58" i="4"/>
  <c r="F58" i="4"/>
  <c r="E58" i="4"/>
  <c r="D58" i="4"/>
  <c r="C58" i="4"/>
  <c r="B58" i="4"/>
  <c r="A58" i="4"/>
  <c r="G57" i="4"/>
  <c r="F57" i="4"/>
  <c r="E57" i="4"/>
  <c r="D57" i="4"/>
  <c r="C57" i="4"/>
  <c r="B57" i="4"/>
  <c r="A57" i="4"/>
  <c r="G56" i="4"/>
  <c r="F56" i="4"/>
  <c r="E56" i="4"/>
  <c r="D56" i="4"/>
  <c r="C56" i="4"/>
  <c r="B56" i="4"/>
  <c r="A56" i="4"/>
  <c r="G55" i="4"/>
  <c r="F55" i="4"/>
  <c r="E55" i="4"/>
  <c r="D55" i="4"/>
  <c r="C55" i="4"/>
  <c r="B55" i="4"/>
  <c r="A55" i="4"/>
  <c r="G54" i="4"/>
  <c r="F54" i="4"/>
  <c r="E54" i="4"/>
  <c r="D54" i="4"/>
  <c r="C54" i="4"/>
  <c r="B54" i="4"/>
  <c r="A54" i="4"/>
  <c r="G53" i="4"/>
  <c r="F53" i="4"/>
  <c r="E53" i="4"/>
  <c r="D53" i="4"/>
  <c r="C53" i="4"/>
  <c r="B53" i="4"/>
  <c r="A53" i="4"/>
  <c r="G52" i="4"/>
  <c r="F52" i="4"/>
  <c r="E52" i="4"/>
  <c r="D52" i="4"/>
  <c r="C52" i="4"/>
  <c r="B52" i="4"/>
  <c r="A52" i="4"/>
  <c r="G51" i="4"/>
  <c r="F51" i="4"/>
  <c r="E51" i="4"/>
  <c r="D51" i="4"/>
  <c r="C51" i="4"/>
  <c r="B51" i="4"/>
  <c r="A51" i="4"/>
  <c r="G50" i="4"/>
  <c r="F50" i="4"/>
  <c r="E50" i="4"/>
  <c r="D50" i="4"/>
  <c r="C50" i="4"/>
  <c r="B50" i="4"/>
  <c r="A50" i="4"/>
  <c r="G49" i="4"/>
  <c r="F49" i="4"/>
  <c r="E49" i="4"/>
  <c r="D49" i="4"/>
  <c r="C49" i="4"/>
  <c r="B49" i="4"/>
  <c r="A49" i="4"/>
  <c r="G48" i="4"/>
  <c r="F48" i="4"/>
  <c r="E48" i="4"/>
  <c r="D48" i="4"/>
  <c r="C48" i="4"/>
  <c r="B48" i="4"/>
  <c r="A48" i="4"/>
  <c r="G47" i="4"/>
  <c r="F47" i="4"/>
  <c r="E47" i="4"/>
  <c r="D47" i="4"/>
  <c r="C47" i="4"/>
  <c r="B47" i="4"/>
  <c r="A47" i="4"/>
  <c r="G46" i="4"/>
  <c r="F46" i="4"/>
  <c r="E46" i="4"/>
  <c r="D46" i="4"/>
  <c r="C46" i="4"/>
  <c r="B46" i="4"/>
  <c r="A46" i="4"/>
  <c r="G45" i="4"/>
  <c r="F45" i="4"/>
  <c r="E45" i="4"/>
  <c r="D45" i="4"/>
  <c r="C45" i="4"/>
  <c r="B45" i="4"/>
  <c r="A45" i="4"/>
  <c r="G44" i="4"/>
  <c r="F44" i="4"/>
  <c r="E44" i="4"/>
  <c r="D44" i="4"/>
  <c r="C44" i="4"/>
  <c r="B44" i="4"/>
  <c r="A44" i="4"/>
  <c r="G43" i="4"/>
  <c r="F43" i="4"/>
  <c r="E43" i="4"/>
  <c r="D43" i="4"/>
  <c r="C43" i="4"/>
  <c r="B43" i="4"/>
  <c r="A43" i="4"/>
  <c r="G42" i="4"/>
  <c r="F42" i="4"/>
  <c r="E42" i="4"/>
  <c r="D42" i="4"/>
  <c r="C42" i="4"/>
  <c r="B42" i="4"/>
  <c r="A42" i="4"/>
  <c r="G41" i="4"/>
  <c r="F41" i="4"/>
  <c r="E41" i="4"/>
  <c r="D41" i="4"/>
  <c r="C41" i="4"/>
  <c r="B41" i="4"/>
  <c r="A41" i="4"/>
  <c r="G40" i="4"/>
  <c r="F40" i="4"/>
  <c r="E40" i="4"/>
  <c r="D40" i="4"/>
  <c r="C40" i="4"/>
  <c r="B40" i="4"/>
  <c r="A40" i="4"/>
  <c r="G39" i="4"/>
  <c r="F39" i="4"/>
  <c r="E39" i="4"/>
  <c r="D39" i="4"/>
  <c r="C39" i="4"/>
  <c r="B39" i="4"/>
  <c r="A39" i="4"/>
  <c r="G38" i="4"/>
  <c r="F38" i="4"/>
  <c r="E38" i="4"/>
  <c r="D38" i="4"/>
  <c r="C38" i="4"/>
  <c r="B38" i="4"/>
  <c r="A38" i="4"/>
  <c r="G37" i="4"/>
  <c r="F37" i="4"/>
  <c r="E37" i="4"/>
  <c r="D37" i="4"/>
  <c r="C37" i="4"/>
  <c r="B37" i="4"/>
  <c r="A37" i="4"/>
  <c r="G36" i="4"/>
  <c r="F36" i="4"/>
  <c r="E36" i="4"/>
  <c r="D36" i="4"/>
  <c r="C36" i="4"/>
  <c r="B36" i="4"/>
  <c r="A36" i="4"/>
  <c r="G35" i="4"/>
  <c r="F35" i="4"/>
  <c r="E35" i="4"/>
  <c r="D35" i="4"/>
  <c r="C35" i="4"/>
  <c r="B35" i="4"/>
  <c r="A35" i="4"/>
  <c r="G34" i="4"/>
  <c r="F34" i="4"/>
  <c r="E34" i="4"/>
  <c r="D34" i="4"/>
  <c r="C34" i="4"/>
  <c r="B34" i="4"/>
  <c r="A34" i="4"/>
  <c r="G33" i="4"/>
  <c r="F33" i="4"/>
  <c r="E33" i="4"/>
  <c r="D33" i="4"/>
  <c r="C33" i="4"/>
  <c r="B33" i="4"/>
  <c r="A33" i="4"/>
  <c r="G32" i="4"/>
  <c r="F32" i="4"/>
  <c r="E32" i="4"/>
  <c r="D32" i="4"/>
  <c r="C32" i="4"/>
  <c r="B32" i="4"/>
  <c r="A32" i="4"/>
  <c r="G31" i="4"/>
  <c r="F31" i="4"/>
  <c r="E31" i="4"/>
  <c r="D31" i="4"/>
  <c r="C31" i="4"/>
  <c r="B31" i="4"/>
  <c r="A31" i="4"/>
  <c r="G30" i="4"/>
  <c r="F30" i="4"/>
  <c r="E30" i="4"/>
  <c r="D30" i="4"/>
  <c r="C30" i="4"/>
  <c r="B30" i="4"/>
  <c r="A30" i="4"/>
  <c r="G29" i="4"/>
  <c r="F29" i="4"/>
  <c r="E29" i="4"/>
  <c r="D29" i="4"/>
  <c r="C29" i="4"/>
  <c r="B29" i="4"/>
  <c r="A29" i="4"/>
  <c r="G28" i="4"/>
  <c r="F28" i="4"/>
  <c r="E28" i="4"/>
  <c r="D28" i="4"/>
  <c r="C28" i="4"/>
  <c r="B28" i="4"/>
  <c r="A28" i="4"/>
  <c r="G27" i="4"/>
  <c r="F27" i="4"/>
  <c r="E27" i="4"/>
  <c r="D27" i="4"/>
  <c r="C27" i="4"/>
  <c r="B27" i="4"/>
  <c r="A27" i="4"/>
  <c r="G26" i="4"/>
  <c r="F26" i="4"/>
  <c r="E26" i="4"/>
  <c r="D26" i="4"/>
  <c r="C26" i="4"/>
  <c r="B26" i="4"/>
  <c r="A26" i="4"/>
  <c r="G25" i="4"/>
  <c r="F25" i="4"/>
  <c r="E25" i="4"/>
  <c r="D25" i="4"/>
  <c r="C25" i="4"/>
  <c r="B25" i="4"/>
  <c r="A25" i="4"/>
  <c r="G24" i="4"/>
  <c r="F24" i="4"/>
  <c r="E24" i="4"/>
  <c r="D24" i="4"/>
  <c r="C24" i="4"/>
  <c r="B24" i="4"/>
  <c r="A24" i="4"/>
  <c r="G23" i="4"/>
  <c r="F23" i="4"/>
  <c r="E23" i="4"/>
  <c r="D23" i="4"/>
  <c r="C23" i="4"/>
  <c r="B23" i="4"/>
  <c r="A23" i="4"/>
  <c r="G22" i="4"/>
  <c r="F22" i="4"/>
  <c r="E22" i="4"/>
  <c r="D22" i="4"/>
  <c r="C22" i="4"/>
  <c r="B22" i="4"/>
  <c r="A22" i="4"/>
  <c r="G21" i="4"/>
  <c r="F21" i="4"/>
  <c r="E21" i="4"/>
  <c r="D21" i="4"/>
  <c r="C21" i="4"/>
  <c r="B21" i="4"/>
  <c r="A21" i="4"/>
  <c r="G20" i="4"/>
  <c r="F20" i="4"/>
  <c r="E20" i="4"/>
  <c r="D20" i="4"/>
  <c r="C20" i="4"/>
  <c r="B20" i="4"/>
  <c r="A20" i="4"/>
  <c r="G19" i="4"/>
  <c r="F19" i="4"/>
  <c r="E19" i="4"/>
  <c r="D19" i="4"/>
  <c r="C19" i="4"/>
  <c r="B19" i="4"/>
  <c r="A19" i="4"/>
  <c r="G18" i="4"/>
  <c r="F18" i="4"/>
  <c r="E18" i="4"/>
  <c r="D18" i="4"/>
  <c r="C18" i="4"/>
  <c r="B18" i="4"/>
  <c r="A18" i="4"/>
  <c r="G17" i="4"/>
  <c r="F17" i="4"/>
  <c r="E17" i="4"/>
  <c r="D17" i="4"/>
  <c r="C17" i="4"/>
  <c r="B17" i="4"/>
  <c r="A17" i="4"/>
  <c r="G16" i="4"/>
  <c r="F16" i="4"/>
  <c r="E16" i="4"/>
  <c r="D16" i="4"/>
  <c r="C16" i="4"/>
  <c r="B16" i="4"/>
  <c r="A16" i="4"/>
  <c r="G15" i="4"/>
  <c r="F15" i="4"/>
  <c r="E15" i="4"/>
  <c r="D15" i="4"/>
  <c r="C15" i="4"/>
  <c r="B15" i="4"/>
  <c r="A15" i="4"/>
  <c r="G14" i="4"/>
  <c r="F14" i="4"/>
  <c r="E14" i="4"/>
  <c r="D14" i="4"/>
  <c r="C14" i="4"/>
  <c r="B14" i="4"/>
  <c r="A14" i="4"/>
  <c r="G13" i="4"/>
  <c r="F13" i="4"/>
  <c r="E13" i="4"/>
  <c r="D13" i="4"/>
  <c r="C13" i="4"/>
  <c r="B13" i="4"/>
  <c r="A13" i="4"/>
  <c r="G12" i="4"/>
  <c r="F12" i="4"/>
  <c r="E12" i="4"/>
  <c r="D12" i="4"/>
  <c r="C12" i="4"/>
  <c r="B12" i="4"/>
  <c r="A12" i="4"/>
  <c r="G11" i="4"/>
  <c r="F11" i="4"/>
  <c r="E11" i="4"/>
  <c r="D11" i="4"/>
  <c r="C11" i="4"/>
  <c r="B11" i="4"/>
  <c r="A11" i="4"/>
  <c r="G10" i="4"/>
  <c r="F10" i="4"/>
  <c r="E10" i="4"/>
  <c r="D10" i="4"/>
  <c r="C10" i="4"/>
  <c r="B10" i="4"/>
  <c r="A10" i="4"/>
  <c r="G9" i="4"/>
  <c r="F9" i="4"/>
  <c r="E9" i="4"/>
  <c r="D9" i="4"/>
  <c r="C9" i="4"/>
  <c r="B9" i="4"/>
  <c r="A9" i="4"/>
  <c r="G8" i="4"/>
  <c r="F8" i="4"/>
  <c r="E8" i="4"/>
  <c r="D8" i="4"/>
  <c r="C8" i="4"/>
  <c r="B8" i="4"/>
  <c r="A8" i="4"/>
  <c r="G7" i="4"/>
  <c r="F7" i="4"/>
  <c r="E7" i="4"/>
  <c r="D7" i="4"/>
  <c r="C7" i="4"/>
  <c r="B7" i="4"/>
  <c r="A7" i="4"/>
  <c r="G6" i="4"/>
  <c r="F6" i="4"/>
  <c r="E6" i="4"/>
  <c r="D6" i="4"/>
  <c r="C6" i="4"/>
  <c r="B6" i="4"/>
  <c r="A6" i="4"/>
  <c r="G5" i="4"/>
  <c r="F5" i="4"/>
  <c r="E5" i="4"/>
  <c r="D5" i="4"/>
  <c r="C5" i="4"/>
  <c r="B5" i="4"/>
  <c r="A5" i="4"/>
  <c r="G4" i="4"/>
  <c r="F4" i="4"/>
  <c r="E4" i="4"/>
  <c r="D4" i="4"/>
  <c r="C4" i="4"/>
  <c r="B4" i="4"/>
  <c r="A4" i="4"/>
  <c r="G3" i="4"/>
  <c r="F3" i="4"/>
  <c r="E3" i="4"/>
  <c r="D3" i="4"/>
  <c r="C3" i="4"/>
  <c r="B3" i="4"/>
  <c r="A3" i="4"/>
  <c r="G2" i="4"/>
  <c r="F2" i="4"/>
  <c r="E2" i="4"/>
  <c r="D2" i="4"/>
  <c r="C2" i="4"/>
  <c r="B2" i="4"/>
  <c r="A2" i="4"/>
  <c r="G1" i="4"/>
  <c r="F1" i="4"/>
  <c r="E1" i="4"/>
  <c r="D1" i="4"/>
  <c r="C1" i="4"/>
  <c r="B1" i="4"/>
  <c r="A1" i="4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A11" i="3"/>
  <c r="I10" i="3"/>
  <c r="H10" i="3"/>
  <c r="G10" i="3"/>
  <c r="F10" i="3"/>
  <c r="E10" i="3"/>
  <c r="D10" i="3"/>
  <c r="C10" i="3"/>
  <c r="B10" i="3"/>
  <c r="A10" i="3"/>
  <c r="I9" i="3"/>
  <c r="H9" i="3"/>
  <c r="G9" i="3"/>
  <c r="F9" i="3"/>
  <c r="E9" i="3"/>
  <c r="D9" i="3"/>
  <c r="C9" i="3"/>
  <c r="B9" i="3"/>
  <c r="A9" i="3"/>
  <c r="I8" i="3"/>
  <c r="H8" i="3"/>
  <c r="G8" i="3"/>
  <c r="F8" i="3"/>
  <c r="E8" i="3"/>
  <c r="D8" i="3"/>
  <c r="C8" i="3"/>
  <c r="B8" i="3"/>
  <c r="A8" i="3"/>
  <c r="I7" i="3"/>
  <c r="H7" i="3"/>
  <c r="G7" i="3"/>
  <c r="F7" i="3"/>
  <c r="E7" i="3"/>
  <c r="D7" i="3"/>
  <c r="C7" i="3"/>
  <c r="B7" i="3"/>
  <c r="A7" i="3"/>
  <c r="I6" i="3"/>
  <c r="H6" i="3"/>
  <c r="G6" i="3"/>
  <c r="F6" i="3"/>
  <c r="E6" i="3"/>
  <c r="D6" i="3"/>
  <c r="C6" i="3"/>
  <c r="B6" i="3"/>
  <c r="A6" i="3"/>
  <c r="I5" i="3"/>
  <c r="H5" i="3"/>
  <c r="G5" i="3"/>
  <c r="F5" i="3"/>
  <c r="E5" i="3"/>
  <c r="D5" i="3"/>
  <c r="C5" i="3"/>
  <c r="B5" i="3"/>
  <c r="A5" i="3"/>
  <c r="I4" i="3"/>
  <c r="H4" i="3"/>
  <c r="G4" i="3"/>
  <c r="F4" i="3"/>
  <c r="E4" i="3"/>
  <c r="D4" i="3"/>
  <c r="C4" i="3"/>
  <c r="B4" i="3"/>
  <c r="A4" i="3"/>
  <c r="I3" i="3"/>
  <c r="H3" i="3"/>
  <c r="G3" i="3"/>
  <c r="F3" i="3"/>
  <c r="E3" i="3"/>
  <c r="D3" i="3"/>
  <c r="C3" i="3"/>
  <c r="B3" i="3"/>
  <c r="A3" i="3"/>
  <c r="I2" i="3"/>
  <c r="H2" i="3"/>
  <c r="G2" i="3"/>
  <c r="F2" i="3"/>
  <c r="E2" i="3"/>
  <c r="D2" i="3"/>
  <c r="C2" i="3"/>
  <c r="B2" i="3"/>
  <c r="A2" i="3"/>
  <c r="I1" i="3"/>
  <c r="H1" i="3"/>
  <c r="G1" i="3"/>
  <c r="F1" i="3"/>
  <c r="E1" i="3"/>
  <c r="D1" i="3"/>
  <c r="C1" i="3"/>
  <c r="B1" i="3"/>
  <c r="A1" i="3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N32" i="1"/>
  <c r="M32" i="1"/>
  <c r="L32" i="1"/>
  <c r="B32" i="1"/>
  <c r="A32" i="1"/>
  <c r="N31" i="1"/>
  <c r="M31" i="1"/>
  <c r="B31" i="1"/>
  <c r="A31" i="1"/>
  <c r="N30" i="1"/>
  <c r="M30" i="1"/>
  <c r="L30" i="1"/>
  <c r="B30" i="1"/>
  <c r="A30" i="1"/>
  <c r="N29" i="1"/>
  <c r="M29" i="1"/>
  <c r="L29" i="1"/>
  <c r="K29" i="1"/>
  <c r="J29" i="1"/>
  <c r="B29" i="1"/>
  <c r="A29" i="1"/>
  <c r="N28" i="1"/>
  <c r="M28" i="1"/>
  <c r="L28" i="1"/>
  <c r="K28" i="1"/>
  <c r="J28" i="1"/>
  <c r="B28" i="1"/>
  <c r="A28" i="1"/>
  <c r="N27" i="1"/>
  <c r="M27" i="1"/>
  <c r="L27" i="1"/>
  <c r="K27" i="1"/>
  <c r="J27" i="1"/>
  <c r="B27" i="1"/>
  <c r="A27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Z10" i="1"/>
  <c r="Y10" i="1"/>
  <c r="X10" i="1"/>
  <c r="W10" i="1"/>
  <c r="V10" i="1"/>
  <c r="U10" i="1"/>
  <c r="T10" i="1"/>
  <c r="S10" i="1"/>
  <c r="R10" i="1"/>
  <c r="Q10" i="1"/>
  <c r="P10" i="1"/>
  <c r="O10" i="1"/>
  <c r="L10" i="1"/>
  <c r="K10" i="1"/>
  <c r="J10" i="1"/>
  <c r="I10" i="1"/>
  <c r="H10" i="1"/>
  <c r="G10" i="1"/>
  <c r="F10" i="1"/>
  <c r="E10" i="1"/>
  <c r="D10" i="1"/>
  <c r="C10" i="1"/>
  <c r="B10" i="1"/>
  <c r="A10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 x14ac:knownFonts="1">
    <font>
      <sz val="10"/>
      <color rgb="FF000000"/>
      <name val="Arial"/>
      <scheme val="minor"/>
    </font>
    <font>
      <sz val="9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0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6" fontId="2" fillId="0" borderId="0" xfId="0" applyNumberFormat="1" applyFont="1"/>
    <xf numFmtId="10" fontId="2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9" fontId="2" fillId="0" borderId="0" xfId="0" applyNumberFormat="1" applyFont="1"/>
    <xf numFmtId="167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/>
  </sheetViews>
  <sheetFormatPr defaultColWidth="12.5703125" defaultRowHeight="15.75" customHeight="1" x14ac:dyDescent="0.2"/>
  <cols>
    <col min="1" max="1" width="18.7109375" customWidth="1"/>
    <col min="2" max="2" width="8.85546875" customWidth="1"/>
    <col min="3" max="26" width="8.5703125" customWidth="1"/>
  </cols>
  <sheetData>
    <row r="1" spans="1:26" x14ac:dyDescent="0.2">
      <c r="A1" s="1" t="str">
        <f ca="1">IFERROR(__xludf.DUMMYFUNCTION("IMPORTRANGE(""https://docs.google.com/spreadsheets/d/1QEICpkTEbV1Z_LWeaMjl4KVDsEDLt2EDAtqOvRWsWng/edit?gid=573951668#gid=573951668"",""Consolidado!A2:Z100"")"),"Alias")</f>
        <v>Alias</v>
      </c>
      <c r="B1" s="1" t="str">
        <f ca="1">IFERROR(__xludf.DUMMYFUNCTION("""COMPUTED_VALUE"""),"Id")</f>
        <v>Id</v>
      </c>
      <c r="C1" s="2" t="str">
        <f ca="1">IFERROR(__xludf.DUMMYFUNCTION("""COMPUTED_VALUE"""),"25-01")</f>
        <v>25-01</v>
      </c>
      <c r="D1" s="1" t="str">
        <f ca="1">IFERROR(__xludf.DUMMYFUNCTION("""COMPUTED_VALUE"""),"25-02")</f>
        <v>25-02</v>
      </c>
      <c r="E1" s="1" t="str">
        <f ca="1">IFERROR(__xludf.DUMMYFUNCTION("""COMPUTED_VALUE"""),"25-03")</f>
        <v>25-03</v>
      </c>
      <c r="F1" s="1" t="str">
        <f ca="1">IFERROR(__xludf.DUMMYFUNCTION("""COMPUTED_VALUE"""),"25-04")</f>
        <v>25-04</v>
      </c>
      <c r="G1" s="1" t="str">
        <f ca="1">IFERROR(__xludf.DUMMYFUNCTION("""COMPUTED_VALUE"""),"25-05")</f>
        <v>25-05</v>
      </c>
      <c r="H1" s="1" t="str">
        <f ca="1">IFERROR(__xludf.DUMMYFUNCTION("""COMPUTED_VALUE"""),"25-06")</f>
        <v>25-06</v>
      </c>
      <c r="I1" s="1" t="str">
        <f ca="1">IFERROR(__xludf.DUMMYFUNCTION("""COMPUTED_VALUE"""),"25-07")</f>
        <v>25-07</v>
      </c>
      <c r="J1" s="1" t="str">
        <f ca="1">IFERROR(__xludf.DUMMYFUNCTION("""COMPUTED_VALUE"""),"25-08")</f>
        <v>25-08</v>
      </c>
      <c r="K1" s="1" t="str">
        <f ca="1">IFERROR(__xludf.DUMMYFUNCTION("""COMPUTED_VALUE"""),"25-09")</f>
        <v>25-09</v>
      </c>
      <c r="L1" s="1" t="str">
        <f ca="1">IFERROR(__xludf.DUMMYFUNCTION("""COMPUTED_VALUE"""),"25-10")</f>
        <v>25-10</v>
      </c>
      <c r="M1" s="1" t="str">
        <f ca="1">IFERROR(__xludf.DUMMYFUNCTION("""COMPUTED_VALUE"""),"25-11")</f>
        <v>25-11</v>
      </c>
      <c r="N1" s="1" t="str">
        <f ca="1">IFERROR(__xludf.DUMMYFUNCTION("""COMPUTED_VALUE"""),"25-12")</f>
        <v>25-12</v>
      </c>
      <c r="O1" s="2" t="str">
        <f ca="1">IFERROR(__xludf.DUMMYFUNCTION("""COMPUTED_VALUE"""),"26-01")</f>
        <v>26-01</v>
      </c>
      <c r="P1" s="1" t="str">
        <f ca="1">IFERROR(__xludf.DUMMYFUNCTION("""COMPUTED_VALUE"""),"26-02")</f>
        <v>26-02</v>
      </c>
      <c r="Q1" s="1" t="str">
        <f ca="1">IFERROR(__xludf.DUMMYFUNCTION("""COMPUTED_VALUE"""),"26-03")</f>
        <v>26-03</v>
      </c>
      <c r="R1" s="1" t="str">
        <f ca="1">IFERROR(__xludf.DUMMYFUNCTION("""COMPUTED_VALUE"""),"26-04")</f>
        <v>26-04</v>
      </c>
      <c r="S1" s="1" t="str">
        <f ca="1">IFERROR(__xludf.DUMMYFUNCTION("""COMPUTED_VALUE"""),"26-05")</f>
        <v>26-05</v>
      </c>
      <c r="T1" s="1" t="str">
        <f ca="1">IFERROR(__xludf.DUMMYFUNCTION("""COMPUTED_VALUE"""),"26-06")</f>
        <v>26-06</v>
      </c>
      <c r="U1" s="1" t="str">
        <f ca="1">IFERROR(__xludf.DUMMYFUNCTION("""COMPUTED_VALUE"""),"26-07")</f>
        <v>26-07</v>
      </c>
      <c r="V1" s="1" t="str">
        <f ca="1">IFERROR(__xludf.DUMMYFUNCTION("""COMPUTED_VALUE"""),"26-08")</f>
        <v>26-08</v>
      </c>
      <c r="W1" s="1" t="str">
        <f ca="1">IFERROR(__xludf.DUMMYFUNCTION("""COMPUTED_VALUE"""),"26-09")</f>
        <v>26-09</v>
      </c>
      <c r="X1" s="1" t="str">
        <f ca="1">IFERROR(__xludf.DUMMYFUNCTION("""COMPUTED_VALUE"""),"26-10")</f>
        <v>26-10</v>
      </c>
      <c r="Y1" s="1" t="str">
        <f ca="1">IFERROR(__xludf.DUMMYFUNCTION("""COMPUTED_VALUE"""),"26-11")</f>
        <v>26-11</v>
      </c>
      <c r="Z1" s="1" t="str">
        <f ca="1">IFERROR(__xludf.DUMMYFUNCTION("""COMPUTED_VALUE"""),"26-12")</f>
        <v>26-12</v>
      </c>
    </row>
    <row r="2" spans="1:26" x14ac:dyDescent="0.2">
      <c r="A2" s="1" t="str">
        <f ca="1">IFERROR(__xludf.DUMMYFUNCTION("""COMPUTED_VALUE"""),"Créditos")</f>
        <v>Créditos</v>
      </c>
      <c r="B2" s="1" t="str">
        <f ca="1">IFERROR(__xludf.DUMMYFUNCTION("""COMPUTED_VALUE"""),"Créditos")</f>
        <v>Créditos</v>
      </c>
      <c r="C2" s="3">
        <f ca="1">IFERROR(__xludf.DUMMYFUNCTION("""COMPUTED_VALUE"""),-0.00175000001036096)</f>
        <v>-1.75000001036096E-3</v>
      </c>
      <c r="D2" s="3">
        <f ca="1">IFERROR(__xludf.DUMMYFUNCTION("""COMPUTED_VALUE"""),0.00634543899650452)</f>
        <v>6.3454389965045196E-3</v>
      </c>
      <c r="E2" s="3">
        <f ca="1">IFERROR(__xludf.DUMMYFUNCTION("""COMPUTED_VALUE"""),0.00363038549403427)</f>
        <v>3.63038549403427E-3</v>
      </c>
      <c r="F2" s="3">
        <f ca="1">IFERROR(__xludf.DUMMYFUNCTION("""COMPUTED_VALUE"""),0.000484143994981423)</f>
        <v>4.8414399498142302E-4</v>
      </c>
      <c r="G2" s="3">
        <f ca="1">IFERROR(__xludf.DUMMYFUNCTION("""COMPUTED_VALUE"""),0.000515956504386849)</f>
        <v>5.1595650438684905E-4</v>
      </c>
      <c r="H2" s="3">
        <f ca="1">IFERROR(__xludf.DUMMYFUNCTION("""COMPUTED_VALUE"""),-0.000620798495219787)</f>
        <v>-6.2079849521978704E-4</v>
      </c>
      <c r="I2" s="3">
        <f ca="1">IFERROR(__xludf.DUMMYFUNCTION("""COMPUTED_VALUE"""),0.00209867750163539)</f>
        <v>2.0986775016353901E-3</v>
      </c>
      <c r="J2" s="3">
        <f ca="1">IFERROR(__xludf.DUMMYFUNCTION("""COMPUTED_VALUE"""),-0.000157422498887171)</f>
        <v>-1.5742249888717099E-4</v>
      </c>
      <c r="K2" s="3">
        <f ca="1">IFERROR(__xludf.DUMMYFUNCTION("""COMPUTED_VALUE"""),0.00314257750869728)</f>
        <v>3.1425775086972802E-3</v>
      </c>
      <c r="L2" s="3">
        <f ca="1">IFERROR(__xludf.DUMMYFUNCTION("""COMPUTED_VALUE"""),0.00447103951591998)</f>
        <v>4.4710395159199799E-3</v>
      </c>
      <c r="M2" s="3">
        <f ca="1">IFERROR(__xludf.DUMMYFUNCTION("""COMPUTED_VALUE"""),230.828049249998)</f>
        <v>230.828049249998</v>
      </c>
      <c r="N2" s="3">
        <f ca="1">IFERROR(__xludf.DUMMYFUNCTION("""COMPUTED_VALUE"""),662.716838685024)</f>
        <v>662.71683868502396</v>
      </c>
      <c r="O2" s="3" t="str">
        <f ca="1">IFERROR(__xludf.DUMMYFUNCTION("""COMPUTED_VALUE"""),"")</f>
        <v/>
      </c>
      <c r="P2" s="3" t="str">
        <f ca="1">IFERROR(__xludf.DUMMYFUNCTION("""COMPUTED_VALUE"""),"")</f>
        <v/>
      </c>
      <c r="Q2" s="3" t="str">
        <f ca="1">IFERROR(__xludf.DUMMYFUNCTION("""COMPUTED_VALUE"""),"")</f>
        <v/>
      </c>
      <c r="R2" s="3" t="str">
        <f ca="1">IFERROR(__xludf.DUMMYFUNCTION("""COMPUTED_VALUE"""),"")</f>
        <v/>
      </c>
      <c r="S2" s="3" t="str">
        <f ca="1">IFERROR(__xludf.DUMMYFUNCTION("""COMPUTED_VALUE"""),"")</f>
        <v/>
      </c>
      <c r="T2" s="3" t="str">
        <f ca="1">IFERROR(__xludf.DUMMYFUNCTION("""COMPUTED_VALUE"""),"")</f>
        <v/>
      </c>
      <c r="U2" s="3" t="str">
        <f ca="1">IFERROR(__xludf.DUMMYFUNCTION("""COMPUTED_VALUE"""),"")</f>
        <v/>
      </c>
      <c r="V2" s="3" t="str">
        <f ca="1">IFERROR(__xludf.DUMMYFUNCTION("""COMPUTED_VALUE"""),"")</f>
        <v/>
      </c>
      <c r="W2" s="3" t="str">
        <f ca="1">IFERROR(__xludf.DUMMYFUNCTION("""COMPUTED_VALUE"""),"")</f>
        <v/>
      </c>
      <c r="X2" s="3" t="str">
        <f ca="1">IFERROR(__xludf.DUMMYFUNCTION("""COMPUTED_VALUE"""),"")</f>
        <v/>
      </c>
      <c r="Y2" s="3" t="str">
        <f ca="1">IFERROR(__xludf.DUMMYFUNCTION("""COMPUTED_VALUE"""),"")</f>
        <v/>
      </c>
      <c r="Z2" s="3" t="str">
        <f ca="1">IFERROR(__xludf.DUMMYFUNCTION("""COMPUTED_VALUE"""),"")</f>
        <v/>
      </c>
    </row>
    <row r="3" spans="1:26" x14ac:dyDescent="0.2">
      <c r="A3" s="1" t="str">
        <f ca="1">IFERROR(__xludf.DUMMYFUNCTION("""COMPUTED_VALUE"""),"Débidos")</f>
        <v>Débidos</v>
      </c>
      <c r="B3" s="1" t="str">
        <f ca="1">IFERROR(__xludf.DUMMYFUNCTION("""COMPUTED_VALUE"""),"Débidos")</f>
        <v>Débidos</v>
      </c>
      <c r="C3" s="3">
        <f ca="1">IFERROR(__xludf.DUMMYFUNCTION("""COMPUTED_VALUE"""),-0.0200000000040745)</f>
        <v>-2.0000000004074502E-2</v>
      </c>
      <c r="D3" s="3">
        <f ca="1">IFERROR(__xludf.DUMMYFUNCTION("""COMPUTED_VALUE"""),0)</f>
        <v>0</v>
      </c>
      <c r="E3" s="3">
        <f ca="1">IFERROR(__xludf.DUMMYFUNCTION("""COMPUTED_VALUE"""),-0.00271505350247025)</f>
        <v>-2.7150535024702501E-3</v>
      </c>
      <c r="F3" s="3">
        <f ca="1">IFERROR(__xludf.DUMMYFUNCTION("""COMPUTED_VALUE"""),0)</f>
        <v>0</v>
      </c>
      <c r="G3" s="3">
        <f ca="1">IFERROR(__xludf.DUMMYFUNCTION("""COMPUTED_VALUE"""),0)</f>
        <v>0</v>
      </c>
      <c r="H3" s="3">
        <f ca="1">IFERROR(__xludf.DUMMYFUNCTION("""COMPUTED_VALUE"""),0)</f>
        <v>0</v>
      </c>
      <c r="I3" s="3">
        <f ca="1">IFERROR(__xludf.DUMMYFUNCTION("""COMPUTED_VALUE"""),0)</f>
        <v>0</v>
      </c>
      <c r="J3" s="3">
        <f ca="1">IFERROR(__xludf.DUMMYFUNCTION("""COMPUTED_VALUE"""),0)</f>
        <v>0</v>
      </c>
      <c r="K3" s="3">
        <f ca="1">IFERROR(__xludf.DUMMYFUNCTION("""COMPUTED_VALUE"""),0)</f>
        <v>0</v>
      </c>
      <c r="L3" s="3">
        <f ca="1">IFERROR(__xludf.DUMMYFUNCTION("""COMPUTED_VALUE"""),0)</f>
        <v>0</v>
      </c>
      <c r="M3" s="3">
        <f ca="1">IFERROR(__xludf.DUMMYFUNCTION("""COMPUTED_VALUE"""),0)</f>
        <v>0</v>
      </c>
      <c r="N3" s="3">
        <f ca="1">IFERROR(__xludf.DUMMYFUNCTION("""COMPUTED_VALUE"""),6988.13)</f>
        <v>6988.13</v>
      </c>
      <c r="O3" s="3" t="str">
        <f ca="1">IFERROR(__xludf.DUMMYFUNCTION("""COMPUTED_VALUE"""),"")</f>
        <v/>
      </c>
      <c r="P3" s="3" t="str">
        <f ca="1">IFERROR(__xludf.DUMMYFUNCTION("""COMPUTED_VALUE"""),"")</f>
        <v/>
      </c>
      <c r="Q3" s="3" t="str">
        <f ca="1">IFERROR(__xludf.DUMMYFUNCTION("""COMPUTED_VALUE"""),"")</f>
        <v/>
      </c>
      <c r="R3" s="3" t="str">
        <f ca="1">IFERROR(__xludf.DUMMYFUNCTION("""COMPUTED_VALUE"""),"")</f>
        <v/>
      </c>
      <c r="S3" s="3" t="str">
        <f ca="1">IFERROR(__xludf.DUMMYFUNCTION("""COMPUTED_VALUE"""),"")</f>
        <v/>
      </c>
      <c r="T3" s="3" t="str">
        <f ca="1">IFERROR(__xludf.DUMMYFUNCTION("""COMPUTED_VALUE"""),"")</f>
        <v/>
      </c>
      <c r="U3" s="3" t="str">
        <f ca="1">IFERROR(__xludf.DUMMYFUNCTION("""COMPUTED_VALUE"""),"")</f>
        <v/>
      </c>
      <c r="V3" s="3" t="str">
        <f ca="1">IFERROR(__xludf.DUMMYFUNCTION("""COMPUTED_VALUE"""),"")</f>
        <v/>
      </c>
      <c r="W3" s="3" t="str">
        <f ca="1">IFERROR(__xludf.DUMMYFUNCTION("""COMPUTED_VALUE"""),"")</f>
        <v/>
      </c>
      <c r="X3" s="3" t="str">
        <f ca="1">IFERROR(__xludf.DUMMYFUNCTION("""COMPUTED_VALUE"""),"")</f>
        <v/>
      </c>
      <c r="Y3" s="3" t="str">
        <f ca="1">IFERROR(__xludf.DUMMYFUNCTION("""COMPUTED_VALUE"""),"")</f>
        <v/>
      </c>
      <c r="Z3" s="3" t="str">
        <f ca="1">IFERROR(__xludf.DUMMYFUNCTION("""COMPUTED_VALUE"""),"")</f>
        <v/>
      </c>
    </row>
    <row r="4" spans="1:26" x14ac:dyDescent="0.2">
      <c r="A4" s="1" t="str">
        <f ca="1">IFERROR(__xludf.DUMMYFUNCTION("""COMPUTED_VALUE"""),"Salário Fabrício Previsto")</f>
        <v>Salário Fabrício Previsto</v>
      </c>
      <c r="B4" s="1" t="str">
        <f ca="1">IFERROR(__xludf.DUMMYFUNCTION("""COMPUTED_VALUE"""),"Salário")</f>
        <v>Salário</v>
      </c>
      <c r="C4" s="3">
        <f ca="1">IFERROR(__xludf.DUMMYFUNCTION("""COMPUTED_VALUE"""),17051.99)</f>
        <v>17051.990000000002</v>
      </c>
      <c r="D4" s="3">
        <f ca="1">IFERROR(__xludf.DUMMYFUNCTION("""COMPUTED_VALUE"""),17020.99)</f>
        <v>17020.990000000002</v>
      </c>
      <c r="E4" s="3">
        <f ca="1">IFERROR(__xludf.DUMMYFUNCTION("""COMPUTED_VALUE"""),17020.99)</f>
        <v>17020.990000000002</v>
      </c>
      <c r="F4" s="3">
        <f ca="1">IFERROR(__xludf.DUMMYFUNCTION("""COMPUTED_VALUE"""),18276.4)</f>
        <v>18276.400000000001</v>
      </c>
      <c r="G4" s="3">
        <f ca="1">IFERROR(__xludf.DUMMYFUNCTION("""COMPUTED_VALUE"""),18276.4)</f>
        <v>18276.400000000001</v>
      </c>
      <c r="H4" s="3">
        <f ca="1">IFERROR(__xludf.DUMMYFUNCTION("""COMPUTED_VALUE"""),18289.13)</f>
        <v>18289.13</v>
      </c>
      <c r="I4" s="3">
        <f ca="1">IFERROR(__xludf.DUMMYFUNCTION("""COMPUTED_VALUE"""),18341.26)</f>
        <v>18341.259999999998</v>
      </c>
      <c r="J4" s="3">
        <f ca="1">IFERROR(__xludf.DUMMYFUNCTION("""COMPUTED_VALUE"""),18178.86)</f>
        <v>18178.86</v>
      </c>
      <c r="K4" s="3">
        <f ca="1">IFERROR(__xludf.DUMMYFUNCTION("""COMPUTED_VALUE"""),18178.86)</f>
        <v>18178.86</v>
      </c>
      <c r="L4" s="3">
        <f ca="1">IFERROR(__xludf.DUMMYFUNCTION("""COMPUTED_VALUE"""),18178.86)</f>
        <v>18178.86</v>
      </c>
      <c r="M4" s="3">
        <f ca="1">IFERROR(__xludf.DUMMYFUNCTION("""COMPUTED_VALUE"""),9423.21)</f>
        <v>9423.2099999999991</v>
      </c>
      <c r="N4" s="3">
        <f ca="1">IFERROR(__xludf.DUMMYFUNCTION("""COMPUTED_VALUE"""),18178.86)</f>
        <v>18178.86</v>
      </c>
      <c r="O4" s="3" t="str">
        <f ca="1">IFERROR(__xludf.DUMMYFUNCTION("""COMPUTED_VALUE"""),"")</f>
        <v/>
      </c>
      <c r="P4" s="3" t="str">
        <f ca="1">IFERROR(__xludf.DUMMYFUNCTION("""COMPUTED_VALUE"""),"")</f>
        <v/>
      </c>
      <c r="Q4" s="3" t="str">
        <f ca="1">IFERROR(__xludf.DUMMYFUNCTION("""COMPUTED_VALUE"""),"")</f>
        <v/>
      </c>
      <c r="R4" s="3" t="str">
        <f ca="1">IFERROR(__xludf.DUMMYFUNCTION("""COMPUTED_VALUE"""),"")</f>
        <v/>
      </c>
      <c r="S4" s="3" t="str">
        <f ca="1">IFERROR(__xludf.DUMMYFUNCTION("""COMPUTED_VALUE"""),"")</f>
        <v/>
      </c>
      <c r="T4" s="3" t="str">
        <f ca="1">IFERROR(__xludf.DUMMYFUNCTION("""COMPUTED_VALUE"""),"")</f>
        <v/>
      </c>
      <c r="U4" s="3" t="str">
        <f ca="1">IFERROR(__xludf.DUMMYFUNCTION("""COMPUTED_VALUE"""),"")</f>
        <v/>
      </c>
      <c r="V4" s="3" t="str">
        <f ca="1">IFERROR(__xludf.DUMMYFUNCTION("""COMPUTED_VALUE"""),"")</f>
        <v/>
      </c>
      <c r="W4" s="3" t="str">
        <f ca="1">IFERROR(__xludf.DUMMYFUNCTION("""COMPUTED_VALUE"""),"")</f>
        <v/>
      </c>
      <c r="X4" s="3" t="str">
        <f ca="1">IFERROR(__xludf.DUMMYFUNCTION("""COMPUTED_VALUE"""),"")</f>
        <v/>
      </c>
      <c r="Y4" s="3" t="str">
        <f ca="1">IFERROR(__xludf.DUMMYFUNCTION("""COMPUTED_VALUE"""),"")</f>
        <v/>
      </c>
      <c r="Z4" s="3" t="str">
        <f ca="1">IFERROR(__xludf.DUMMYFUNCTION("""COMPUTED_VALUE"""),"")</f>
        <v/>
      </c>
    </row>
    <row r="5" spans="1:26" x14ac:dyDescent="0.2">
      <c r="A5" s="1" t="str">
        <f ca="1">IFERROR(__xludf.DUMMYFUNCTION("""COMPUTED_VALUE"""),"Salário Fabrício Realizado")</f>
        <v>Salário Fabrício Realizado</v>
      </c>
      <c r="B5" s="1" t="str">
        <f ca="1">IFERROR(__xludf.DUMMYFUNCTION("""COMPUTED_VALUE"""),"Salário")</f>
        <v>Salário</v>
      </c>
      <c r="C5" s="3">
        <f ca="1">IFERROR(__xludf.DUMMYFUNCTION("""COMPUTED_VALUE"""),17051.99)</f>
        <v>17051.990000000002</v>
      </c>
      <c r="D5" s="3">
        <f ca="1">IFERROR(__xludf.DUMMYFUNCTION("""COMPUTED_VALUE"""),17020.99)</f>
        <v>17020.990000000002</v>
      </c>
      <c r="E5" s="3">
        <f ca="1">IFERROR(__xludf.DUMMYFUNCTION("""COMPUTED_VALUE"""),17020.99)</f>
        <v>17020.990000000002</v>
      </c>
      <c r="F5" s="3">
        <f ca="1">IFERROR(__xludf.DUMMYFUNCTION("""COMPUTED_VALUE"""),18276.4)</f>
        <v>18276.400000000001</v>
      </c>
      <c r="G5" s="3">
        <f ca="1">IFERROR(__xludf.DUMMYFUNCTION("""COMPUTED_VALUE"""),18276.4)</f>
        <v>18276.400000000001</v>
      </c>
      <c r="H5" s="3">
        <f ca="1">IFERROR(__xludf.DUMMYFUNCTION("""COMPUTED_VALUE"""),18289.13)</f>
        <v>18289.13</v>
      </c>
      <c r="I5" s="3">
        <f ca="1">IFERROR(__xludf.DUMMYFUNCTION("""COMPUTED_VALUE"""),18341.26)</f>
        <v>18341.259999999998</v>
      </c>
      <c r="J5" s="3">
        <f ca="1">IFERROR(__xludf.DUMMYFUNCTION("""COMPUTED_VALUE"""),18178.86)</f>
        <v>18178.86</v>
      </c>
      <c r="K5" s="3">
        <f ca="1">IFERROR(__xludf.DUMMYFUNCTION("""COMPUTED_VALUE"""),18178.86)</f>
        <v>18178.86</v>
      </c>
      <c r="L5" s="3">
        <f ca="1">IFERROR(__xludf.DUMMYFUNCTION("""COMPUTED_VALUE"""),18178.86)</f>
        <v>18178.86</v>
      </c>
      <c r="M5" s="3">
        <f ca="1">IFERROR(__xludf.DUMMYFUNCTION("""COMPUTED_VALUE"""),9423.21)</f>
        <v>9423.2099999999991</v>
      </c>
      <c r="N5" s="3">
        <f ca="1">IFERROR(__xludf.DUMMYFUNCTION("""COMPUTED_VALUE"""),18178.86)</f>
        <v>18178.86</v>
      </c>
      <c r="O5" s="3" t="str">
        <f ca="1">IFERROR(__xludf.DUMMYFUNCTION("""COMPUTED_VALUE"""),"")</f>
        <v/>
      </c>
      <c r="P5" s="3" t="str">
        <f ca="1">IFERROR(__xludf.DUMMYFUNCTION("""COMPUTED_VALUE"""),"")</f>
        <v/>
      </c>
      <c r="Q5" s="3" t="str">
        <f ca="1">IFERROR(__xludf.DUMMYFUNCTION("""COMPUTED_VALUE"""),"")</f>
        <v/>
      </c>
      <c r="R5" s="3" t="str">
        <f ca="1">IFERROR(__xludf.DUMMYFUNCTION("""COMPUTED_VALUE"""),"")</f>
        <v/>
      </c>
      <c r="S5" s="3" t="str">
        <f ca="1">IFERROR(__xludf.DUMMYFUNCTION("""COMPUTED_VALUE"""),"")</f>
        <v/>
      </c>
      <c r="T5" s="3" t="str">
        <f ca="1">IFERROR(__xludf.DUMMYFUNCTION("""COMPUTED_VALUE"""),"")</f>
        <v/>
      </c>
      <c r="U5" s="3" t="str">
        <f ca="1">IFERROR(__xludf.DUMMYFUNCTION("""COMPUTED_VALUE"""),"")</f>
        <v/>
      </c>
      <c r="V5" s="3" t="str">
        <f ca="1">IFERROR(__xludf.DUMMYFUNCTION("""COMPUTED_VALUE"""),"")</f>
        <v/>
      </c>
      <c r="W5" s="3" t="str">
        <f ca="1">IFERROR(__xludf.DUMMYFUNCTION("""COMPUTED_VALUE"""),"")</f>
        <v/>
      </c>
      <c r="X5" s="3" t="str">
        <f ca="1">IFERROR(__xludf.DUMMYFUNCTION("""COMPUTED_VALUE"""),"")</f>
        <v/>
      </c>
      <c r="Y5" s="3" t="str">
        <f ca="1">IFERROR(__xludf.DUMMYFUNCTION("""COMPUTED_VALUE"""),"")</f>
        <v/>
      </c>
      <c r="Z5" s="3" t="str">
        <f ca="1">IFERROR(__xludf.DUMMYFUNCTION("""COMPUTED_VALUE"""),"")</f>
        <v/>
      </c>
    </row>
    <row r="6" spans="1:26" x14ac:dyDescent="0.2">
      <c r="A6" s="1" t="str">
        <f ca="1">IFERROR(__xludf.DUMMYFUNCTION("""COMPUTED_VALUE"""),"Salário Amanda Previsto")</f>
        <v>Salário Amanda Previsto</v>
      </c>
      <c r="B6" s="1" t="str">
        <f ca="1">IFERROR(__xludf.DUMMYFUNCTION("""COMPUTED_VALUE"""),"Amanda")</f>
        <v>Amanda</v>
      </c>
      <c r="C6" s="3">
        <f ca="1">IFERROR(__xludf.DUMMYFUNCTION("""COMPUTED_VALUE"""),4900)</f>
        <v>4900</v>
      </c>
      <c r="D6" s="3">
        <f ca="1">IFERROR(__xludf.DUMMYFUNCTION("""COMPUTED_VALUE"""),4594.67)</f>
        <v>4594.67</v>
      </c>
      <c r="E6" s="3">
        <f ca="1">IFERROR(__xludf.DUMMYFUNCTION("""COMPUTED_VALUE"""),5096.98)</f>
        <v>5096.9799999999996</v>
      </c>
      <c r="F6" s="3">
        <f ca="1">IFERROR(__xludf.DUMMYFUNCTION("""COMPUTED_VALUE"""),5096.98)</f>
        <v>5096.9799999999996</v>
      </c>
      <c r="G6" s="3">
        <f ca="1">IFERROR(__xludf.DUMMYFUNCTION("""COMPUTED_VALUE"""),4900)</f>
        <v>4900</v>
      </c>
      <c r="H6" s="3">
        <f ca="1">IFERROR(__xludf.DUMMYFUNCTION("""COMPUTED_VALUE"""),4900)</f>
        <v>4900</v>
      </c>
      <c r="I6" s="3">
        <f ca="1">IFERROR(__xludf.DUMMYFUNCTION("""COMPUTED_VALUE"""),4900)</f>
        <v>4900</v>
      </c>
      <c r="J6" s="3">
        <f ca="1">IFERROR(__xludf.DUMMYFUNCTION("""COMPUTED_VALUE"""),4900)</f>
        <v>4900</v>
      </c>
      <c r="K6" s="3">
        <f ca="1">IFERROR(__xludf.DUMMYFUNCTION("""COMPUTED_VALUE"""),5148.96)</f>
        <v>5148.96</v>
      </c>
      <c r="L6" s="3">
        <f ca="1">IFERROR(__xludf.DUMMYFUNCTION("""COMPUTED_VALUE"""),5148.96)</f>
        <v>5148.96</v>
      </c>
      <c r="M6" s="3">
        <f ca="1">IFERROR(__xludf.DUMMYFUNCTION("""COMPUTED_VALUE"""),3782.96)</f>
        <v>3782.96</v>
      </c>
      <c r="N6" s="3">
        <f ca="1">IFERROR(__xludf.DUMMYFUNCTION("""COMPUTED_VALUE"""),4900)</f>
        <v>4900</v>
      </c>
      <c r="O6" s="3" t="str">
        <f ca="1">IFERROR(__xludf.DUMMYFUNCTION("""COMPUTED_VALUE"""),"")</f>
        <v/>
      </c>
      <c r="P6" s="3" t="str">
        <f ca="1">IFERROR(__xludf.DUMMYFUNCTION("""COMPUTED_VALUE"""),"")</f>
        <v/>
      </c>
      <c r="Q6" s="3" t="str">
        <f ca="1">IFERROR(__xludf.DUMMYFUNCTION("""COMPUTED_VALUE"""),"")</f>
        <v/>
      </c>
      <c r="R6" s="3" t="str">
        <f ca="1">IFERROR(__xludf.DUMMYFUNCTION("""COMPUTED_VALUE"""),"")</f>
        <v/>
      </c>
      <c r="S6" s="3" t="str">
        <f ca="1">IFERROR(__xludf.DUMMYFUNCTION("""COMPUTED_VALUE"""),"")</f>
        <v/>
      </c>
      <c r="T6" s="3" t="str">
        <f ca="1">IFERROR(__xludf.DUMMYFUNCTION("""COMPUTED_VALUE"""),"")</f>
        <v/>
      </c>
      <c r="U6" s="3" t="str">
        <f ca="1">IFERROR(__xludf.DUMMYFUNCTION("""COMPUTED_VALUE"""),"")</f>
        <v/>
      </c>
      <c r="V6" s="3" t="str">
        <f ca="1">IFERROR(__xludf.DUMMYFUNCTION("""COMPUTED_VALUE"""),"")</f>
        <v/>
      </c>
      <c r="W6" s="3" t="str">
        <f ca="1">IFERROR(__xludf.DUMMYFUNCTION("""COMPUTED_VALUE"""),"")</f>
        <v/>
      </c>
      <c r="X6" s="3" t="str">
        <f ca="1">IFERROR(__xludf.DUMMYFUNCTION("""COMPUTED_VALUE"""),"")</f>
        <v/>
      </c>
      <c r="Y6" s="3" t="str">
        <f ca="1">IFERROR(__xludf.DUMMYFUNCTION("""COMPUTED_VALUE"""),"")</f>
        <v/>
      </c>
      <c r="Z6" s="3" t="str">
        <f ca="1">IFERROR(__xludf.DUMMYFUNCTION("""COMPUTED_VALUE"""),"")</f>
        <v/>
      </c>
    </row>
    <row r="7" spans="1:26" x14ac:dyDescent="0.2">
      <c r="A7" s="1" t="str">
        <f ca="1">IFERROR(__xludf.DUMMYFUNCTION("""COMPUTED_VALUE"""),"Salário Amanda Realizado")</f>
        <v>Salário Amanda Realizado</v>
      </c>
      <c r="B7" s="1" t="str">
        <f ca="1">IFERROR(__xludf.DUMMYFUNCTION("""COMPUTED_VALUE"""),"Amanda")</f>
        <v>Amanda</v>
      </c>
      <c r="C7" s="3">
        <f ca="1">IFERROR(__xludf.DUMMYFUNCTION("""COMPUTED_VALUE"""),4900)</f>
        <v>4900</v>
      </c>
      <c r="D7" s="3">
        <f ca="1">IFERROR(__xludf.DUMMYFUNCTION("""COMPUTED_VALUE"""),4594.67)</f>
        <v>4594.67</v>
      </c>
      <c r="E7" s="3">
        <f ca="1">IFERROR(__xludf.DUMMYFUNCTION("""COMPUTED_VALUE"""),5096.98)</f>
        <v>5096.9799999999996</v>
      </c>
      <c r="F7" s="3">
        <f ca="1">IFERROR(__xludf.DUMMYFUNCTION("""COMPUTED_VALUE"""),5096.98)</f>
        <v>5096.9799999999996</v>
      </c>
      <c r="G7" s="3">
        <f ca="1">IFERROR(__xludf.DUMMYFUNCTION("""COMPUTED_VALUE"""),4900)</f>
        <v>4900</v>
      </c>
      <c r="H7" s="3">
        <f ca="1">IFERROR(__xludf.DUMMYFUNCTION("""COMPUTED_VALUE"""),4900)</f>
        <v>4900</v>
      </c>
      <c r="I7" s="3">
        <f ca="1">IFERROR(__xludf.DUMMYFUNCTION("""COMPUTED_VALUE"""),4900)</f>
        <v>4900</v>
      </c>
      <c r="J7" s="3">
        <f ca="1">IFERROR(__xludf.DUMMYFUNCTION("""COMPUTED_VALUE"""),4900)</f>
        <v>4900</v>
      </c>
      <c r="K7" s="3">
        <f ca="1">IFERROR(__xludf.DUMMYFUNCTION("""COMPUTED_VALUE"""),5148.96)</f>
        <v>5148.96</v>
      </c>
      <c r="L7" s="3">
        <f ca="1">IFERROR(__xludf.DUMMYFUNCTION("""COMPUTED_VALUE"""),5148.96)</f>
        <v>5148.96</v>
      </c>
      <c r="M7" s="3">
        <f ca="1">IFERROR(__xludf.DUMMYFUNCTION("""COMPUTED_VALUE"""),3782.96)</f>
        <v>3782.96</v>
      </c>
      <c r="N7" s="3">
        <f ca="1">IFERROR(__xludf.DUMMYFUNCTION("""COMPUTED_VALUE"""),4900)</f>
        <v>4900</v>
      </c>
      <c r="O7" s="3" t="str">
        <f ca="1">IFERROR(__xludf.DUMMYFUNCTION("""COMPUTED_VALUE"""),"")</f>
        <v/>
      </c>
      <c r="P7" s="3" t="str">
        <f ca="1">IFERROR(__xludf.DUMMYFUNCTION("""COMPUTED_VALUE"""),"")</f>
        <v/>
      </c>
      <c r="Q7" s="3" t="str">
        <f ca="1">IFERROR(__xludf.DUMMYFUNCTION("""COMPUTED_VALUE"""),"")</f>
        <v/>
      </c>
      <c r="R7" s="3" t="str">
        <f ca="1">IFERROR(__xludf.DUMMYFUNCTION("""COMPUTED_VALUE"""),"")</f>
        <v/>
      </c>
      <c r="S7" s="3" t="str">
        <f ca="1">IFERROR(__xludf.DUMMYFUNCTION("""COMPUTED_VALUE"""),"")</f>
        <v/>
      </c>
      <c r="T7" s="3" t="str">
        <f ca="1">IFERROR(__xludf.DUMMYFUNCTION("""COMPUTED_VALUE"""),"")</f>
        <v/>
      </c>
      <c r="U7" s="3" t="str">
        <f ca="1">IFERROR(__xludf.DUMMYFUNCTION("""COMPUTED_VALUE"""),"")</f>
        <v/>
      </c>
      <c r="V7" s="3" t="str">
        <f ca="1">IFERROR(__xludf.DUMMYFUNCTION("""COMPUTED_VALUE"""),"")</f>
        <v/>
      </c>
      <c r="W7" s="3" t="str">
        <f ca="1">IFERROR(__xludf.DUMMYFUNCTION("""COMPUTED_VALUE"""),"")</f>
        <v/>
      </c>
      <c r="X7" s="3" t="str">
        <f ca="1">IFERROR(__xludf.DUMMYFUNCTION("""COMPUTED_VALUE"""),"")</f>
        <v/>
      </c>
      <c r="Y7" s="3" t="str">
        <f ca="1">IFERROR(__xludf.DUMMYFUNCTION("""COMPUTED_VALUE"""),"")</f>
        <v/>
      </c>
      <c r="Z7" s="3" t="str">
        <f ca="1">IFERROR(__xludf.DUMMYFUNCTION("""COMPUTED_VALUE"""),"")</f>
        <v/>
      </c>
    </row>
    <row r="8" spans="1:26" x14ac:dyDescent="0.2">
      <c r="A8" s="1" t="str">
        <f ca="1">IFERROR(__xludf.DUMMYFUNCTION("""COMPUTED_VALUE"""),"Apto. 7L AJS Previsto")</f>
        <v>Apto. 7L AJS Previsto</v>
      </c>
      <c r="B8" s="1" t="str">
        <f ca="1">IFERROR(__xludf.DUMMYFUNCTION("""COMPUTED_VALUE"""),"Apto. 7L")</f>
        <v>Apto. 7L</v>
      </c>
      <c r="C8" s="3">
        <f ca="1">IFERROR(__xludf.DUMMYFUNCTION("""COMPUTED_VALUE"""),7590.8475)</f>
        <v>7590.8474999999999</v>
      </c>
      <c r="D8" s="3">
        <f ca="1">IFERROR(__xludf.DUMMYFUNCTION("""COMPUTED_VALUE"""),11384.1375)</f>
        <v>11384.137500000001</v>
      </c>
      <c r="E8" s="3">
        <f ca="1">IFERROR(__xludf.DUMMYFUNCTION("""COMPUTED_VALUE"""),9730.15499999999)</f>
        <v>9730.1549999999897</v>
      </c>
      <c r="F8" s="3">
        <f ca="1">IFERROR(__xludf.DUMMYFUNCTION("""COMPUTED_VALUE"""),11820.96)</f>
        <v>11820.96</v>
      </c>
      <c r="G8" s="3">
        <f ca="1">IFERROR(__xludf.DUMMYFUNCTION("""COMPUTED_VALUE"""),7997.205)</f>
        <v>7997.2049999999999</v>
      </c>
      <c r="H8" s="3">
        <f ca="1">IFERROR(__xludf.DUMMYFUNCTION("""COMPUTED_VALUE"""),8905.7625)</f>
        <v>8905.7625000000007</v>
      </c>
      <c r="I8" s="3">
        <f ca="1">IFERROR(__xludf.DUMMYFUNCTION("""COMPUTED_VALUE"""),7500)</f>
        <v>7500</v>
      </c>
      <c r="J8" s="3">
        <f ca="1">IFERROR(__xludf.DUMMYFUNCTION("""COMPUTED_VALUE"""),7500)</f>
        <v>7500</v>
      </c>
      <c r="K8" s="3">
        <f ca="1">IFERROR(__xludf.DUMMYFUNCTION("""COMPUTED_VALUE"""),7500)</f>
        <v>7500</v>
      </c>
      <c r="L8" s="3">
        <f ca="1">IFERROR(__xludf.DUMMYFUNCTION("""COMPUTED_VALUE"""),9127.785)</f>
        <v>9127.7849999999999</v>
      </c>
      <c r="M8" s="3">
        <f ca="1">IFERROR(__xludf.DUMMYFUNCTION("""COMPUTED_VALUE"""),8615.895)</f>
        <v>8615.8950000000004</v>
      </c>
      <c r="N8" s="3">
        <f ca="1">IFERROR(__xludf.DUMMYFUNCTION("""COMPUTED_VALUE"""),7500)</f>
        <v>7500</v>
      </c>
      <c r="O8" s="3" t="str">
        <f ca="1">IFERROR(__xludf.DUMMYFUNCTION("""COMPUTED_VALUE"""),"")</f>
        <v/>
      </c>
      <c r="P8" s="3" t="str">
        <f ca="1">IFERROR(__xludf.DUMMYFUNCTION("""COMPUTED_VALUE"""),"")</f>
        <v/>
      </c>
      <c r="Q8" s="3" t="str">
        <f ca="1">IFERROR(__xludf.DUMMYFUNCTION("""COMPUTED_VALUE"""),"")</f>
        <v/>
      </c>
      <c r="R8" s="3" t="str">
        <f ca="1">IFERROR(__xludf.DUMMYFUNCTION("""COMPUTED_VALUE"""),"")</f>
        <v/>
      </c>
      <c r="S8" s="3" t="str">
        <f ca="1">IFERROR(__xludf.DUMMYFUNCTION("""COMPUTED_VALUE"""),"")</f>
        <v/>
      </c>
      <c r="T8" s="3" t="str">
        <f ca="1">IFERROR(__xludf.DUMMYFUNCTION("""COMPUTED_VALUE"""),"")</f>
        <v/>
      </c>
      <c r="U8" s="3" t="str">
        <f ca="1">IFERROR(__xludf.DUMMYFUNCTION("""COMPUTED_VALUE"""),"")</f>
        <v/>
      </c>
      <c r="V8" s="3" t="str">
        <f ca="1">IFERROR(__xludf.DUMMYFUNCTION("""COMPUTED_VALUE"""),"")</f>
        <v/>
      </c>
      <c r="W8" s="3" t="str">
        <f ca="1">IFERROR(__xludf.DUMMYFUNCTION("""COMPUTED_VALUE"""),"")</f>
        <v/>
      </c>
      <c r="X8" s="3" t="str">
        <f ca="1">IFERROR(__xludf.DUMMYFUNCTION("""COMPUTED_VALUE"""),"")</f>
        <v/>
      </c>
      <c r="Y8" s="3" t="str">
        <f ca="1">IFERROR(__xludf.DUMMYFUNCTION("""COMPUTED_VALUE"""),"")</f>
        <v/>
      </c>
      <c r="Z8" s="3" t="str">
        <f ca="1">IFERROR(__xludf.DUMMYFUNCTION("""COMPUTED_VALUE"""),"")</f>
        <v/>
      </c>
    </row>
    <row r="9" spans="1:26" x14ac:dyDescent="0.2">
      <c r="A9" s="1" t="str">
        <f ca="1">IFERROR(__xludf.DUMMYFUNCTION("""COMPUTED_VALUE"""),"Apto. 7L AJS Realizado")</f>
        <v>Apto. 7L AJS Realizado</v>
      </c>
      <c r="B9" s="1" t="str">
        <f ca="1">IFERROR(__xludf.DUMMYFUNCTION("""COMPUTED_VALUE"""),"Apto. 7L")</f>
        <v>Apto. 7L</v>
      </c>
      <c r="C9" s="3">
        <f ca="1">IFERROR(__xludf.DUMMYFUNCTION("""COMPUTED_VALUE"""),7590.8475)</f>
        <v>7590.8474999999999</v>
      </c>
      <c r="D9" s="3">
        <f ca="1">IFERROR(__xludf.DUMMYFUNCTION("""COMPUTED_VALUE"""),11384.1375)</f>
        <v>11384.137500000001</v>
      </c>
      <c r="E9" s="3">
        <f ca="1">IFERROR(__xludf.DUMMYFUNCTION("""COMPUTED_VALUE"""),9730.15499999999)</f>
        <v>9730.1549999999897</v>
      </c>
      <c r="F9" s="3">
        <f ca="1">IFERROR(__xludf.DUMMYFUNCTION("""COMPUTED_VALUE"""),11820.96)</f>
        <v>11820.96</v>
      </c>
      <c r="G9" s="3">
        <f ca="1">IFERROR(__xludf.DUMMYFUNCTION("""COMPUTED_VALUE"""),7997.205)</f>
        <v>7997.2049999999999</v>
      </c>
      <c r="H9" s="3">
        <f ca="1">IFERROR(__xludf.DUMMYFUNCTION("""COMPUTED_VALUE"""),8905.7625)</f>
        <v>8905.7625000000007</v>
      </c>
      <c r="I9" s="3">
        <f ca="1">IFERROR(__xludf.DUMMYFUNCTION("""COMPUTED_VALUE"""),7500)</f>
        <v>7500</v>
      </c>
      <c r="J9" s="3">
        <f ca="1">IFERROR(__xludf.DUMMYFUNCTION("""COMPUTED_VALUE"""),7500)</f>
        <v>7500</v>
      </c>
      <c r="K9" s="3">
        <f ca="1">IFERROR(__xludf.DUMMYFUNCTION("""COMPUTED_VALUE"""),7500)</f>
        <v>7500</v>
      </c>
      <c r="L9" s="3">
        <f ca="1">IFERROR(__xludf.DUMMYFUNCTION("""COMPUTED_VALUE"""),9127.785)</f>
        <v>9127.7849999999999</v>
      </c>
      <c r="M9" s="3">
        <f ca="1">IFERROR(__xludf.DUMMYFUNCTION("""COMPUTED_VALUE"""),8485.27)</f>
        <v>8485.27</v>
      </c>
      <c r="N9" s="3">
        <f ca="1">IFERROR(__xludf.DUMMYFUNCTION("""COMPUTED_VALUE"""),7500)</f>
        <v>7500</v>
      </c>
      <c r="O9" s="3" t="str">
        <f ca="1">IFERROR(__xludf.DUMMYFUNCTION("""COMPUTED_VALUE"""),"")</f>
        <v/>
      </c>
      <c r="P9" s="3" t="str">
        <f ca="1">IFERROR(__xludf.DUMMYFUNCTION("""COMPUTED_VALUE"""),"")</f>
        <v/>
      </c>
      <c r="Q9" s="3" t="str">
        <f ca="1">IFERROR(__xludf.DUMMYFUNCTION("""COMPUTED_VALUE"""),"")</f>
        <v/>
      </c>
      <c r="R9" s="3" t="str">
        <f ca="1">IFERROR(__xludf.DUMMYFUNCTION("""COMPUTED_VALUE"""),"")</f>
        <v/>
      </c>
      <c r="S9" s="3" t="str">
        <f ca="1">IFERROR(__xludf.DUMMYFUNCTION("""COMPUTED_VALUE"""),"")</f>
        <v/>
      </c>
      <c r="T9" s="3" t="str">
        <f ca="1">IFERROR(__xludf.DUMMYFUNCTION("""COMPUTED_VALUE"""),"")</f>
        <v/>
      </c>
      <c r="U9" s="3" t="str">
        <f ca="1">IFERROR(__xludf.DUMMYFUNCTION("""COMPUTED_VALUE"""),"")</f>
        <v/>
      </c>
      <c r="V9" s="3" t="str">
        <f ca="1">IFERROR(__xludf.DUMMYFUNCTION("""COMPUTED_VALUE"""),"")</f>
        <v/>
      </c>
      <c r="W9" s="3" t="str">
        <f ca="1">IFERROR(__xludf.DUMMYFUNCTION("""COMPUTED_VALUE"""),"")</f>
        <v/>
      </c>
      <c r="X9" s="3" t="str">
        <f ca="1">IFERROR(__xludf.DUMMYFUNCTION("""COMPUTED_VALUE"""),"")</f>
        <v/>
      </c>
      <c r="Y9" s="3" t="str">
        <f ca="1">IFERROR(__xludf.DUMMYFUNCTION("""COMPUTED_VALUE"""),"")</f>
        <v/>
      </c>
      <c r="Z9" s="3" t="str">
        <f ca="1">IFERROR(__xludf.DUMMYFUNCTION("""COMPUTED_VALUE"""),"")</f>
        <v/>
      </c>
    </row>
    <row r="10" spans="1:26" x14ac:dyDescent="0.2">
      <c r="A10" s="1" t="str">
        <f ca="1">IFERROR(__xludf.DUMMYFUNCTION("""COMPUTED_VALUE"""),"Cartão dti Realizado")</f>
        <v>Cartão dti Realizado</v>
      </c>
      <c r="B10" s="1" t="str">
        <f ca="1">IFERROR(__xludf.DUMMYFUNCTION("""COMPUTED_VALUE"""),"Cartão dti")</f>
        <v>Cartão dti</v>
      </c>
      <c r="C10" s="3">
        <f ca="1">IFERROR(__xludf.DUMMYFUNCTION("""COMPUTED_VALUE"""),154.66)</f>
        <v>154.66</v>
      </c>
      <c r="D10" s="3">
        <f ca="1">IFERROR(__xludf.DUMMYFUNCTION("""COMPUTED_VALUE"""),3597.29)</f>
        <v>3597.29</v>
      </c>
      <c r="E10" s="3">
        <f ca="1">IFERROR(__xludf.DUMMYFUNCTION("""COMPUTED_VALUE"""),1758.77)</f>
        <v>1758.77</v>
      </c>
      <c r="F10" s="3">
        <f ca="1">IFERROR(__xludf.DUMMYFUNCTION("""COMPUTED_VALUE"""),3866.24)</f>
        <v>3866.24</v>
      </c>
      <c r="G10" s="3">
        <f ca="1">IFERROR(__xludf.DUMMYFUNCTION("""COMPUTED_VALUE"""),2028.68)</f>
        <v>2028.68</v>
      </c>
      <c r="H10" s="3">
        <f ca="1">IFERROR(__xludf.DUMMYFUNCTION("""COMPUTED_VALUE"""),100.2)</f>
        <v>100.2</v>
      </c>
      <c r="I10" s="3">
        <f ca="1">IFERROR(__xludf.DUMMYFUNCTION("""COMPUTED_VALUE"""),100.2)</f>
        <v>100.2</v>
      </c>
      <c r="J10" s="3">
        <f ca="1">IFERROR(__xludf.DUMMYFUNCTION("""COMPUTED_VALUE"""),897.2)</f>
        <v>897.2</v>
      </c>
      <c r="K10" s="3">
        <f ca="1">IFERROR(__xludf.DUMMYFUNCTION("""COMPUTED_VALUE"""),1307.04)</f>
        <v>1307.04</v>
      </c>
      <c r="L10" s="3">
        <f ca="1">IFERROR(__xludf.DUMMYFUNCTION("""COMPUTED_VALUE"""),100.2)</f>
        <v>100.2</v>
      </c>
      <c r="M10" s="1"/>
      <c r="N10" s="1"/>
      <c r="O10" s="3" t="str">
        <f ca="1">IFERROR(__xludf.DUMMYFUNCTION("""COMPUTED_VALUE"""),"")</f>
        <v/>
      </c>
      <c r="P10" s="3" t="str">
        <f ca="1">IFERROR(__xludf.DUMMYFUNCTION("""COMPUTED_VALUE"""),"")</f>
        <v/>
      </c>
      <c r="Q10" s="3" t="str">
        <f ca="1">IFERROR(__xludf.DUMMYFUNCTION("""COMPUTED_VALUE"""),"")</f>
        <v/>
      </c>
      <c r="R10" s="3" t="str">
        <f ca="1">IFERROR(__xludf.DUMMYFUNCTION("""COMPUTED_VALUE"""),"")</f>
        <v/>
      </c>
      <c r="S10" s="3" t="str">
        <f ca="1">IFERROR(__xludf.DUMMYFUNCTION("""COMPUTED_VALUE"""),"")</f>
        <v/>
      </c>
      <c r="T10" s="3" t="str">
        <f ca="1">IFERROR(__xludf.DUMMYFUNCTION("""COMPUTED_VALUE"""),"")</f>
        <v/>
      </c>
      <c r="U10" s="3" t="str">
        <f ca="1">IFERROR(__xludf.DUMMYFUNCTION("""COMPUTED_VALUE"""),"")</f>
        <v/>
      </c>
      <c r="V10" s="3" t="str">
        <f ca="1">IFERROR(__xludf.DUMMYFUNCTION("""COMPUTED_VALUE"""),"")</f>
        <v/>
      </c>
      <c r="W10" s="3" t="str">
        <f ca="1">IFERROR(__xludf.DUMMYFUNCTION("""COMPUTED_VALUE"""),"")</f>
        <v/>
      </c>
      <c r="X10" s="3" t="str">
        <f ca="1">IFERROR(__xludf.DUMMYFUNCTION("""COMPUTED_VALUE"""),"")</f>
        <v/>
      </c>
      <c r="Y10" s="3" t="str">
        <f ca="1">IFERROR(__xludf.DUMMYFUNCTION("""COMPUTED_VALUE"""),"")</f>
        <v/>
      </c>
      <c r="Z10" s="3" t="str">
        <f ca="1">IFERROR(__xludf.DUMMYFUNCTION("""COMPUTED_VALUE"""),"")</f>
        <v/>
      </c>
    </row>
    <row r="11" spans="1:26" x14ac:dyDescent="0.2">
      <c r="A11" s="1" t="str">
        <f ca="1">IFERROR(__xludf.DUMMYFUNCTION("""COMPUTED_VALUE"""),"Créditos Previsto")</f>
        <v>Créditos Previsto</v>
      </c>
      <c r="B11" s="1" t="str">
        <f ca="1">IFERROR(__xludf.DUMMYFUNCTION("""COMPUTED_VALUE"""),"Total")</f>
        <v>Total</v>
      </c>
      <c r="C11" s="3">
        <f ca="1">IFERROR(__xludf.DUMMYFUNCTION("""COMPUTED_VALUE"""),29868.7757499999)</f>
        <v>29868.775749999899</v>
      </c>
      <c r="D11" s="3">
        <f ca="1">IFERROR(__xludf.DUMMYFUNCTION("""COMPUTED_VALUE"""),42707.603845439)</f>
        <v>42707.603845439</v>
      </c>
      <c r="E11" s="3">
        <f ca="1">IFERROR(__xludf.DUMMYFUNCTION("""COMPUTED_VALUE"""),39520.1286303854)</f>
        <v>39520.128630385399</v>
      </c>
      <c r="F11" s="3">
        <f ca="1">IFERROR(__xludf.DUMMYFUNCTION("""COMPUTED_VALUE"""),39440.2504841439)</f>
        <v>39440.2504841439</v>
      </c>
      <c r="G11" s="3">
        <f ca="1">IFERROR(__xludf.DUMMYFUNCTION("""COMPUTED_VALUE"""),105643.705515956)</f>
        <v>105643.705515956</v>
      </c>
      <c r="H11" s="3">
        <f ca="1">IFERROR(__xludf.DUMMYFUNCTION("""COMPUTED_VALUE"""),32355.9618792015)</f>
        <v>32355.961879201499</v>
      </c>
      <c r="I11" s="3">
        <f ca="1">IFERROR(__xludf.DUMMYFUNCTION("""COMPUTED_VALUE"""),31626.9420986775)</f>
        <v>31626.9420986775</v>
      </c>
      <c r="J11" s="3">
        <f ca="1">IFERROR(__xludf.DUMMYFUNCTION("""COMPUTED_VALUE"""),32244.4798425775)</f>
        <v>32244.479842577501</v>
      </c>
      <c r="K11" s="3">
        <f ca="1">IFERROR(__xludf.DUMMYFUNCTION("""COMPUTED_VALUE"""),60057.8731425775)</f>
        <v>60057.873142577497</v>
      </c>
      <c r="L11" s="3">
        <f ca="1">IFERROR(__xludf.DUMMYFUNCTION("""COMPUTED_VALUE"""),34882.6294710395)</f>
        <v>34882.629471039501</v>
      </c>
      <c r="M11" s="3">
        <f ca="1">IFERROR(__xludf.DUMMYFUNCTION("""COMPUTED_VALUE"""),22514.3280492499)</f>
        <v>22514.3280492499</v>
      </c>
      <c r="N11" s="3">
        <f ca="1">IFERROR(__xludf.DUMMYFUNCTION("""COMPUTED_VALUE"""),98264.936838685)</f>
        <v>98264.936838684996</v>
      </c>
      <c r="O11" s="3" t="str">
        <f ca="1">IFERROR(__xludf.DUMMYFUNCTION("""COMPUTED_VALUE"""),"")</f>
        <v/>
      </c>
      <c r="P11" s="3" t="str">
        <f ca="1">IFERROR(__xludf.DUMMYFUNCTION("""COMPUTED_VALUE"""),"")</f>
        <v/>
      </c>
      <c r="Q11" s="3" t="str">
        <f ca="1">IFERROR(__xludf.DUMMYFUNCTION("""COMPUTED_VALUE"""),"")</f>
        <v/>
      </c>
      <c r="R11" s="3" t="str">
        <f ca="1">IFERROR(__xludf.DUMMYFUNCTION("""COMPUTED_VALUE"""),"")</f>
        <v/>
      </c>
      <c r="S11" s="3" t="str">
        <f ca="1">IFERROR(__xludf.DUMMYFUNCTION("""COMPUTED_VALUE"""),"")</f>
        <v/>
      </c>
      <c r="T11" s="3" t="str">
        <f ca="1">IFERROR(__xludf.DUMMYFUNCTION("""COMPUTED_VALUE"""),"")</f>
        <v/>
      </c>
      <c r="U11" s="3" t="str">
        <f ca="1">IFERROR(__xludf.DUMMYFUNCTION("""COMPUTED_VALUE"""),"")</f>
        <v/>
      </c>
      <c r="V11" s="3" t="str">
        <f ca="1">IFERROR(__xludf.DUMMYFUNCTION("""COMPUTED_VALUE"""),"")</f>
        <v/>
      </c>
      <c r="W11" s="3" t="str">
        <f ca="1">IFERROR(__xludf.DUMMYFUNCTION("""COMPUTED_VALUE"""),"")</f>
        <v/>
      </c>
      <c r="X11" s="3" t="str">
        <f ca="1">IFERROR(__xludf.DUMMYFUNCTION("""COMPUTED_VALUE"""),"")</f>
        <v/>
      </c>
      <c r="Y11" s="3" t="str">
        <f ca="1">IFERROR(__xludf.DUMMYFUNCTION("""COMPUTED_VALUE"""),"")</f>
        <v/>
      </c>
      <c r="Z11" s="3" t="str">
        <f ca="1">IFERROR(__xludf.DUMMYFUNCTION("""COMPUTED_VALUE"""),"")</f>
        <v/>
      </c>
    </row>
    <row r="12" spans="1:26" x14ac:dyDescent="0.2">
      <c r="A12" s="1" t="str">
        <f ca="1">IFERROR(__xludf.DUMMYFUNCTION("""COMPUTED_VALUE"""),"Créditos Realizado")</f>
        <v>Créditos Realizado</v>
      </c>
      <c r="B12" s="1" t="str">
        <f ca="1">IFERROR(__xludf.DUMMYFUNCTION("""COMPUTED_VALUE"""),"Total")</f>
        <v>Total</v>
      </c>
      <c r="C12" s="3">
        <f ca="1">IFERROR(__xludf.DUMMYFUNCTION("""COMPUTED_VALUE"""),29868.7775)</f>
        <v>29868.7775</v>
      </c>
      <c r="D12" s="3">
        <f ca="1">IFERROR(__xludf.DUMMYFUNCTION("""COMPUTED_VALUE"""),42707.5975)</f>
        <v>42707.597500000003</v>
      </c>
      <c r="E12" s="3">
        <f ca="1">IFERROR(__xludf.DUMMYFUNCTION("""COMPUTED_VALUE"""),39520.125)</f>
        <v>39520.125</v>
      </c>
      <c r="F12" s="3">
        <f ca="1">IFERROR(__xludf.DUMMYFUNCTION("""COMPUTED_VALUE"""),39440.25)</f>
        <v>39440.25</v>
      </c>
      <c r="G12" s="3">
        <f ca="1">IFERROR(__xludf.DUMMYFUNCTION("""COMPUTED_VALUE"""),105643.704999999)</f>
        <v>105643.704999999</v>
      </c>
      <c r="H12" s="3">
        <f ca="1">IFERROR(__xludf.DUMMYFUNCTION("""COMPUTED_VALUE"""),32355.9625)</f>
        <v>32355.962500000001</v>
      </c>
      <c r="I12" s="3">
        <f ca="1">IFERROR(__xludf.DUMMYFUNCTION("""COMPUTED_VALUE"""),31626.94)</f>
        <v>31626.94</v>
      </c>
      <c r="J12" s="3">
        <f ca="1">IFERROR(__xludf.DUMMYFUNCTION("""COMPUTED_VALUE"""),32244.48)</f>
        <v>32244.48</v>
      </c>
      <c r="K12" s="3">
        <f ca="1">IFERROR(__xludf.DUMMYFUNCTION("""COMPUTED_VALUE"""),60057.8699999999)</f>
        <v>60057.869999999901</v>
      </c>
      <c r="L12" s="3">
        <f ca="1">IFERROR(__xludf.DUMMYFUNCTION("""COMPUTED_VALUE"""),34882.6249999999)</f>
        <v>34882.624999999898</v>
      </c>
      <c r="M12" s="3">
        <f ca="1">IFERROR(__xludf.DUMMYFUNCTION("""COMPUTED_VALUE"""),22283.5)</f>
        <v>22283.5</v>
      </c>
      <c r="N12" s="3">
        <f ca="1">IFERROR(__xludf.DUMMYFUNCTION("""COMPUTED_VALUE"""),97602.2199999999)</f>
        <v>97602.219999999899</v>
      </c>
      <c r="O12" s="3" t="str">
        <f ca="1">IFERROR(__xludf.DUMMYFUNCTION("""COMPUTED_VALUE"""),"")</f>
        <v/>
      </c>
      <c r="P12" s="3" t="str">
        <f ca="1">IFERROR(__xludf.DUMMYFUNCTION("""COMPUTED_VALUE"""),"")</f>
        <v/>
      </c>
      <c r="Q12" s="3" t="str">
        <f ca="1">IFERROR(__xludf.DUMMYFUNCTION("""COMPUTED_VALUE"""),"")</f>
        <v/>
      </c>
      <c r="R12" s="3" t="str">
        <f ca="1">IFERROR(__xludf.DUMMYFUNCTION("""COMPUTED_VALUE"""),"")</f>
        <v/>
      </c>
      <c r="S12" s="3" t="str">
        <f ca="1">IFERROR(__xludf.DUMMYFUNCTION("""COMPUTED_VALUE"""),"")</f>
        <v/>
      </c>
      <c r="T12" s="3" t="str">
        <f ca="1">IFERROR(__xludf.DUMMYFUNCTION("""COMPUTED_VALUE"""),"")</f>
        <v/>
      </c>
      <c r="U12" s="3" t="str">
        <f ca="1">IFERROR(__xludf.DUMMYFUNCTION("""COMPUTED_VALUE"""),"")</f>
        <v/>
      </c>
      <c r="V12" s="3" t="str">
        <f ca="1">IFERROR(__xludf.DUMMYFUNCTION("""COMPUTED_VALUE"""),"")</f>
        <v/>
      </c>
      <c r="W12" s="3" t="str">
        <f ca="1">IFERROR(__xludf.DUMMYFUNCTION("""COMPUTED_VALUE"""),"")</f>
        <v/>
      </c>
      <c r="X12" s="3" t="str">
        <f ca="1">IFERROR(__xludf.DUMMYFUNCTION("""COMPUTED_VALUE"""),"")</f>
        <v/>
      </c>
      <c r="Y12" s="3" t="str">
        <f ca="1">IFERROR(__xludf.DUMMYFUNCTION("""COMPUTED_VALUE"""),"")</f>
        <v/>
      </c>
      <c r="Z12" s="3" t="str">
        <f ca="1">IFERROR(__xludf.DUMMYFUNCTION("""COMPUTED_VALUE"""),"")</f>
        <v/>
      </c>
    </row>
    <row r="13" spans="1:26" x14ac:dyDescent="0.2">
      <c r="A13" s="1" t="str">
        <f ca="1">IFERROR(__xludf.DUMMYFUNCTION("""COMPUTED_VALUE"""),"Investimento Previsto")</f>
        <v>Investimento Previsto</v>
      </c>
      <c r="B13" s="1" t="str">
        <f ca="1">IFERROR(__xludf.DUMMYFUNCTION("""COMPUTED_VALUE"""),"-")</f>
        <v>-</v>
      </c>
      <c r="C13" s="3">
        <f ca="1">IFERROR(__xludf.DUMMYFUNCTION("""COMPUTED_VALUE"""),888.33)</f>
        <v>888.33</v>
      </c>
      <c r="D13" s="3">
        <f ca="1">IFERROR(__xludf.DUMMYFUNCTION("""COMPUTED_VALUE"""),0)</f>
        <v>0</v>
      </c>
      <c r="E13" s="3">
        <f ca="1">IFERROR(__xludf.DUMMYFUNCTION("""COMPUTED_VALUE"""),0)</f>
        <v>0</v>
      </c>
      <c r="F13" s="3">
        <f ca="1">IFERROR(__xludf.DUMMYFUNCTION("""COMPUTED_VALUE"""),6811.08)</f>
        <v>6811.08</v>
      </c>
      <c r="G13" s="3">
        <f ca="1">IFERROR(__xludf.DUMMYFUNCTION("""COMPUTED_VALUE"""),0)</f>
        <v>0</v>
      </c>
      <c r="H13" s="3">
        <f ca="1">IFERROR(__xludf.DUMMYFUNCTION("""COMPUTED_VALUE"""),1811.5)</f>
        <v>1811.5</v>
      </c>
      <c r="I13" s="3">
        <f ca="1">IFERROR(__xludf.DUMMYFUNCTION("""COMPUTED_VALUE"""),0)</f>
        <v>0</v>
      </c>
      <c r="J13" s="3">
        <f ca="1">IFERROR(__xludf.DUMMYFUNCTION("""COMPUTED_VALUE"""),0)</f>
        <v>0</v>
      </c>
      <c r="K13" s="3">
        <f ca="1">IFERROR(__xludf.DUMMYFUNCTION("""COMPUTED_VALUE"""),0)</f>
        <v>0</v>
      </c>
      <c r="L13" s="3">
        <f ca="1">IFERROR(__xludf.DUMMYFUNCTION("""COMPUTED_VALUE"""),0)</f>
        <v>0</v>
      </c>
      <c r="M13" s="3">
        <f ca="1">IFERROR(__xludf.DUMMYFUNCTION("""COMPUTED_VALUE"""),0)</f>
        <v>0</v>
      </c>
      <c r="N13" s="3">
        <f ca="1">IFERROR(__xludf.DUMMYFUNCTION("""COMPUTED_VALUE"""),16000)</f>
        <v>16000</v>
      </c>
      <c r="O13" s="3" t="str">
        <f ca="1">IFERROR(__xludf.DUMMYFUNCTION("""COMPUTED_VALUE"""),"")</f>
        <v/>
      </c>
      <c r="P13" s="3" t="str">
        <f ca="1">IFERROR(__xludf.DUMMYFUNCTION("""COMPUTED_VALUE"""),"")</f>
        <v/>
      </c>
      <c r="Q13" s="3" t="str">
        <f ca="1">IFERROR(__xludf.DUMMYFUNCTION("""COMPUTED_VALUE"""),"")</f>
        <v/>
      </c>
      <c r="R13" s="3" t="str">
        <f ca="1">IFERROR(__xludf.DUMMYFUNCTION("""COMPUTED_VALUE"""),"")</f>
        <v/>
      </c>
      <c r="S13" s="3" t="str">
        <f ca="1">IFERROR(__xludf.DUMMYFUNCTION("""COMPUTED_VALUE"""),"")</f>
        <v/>
      </c>
      <c r="T13" s="3" t="str">
        <f ca="1">IFERROR(__xludf.DUMMYFUNCTION("""COMPUTED_VALUE"""),"")</f>
        <v/>
      </c>
      <c r="U13" s="3" t="str">
        <f ca="1">IFERROR(__xludf.DUMMYFUNCTION("""COMPUTED_VALUE"""),"")</f>
        <v/>
      </c>
      <c r="V13" s="3" t="str">
        <f ca="1">IFERROR(__xludf.DUMMYFUNCTION("""COMPUTED_VALUE"""),"")</f>
        <v/>
      </c>
      <c r="W13" s="3" t="str">
        <f ca="1">IFERROR(__xludf.DUMMYFUNCTION("""COMPUTED_VALUE"""),"")</f>
        <v/>
      </c>
      <c r="X13" s="3" t="str">
        <f ca="1">IFERROR(__xludf.DUMMYFUNCTION("""COMPUTED_VALUE"""),"")</f>
        <v/>
      </c>
      <c r="Y13" s="3" t="str">
        <f ca="1">IFERROR(__xludf.DUMMYFUNCTION("""COMPUTED_VALUE"""),"")</f>
        <v/>
      </c>
      <c r="Z13" s="3" t="str">
        <f ca="1">IFERROR(__xludf.DUMMYFUNCTION("""COMPUTED_VALUE"""),"")</f>
        <v/>
      </c>
    </row>
    <row r="14" spans="1:26" x14ac:dyDescent="0.2">
      <c r="A14" s="1" t="str">
        <f ca="1">IFERROR(__xludf.DUMMYFUNCTION("""COMPUTED_VALUE"""),"Investimento Realizado")</f>
        <v>Investimento Realizado</v>
      </c>
      <c r="B14" s="1" t="str">
        <f ca="1">IFERROR(__xludf.DUMMYFUNCTION("""COMPUTED_VALUE"""),"-")</f>
        <v>-</v>
      </c>
      <c r="C14" s="3">
        <f ca="1">IFERROR(__xludf.DUMMYFUNCTION("""COMPUTED_VALUE"""),888.329999999999)</f>
        <v>888.32999999999902</v>
      </c>
      <c r="D14" s="3">
        <f ca="1">IFERROR(__xludf.DUMMYFUNCTION("""COMPUTED_VALUE"""),0)</f>
        <v>0</v>
      </c>
      <c r="E14" s="3">
        <f ca="1">IFERROR(__xludf.DUMMYFUNCTION("""COMPUTED_VALUE"""),0)</f>
        <v>0</v>
      </c>
      <c r="F14" s="3">
        <f ca="1">IFERROR(__xludf.DUMMYFUNCTION("""COMPUTED_VALUE"""),6811.08)</f>
        <v>6811.08</v>
      </c>
      <c r="G14" s="3">
        <f ca="1">IFERROR(__xludf.DUMMYFUNCTION("""COMPUTED_VALUE"""),0)</f>
        <v>0</v>
      </c>
      <c r="H14" s="3">
        <f ca="1">IFERROR(__xludf.DUMMYFUNCTION("""COMPUTED_VALUE"""),1811.5)</f>
        <v>1811.5</v>
      </c>
      <c r="I14" s="3">
        <f ca="1">IFERROR(__xludf.DUMMYFUNCTION("""COMPUTED_VALUE"""),0)</f>
        <v>0</v>
      </c>
      <c r="J14" s="3">
        <f ca="1">IFERROR(__xludf.DUMMYFUNCTION("""COMPUTED_VALUE"""),0)</f>
        <v>0</v>
      </c>
      <c r="K14" s="3">
        <f ca="1">IFERROR(__xludf.DUMMYFUNCTION("""COMPUTED_VALUE"""),0)</f>
        <v>0</v>
      </c>
      <c r="L14" s="3">
        <f ca="1">IFERROR(__xludf.DUMMYFUNCTION("""COMPUTED_VALUE"""),0)</f>
        <v>0</v>
      </c>
      <c r="M14" s="3">
        <f ca="1">IFERROR(__xludf.DUMMYFUNCTION("""COMPUTED_VALUE"""),0)</f>
        <v>0</v>
      </c>
      <c r="N14" s="3">
        <f ca="1">IFERROR(__xludf.DUMMYFUNCTION("""COMPUTED_VALUE"""),16000)</f>
        <v>16000</v>
      </c>
      <c r="O14" s="3" t="str">
        <f ca="1">IFERROR(__xludf.DUMMYFUNCTION("""COMPUTED_VALUE"""),"")</f>
        <v/>
      </c>
      <c r="P14" s="3" t="str">
        <f ca="1">IFERROR(__xludf.DUMMYFUNCTION("""COMPUTED_VALUE"""),"")</f>
        <v/>
      </c>
      <c r="Q14" s="3" t="str">
        <f ca="1">IFERROR(__xludf.DUMMYFUNCTION("""COMPUTED_VALUE"""),"")</f>
        <v/>
      </c>
      <c r="R14" s="3" t="str">
        <f ca="1">IFERROR(__xludf.DUMMYFUNCTION("""COMPUTED_VALUE"""),"")</f>
        <v/>
      </c>
      <c r="S14" s="3" t="str">
        <f ca="1">IFERROR(__xludf.DUMMYFUNCTION("""COMPUTED_VALUE"""),"")</f>
        <v/>
      </c>
      <c r="T14" s="3" t="str">
        <f ca="1">IFERROR(__xludf.DUMMYFUNCTION("""COMPUTED_VALUE"""),"")</f>
        <v/>
      </c>
      <c r="U14" s="3" t="str">
        <f ca="1">IFERROR(__xludf.DUMMYFUNCTION("""COMPUTED_VALUE"""),"")</f>
        <v/>
      </c>
      <c r="V14" s="3" t="str">
        <f ca="1">IFERROR(__xludf.DUMMYFUNCTION("""COMPUTED_VALUE"""),"")</f>
        <v/>
      </c>
      <c r="W14" s="3" t="str">
        <f ca="1">IFERROR(__xludf.DUMMYFUNCTION("""COMPUTED_VALUE"""),"")</f>
        <v/>
      </c>
      <c r="X14" s="3" t="str">
        <f ca="1">IFERROR(__xludf.DUMMYFUNCTION("""COMPUTED_VALUE"""),"")</f>
        <v/>
      </c>
      <c r="Y14" s="3" t="str">
        <f ca="1">IFERROR(__xludf.DUMMYFUNCTION("""COMPUTED_VALUE"""),"")</f>
        <v/>
      </c>
      <c r="Z14" s="3" t="str">
        <f ca="1">IFERROR(__xludf.DUMMYFUNCTION("""COMPUTED_VALUE"""),"")</f>
        <v/>
      </c>
    </row>
    <row r="15" spans="1:26" x14ac:dyDescent="0.2">
      <c r="A15" s="1" t="str">
        <f ca="1">IFERROR(__xludf.DUMMYFUNCTION("""COMPUTED_VALUE"""),"Meta Cartão Previsto")</f>
        <v>Meta Cartão Previsto</v>
      </c>
      <c r="B15" s="1" t="str">
        <f ca="1">IFERROR(__xludf.DUMMYFUNCTION("""COMPUTED_VALUE"""),"Meta cartão")</f>
        <v>Meta cartão</v>
      </c>
      <c r="C15" s="3">
        <f ca="1">IFERROR(__xludf.DUMMYFUNCTION("""COMPUTED_VALUE"""),0)</f>
        <v>0</v>
      </c>
      <c r="D15" s="3">
        <f ca="1">IFERROR(__xludf.DUMMYFUNCTION("""COMPUTED_VALUE"""),0)</f>
        <v>0</v>
      </c>
      <c r="E15" s="3">
        <f ca="1">IFERROR(__xludf.DUMMYFUNCTION("""COMPUTED_VALUE"""),0)</f>
        <v>0</v>
      </c>
      <c r="F15" s="3">
        <f ca="1">IFERROR(__xludf.DUMMYFUNCTION("""COMPUTED_VALUE"""),0)</f>
        <v>0</v>
      </c>
      <c r="G15" s="3">
        <f ca="1">IFERROR(__xludf.DUMMYFUNCTION("""COMPUTED_VALUE"""),0)</f>
        <v>0</v>
      </c>
      <c r="H15" s="3">
        <f ca="1">IFERROR(__xludf.DUMMYFUNCTION("""COMPUTED_VALUE"""),0)</f>
        <v>0</v>
      </c>
      <c r="I15" s="3">
        <f ca="1">IFERROR(__xludf.DUMMYFUNCTION("""COMPUTED_VALUE"""),0)</f>
        <v>0</v>
      </c>
      <c r="J15" s="3">
        <f ca="1">IFERROR(__xludf.DUMMYFUNCTION("""COMPUTED_VALUE"""),0)</f>
        <v>0</v>
      </c>
      <c r="K15" s="3">
        <f ca="1">IFERROR(__xludf.DUMMYFUNCTION("""COMPUTED_VALUE"""),0)</f>
        <v>0</v>
      </c>
      <c r="L15" s="3">
        <f ca="1">IFERROR(__xludf.DUMMYFUNCTION("""COMPUTED_VALUE"""),0)</f>
        <v>0</v>
      </c>
      <c r="M15" s="3">
        <f ca="1">IFERROR(__xludf.DUMMYFUNCTION("""COMPUTED_VALUE"""),0)</f>
        <v>0</v>
      </c>
      <c r="N15" s="3">
        <f ca="1">IFERROR(__xludf.DUMMYFUNCTION("""COMPUTED_VALUE"""),838.539999999999)</f>
        <v>838.53999999999905</v>
      </c>
      <c r="O15" s="3" t="str">
        <f ca="1">IFERROR(__xludf.DUMMYFUNCTION("""COMPUTED_VALUE"""),"")</f>
        <v/>
      </c>
      <c r="P15" s="3" t="str">
        <f ca="1">IFERROR(__xludf.DUMMYFUNCTION("""COMPUTED_VALUE"""),"")</f>
        <v/>
      </c>
      <c r="Q15" s="3" t="str">
        <f ca="1">IFERROR(__xludf.DUMMYFUNCTION("""COMPUTED_VALUE"""),"")</f>
        <v/>
      </c>
      <c r="R15" s="3" t="str">
        <f ca="1">IFERROR(__xludf.DUMMYFUNCTION("""COMPUTED_VALUE"""),"")</f>
        <v/>
      </c>
      <c r="S15" s="3" t="str">
        <f ca="1">IFERROR(__xludf.DUMMYFUNCTION("""COMPUTED_VALUE"""),"")</f>
        <v/>
      </c>
      <c r="T15" s="3" t="str">
        <f ca="1">IFERROR(__xludf.DUMMYFUNCTION("""COMPUTED_VALUE"""),"")</f>
        <v/>
      </c>
      <c r="U15" s="3" t="str">
        <f ca="1">IFERROR(__xludf.DUMMYFUNCTION("""COMPUTED_VALUE"""),"")</f>
        <v/>
      </c>
      <c r="V15" s="3" t="str">
        <f ca="1">IFERROR(__xludf.DUMMYFUNCTION("""COMPUTED_VALUE"""),"")</f>
        <v/>
      </c>
      <c r="W15" s="3" t="str">
        <f ca="1">IFERROR(__xludf.DUMMYFUNCTION("""COMPUTED_VALUE"""),"")</f>
        <v/>
      </c>
      <c r="X15" s="3" t="str">
        <f ca="1">IFERROR(__xludf.DUMMYFUNCTION("""COMPUTED_VALUE"""),"")</f>
        <v/>
      </c>
      <c r="Y15" s="3" t="str">
        <f ca="1">IFERROR(__xludf.DUMMYFUNCTION("""COMPUTED_VALUE"""),"")</f>
        <v/>
      </c>
      <c r="Z15" s="3" t="str">
        <f ca="1">IFERROR(__xludf.DUMMYFUNCTION("""COMPUTED_VALUE"""),"")</f>
        <v/>
      </c>
    </row>
    <row r="16" spans="1:26" x14ac:dyDescent="0.2">
      <c r="A16" s="1" t="str">
        <f ca="1">IFERROR(__xludf.DUMMYFUNCTION("""COMPUTED_VALUE"""),"Meta Cartão Realizado")</f>
        <v>Meta Cartão Realizado</v>
      </c>
      <c r="B16" s="1" t="str">
        <f ca="1">IFERROR(__xludf.DUMMYFUNCTION("""COMPUTED_VALUE"""),"Meta cartão")</f>
        <v>Meta cartão</v>
      </c>
      <c r="C16" s="3">
        <f ca="1">IFERROR(__xludf.DUMMYFUNCTION("""COMPUTED_VALUE"""),0)</f>
        <v>0</v>
      </c>
      <c r="D16" s="3">
        <f ca="1">IFERROR(__xludf.DUMMYFUNCTION("""COMPUTED_VALUE"""),0)</f>
        <v>0</v>
      </c>
      <c r="E16" s="3">
        <f ca="1">IFERROR(__xludf.DUMMYFUNCTION("""COMPUTED_VALUE"""),0)</f>
        <v>0</v>
      </c>
      <c r="F16" s="3">
        <f ca="1">IFERROR(__xludf.DUMMYFUNCTION("""COMPUTED_VALUE"""),0)</f>
        <v>0</v>
      </c>
      <c r="G16" s="3">
        <f ca="1">IFERROR(__xludf.DUMMYFUNCTION("""COMPUTED_VALUE"""),0)</f>
        <v>0</v>
      </c>
      <c r="H16" s="3">
        <f ca="1">IFERROR(__xludf.DUMMYFUNCTION("""COMPUTED_VALUE"""),0)</f>
        <v>0</v>
      </c>
      <c r="I16" s="3">
        <f ca="1">IFERROR(__xludf.DUMMYFUNCTION("""COMPUTED_VALUE"""),0)</f>
        <v>0</v>
      </c>
      <c r="J16" s="3">
        <f ca="1">IFERROR(__xludf.DUMMYFUNCTION("""COMPUTED_VALUE"""),0)</f>
        <v>0</v>
      </c>
      <c r="K16" s="3">
        <f ca="1">IFERROR(__xludf.DUMMYFUNCTION("""COMPUTED_VALUE"""),0)</f>
        <v>0</v>
      </c>
      <c r="L16" s="3">
        <f ca="1">IFERROR(__xludf.DUMMYFUNCTION("""COMPUTED_VALUE"""),0)</f>
        <v>0</v>
      </c>
      <c r="M16" s="3">
        <f ca="1">IFERROR(__xludf.DUMMYFUNCTION("""COMPUTED_VALUE"""),0)</f>
        <v>0</v>
      </c>
      <c r="N16" s="3">
        <f ca="1">IFERROR(__xludf.DUMMYFUNCTION("""COMPUTED_VALUE"""),838.539999999999)</f>
        <v>838.53999999999905</v>
      </c>
      <c r="O16" s="3" t="str">
        <f ca="1">IFERROR(__xludf.DUMMYFUNCTION("""COMPUTED_VALUE"""),"")</f>
        <v/>
      </c>
      <c r="P16" s="3" t="str">
        <f ca="1">IFERROR(__xludf.DUMMYFUNCTION("""COMPUTED_VALUE"""),"")</f>
        <v/>
      </c>
      <c r="Q16" s="3" t="str">
        <f ca="1">IFERROR(__xludf.DUMMYFUNCTION("""COMPUTED_VALUE"""),"")</f>
        <v/>
      </c>
      <c r="R16" s="3" t="str">
        <f ca="1">IFERROR(__xludf.DUMMYFUNCTION("""COMPUTED_VALUE"""),"")</f>
        <v/>
      </c>
      <c r="S16" s="3" t="str">
        <f ca="1">IFERROR(__xludf.DUMMYFUNCTION("""COMPUTED_VALUE"""),"")</f>
        <v/>
      </c>
      <c r="T16" s="3" t="str">
        <f ca="1">IFERROR(__xludf.DUMMYFUNCTION("""COMPUTED_VALUE"""),"")</f>
        <v/>
      </c>
      <c r="U16" s="3" t="str">
        <f ca="1">IFERROR(__xludf.DUMMYFUNCTION("""COMPUTED_VALUE"""),"")</f>
        <v/>
      </c>
      <c r="V16" s="3" t="str">
        <f ca="1">IFERROR(__xludf.DUMMYFUNCTION("""COMPUTED_VALUE"""),"")</f>
        <v/>
      </c>
      <c r="W16" s="3" t="str">
        <f ca="1">IFERROR(__xludf.DUMMYFUNCTION("""COMPUTED_VALUE"""),"")</f>
        <v/>
      </c>
      <c r="X16" s="3" t="str">
        <f ca="1">IFERROR(__xludf.DUMMYFUNCTION("""COMPUTED_VALUE"""),"")</f>
        <v/>
      </c>
      <c r="Y16" s="3" t="str">
        <f ca="1">IFERROR(__xludf.DUMMYFUNCTION("""COMPUTED_VALUE"""),"")</f>
        <v/>
      </c>
      <c r="Z16" s="3" t="str">
        <f ca="1">IFERROR(__xludf.DUMMYFUNCTION("""COMPUTED_VALUE"""),"")</f>
        <v/>
      </c>
    </row>
    <row r="17" spans="1:26" x14ac:dyDescent="0.2">
      <c r="A17" s="1" t="str">
        <f ca="1">IFERROR(__xludf.DUMMYFUNCTION("""COMPUTED_VALUE"""),"Sicredi Previsto")</f>
        <v>Sicredi Previsto</v>
      </c>
      <c r="B17" s="1" t="str">
        <f ca="1">IFERROR(__xludf.DUMMYFUNCTION("""COMPUTED_VALUE"""),"Sicredi")</f>
        <v>Sicredi</v>
      </c>
      <c r="C17" s="3">
        <f ca="1">IFERROR(__xludf.DUMMYFUNCTION("""COMPUTED_VALUE"""),6965.81)</f>
        <v>6965.81</v>
      </c>
      <c r="D17" s="3">
        <f ca="1">IFERROR(__xludf.DUMMYFUNCTION("""COMPUTED_VALUE"""),9659.1)</f>
        <v>9659.1</v>
      </c>
      <c r="E17" s="3">
        <f ca="1">IFERROR(__xludf.DUMMYFUNCTION("""COMPUTED_VALUE"""),5520.62)</f>
        <v>5520.62</v>
      </c>
      <c r="F17" s="3">
        <f ca="1">IFERROR(__xludf.DUMMYFUNCTION("""COMPUTED_VALUE"""),5242.68)</f>
        <v>5242.68</v>
      </c>
      <c r="G17" s="3">
        <f ca="1">IFERROR(__xludf.DUMMYFUNCTION("""COMPUTED_VALUE"""),1482.53)</f>
        <v>1482.53</v>
      </c>
      <c r="H17" s="3">
        <f ca="1">IFERROR(__xludf.DUMMYFUNCTION("""COMPUTED_VALUE"""),569.51)</f>
        <v>569.51</v>
      </c>
      <c r="I17" s="3">
        <f ca="1">IFERROR(__xludf.DUMMYFUNCTION("""COMPUTED_VALUE"""),431.56)</f>
        <v>431.56</v>
      </c>
      <c r="J17" s="3">
        <f ca="1">IFERROR(__xludf.DUMMYFUNCTION("""COMPUTED_VALUE"""),431.56)</f>
        <v>431.56</v>
      </c>
      <c r="K17" s="3">
        <f ca="1">IFERROR(__xludf.DUMMYFUNCTION("""COMPUTED_VALUE"""),431.65)</f>
        <v>431.65</v>
      </c>
      <c r="L17" s="3">
        <f ca="1">IFERROR(__xludf.DUMMYFUNCTION("""COMPUTED_VALUE"""),431.65)</f>
        <v>431.65</v>
      </c>
      <c r="M17" s="3">
        <f ca="1">IFERROR(__xludf.DUMMYFUNCTION("""COMPUTED_VALUE"""),431.56)</f>
        <v>431.56</v>
      </c>
      <c r="N17" s="3">
        <f ca="1">IFERROR(__xludf.DUMMYFUNCTION("""COMPUTED_VALUE"""),431.65)</f>
        <v>431.65</v>
      </c>
      <c r="O17" s="3" t="str">
        <f ca="1">IFERROR(__xludf.DUMMYFUNCTION("""COMPUTED_VALUE"""),"")</f>
        <v/>
      </c>
      <c r="P17" s="3" t="str">
        <f ca="1">IFERROR(__xludf.DUMMYFUNCTION("""COMPUTED_VALUE"""),"")</f>
        <v/>
      </c>
      <c r="Q17" s="3" t="str">
        <f ca="1">IFERROR(__xludf.DUMMYFUNCTION("""COMPUTED_VALUE"""),"")</f>
        <v/>
      </c>
      <c r="R17" s="3" t="str">
        <f ca="1">IFERROR(__xludf.DUMMYFUNCTION("""COMPUTED_VALUE"""),"")</f>
        <v/>
      </c>
      <c r="S17" s="3" t="str">
        <f ca="1">IFERROR(__xludf.DUMMYFUNCTION("""COMPUTED_VALUE"""),"")</f>
        <v/>
      </c>
      <c r="T17" s="3" t="str">
        <f ca="1">IFERROR(__xludf.DUMMYFUNCTION("""COMPUTED_VALUE"""),"")</f>
        <v/>
      </c>
      <c r="U17" s="3" t="str">
        <f ca="1">IFERROR(__xludf.DUMMYFUNCTION("""COMPUTED_VALUE"""),"")</f>
        <v/>
      </c>
      <c r="V17" s="3" t="str">
        <f ca="1">IFERROR(__xludf.DUMMYFUNCTION("""COMPUTED_VALUE"""),"")</f>
        <v/>
      </c>
      <c r="W17" s="3" t="str">
        <f ca="1">IFERROR(__xludf.DUMMYFUNCTION("""COMPUTED_VALUE"""),"")</f>
        <v/>
      </c>
      <c r="X17" s="3" t="str">
        <f ca="1">IFERROR(__xludf.DUMMYFUNCTION("""COMPUTED_VALUE"""),"")</f>
        <v/>
      </c>
      <c r="Y17" s="3" t="str">
        <f ca="1">IFERROR(__xludf.DUMMYFUNCTION("""COMPUTED_VALUE"""),"")</f>
        <v/>
      </c>
      <c r="Z17" s="3" t="str">
        <f ca="1">IFERROR(__xludf.DUMMYFUNCTION("""COMPUTED_VALUE"""),"")</f>
        <v/>
      </c>
    </row>
    <row r="18" spans="1:26" x14ac:dyDescent="0.2">
      <c r="A18" s="1" t="str">
        <f ca="1">IFERROR(__xludf.DUMMYFUNCTION("""COMPUTED_VALUE"""),"Sicredi Realizado")</f>
        <v>Sicredi Realizado</v>
      </c>
      <c r="B18" s="1" t="str">
        <f ca="1">IFERROR(__xludf.DUMMYFUNCTION("""COMPUTED_VALUE"""),"Sicredi")</f>
        <v>Sicredi</v>
      </c>
      <c r="C18" s="3">
        <f ca="1">IFERROR(__xludf.DUMMYFUNCTION("""COMPUTED_VALUE"""),6965.81)</f>
        <v>6965.81</v>
      </c>
      <c r="D18" s="3">
        <f ca="1">IFERROR(__xludf.DUMMYFUNCTION("""COMPUTED_VALUE"""),9659.1)</f>
        <v>9659.1</v>
      </c>
      <c r="E18" s="3">
        <f ca="1">IFERROR(__xludf.DUMMYFUNCTION("""COMPUTED_VALUE"""),5520.62)</f>
        <v>5520.62</v>
      </c>
      <c r="F18" s="3">
        <f ca="1">IFERROR(__xludf.DUMMYFUNCTION("""COMPUTED_VALUE"""),5242.68)</f>
        <v>5242.68</v>
      </c>
      <c r="G18" s="3">
        <f ca="1">IFERROR(__xludf.DUMMYFUNCTION("""COMPUTED_VALUE"""),1482.53)</f>
        <v>1482.53</v>
      </c>
      <c r="H18" s="3">
        <f ca="1">IFERROR(__xludf.DUMMYFUNCTION("""COMPUTED_VALUE"""),569.51)</f>
        <v>569.51</v>
      </c>
      <c r="I18" s="3">
        <f ca="1">IFERROR(__xludf.DUMMYFUNCTION("""COMPUTED_VALUE"""),431.56)</f>
        <v>431.56</v>
      </c>
      <c r="J18" s="3">
        <f ca="1">IFERROR(__xludf.DUMMYFUNCTION("""COMPUTED_VALUE"""),431.56)</f>
        <v>431.56</v>
      </c>
      <c r="K18" s="3">
        <f ca="1">IFERROR(__xludf.DUMMYFUNCTION("""COMPUTED_VALUE"""),431.65)</f>
        <v>431.65</v>
      </c>
      <c r="L18" s="3">
        <f ca="1">IFERROR(__xludf.DUMMYFUNCTION("""COMPUTED_VALUE"""),431.65)</f>
        <v>431.65</v>
      </c>
      <c r="M18" s="3">
        <f ca="1">IFERROR(__xludf.DUMMYFUNCTION("""COMPUTED_VALUE"""),431.56)</f>
        <v>431.56</v>
      </c>
      <c r="N18" s="3">
        <f ca="1">IFERROR(__xludf.DUMMYFUNCTION("""COMPUTED_VALUE"""),431.65)</f>
        <v>431.65</v>
      </c>
      <c r="O18" s="3" t="str">
        <f ca="1">IFERROR(__xludf.DUMMYFUNCTION("""COMPUTED_VALUE"""),"")</f>
        <v/>
      </c>
      <c r="P18" s="3" t="str">
        <f ca="1">IFERROR(__xludf.DUMMYFUNCTION("""COMPUTED_VALUE"""),"")</f>
        <v/>
      </c>
      <c r="Q18" s="3" t="str">
        <f ca="1">IFERROR(__xludf.DUMMYFUNCTION("""COMPUTED_VALUE"""),"")</f>
        <v/>
      </c>
      <c r="R18" s="3" t="str">
        <f ca="1">IFERROR(__xludf.DUMMYFUNCTION("""COMPUTED_VALUE"""),"")</f>
        <v/>
      </c>
      <c r="S18" s="3" t="str">
        <f ca="1">IFERROR(__xludf.DUMMYFUNCTION("""COMPUTED_VALUE"""),"")</f>
        <v/>
      </c>
      <c r="T18" s="3" t="str">
        <f ca="1">IFERROR(__xludf.DUMMYFUNCTION("""COMPUTED_VALUE"""),"")</f>
        <v/>
      </c>
      <c r="U18" s="3" t="str">
        <f ca="1">IFERROR(__xludf.DUMMYFUNCTION("""COMPUTED_VALUE"""),"")</f>
        <v/>
      </c>
      <c r="V18" s="3" t="str">
        <f ca="1">IFERROR(__xludf.DUMMYFUNCTION("""COMPUTED_VALUE"""),"")</f>
        <v/>
      </c>
      <c r="W18" s="3" t="str">
        <f ca="1">IFERROR(__xludf.DUMMYFUNCTION("""COMPUTED_VALUE"""),"")</f>
        <v/>
      </c>
      <c r="X18" s="3" t="str">
        <f ca="1">IFERROR(__xludf.DUMMYFUNCTION("""COMPUTED_VALUE"""),"")</f>
        <v/>
      </c>
      <c r="Y18" s="3" t="str">
        <f ca="1">IFERROR(__xludf.DUMMYFUNCTION("""COMPUTED_VALUE"""),"")</f>
        <v/>
      </c>
      <c r="Z18" s="3" t="str">
        <f ca="1">IFERROR(__xludf.DUMMYFUNCTION("""COMPUTED_VALUE"""),"")</f>
        <v/>
      </c>
    </row>
    <row r="19" spans="1:26" x14ac:dyDescent="0.2">
      <c r="A19" s="1" t="str">
        <f ca="1">IFERROR(__xludf.DUMMYFUNCTION("""COMPUTED_VALUE"""),"Porto Bank Previsto")</f>
        <v>Porto Bank Previsto</v>
      </c>
      <c r="B19" s="1" t="str">
        <f ca="1">IFERROR(__xludf.DUMMYFUNCTION("""COMPUTED_VALUE"""),"Porto Bank")</f>
        <v>Porto Bank</v>
      </c>
      <c r="C19" s="3">
        <f ca="1">IFERROR(__xludf.DUMMYFUNCTION("""COMPUTED_VALUE"""),0)</f>
        <v>0</v>
      </c>
      <c r="D19" s="3">
        <f ca="1">IFERROR(__xludf.DUMMYFUNCTION("""COMPUTED_VALUE"""),25.2)</f>
        <v>25.2</v>
      </c>
      <c r="E19" s="3">
        <f ca="1">IFERROR(__xludf.DUMMYFUNCTION("""COMPUTED_VALUE"""),30.65)</f>
        <v>30.65</v>
      </c>
      <c r="F19" s="3">
        <f ca="1">IFERROR(__xludf.DUMMYFUNCTION("""COMPUTED_VALUE"""),0)</f>
        <v>0</v>
      </c>
      <c r="G19" s="3">
        <f ca="1">IFERROR(__xludf.DUMMYFUNCTION("""COMPUTED_VALUE"""),0)</f>
        <v>0</v>
      </c>
      <c r="H19" s="3">
        <f ca="1">IFERROR(__xludf.DUMMYFUNCTION("""COMPUTED_VALUE"""),29.46)</f>
        <v>29.46</v>
      </c>
      <c r="I19" s="3">
        <f ca="1">IFERROR(__xludf.DUMMYFUNCTION("""COMPUTED_VALUE"""),24.14)</f>
        <v>24.14</v>
      </c>
      <c r="J19" s="3">
        <f ca="1">IFERROR(__xludf.DUMMYFUNCTION("""COMPUTED_VALUE"""),0)</f>
        <v>0</v>
      </c>
      <c r="K19" s="3">
        <f ca="1">IFERROR(__xludf.DUMMYFUNCTION("""COMPUTED_VALUE"""),265.88)</f>
        <v>265.88</v>
      </c>
      <c r="L19" s="3">
        <f ca="1">IFERROR(__xludf.DUMMYFUNCTION("""COMPUTED_VALUE"""),265.88)</f>
        <v>265.88</v>
      </c>
      <c r="M19" s="3">
        <f ca="1">IFERROR(__xludf.DUMMYFUNCTION("""COMPUTED_VALUE"""),265.88)</f>
        <v>265.88</v>
      </c>
      <c r="N19" s="3">
        <f ca="1">IFERROR(__xludf.DUMMYFUNCTION("""COMPUTED_VALUE"""),265.88)</f>
        <v>265.88</v>
      </c>
      <c r="O19" s="3" t="str">
        <f ca="1">IFERROR(__xludf.DUMMYFUNCTION("""COMPUTED_VALUE"""),"")</f>
        <v/>
      </c>
      <c r="P19" s="3" t="str">
        <f ca="1">IFERROR(__xludf.DUMMYFUNCTION("""COMPUTED_VALUE"""),"")</f>
        <v/>
      </c>
      <c r="Q19" s="3" t="str">
        <f ca="1">IFERROR(__xludf.DUMMYFUNCTION("""COMPUTED_VALUE"""),"")</f>
        <v/>
      </c>
      <c r="R19" s="3" t="str">
        <f ca="1">IFERROR(__xludf.DUMMYFUNCTION("""COMPUTED_VALUE"""),"")</f>
        <v/>
      </c>
      <c r="S19" s="3" t="str">
        <f ca="1">IFERROR(__xludf.DUMMYFUNCTION("""COMPUTED_VALUE"""),"")</f>
        <v/>
      </c>
      <c r="T19" s="3" t="str">
        <f ca="1">IFERROR(__xludf.DUMMYFUNCTION("""COMPUTED_VALUE"""),"")</f>
        <v/>
      </c>
      <c r="U19" s="3" t="str">
        <f ca="1">IFERROR(__xludf.DUMMYFUNCTION("""COMPUTED_VALUE"""),"")</f>
        <v/>
      </c>
      <c r="V19" s="3" t="str">
        <f ca="1">IFERROR(__xludf.DUMMYFUNCTION("""COMPUTED_VALUE"""),"")</f>
        <v/>
      </c>
      <c r="W19" s="3" t="str">
        <f ca="1">IFERROR(__xludf.DUMMYFUNCTION("""COMPUTED_VALUE"""),"")</f>
        <v/>
      </c>
      <c r="X19" s="3" t="str">
        <f ca="1">IFERROR(__xludf.DUMMYFUNCTION("""COMPUTED_VALUE"""),"")</f>
        <v/>
      </c>
      <c r="Y19" s="3" t="str">
        <f ca="1">IFERROR(__xludf.DUMMYFUNCTION("""COMPUTED_VALUE"""),"")</f>
        <v/>
      </c>
      <c r="Z19" s="3" t="str">
        <f ca="1">IFERROR(__xludf.DUMMYFUNCTION("""COMPUTED_VALUE"""),"")</f>
        <v/>
      </c>
    </row>
    <row r="20" spans="1:26" x14ac:dyDescent="0.2">
      <c r="A20" s="1" t="str">
        <f ca="1">IFERROR(__xludf.DUMMYFUNCTION("""COMPUTED_VALUE"""),"Porto Bank Realizado")</f>
        <v>Porto Bank Realizado</v>
      </c>
      <c r="B20" s="1" t="str">
        <f ca="1">IFERROR(__xludf.DUMMYFUNCTION("""COMPUTED_VALUE"""),"Porto Bank")</f>
        <v>Porto Bank</v>
      </c>
      <c r="C20" s="3">
        <f ca="1">IFERROR(__xludf.DUMMYFUNCTION("""COMPUTED_VALUE"""),0)</f>
        <v>0</v>
      </c>
      <c r="D20" s="3">
        <f ca="1">IFERROR(__xludf.DUMMYFUNCTION("""COMPUTED_VALUE"""),25.2)</f>
        <v>25.2</v>
      </c>
      <c r="E20" s="3">
        <f ca="1">IFERROR(__xludf.DUMMYFUNCTION("""COMPUTED_VALUE"""),30.65)</f>
        <v>30.65</v>
      </c>
      <c r="F20" s="3">
        <f ca="1">IFERROR(__xludf.DUMMYFUNCTION("""COMPUTED_VALUE"""),0)</f>
        <v>0</v>
      </c>
      <c r="G20" s="3">
        <f ca="1">IFERROR(__xludf.DUMMYFUNCTION("""COMPUTED_VALUE"""),0)</f>
        <v>0</v>
      </c>
      <c r="H20" s="3">
        <f ca="1">IFERROR(__xludf.DUMMYFUNCTION("""COMPUTED_VALUE"""),29.46)</f>
        <v>29.46</v>
      </c>
      <c r="I20" s="3">
        <f ca="1">IFERROR(__xludf.DUMMYFUNCTION("""COMPUTED_VALUE"""),24.14)</f>
        <v>24.14</v>
      </c>
      <c r="J20" s="3">
        <f ca="1">IFERROR(__xludf.DUMMYFUNCTION("""COMPUTED_VALUE"""),0)</f>
        <v>0</v>
      </c>
      <c r="K20" s="3">
        <f ca="1">IFERROR(__xludf.DUMMYFUNCTION("""COMPUTED_VALUE"""),265.88)</f>
        <v>265.88</v>
      </c>
      <c r="L20" s="3">
        <f ca="1">IFERROR(__xludf.DUMMYFUNCTION("""COMPUTED_VALUE"""),265.88)</f>
        <v>265.88</v>
      </c>
      <c r="M20" s="3">
        <f ca="1">IFERROR(__xludf.DUMMYFUNCTION("""COMPUTED_VALUE"""),265.88)</f>
        <v>265.88</v>
      </c>
      <c r="N20" s="3">
        <f ca="1">IFERROR(__xludf.DUMMYFUNCTION("""COMPUTED_VALUE"""),265.88)</f>
        <v>265.88</v>
      </c>
      <c r="O20" s="3" t="str">
        <f ca="1">IFERROR(__xludf.DUMMYFUNCTION("""COMPUTED_VALUE"""),"")</f>
        <v/>
      </c>
      <c r="P20" s="3" t="str">
        <f ca="1">IFERROR(__xludf.DUMMYFUNCTION("""COMPUTED_VALUE"""),"")</f>
        <v/>
      </c>
      <c r="Q20" s="3" t="str">
        <f ca="1">IFERROR(__xludf.DUMMYFUNCTION("""COMPUTED_VALUE"""),"")</f>
        <v/>
      </c>
      <c r="R20" s="3" t="str">
        <f ca="1">IFERROR(__xludf.DUMMYFUNCTION("""COMPUTED_VALUE"""),"")</f>
        <v/>
      </c>
      <c r="S20" s="3" t="str">
        <f ca="1">IFERROR(__xludf.DUMMYFUNCTION("""COMPUTED_VALUE"""),"")</f>
        <v/>
      </c>
      <c r="T20" s="3" t="str">
        <f ca="1">IFERROR(__xludf.DUMMYFUNCTION("""COMPUTED_VALUE"""),"")</f>
        <v/>
      </c>
      <c r="U20" s="3" t="str">
        <f ca="1">IFERROR(__xludf.DUMMYFUNCTION("""COMPUTED_VALUE"""),"")</f>
        <v/>
      </c>
      <c r="V20" s="3" t="str">
        <f ca="1">IFERROR(__xludf.DUMMYFUNCTION("""COMPUTED_VALUE"""),"")</f>
        <v/>
      </c>
      <c r="W20" s="3" t="str">
        <f ca="1">IFERROR(__xludf.DUMMYFUNCTION("""COMPUTED_VALUE"""),"")</f>
        <v/>
      </c>
      <c r="X20" s="3" t="str">
        <f ca="1">IFERROR(__xludf.DUMMYFUNCTION("""COMPUTED_VALUE"""),"")</f>
        <v/>
      </c>
      <c r="Y20" s="3" t="str">
        <f ca="1">IFERROR(__xludf.DUMMYFUNCTION("""COMPUTED_VALUE"""),"")</f>
        <v/>
      </c>
      <c r="Z20" s="3" t="str">
        <f ca="1">IFERROR(__xludf.DUMMYFUNCTION("""COMPUTED_VALUE"""),"")</f>
        <v/>
      </c>
    </row>
    <row r="21" spans="1:26" x14ac:dyDescent="0.2">
      <c r="A21" s="1" t="str">
        <f ca="1">IFERROR(__xludf.DUMMYFUNCTION("""COMPUTED_VALUE"""),"BTG Previsto")</f>
        <v>BTG Previsto</v>
      </c>
      <c r="B21" s="1" t="str">
        <f ca="1">IFERROR(__xludf.DUMMYFUNCTION("""COMPUTED_VALUE"""),"BTG")</f>
        <v>BTG</v>
      </c>
      <c r="C21" s="3" t="str">
        <f ca="1">IFERROR(__xludf.DUMMYFUNCTION("""COMPUTED_VALUE"""),"")</f>
        <v/>
      </c>
      <c r="D21" s="3" t="str">
        <f ca="1">IFERROR(__xludf.DUMMYFUNCTION("""COMPUTED_VALUE"""),"")</f>
        <v/>
      </c>
      <c r="E21" s="3" t="str">
        <f ca="1">IFERROR(__xludf.DUMMYFUNCTION("""COMPUTED_VALUE"""),"")</f>
        <v/>
      </c>
      <c r="F21" s="3">
        <f ca="1">IFERROR(__xludf.DUMMYFUNCTION("""COMPUTED_VALUE"""),5038.93)</f>
        <v>5038.93</v>
      </c>
      <c r="G21" s="3">
        <f ca="1">IFERROR(__xludf.DUMMYFUNCTION("""COMPUTED_VALUE"""),11097.26)</f>
        <v>11097.26</v>
      </c>
      <c r="H21" s="3">
        <f ca="1">IFERROR(__xludf.DUMMYFUNCTION("""COMPUTED_VALUE"""),11937.88)</f>
        <v>11937.88</v>
      </c>
      <c r="I21" s="3">
        <f ca="1">IFERROR(__xludf.DUMMYFUNCTION("""COMPUTED_VALUE"""),9023.31)</f>
        <v>9023.31</v>
      </c>
      <c r="J21" s="3">
        <f ca="1">IFERROR(__xludf.DUMMYFUNCTION("""COMPUTED_VALUE"""),8530.69)</f>
        <v>8530.69</v>
      </c>
      <c r="K21" s="3">
        <f ca="1">IFERROR(__xludf.DUMMYFUNCTION("""COMPUTED_VALUE"""),9305.11)</f>
        <v>9305.11</v>
      </c>
      <c r="L21" s="3">
        <f ca="1">IFERROR(__xludf.DUMMYFUNCTION("""COMPUTED_VALUE"""),22534.92)</f>
        <v>22534.92</v>
      </c>
      <c r="M21" s="3">
        <f ca="1">IFERROR(__xludf.DUMMYFUNCTION("""COMPUTED_VALUE"""),11594.58)</f>
        <v>11594.58</v>
      </c>
      <c r="N21" s="3">
        <f ca="1">IFERROR(__xludf.DUMMYFUNCTION("""COMPUTED_VALUE"""),3500)</f>
        <v>3500</v>
      </c>
      <c r="O21" s="3" t="str">
        <f ca="1">IFERROR(__xludf.DUMMYFUNCTION("""COMPUTED_VALUE"""),"")</f>
        <v/>
      </c>
      <c r="P21" s="3" t="str">
        <f ca="1">IFERROR(__xludf.DUMMYFUNCTION("""COMPUTED_VALUE"""),"")</f>
        <v/>
      </c>
      <c r="Q21" s="3" t="str">
        <f ca="1">IFERROR(__xludf.DUMMYFUNCTION("""COMPUTED_VALUE"""),"")</f>
        <v/>
      </c>
      <c r="R21" s="3" t="str">
        <f ca="1">IFERROR(__xludf.DUMMYFUNCTION("""COMPUTED_VALUE"""),"")</f>
        <v/>
      </c>
      <c r="S21" s="3" t="str">
        <f ca="1">IFERROR(__xludf.DUMMYFUNCTION("""COMPUTED_VALUE"""),"")</f>
        <v/>
      </c>
      <c r="T21" s="3" t="str">
        <f ca="1">IFERROR(__xludf.DUMMYFUNCTION("""COMPUTED_VALUE"""),"")</f>
        <v/>
      </c>
      <c r="U21" s="3" t="str">
        <f ca="1">IFERROR(__xludf.DUMMYFUNCTION("""COMPUTED_VALUE"""),"")</f>
        <v/>
      </c>
      <c r="V21" s="3" t="str">
        <f ca="1">IFERROR(__xludf.DUMMYFUNCTION("""COMPUTED_VALUE"""),"")</f>
        <v/>
      </c>
      <c r="W21" s="3" t="str">
        <f ca="1">IFERROR(__xludf.DUMMYFUNCTION("""COMPUTED_VALUE"""),"")</f>
        <v/>
      </c>
      <c r="X21" s="3" t="str">
        <f ca="1">IFERROR(__xludf.DUMMYFUNCTION("""COMPUTED_VALUE"""),"")</f>
        <v/>
      </c>
      <c r="Y21" s="3" t="str">
        <f ca="1">IFERROR(__xludf.DUMMYFUNCTION("""COMPUTED_VALUE"""),"")</f>
        <v/>
      </c>
      <c r="Z21" s="3" t="str">
        <f ca="1">IFERROR(__xludf.DUMMYFUNCTION("""COMPUTED_VALUE"""),"")</f>
        <v/>
      </c>
    </row>
    <row r="22" spans="1:26" x14ac:dyDescent="0.2">
      <c r="A22" s="1" t="str">
        <f ca="1">IFERROR(__xludf.DUMMYFUNCTION("""COMPUTED_VALUE"""),"BTG Realizado")</f>
        <v>BTG Realizado</v>
      </c>
      <c r="B22" s="1" t="str">
        <f ca="1">IFERROR(__xludf.DUMMYFUNCTION("""COMPUTED_VALUE"""),"BTG")</f>
        <v>BTG</v>
      </c>
      <c r="C22" s="3" t="str">
        <f ca="1">IFERROR(__xludf.DUMMYFUNCTION("""COMPUTED_VALUE"""),"")</f>
        <v/>
      </c>
      <c r="D22" s="3" t="str">
        <f ca="1">IFERROR(__xludf.DUMMYFUNCTION("""COMPUTED_VALUE"""),"")</f>
        <v/>
      </c>
      <c r="E22" s="3" t="str">
        <f ca="1">IFERROR(__xludf.DUMMYFUNCTION("""COMPUTED_VALUE"""),"")</f>
        <v/>
      </c>
      <c r="F22" s="3">
        <f ca="1">IFERROR(__xludf.DUMMYFUNCTION("""COMPUTED_VALUE"""),5038.93)</f>
        <v>5038.93</v>
      </c>
      <c r="G22" s="3">
        <f ca="1">IFERROR(__xludf.DUMMYFUNCTION("""COMPUTED_VALUE"""),11097.26)</f>
        <v>11097.26</v>
      </c>
      <c r="H22" s="3">
        <f ca="1">IFERROR(__xludf.DUMMYFUNCTION("""COMPUTED_VALUE"""),11937.88)</f>
        <v>11937.88</v>
      </c>
      <c r="I22" s="3">
        <f ca="1">IFERROR(__xludf.DUMMYFUNCTION("""COMPUTED_VALUE"""),9023.31)</f>
        <v>9023.31</v>
      </c>
      <c r="J22" s="3">
        <f ca="1">IFERROR(__xludf.DUMMYFUNCTION("""COMPUTED_VALUE"""),8530.69)</f>
        <v>8530.69</v>
      </c>
      <c r="K22" s="3">
        <f ca="1">IFERROR(__xludf.DUMMYFUNCTION("""COMPUTED_VALUE"""),9305.11)</f>
        <v>9305.11</v>
      </c>
      <c r="L22" s="3">
        <f ca="1">IFERROR(__xludf.DUMMYFUNCTION("""COMPUTED_VALUE"""),22534.92)</f>
        <v>22534.92</v>
      </c>
      <c r="M22" s="3">
        <f ca="1">IFERROR(__xludf.DUMMYFUNCTION("""COMPUTED_VALUE"""),11594.58)</f>
        <v>11594.58</v>
      </c>
      <c r="N22" s="3">
        <f ca="1">IFERROR(__xludf.DUMMYFUNCTION("""COMPUTED_VALUE"""),3500)</f>
        <v>3500</v>
      </c>
      <c r="O22" s="3" t="str">
        <f ca="1">IFERROR(__xludf.DUMMYFUNCTION("""COMPUTED_VALUE"""),"")</f>
        <v/>
      </c>
      <c r="P22" s="3" t="str">
        <f ca="1">IFERROR(__xludf.DUMMYFUNCTION("""COMPUTED_VALUE"""),"")</f>
        <v/>
      </c>
      <c r="Q22" s="3" t="str">
        <f ca="1">IFERROR(__xludf.DUMMYFUNCTION("""COMPUTED_VALUE"""),"")</f>
        <v/>
      </c>
      <c r="R22" s="3" t="str">
        <f ca="1">IFERROR(__xludf.DUMMYFUNCTION("""COMPUTED_VALUE"""),"")</f>
        <v/>
      </c>
      <c r="S22" s="3" t="str">
        <f ca="1">IFERROR(__xludf.DUMMYFUNCTION("""COMPUTED_VALUE"""),"")</f>
        <v/>
      </c>
      <c r="T22" s="3" t="str">
        <f ca="1">IFERROR(__xludf.DUMMYFUNCTION("""COMPUTED_VALUE"""),"")</f>
        <v/>
      </c>
      <c r="U22" s="3" t="str">
        <f ca="1">IFERROR(__xludf.DUMMYFUNCTION("""COMPUTED_VALUE"""),"")</f>
        <v/>
      </c>
      <c r="V22" s="3" t="str">
        <f ca="1">IFERROR(__xludf.DUMMYFUNCTION("""COMPUTED_VALUE"""),"")</f>
        <v/>
      </c>
      <c r="W22" s="3" t="str">
        <f ca="1">IFERROR(__xludf.DUMMYFUNCTION("""COMPUTED_VALUE"""),"")</f>
        <v/>
      </c>
      <c r="X22" s="3" t="str">
        <f ca="1">IFERROR(__xludf.DUMMYFUNCTION("""COMPUTED_VALUE"""),"")</f>
        <v/>
      </c>
      <c r="Y22" s="3" t="str">
        <f ca="1">IFERROR(__xludf.DUMMYFUNCTION("""COMPUTED_VALUE"""),"")</f>
        <v/>
      </c>
      <c r="Z22" s="3" t="str">
        <f ca="1">IFERROR(__xludf.DUMMYFUNCTION("""COMPUTED_VALUE"""),"")</f>
        <v/>
      </c>
    </row>
    <row r="23" spans="1:26" x14ac:dyDescent="0.2">
      <c r="A23" s="1" t="str">
        <f ca="1">IFERROR(__xludf.DUMMYFUNCTION("""COMPUTED_VALUE"""),"Apto. 7L Previsto")</f>
        <v>Apto. 7L Previsto</v>
      </c>
      <c r="B23" s="1" t="str">
        <f ca="1">IFERROR(__xludf.DUMMYFUNCTION("""COMPUTED_VALUE"""),"Apto. 7L")</f>
        <v>Apto. 7L</v>
      </c>
      <c r="C23" s="3">
        <f ca="1">IFERROR(__xludf.DUMMYFUNCTION("""COMPUTED_VALUE"""),10121.13)</f>
        <v>10121.129999999999</v>
      </c>
      <c r="D23" s="3">
        <f ca="1">IFERROR(__xludf.DUMMYFUNCTION("""COMPUTED_VALUE"""),15178.85)</f>
        <v>15178.85</v>
      </c>
      <c r="E23" s="3">
        <f ca="1">IFERROR(__xludf.DUMMYFUNCTION("""COMPUTED_VALUE"""),12973.5399999999)</f>
        <v>12973.539999999901</v>
      </c>
      <c r="F23" s="3">
        <f ca="1">IFERROR(__xludf.DUMMYFUNCTION("""COMPUTED_VALUE"""),15761.28)</f>
        <v>15761.28</v>
      </c>
      <c r="G23" s="3">
        <f ca="1">IFERROR(__xludf.DUMMYFUNCTION("""COMPUTED_VALUE"""),10662.94)</f>
        <v>10662.94</v>
      </c>
      <c r="H23" s="3">
        <f ca="1">IFERROR(__xludf.DUMMYFUNCTION("""COMPUTED_VALUE"""),11874.35)</f>
        <v>11874.35</v>
      </c>
      <c r="I23" s="3">
        <f ca="1">IFERROR(__xludf.DUMMYFUNCTION("""COMPUTED_VALUE"""),10000)</f>
        <v>10000</v>
      </c>
      <c r="J23" s="3">
        <f ca="1">IFERROR(__xludf.DUMMYFUNCTION("""COMPUTED_VALUE"""),10000)</f>
        <v>10000</v>
      </c>
      <c r="K23" s="3">
        <f ca="1">IFERROR(__xludf.DUMMYFUNCTION("""COMPUTED_VALUE"""),10000)</f>
        <v>10000</v>
      </c>
      <c r="L23" s="3">
        <f ca="1">IFERROR(__xludf.DUMMYFUNCTION("""COMPUTED_VALUE"""),12170.38)</f>
        <v>12170.38</v>
      </c>
      <c r="M23" s="3">
        <f ca="1">IFERROR(__xludf.DUMMYFUNCTION("""COMPUTED_VALUE"""),11487.86)</f>
        <v>11487.86</v>
      </c>
      <c r="N23" s="3">
        <f ca="1">IFERROR(__xludf.DUMMYFUNCTION("""COMPUTED_VALUE"""),10000)</f>
        <v>10000</v>
      </c>
      <c r="O23" s="3" t="str">
        <f ca="1">IFERROR(__xludf.DUMMYFUNCTION("""COMPUTED_VALUE"""),"")</f>
        <v/>
      </c>
      <c r="P23" s="3" t="str">
        <f ca="1">IFERROR(__xludf.DUMMYFUNCTION("""COMPUTED_VALUE"""),"")</f>
        <v/>
      </c>
      <c r="Q23" s="3" t="str">
        <f ca="1">IFERROR(__xludf.DUMMYFUNCTION("""COMPUTED_VALUE"""),"")</f>
        <v/>
      </c>
      <c r="R23" s="3" t="str">
        <f ca="1">IFERROR(__xludf.DUMMYFUNCTION("""COMPUTED_VALUE"""),"")</f>
        <v/>
      </c>
      <c r="S23" s="3" t="str">
        <f ca="1">IFERROR(__xludf.DUMMYFUNCTION("""COMPUTED_VALUE"""),"")</f>
        <v/>
      </c>
      <c r="T23" s="3" t="str">
        <f ca="1">IFERROR(__xludf.DUMMYFUNCTION("""COMPUTED_VALUE"""),"")</f>
        <v/>
      </c>
      <c r="U23" s="3" t="str">
        <f ca="1">IFERROR(__xludf.DUMMYFUNCTION("""COMPUTED_VALUE"""),"")</f>
        <v/>
      </c>
      <c r="V23" s="3" t="str">
        <f ca="1">IFERROR(__xludf.DUMMYFUNCTION("""COMPUTED_VALUE"""),"")</f>
        <v/>
      </c>
      <c r="W23" s="3" t="str">
        <f ca="1">IFERROR(__xludf.DUMMYFUNCTION("""COMPUTED_VALUE"""),"")</f>
        <v/>
      </c>
      <c r="X23" s="3" t="str">
        <f ca="1">IFERROR(__xludf.DUMMYFUNCTION("""COMPUTED_VALUE"""),"")</f>
        <v/>
      </c>
      <c r="Y23" s="3" t="str">
        <f ca="1">IFERROR(__xludf.DUMMYFUNCTION("""COMPUTED_VALUE"""),"")</f>
        <v/>
      </c>
      <c r="Z23" s="3" t="str">
        <f ca="1">IFERROR(__xludf.DUMMYFUNCTION("""COMPUTED_VALUE"""),"")</f>
        <v/>
      </c>
    </row>
    <row r="24" spans="1:26" x14ac:dyDescent="0.2">
      <c r="A24" s="1" t="str">
        <f ca="1">IFERROR(__xludf.DUMMYFUNCTION("""COMPUTED_VALUE"""),"Apto. 7L Realizado")</f>
        <v>Apto. 7L Realizado</v>
      </c>
      <c r="B24" s="1" t="str">
        <f ca="1">IFERROR(__xludf.DUMMYFUNCTION("""COMPUTED_VALUE"""),"Apto. 7L")</f>
        <v>Apto. 7L</v>
      </c>
      <c r="C24" s="3">
        <f ca="1">IFERROR(__xludf.DUMMYFUNCTION("""COMPUTED_VALUE"""),10121.13)</f>
        <v>10121.129999999999</v>
      </c>
      <c r="D24" s="3">
        <f ca="1">IFERROR(__xludf.DUMMYFUNCTION("""COMPUTED_VALUE"""),15178.85)</f>
        <v>15178.85</v>
      </c>
      <c r="E24" s="3">
        <f ca="1">IFERROR(__xludf.DUMMYFUNCTION("""COMPUTED_VALUE"""),12973.5399999999)</f>
        <v>12973.539999999901</v>
      </c>
      <c r="F24" s="3">
        <f ca="1">IFERROR(__xludf.DUMMYFUNCTION("""COMPUTED_VALUE"""),15761.28)</f>
        <v>15761.28</v>
      </c>
      <c r="G24" s="3">
        <f ca="1">IFERROR(__xludf.DUMMYFUNCTION("""COMPUTED_VALUE"""),10662.94)</f>
        <v>10662.94</v>
      </c>
      <c r="H24" s="3">
        <f ca="1">IFERROR(__xludf.DUMMYFUNCTION("""COMPUTED_VALUE"""),11874.35)</f>
        <v>11874.35</v>
      </c>
      <c r="I24" s="3">
        <f ca="1">IFERROR(__xludf.DUMMYFUNCTION("""COMPUTED_VALUE"""),10000)</f>
        <v>10000</v>
      </c>
      <c r="J24" s="3">
        <f ca="1">IFERROR(__xludf.DUMMYFUNCTION("""COMPUTED_VALUE"""),10000)</f>
        <v>10000</v>
      </c>
      <c r="K24" s="3">
        <f ca="1">IFERROR(__xludf.DUMMYFUNCTION("""COMPUTED_VALUE"""),10000)</f>
        <v>10000</v>
      </c>
      <c r="L24" s="3">
        <f ca="1">IFERROR(__xludf.DUMMYFUNCTION("""COMPUTED_VALUE"""),12170.38)</f>
        <v>12170.38</v>
      </c>
      <c r="M24" s="3">
        <f ca="1">IFERROR(__xludf.DUMMYFUNCTION("""COMPUTED_VALUE"""),11487.86)</f>
        <v>11487.86</v>
      </c>
      <c r="N24" s="3">
        <f ca="1">IFERROR(__xludf.DUMMYFUNCTION("""COMPUTED_VALUE"""),10000)</f>
        <v>10000</v>
      </c>
      <c r="O24" s="3" t="str">
        <f ca="1">IFERROR(__xludf.DUMMYFUNCTION("""COMPUTED_VALUE"""),"")</f>
        <v/>
      </c>
      <c r="P24" s="3" t="str">
        <f ca="1">IFERROR(__xludf.DUMMYFUNCTION("""COMPUTED_VALUE"""),"")</f>
        <v/>
      </c>
      <c r="Q24" s="3" t="str">
        <f ca="1">IFERROR(__xludf.DUMMYFUNCTION("""COMPUTED_VALUE"""),"")</f>
        <v/>
      </c>
      <c r="R24" s="3" t="str">
        <f ca="1">IFERROR(__xludf.DUMMYFUNCTION("""COMPUTED_VALUE"""),"")</f>
        <v/>
      </c>
      <c r="S24" s="3" t="str">
        <f ca="1">IFERROR(__xludf.DUMMYFUNCTION("""COMPUTED_VALUE"""),"")</f>
        <v/>
      </c>
      <c r="T24" s="3" t="str">
        <f ca="1">IFERROR(__xludf.DUMMYFUNCTION("""COMPUTED_VALUE"""),"")</f>
        <v/>
      </c>
      <c r="U24" s="3" t="str">
        <f ca="1">IFERROR(__xludf.DUMMYFUNCTION("""COMPUTED_VALUE"""),"")</f>
        <v/>
      </c>
      <c r="V24" s="3" t="str">
        <f ca="1">IFERROR(__xludf.DUMMYFUNCTION("""COMPUTED_VALUE"""),"")</f>
        <v/>
      </c>
      <c r="W24" s="3" t="str">
        <f ca="1">IFERROR(__xludf.DUMMYFUNCTION("""COMPUTED_VALUE"""),"")</f>
        <v/>
      </c>
      <c r="X24" s="3" t="str">
        <f ca="1">IFERROR(__xludf.DUMMYFUNCTION("""COMPUTED_VALUE"""),"")</f>
        <v/>
      </c>
      <c r="Y24" s="3" t="str">
        <f ca="1">IFERROR(__xludf.DUMMYFUNCTION("""COMPUTED_VALUE"""),"")</f>
        <v/>
      </c>
      <c r="Z24" s="3" t="str">
        <f ca="1">IFERROR(__xludf.DUMMYFUNCTION("""COMPUTED_VALUE"""),"")</f>
        <v/>
      </c>
    </row>
    <row r="25" spans="1:26" x14ac:dyDescent="0.2">
      <c r="A25" s="1" t="str">
        <f ca="1">IFERROR(__xludf.DUMMYFUNCTION("""COMPUTED_VALUE"""),"Débitos Previsto")</f>
        <v>Débitos Previsto</v>
      </c>
      <c r="B25" s="1" t="str">
        <f ca="1">IFERROR(__xludf.DUMMYFUNCTION("""COMPUTED_VALUE"""),"Total")</f>
        <v>Total</v>
      </c>
      <c r="C25" s="3">
        <f ca="1">IFERROR(__xludf.DUMMYFUNCTION("""COMPUTED_VALUE"""),35671.6)</f>
        <v>35671.599999999999</v>
      </c>
      <c r="D25" s="3">
        <f ca="1">IFERROR(__xludf.DUMMYFUNCTION("""COMPUTED_VALUE"""),44109.13)</f>
        <v>44109.13</v>
      </c>
      <c r="E25" s="3">
        <f ca="1">IFERROR(__xludf.DUMMYFUNCTION("""COMPUTED_VALUE"""),40893.4872849465)</f>
        <v>40893.487284946503</v>
      </c>
      <c r="F25" s="3">
        <f ca="1">IFERROR(__xludf.DUMMYFUNCTION("""COMPUTED_VALUE"""),48687.31)</f>
        <v>48687.31</v>
      </c>
      <c r="G25" s="3">
        <f ca="1">IFERROR(__xludf.DUMMYFUNCTION("""COMPUTED_VALUE"""),38593.39)</f>
        <v>38593.39</v>
      </c>
      <c r="H25" s="3">
        <f ca="1">IFERROR(__xludf.DUMMYFUNCTION("""COMPUTED_VALUE"""),37928.8999999999)</f>
        <v>37928.8999999999</v>
      </c>
      <c r="I25" s="3">
        <f ca="1">IFERROR(__xludf.DUMMYFUNCTION("""COMPUTED_VALUE"""),37325.73)</f>
        <v>37325.730000000003</v>
      </c>
      <c r="J25" s="3">
        <f ca="1">IFERROR(__xludf.DUMMYFUNCTION("""COMPUTED_VALUE"""),33645.78)</f>
        <v>33645.78</v>
      </c>
      <c r="K25" s="3">
        <f ca="1">IFERROR(__xludf.DUMMYFUNCTION("""COMPUTED_VALUE"""),34588.22)</f>
        <v>34588.22</v>
      </c>
      <c r="L25" s="3">
        <f ca="1">IFERROR(__xludf.DUMMYFUNCTION("""COMPUTED_VALUE"""),47764.0499999999)</f>
        <v>47764.049999999901</v>
      </c>
      <c r="M25" s="3">
        <f ca="1">IFERROR(__xludf.DUMMYFUNCTION("""COMPUTED_VALUE"""),34437.7499999999)</f>
        <v>34437.749999999898</v>
      </c>
      <c r="N25" s="3">
        <f ca="1">IFERROR(__xludf.DUMMYFUNCTION("""COMPUTED_VALUE"""),104607.82)</f>
        <v>104607.82</v>
      </c>
      <c r="O25" s="3" t="str">
        <f ca="1">IFERROR(__xludf.DUMMYFUNCTION("""COMPUTED_VALUE"""),"")</f>
        <v/>
      </c>
      <c r="P25" s="3" t="str">
        <f ca="1">IFERROR(__xludf.DUMMYFUNCTION("""COMPUTED_VALUE"""),"")</f>
        <v/>
      </c>
      <c r="Q25" s="3" t="str">
        <f ca="1">IFERROR(__xludf.DUMMYFUNCTION("""COMPUTED_VALUE"""),"")</f>
        <v/>
      </c>
      <c r="R25" s="3" t="str">
        <f ca="1">IFERROR(__xludf.DUMMYFUNCTION("""COMPUTED_VALUE"""),"")</f>
        <v/>
      </c>
      <c r="S25" s="3" t="str">
        <f ca="1">IFERROR(__xludf.DUMMYFUNCTION("""COMPUTED_VALUE"""),"")</f>
        <v/>
      </c>
      <c r="T25" s="3" t="str">
        <f ca="1">IFERROR(__xludf.DUMMYFUNCTION("""COMPUTED_VALUE"""),"")</f>
        <v/>
      </c>
      <c r="U25" s="3" t="str">
        <f ca="1">IFERROR(__xludf.DUMMYFUNCTION("""COMPUTED_VALUE"""),"")</f>
        <v/>
      </c>
      <c r="V25" s="3" t="str">
        <f ca="1">IFERROR(__xludf.DUMMYFUNCTION("""COMPUTED_VALUE"""),"")</f>
        <v/>
      </c>
      <c r="W25" s="3" t="str">
        <f ca="1">IFERROR(__xludf.DUMMYFUNCTION("""COMPUTED_VALUE"""),"")</f>
        <v/>
      </c>
      <c r="X25" s="3" t="str">
        <f ca="1">IFERROR(__xludf.DUMMYFUNCTION("""COMPUTED_VALUE"""),"")</f>
        <v/>
      </c>
      <c r="Y25" s="3" t="str">
        <f ca="1">IFERROR(__xludf.DUMMYFUNCTION("""COMPUTED_VALUE"""),"")</f>
        <v/>
      </c>
      <c r="Z25" s="3" t="str">
        <f ca="1">IFERROR(__xludf.DUMMYFUNCTION("""COMPUTED_VALUE"""),"")</f>
        <v/>
      </c>
    </row>
    <row r="26" spans="1:26" x14ac:dyDescent="0.2">
      <c r="A26" s="1" t="str">
        <f ca="1">IFERROR(__xludf.DUMMYFUNCTION("""COMPUTED_VALUE"""),"Débitos Realizado")</f>
        <v>Débitos Realizado</v>
      </c>
      <c r="B26" s="1" t="str">
        <f ca="1">IFERROR(__xludf.DUMMYFUNCTION("""COMPUTED_VALUE"""),"Total")</f>
        <v>Total</v>
      </c>
      <c r="C26" s="3">
        <f ca="1">IFERROR(__xludf.DUMMYFUNCTION("""COMPUTED_VALUE"""),35671.62)</f>
        <v>35671.620000000003</v>
      </c>
      <c r="D26" s="3">
        <f ca="1">IFERROR(__xludf.DUMMYFUNCTION("""COMPUTED_VALUE"""),44109.13)</f>
        <v>44109.13</v>
      </c>
      <c r="E26" s="3">
        <f ca="1">IFERROR(__xludf.DUMMYFUNCTION("""COMPUTED_VALUE"""),40893.49)</f>
        <v>40893.49</v>
      </c>
      <c r="F26" s="3">
        <f ca="1">IFERROR(__xludf.DUMMYFUNCTION("""COMPUTED_VALUE"""),48687.31)</f>
        <v>48687.31</v>
      </c>
      <c r="G26" s="3">
        <f ca="1">IFERROR(__xludf.DUMMYFUNCTION("""COMPUTED_VALUE"""),38593.39)</f>
        <v>38593.39</v>
      </c>
      <c r="H26" s="3">
        <f ca="1">IFERROR(__xludf.DUMMYFUNCTION("""COMPUTED_VALUE"""),37928.8999999999)</f>
        <v>37928.8999999999</v>
      </c>
      <c r="I26" s="3">
        <f ca="1">IFERROR(__xludf.DUMMYFUNCTION("""COMPUTED_VALUE"""),37325.73)</f>
        <v>37325.730000000003</v>
      </c>
      <c r="J26" s="3">
        <f ca="1">IFERROR(__xludf.DUMMYFUNCTION("""COMPUTED_VALUE"""),33645.78)</f>
        <v>33645.78</v>
      </c>
      <c r="K26" s="3">
        <f ca="1">IFERROR(__xludf.DUMMYFUNCTION("""COMPUTED_VALUE"""),34588.22)</f>
        <v>34588.22</v>
      </c>
      <c r="L26" s="3">
        <f ca="1">IFERROR(__xludf.DUMMYFUNCTION("""COMPUTED_VALUE"""),47764.0499999999)</f>
        <v>47764.049999999901</v>
      </c>
      <c r="M26" s="3">
        <f ca="1">IFERROR(__xludf.DUMMYFUNCTION("""COMPUTED_VALUE"""),34437.7499999999)</f>
        <v>34437.749999999898</v>
      </c>
      <c r="N26" s="3">
        <f ca="1">IFERROR(__xludf.DUMMYFUNCTION("""COMPUTED_VALUE"""),97619.69)</f>
        <v>97619.69</v>
      </c>
      <c r="O26" s="3" t="str">
        <f ca="1">IFERROR(__xludf.DUMMYFUNCTION("""COMPUTED_VALUE"""),"")</f>
        <v/>
      </c>
      <c r="P26" s="3" t="str">
        <f ca="1">IFERROR(__xludf.DUMMYFUNCTION("""COMPUTED_VALUE"""),"")</f>
        <v/>
      </c>
      <c r="Q26" s="3" t="str">
        <f ca="1">IFERROR(__xludf.DUMMYFUNCTION("""COMPUTED_VALUE"""),"")</f>
        <v/>
      </c>
      <c r="R26" s="3" t="str">
        <f ca="1">IFERROR(__xludf.DUMMYFUNCTION("""COMPUTED_VALUE"""),"")</f>
        <v/>
      </c>
      <c r="S26" s="3" t="str">
        <f ca="1">IFERROR(__xludf.DUMMYFUNCTION("""COMPUTED_VALUE"""),"")</f>
        <v/>
      </c>
      <c r="T26" s="3" t="str">
        <f ca="1">IFERROR(__xludf.DUMMYFUNCTION("""COMPUTED_VALUE"""),"")</f>
        <v/>
      </c>
      <c r="U26" s="3" t="str">
        <f ca="1">IFERROR(__xludf.DUMMYFUNCTION("""COMPUTED_VALUE"""),"")</f>
        <v/>
      </c>
      <c r="V26" s="3" t="str">
        <f ca="1">IFERROR(__xludf.DUMMYFUNCTION("""COMPUTED_VALUE"""),"")</f>
        <v/>
      </c>
      <c r="W26" s="3" t="str">
        <f ca="1">IFERROR(__xludf.DUMMYFUNCTION("""COMPUTED_VALUE"""),"")</f>
        <v/>
      </c>
      <c r="X26" s="3" t="str">
        <f ca="1">IFERROR(__xludf.DUMMYFUNCTION("""COMPUTED_VALUE"""),"")</f>
        <v/>
      </c>
      <c r="Y26" s="3" t="str">
        <f ca="1">IFERROR(__xludf.DUMMYFUNCTION("""COMPUTED_VALUE"""),"")</f>
        <v/>
      </c>
      <c r="Z26" s="3" t="str">
        <f ca="1">IFERROR(__xludf.DUMMYFUNCTION("""COMPUTED_VALUE"""),"")</f>
        <v/>
      </c>
    </row>
    <row r="27" spans="1:26" x14ac:dyDescent="0.2">
      <c r="A27" s="1" t="str">
        <f ca="1">IFERROR(__xludf.DUMMYFUNCTION("""COMPUTED_VALUE"""),"Investimento Ações")</f>
        <v>Investimento Ações</v>
      </c>
      <c r="B27" s="1" t="str">
        <f ca="1"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 ca="1">IFERROR(__xludf.DUMMYFUNCTION("""COMPUTED_VALUE"""),322958.54)</f>
        <v>322958.53999999998</v>
      </c>
      <c r="K27" s="1">
        <f ca="1">IFERROR(__xludf.DUMMYFUNCTION("""COMPUTED_VALUE"""),330636.139999999)</f>
        <v>330636.13999999902</v>
      </c>
      <c r="L27" s="1">
        <f ca="1">IFERROR(__xludf.DUMMYFUNCTION("""COMPUTED_VALUE"""),332613.839999999)</f>
        <v>332613.83999999898</v>
      </c>
      <c r="M27" s="1">
        <f ca="1">IFERROR(__xludf.DUMMYFUNCTION("""COMPUTED_VALUE"""),346279.579999999)</f>
        <v>346279.57999999903</v>
      </c>
      <c r="N27" s="1">
        <f ca="1">IFERROR(__xludf.DUMMYFUNCTION("""COMPUTED_VALUE"""),347801.56)</f>
        <v>347801.56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 t="str">
        <f ca="1">IFERROR(__xludf.DUMMYFUNCTION("""COMPUTED_VALUE"""),"Investimento Renda Fixa")</f>
        <v>Investimento Renda Fixa</v>
      </c>
      <c r="B28" s="1" t="str">
        <f ca="1"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 ca="1">IFERROR(__xludf.DUMMYFUNCTION("""COMPUTED_VALUE"""),138848.23)</f>
        <v>138848.23000000001</v>
      </c>
      <c r="K28" s="1">
        <f ca="1">IFERROR(__xludf.DUMMYFUNCTION("""COMPUTED_VALUE"""),136402.62)</f>
        <v>136402.62</v>
      </c>
      <c r="L28" s="1">
        <f ca="1">IFERROR(__xludf.DUMMYFUNCTION("""COMPUTED_VALUE"""),137962.47)</f>
        <v>137962.47</v>
      </c>
      <c r="M28" s="1">
        <f ca="1">IFERROR(__xludf.DUMMYFUNCTION("""COMPUTED_VALUE"""),109705.27)</f>
        <v>109705.27</v>
      </c>
      <c r="N28" s="1">
        <f ca="1">IFERROR(__xludf.DUMMYFUNCTION("""COMPUTED_VALUE"""),37417.54)</f>
        <v>37417.54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 t="str">
        <f ca="1">IFERROR(__xludf.DUMMYFUNCTION("""COMPUTED_VALUE"""),"Previdência Privada")</f>
        <v>Previdência Privada</v>
      </c>
      <c r="B29" s="1" t="str">
        <f ca="1"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 ca="1">IFERROR(__xludf.DUMMYFUNCTION("""COMPUTED_VALUE"""),219767.1)</f>
        <v>219767.1</v>
      </c>
      <c r="K29" s="1">
        <f ca="1">IFERROR(__xludf.DUMMYFUNCTION("""COMPUTED_VALUE"""),220419.21)</f>
        <v>220419.21</v>
      </c>
      <c r="L29" s="1">
        <f ca="1">IFERROR(__xludf.DUMMYFUNCTION("""COMPUTED_VALUE"""),228858.82)</f>
        <v>228858.82</v>
      </c>
      <c r="M29" s="1">
        <f ca="1">IFERROR(__xludf.DUMMYFUNCTION("""COMPUTED_VALUE"""),243820.13)</f>
        <v>243820.13</v>
      </c>
      <c r="N29" s="1">
        <f ca="1">IFERROR(__xludf.DUMMYFUNCTION("""COMPUTED_VALUE"""),243820.13)</f>
        <v>243820.13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 t="str">
        <f ca="1">IFERROR(__xludf.DUMMYFUNCTION("""COMPUTED_VALUE"""),"Investimento Cripto")</f>
        <v>Investimento Cripto</v>
      </c>
      <c r="B30" s="1" t="str">
        <f ca="1">IFERROR(__xludf.DUMMYFUNCTION("""COMPUTED_VALUE"""),"-")</f>
        <v>-</v>
      </c>
      <c r="C30" s="1"/>
      <c r="D30" s="1"/>
      <c r="E30" s="1"/>
      <c r="F30" s="1"/>
      <c r="G30" s="1"/>
      <c r="H30" s="1"/>
      <c r="I30" s="1"/>
      <c r="J30" s="1"/>
      <c r="K30" s="1"/>
      <c r="L30" s="1">
        <f ca="1">IFERROR(__xludf.DUMMYFUNCTION("""COMPUTED_VALUE"""),2014.69)</f>
        <v>2014.69</v>
      </c>
      <c r="M30" s="1">
        <f ca="1">IFERROR(__xludf.DUMMYFUNCTION("""COMPUTED_VALUE"""),2062.08)</f>
        <v>2062.08</v>
      </c>
      <c r="N30" s="1">
        <f ca="1">IFERROR(__xludf.DUMMYFUNCTION("""COMPUTED_VALUE"""),2062.08)</f>
        <v>2062.08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 t="str">
        <f ca="1">IFERROR(__xludf.DUMMYFUNCTION("""COMPUTED_VALUE"""),"TD IPCA+7.91%")</f>
        <v>TD IPCA+7.91%</v>
      </c>
      <c r="B31" s="1" t="str">
        <f ca="1">IFERROR(__xludf.DUMMYFUNCTION("""COMPUTED_VALUE"""),"-")</f>
        <v>-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>
        <f ca="1">IFERROR(__xludf.DUMMYFUNCTION("""COMPUTED_VALUE"""),3098.14)</f>
        <v>3098.14</v>
      </c>
      <c r="N31" s="1">
        <f ca="1">IFERROR(__xludf.DUMMYFUNCTION("""COMPUTED_VALUE"""),30165.67)</f>
        <v>30165.67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 t="str">
        <f ca="1">IFERROR(__xludf.DUMMYFUNCTION("""COMPUTED_VALUE"""),"Apartamento")</f>
        <v>Apartamento</v>
      </c>
      <c r="B32" s="1" t="str">
        <f ca="1">IFERROR(__xludf.DUMMYFUNCTION("""COMPUTED_VALUE"""),"-")</f>
        <v>-</v>
      </c>
      <c r="C32" s="1"/>
      <c r="D32" s="1"/>
      <c r="E32" s="1"/>
      <c r="F32" s="1"/>
      <c r="G32" s="1"/>
      <c r="H32" s="1"/>
      <c r="I32" s="1"/>
      <c r="J32" s="1"/>
      <c r="K32" s="1"/>
      <c r="L32" s="1">
        <f ca="1">IFERROR(__xludf.DUMMYFUNCTION("""COMPUTED_VALUE"""),-765057.08)</f>
        <v>-765057.08</v>
      </c>
      <c r="M32" s="1">
        <f ca="1">IFERROR(__xludf.DUMMYFUNCTION("""COMPUTED_VALUE"""),-765378.56)</f>
        <v>-765378.56000000006</v>
      </c>
      <c r="N32" s="1">
        <f ca="1">IFERROR(__xludf.DUMMYFUNCTION("""COMPUTED_VALUE"""),-764402.43)</f>
        <v>-764402.43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 t="str">
        <f ca="1">IFERROR(__xludf.DUMMYFUNCTION("""COMPUTED_VALUE"""),"[C] Salário")</f>
        <v>[C] Salário</v>
      </c>
      <c r="B33" s="1" t="str">
        <f ca="1">IFERROR(__xludf.DUMMYFUNCTION("""COMPUTED_VALUE"""),"-")</f>
        <v>-</v>
      </c>
      <c r="C33" s="1">
        <f ca="1">IFERROR(__xludf.DUMMYFUNCTION("""COMPUTED_VALUE"""),21951.99)</f>
        <v>21951.99</v>
      </c>
      <c r="D33" s="1">
        <f ca="1">IFERROR(__xludf.DUMMYFUNCTION("""COMPUTED_VALUE"""),21615.66)</f>
        <v>21615.66</v>
      </c>
      <c r="E33" s="1">
        <f ca="1">IFERROR(__xludf.DUMMYFUNCTION("""COMPUTED_VALUE"""),22117.97)</f>
        <v>22117.97</v>
      </c>
      <c r="F33" s="1">
        <f ca="1">IFERROR(__xludf.DUMMYFUNCTION("""COMPUTED_VALUE"""),23373.38)</f>
        <v>23373.38</v>
      </c>
      <c r="G33" s="1">
        <f ca="1">IFERROR(__xludf.DUMMYFUNCTION("""COMPUTED_VALUE"""),23176.4)</f>
        <v>23176.400000000001</v>
      </c>
      <c r="H33" s="1">
        <f ca="1">IFERROR(__xludf.DUMMYFUNCTION("""COMPUTED_VALUE"""),23189.13)</f>
        <v>23189.13</v>
      </c>
      <c r="I33" s="1">
        <f ca="1">IFERROR(__xludf.DUMMYFUNCTION("""COMPUTED_VALUE"""),23241.26)</f>
        <v>23241.26</v>
      </c>
      <c r="J33" s="1">
        <f ca="1">IFERROR(__xludf.DUMMYFUNCTION("""COMPUTED_VALUE"""),23078.86)</f>
        <v>23078.86</v>
      </c>
      <c r="K33" s="1">
        <f ca="1">IFERROR(__xludf.DUMMYFUNCTION("""COMPUTED_VALUE"""),23327.82)</f>
        <v>23327.82</v>
      </c>
      <c r="L33" s="1">
        <f ca="1">IFERROR(__xludf.DUMMYFUNCTION("""COMPUTED_VALUE"""),23327.82)</f>
        <v>23327.82</v>
      </c>
      <c r="M33" s="1">
        <f ca="1">IFERROR(__xludf.DUMMYFUNCTION("""COMPUTED_VALUE"""),13206.1699999999)</f>
        <v>13206.1699999999</v>
      </c>
      <c r="N33" s="1">
        <f ca="1">IFERROR(__xludf.DUMMYFUNCTION("""COMPUTED_VALUE"""),23078.86)</f>
        <v>23078.86</v>
      </c>
      <c r="O33" s="1" t="str">
        <f ca="1">IFERROR(__xludf.DUMMYFUNCTION("""COMPUTED_VALUE"""),"")</f>
        <v/>
      </c>
      <c r="P33" s="1" t="str">
        <f ca="1">IFERROR(__xludf.DUMMYFUNCTION("""COMPUTED_VALUE"""),"")</f>
        <v/>
      </c>
      <c r="Q33" s="1" t="str">
        <f ca="1">IFERROR(__xludf.DUMMYFUNCTION("""COMPUTED_VALUE"""),"")</f>
        <v/>
      </c>
      <c r="R33" s="1" t="str">
        <f ca="1">IFERROR(__xludf.DUMMYFUNCTION("""COMPUTED_VALUE"""),"")</f>
        <v/>
      </c>
      <c r="S33" s="1" t="str">
        <f ca="1">IFERROR(__xludf.DUMMYFUNCTION("""COMPUTED_VALUE"""),"")</f>
        <v/>
      </c>
      <c r="T33" s="1" t="str">
        <f ca="1">IFERROR(__xludf.DUMMYFUNCTION("""COMPUTED_VALUE"""),"")</f>
        <v/>
      </c>
      <c r="U33" s="1" t="str">
        <f ca="1">IFERROR(__xludf.DUMMYFUNCTION("""COMPUTED_VALUE"""),"")</f>
        <v/>
      </c>
      <c r="V33" s="1" t="str">
        <f ca="1">IFERROR(__xludf.DUMMYFUNCTION("""COMPUTED_VALUE"""),"")</f>
        <v/>
      </c>
      <c r="W33" s="1" t="str">
        <f ca="1">IFERROR(__xludf.DUMMYFUNCTION("""COMPUTED_VALUE"""),"")</f>
        <v/>
      </c>
      <c r="X33" s="1" t="str">
        <f ca="1">IFERROR(__xludf.DUMMYFUNCTION("""COMPUTED_VALUE"""),"")</f>
        <v/>
      </c>
      <c r="Y33" s="1" t="str">
        <f ca="1">IFERROR(__xludf.DUMMYFUNCTION("""COMPUTED_VALUE"""),"")</f>
        <v/>
      </c>
      <c r="Z33" s="1" t="str">
        <f ca="1">IFERROR(__xludf.DUMMYFUNCTION("""COMPUTED_VALUE"""),"")</f>
        <v/>
      </c>
    </row>
    <row r="34" spans="1:26" x14ac:dyDescent="0.2">
      <c r="A34" s="1" t="str">
        <f ca="1">IFERROR(__xludf.DUMMYFUNCTION("""COMPUTED_VALUE"""),"[C] Cartão")</f>
        <v>[C] Cartão</v>
      </c>
      <c r="B34" s="1" t="str">
        <f ca="1">IFERROR(__xludf.DUMMYFUNCTION("""COMPUTED_VALUE"""),"-")</f>
        <v>-</v>
      </c>
      <c r="C34" s="1">
        <f ca="1">IFERROR(__xludf.DUMMYFUNCTION("""COMPUTED_VALUE"""),6965.81)</f>
        <v>6965.81</v>
      </c>
      <c r="D34" s="1">
        <f ca="1">IFERROR(__xludf.DUMMYFUNCTION("""COMPUTED_VALUE"""),9684.3)</f>
        <v>9684.2999999999993</v>
      </c>
      <c r="E34" s="1">
        <f ca="1">IFERROR(__xludf.DUMMYFUNCTION("""COMPUTED_VALUE"""),5551.26999999999)</f>
        <v>5551.2699999999904</v>
      </c>
      <c r="F34" s="1">
        <f ca="1">IFERROR(__xludf.DUMMYFUNCTION("""COMPUTED_VALUE"""),10281.61)</f>
        <v>10281.61</v>
      </c>
      <c r="G34" s="1">
        <f ca="1">IFERROR(__xludf.DUMMYFUNCTION("""COMPUTED_VALUE"""),12579.79)</f>
        <v>12579.79</v>
      </c>
      <c r="H34" s="1">
        <f ca="1">IFERROR(__xludf.DUMMYFUNCTION("""COMPUTED_VALUE"""),12536.8499999999)</f>
        <v>12536.8499999999</v>
      </c>
      <c r="I34" s="1">
        <f ca="1">IFERROR(__xludf.DUMMYFUNCTION("""COMPUTED_VALUE"""),9479.01)</f>
        <v>9479.01</v>
      </c>
      <c r="J34" s="1">
        <f ca="1">IFERROR(__xludf.DUMMYFUNCTION("""COMPUTED_VALUE"""),8962.25)</f>
        <v>8962.25</v>
      </c>
      <c r="K34" s="1">
        <f ca="1">IFERROR(__xludf.DUMMYFUNCTION("""COMPUTED_VALUE"""),10002.64)</f>
        <v>10002.64</v>
      </c>
      <c r="L34" s="1">
        <f ca="1">IFERROR(__xludf.DUMMYFUNCTION("""COMPUTED_VALUE"""),23232.4499999999)</f>
        <v>23232.449999999899</v>
      </c>
      <c r="M34" s="1">
        <f ca="1">IFERROR(__xludf.DUMMYFUNCTION("""COMPUTED_VALUE"""),12292.02)</f>
        <v>12292.02</v>
      </c>
      <c r="N34" s="1">
        <f ca="1">IFERROR(__xludf.DUMMYFUNCTION("""COMPUTED_VALUE"""),5036.07)</f>
        <v>5036.07</v>
      </c>
      <c r="O34" s="1">
        <f ca="1">IFERROR(__xludf.DUMMYFUNCTION("""COMPUTED_VALUE"""),5434.44)</f>
        <v>5434.44</v>
      </c>
      <c r="P34" s="1">
        <f ca="1">IFERROR(__xludf.DUMMYFUNCTION("""COMPUTED_VALUE"""),5434.44)</f>
        <v>5434.44</v>
      </c>
      <c r="Q34" s="1">
        <f ca="1">IFERROR(__xludf.DUMMYFUNCTION("""COMPUTED_VALUE"""),5434.44)</f>
        <v>5434.44</v>
      </c>
      <c r="R34" s="1">
        <f ca="1">IFERROR(__xludf.DUMMYFUNCTION("""COMPUTED_VALUE"""),5434.44)</f>
        <v>5434.44</v>
      </c>
      <c r="S34" s="1">
        <f ca="1">IFERROR(__xludf.DUMMYFUNCTION("""COMPUTED_VALUE"""),5434.44)</f>
        <v>5434.44</v>
      </c>
      <c r="T34" s="1">
        <f ca="1">IFERROR(__xludf.DUMMYFUNCTION("""COMPUTED_VALUE"""),5434.44)</f>
        <v>5434.44</v>
      </c>
      <c r="U34" s="1">
        <f ca="1">IFERROR(__xludf.DUMMYFUNCTION("""COMPUTED_VALUE"""),5434.44)</f>
        <v>5434.44</v>
      </c>
      <c r="V34" s="1">
        <f ca="1">IFERROR(__xludf.DUMMYFUNCTION("""COMPUTED_VALUE"""),5434.44)</f>
        <v>5434.44</v>
      </c>
      <c r="W34" s="1">
        <f ca="1">IFERROR(__xludf.DUMMYFUNCTION("""COMPUTED_VALUE"""),5434.44)</f>
        <v>5434.44</v>
      </c>
      <c r="X34" s="1">
        <f ca="1">IFERROR(__xludf.DUMMYFUNCTION("""COMPUTED_VALUE"""),5434.44)</f>
        <v>5434.44</v>
      </c>
      <c r="Y34" s="1">
        <f ca="1">IFERROR(__xludf.DUMMYFUNCTION("""COMPUTED_VALUE"""),5434.44)</f>
        <v>5434.44</v>
      </c>
      <c r="Z34" s="1">
        <f ca="1">IFERROR(__xludf.DUMMYFUNCTION("""COMPUTED_VALUE"""),5434.44)</f>
        <v>5434.44</v>
      </c>
    </row>
    <row r="35" spans="1:26" x14ac:dyDescent="0.2">
      <c r="A35" s="1" t="str">
        <f ca="1">IFERROR(__xludf.DUMMYFUNCTION("""COMPUTED_VALUE"""),"[C] Investimento")</f>
        <v>[C] Investimento</v>
      </c>
      <c r="B35" s="1" t="str">
        <f ca="1">IFERROR(__xludf.DUMMYFUNCTION("""COMPUTED_VALUE"""),"-")</f>
        <v>-</v>
      </c>
      <c r="C35" s="1">
        <f ca="1">IFERROR(__xludf.DUMMYFUNCTION("""COMPUTED_VALUE"""),888.329999999999)</f>
        <v>888.32999999999902</v>
      </c>
      <c r="D35" s="1" t="str">
        <f ca="1">IFERROR(__xludf.DUMMYFUNCTION("""COMPUTED_VALUE"""),"")</f>
        <v/>
      </c>
      <c r="E35" s="1" t="str">
        <f ca="1">IFERROR(__xludf.DUMMYFUNCTION("""COMPUTED_VALUE"""),"")</f>
        <v/>
      </c>
      <c r="F35" s="1">
        <f ca="1">IFERROR(__xludf.DUMMYFUNCTION("""COMPUTED_VALUE"""),6811.08)</f>
        <v>6811.08</v>
      </c>
      <c r="G35" s="1" t="str">
        <f ca="1">IFERROR(__xludf.DUMMYFUNCTION("""COMPUTED_VALUE"""),"")</f>
        <v/>
      </c>
      <c r="H35" s="1">
        <f ca="1">IFERROR(__xludf.DUMMYFUNCTION("""COMPUTED_VALUE"""),1811.5)</f>
        <v>1811.5</v>
      </c>
      <c r="I35" s="1" t="str">
        <f ca="1">IFERROR(__xludf.DUMMYFUNCTION("""COMPUTED_VALUE"""),"")</f>
        <v/>
      </c>
      <c r="J35" s="1" t="str">
        <f ca="1">IFERROR(__xludf.DUMMYFUNCTION("""COMPUTED_VALUE"""),"")</f>
        <v/>
      </c>
      <c r="K35" s="1" t="str">
        <f ca="1">IFERROR(__xludf.DUMMYFUNCTION("""COMPUTED_VALUE"""),"")</f>
        <v/>
      </c>
      <c r="L35" s="1" t="str">
        <f ca="1">IFERROR(__xludf.DUMMYFUNCTION("""COMPUTED_VALUE"""),"")</f>
        <v/>
      </c>
      <c r="M35" s="1" t="str">
        <f ca="1">IFERROR(__xludf.DUMMYFUNCTION("""COMPUTED_VALUE"""),"")</f>
        <v/>
      </c>
      <c r="N35" s="1">
        <f ca="1">IFERROR(__xludf.DUMMYFUNCTION("""COMPUTED_VALUE"""),16000)</f>
        <v>16000</v>
      </c>
      <c r="O35" s="1" t="str">
        <f ca="1">IFERROR(__xludf.DUMMYFUNCTION("""COMPUTED_VALUE"""),"")</f>
        <v/>
      </c>
      <c r="P35" s="1" t="str">
        <f ca="1">IFERROR(__xludf.DUMMYFUNCTION("""COMPUTED_VALUE"""),"")</f>
        <v/>
      </c>
      <c r="Q35" s="1" t="str">
        <f ca="1">IFERROR(__xludf.DUMMYFUNCTION("""COMPUTED_VALUE"""),"")</f>
        <v/>
      </c>
      <c r="R35" s="1" t="str">
        <f ca="1">IFERROR(__xludf.DUMMYFUNCTION("""COMPUTED_VALUE"""),"")</f>
        <v/>
      </c>
      <c r="S35" s="1" t="str">
        <f ca="1">IFERROR(__xludf.DUMMYFUNCTION("""COMPUTED_VALUE"""),"")</f>
        <v/>
      </c>
      <c r="T35" s="1" t="str">
        <f ca="1">IFERROR(__xludf.DUMMYFUNCTION("""COMPUTED_VALUE"""),"")</f>
        <v/>
      </c>
      <c r="U35" s="1" t="str">
        <f ca="1">IFERROR(__xludf.DUMMYFUNCTION("""COMPUTED_VALUE"""),"")</f>
        <v/>
      </c>
      <c r="V35" s="1" t="str">
        <f ca="1">IFERROR(__xludf.DUMMYFUNCTION("""COMPUTED_VALUE"""),"")</f>
        <v/>
      </c>
      <c r="W35" s="1" t="str">
        <f ca="1">IFERROR(__xludf.DUMMYFUNCTION("""COMPUTED_VALUE"""),"")</f>
        <v/>
      </c>
      <c r="X35" s="1" t="str">
        <f ca="1">IFERROR(__xludf.DUMMYFUNCTION("""COMPUTED_VALUE"""),"")</f>
        <v/>
      </c>
      <c r="Y35" s="1" t="str">
        <f ca="1">IFERROR(__xludf.DUMMYFUNCTION("""COMPUTED_VALUE"""),"")</f>
        <v/>
      </c>
      <c r="Z35" s="1" t="str">
        <f ca="1">IFERROR(__xludf.DUMMYFUNCTION("""COMPUTED_VALUE"""),"")</f>
        <v/>
      </c>
    </row>
    <row r="36" spans="1:26" x14ac:dyDescent="0.2">
      <c r="A36" s="1" t="str">
        <f ca="1">IFERROR(__xludf.DUMMYFUNCTION("""COMPUTED_VALUE"""),"[C] Consolidado")</f>
        <v>[C] Consolidado</v>
      </c>
      <c r="B36" s="1" t="str">
        <f ca="1">IFERROR(__xludf.DUMMYFUNCTION("""COMPUTED_VALUE"""),"-")</f>
        <v>-</v>
      </c>
      <c r="C36" s="1">
        <f ca="1">IFERROR(__xludf.DUMMYFUNCTION("""COMPUTED_VALUE"""),-5802.8425)</f>
        <v>-5802.8424999999997</v>
      </c>
      <c r="D36" s="1">
        <f ca="1">IFERROR(__xludf.DUMMYFUNCTION("""COMPUTED_VALUE"""),-1401.53249999999)</f>
        <v>-1401.53249999999</v>
      </c>
      <c r="E36" s="1">
        <f ca="1">IFERROR(__xludf.DUMMYFUNCTION("""COMPUTED_VALUE"""),-1373.365)</f>
        <v>-1373.365</v>
      </c>
      <c r="F36" s="1">
        <f ca="1">IFERROR(__xludf.DUMMYFUNCTION("""COMPUTED_VALUE"""),-9247.05999999999)</f>
        <v>-9247.0599999999904</v>
      </c>
      <c r="G36" s="1">
        <f ca="1">IFERROR(__xludf.DUMMYFUNCTION("""COMPUTED_VALUE"""),67050.3149999999)</f>
        <v>67050.3149999999</v>
      </c>
      <c r="H36" s="1">
        <f ca="1">IFERROR(__xludf.DUMMYFUNCTION("""COMPUTED_VALUE"""),-5572.93749999999)</f>
        <v>-5572.93749999999</v>
      </c>
      <c r="I36" s="1">
        <f ca="1">IFERROR(__xludf.DUMMYFUNCTION("""COMPUTED_VALUE"""),-5698.79)</f>
        <v>-5698.79</v>
      </c>
      <c r="J36" s="1">
        <f ca="1">IFERROR(__xludf.DUMMYFUNCTION("""COMPUTED_VALUE"""),-1401.3)</f>
        <v>-1401.3</v>
      </c>
      <c r="K36" s="1">
        <f ca="1">IFERROR(__xludf.DUMMYFUNCTION("""COMPUTED_VALUE"""),25469.6499999999)</f>
        <v>25469.6499999999</v>
      </c>
      <c r="L36" s="1">
        <f ca="1">IFERROR(__xludf.DUMMYFUNCTION("""COMPUTED_VALUE"""),-12881.425)</f>
        <v>-12881.424999999999</v>
      </c>
      <c r="M36" s="1">
        <f ca="1">IFERROR(__xludf.DUMMYFUNCTION("""COMPUTED_VALUE"""),-12154.2499999999)</f>
        <v>-12154.2499999999</v>
      </c>
      <c r="N36" s="1">
        <f ca="1">IFERROR(__xludf.DUMMYFUNCTION("""COMPUTED_VALUE"""),-17.4700000000157)</f>
        <v>-17.470000000015698</v>
      </c>
      <c r="O36" s="1" t="str">
        <f ca="1">IFERROR(__xludf.DUMMYFUNCTION("""COMPUTED_VALUE"""),"")</f>
        <v/>
      </c>
      <c r="P36" s="1" t="str">
        <f ca="1">IFERROR(__xludf.DUMMYFUNCTION("""COMPUTED_VALUE"""),"")</f>
        <v/>
      </c>
      <c r="Q36" s="1" t="str">
        <f ca="1">IFERROR(__xludf.DUMMYFUNCTION("""COMPUTED_VALUE"""),"")</f>
        <v/>
      </c>
      <c r="R36" s="1" t="str">
        <f ca="1">IFERROR(__xludf.DUMMYFUNCTION("""COMPUTED_VALUE"""),"")</f>
        <v/>
      </c>
      <c r="S36" s="1" t="str">
        <f ca="1">IFERROR(__xludf.DUMMYFUNCTION("""COMPUTED_VALUE"""),"")</f>
        <v/>
      </c>
      <c r="T36" s="1" t="str">
        <f ca="1">IFERROR(__xludf.DUMMYFUNCTION("""COMPUTED_VALUE"""),"")</f>
        <v/>
      </c>
      <c r="U36" s="1" t="str">
        <f ca="1">IFERROR(__xludf.DUMMYFUNCTION("""COMPUTED_VALUE"""),"")</f>
        <v/>
      </c>
      <c r="V36" s="1" t="str">
        <f ca="1">IFERROR(__xludf.DUMMYFUNCTION("""COMPUTED_VALUE"""),"")</f>
        <v/>
      </c>
      <c r="W36" s="1" t="str">
        <f ca="1">IFERROR(__xludf.DUMMYFUNCTION("""COMPUTED_VALUE"""),"")</f>
        <v/>
      </c>
      <c r="X36" s="1" t="str">
        <f ca="1">IFERROR(__xludf.DUMMYFUNCTION("""COMPUTED_VALUE"""),"")</f>
        <v/>
      </c>
      <c r="Y36" s="1" t="str">
        <f ca="1">IFERROR(__xludf.DUMMYFUNCTION("""COMPUTED_VALUE"""),"")</f>
        <v/>
      </c>
      <c r="Z36" s="1" t="str">
        <f ca="1">IFERROR(__xludf.DUMMYFUNCTION("""COMPUTED_VALUE"""),"")</f>
        <v/>
      </c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4.42578125" customWidth="1"/>
    <col min="2" max="7" width="8.7109375" customWidth="1"/>
    <col min="8" max="8" width="7.42578125" customWidth="1"/>
    <col min="9" max="9" width="8.7109375" customWidth="1"/>
    <col min="10" max="11" width="7.42578125" customWidth="1"/>
    <col min="12" max="12" width="8.5703125" customWidth="1"/>
    <col min="13" max="13" width="8.7109375" customWidth="1"/>
    <col min="14" max="14" width="9.5703125" customWidth="1"/>
    <col min="15" max="15" width="8.7109375" customWidth="1"/>
    <col min="16" max="16" width="11.28515625" customWidth="1"/>
    <col min="17" max="17" width="6.85546875" customWidth="1"/>
  </cols>
  <sheetData>
    <row r="1" spans="1:26" x14ac:dyDescent="0.2">
      <c r="A1" s="1" t="str">
        <f ca="1">IFERROR(__xludf.DUMMYFUNCTION("IMPORTRANGE(""https://docs.google.com/spreadsheets/d/1iYr1ABX5E5xD5hdpo7T57xV80Bd6YZfcnip7j3Ia3No/edit?gid=153321439#gid=153321439"",""'Prov.B3'!A2:Q13"")"),"")</f>
        <v/>
      </c>
      <c r="B1" s="4">
        <f ca="1">IFERROR(__xludf.DUMMYFUNCTION("""COMPUTED_VALUE"""),45658)</f>
        <v>45658</v>
      </c>
      <c r="C1" s="4">
        <f ca="1">IFERROR(__xludf.DUMMYFUNCTION("""COMPUTED_VALUE"""),45689)</f>
        <v>45689</v>
      </c>
      <c r="D1" s="4">
        <f ca="1">IFERROR(__xludf.DUMMYFUNCTION("""COMPUTED_VALUE"""),45717)</f>
        <v>45717</v>
      </c>
      <c r="E1" s="4">
        <f ca="1">IFERROR(__xludf.DUMMYFUNCTION("""COMPUTED_VALUE"""),45748)</f>
        <v>45748</v>
      </c>
      <c r="F1" s="4">
        <f ca="1">IFERROR(__xludf.DUMMYFUNCTION("""COMPUTED_VALUE"""),45778)</f>
        <v>45778</v>
      </c>
      <c r="G1" s="4">
        <f ca="1">IFERROR(__xludf.DUMMYFUNCTION("""COMPUTED_VALUE"""),45809)</f>
        <v>45809</v>
      </c>
      <c r="H1" s="4">
        <f ca="1">IFERROR(__xludf.DUMMYFUNCTION("""COMPUTED_VALUE"""),45839)</f>
        <v>45839</v>
      </c>
      <c r="I1" s="4">
        <f ca="1">IFERROR(__xludf.DUMMYFUNCTION("""COMPUTED_VALUE"""),45870)</f>
        <v>45870</v>
      </c>
      <c r="J1" s="4">
        <f ca="1">IFERROR(__xludf.DUMMYFUNCTION("""COMPUTED_VALUE"""),45901)</f>
        <v>45901</v>
      </c>
      <c r="K1" s="4">
        <f ca="1">IFERROR(__xludf.DUMMYFUNCTION("""COMPUTED_VALUE"""),45931)</f>
        <v>45931</v>
      </c>
      <c r="L1" s="4">
        <f ca="1">IFERROR(__xludf.DUMMYFUNCTION("""COMPUTED_VALUE"""),45962)</f>
        <v>45962</v>
      </c>
      <c r="M1" s="4">
        <f ca="1">IFERROR(__xludf.DUMMYFUNCTION("""COMPUTED_VALUE"""),45992)</f>
        <v>45992</v>
      </c>
      <c r="N1" s="1" t="str">
        <f ca="1">IFERROR(__xludf.DUMMYFUNCTION("""COMPUTED_VALUE"""),"Total")</f>
        <v>Total</v>
      </c>
      <c r="O1" s="2" t="str">
        <f ca="1">IFERROR(__xludf.DUMMYFUNCTION("""COMPUTED_VALUE"""),"Média")</f>
        <v>Média</v>
      </c>
      <c r="P1" s="2" t="str">
        <f ca="1">IFERROR(__xludf.DUMMYFUNCTION("""COMPUTED_VALUE"""),"~ Mensal (Ano)")</f>
        <v>~ Mensal (Ano)</v>
      </c>
      <c r="Q1" s="5" t="str">
        <f ca="1"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>
        <f ca="1">IFERROR(__xludf.DUMMYFUNCTION("""COMPUTED_VALUE"""),2019)</f>
        <v>2019</v>
      </c>
      <c r="B2" s="2">
        <f ca="1">IFERROR(__xludf.DUMMYFUNCTION("""COMPUTED_VALUE"""),0)</f>
        <v>0</v>
      </c>
      <c r="C2" s="2">
        <f ca="1">IFERROR(__xludf.DUMMYFUNCTION("""COMPUTED_VALUE"""),0)</f>
        <v>0</v>
      </c>
      <c r="D2" s="2">
        <f ca="1">IFERROR(__xludf.DUMMYFUNCTION("""COMPUTED_VALUE"""),0)</f>
        <v>0</v>
      </c>
      <c r="E2" s="2">
        <f ca="1">IFERROR(__xludf.DUMMYFUNCTION("""COMPUTED_VALUE"""),0)</f>
        <v>0</v>
      </c>
      <c r="F2" s="2">
        <f ca="1">IFERROR(__xludf.DUMMYFUNCTION("""COMPUTED_VALUE"""),0)</f>
        <v>0</v>
      </c>
      <c r="G2" s="2">
        <f ca="1">IFERROR(__xludf.DUMMYFUNCTION("""COMPUTED_VALUE"""),0)</f>
        <v>0</v>
      </c>
      <c r="H2" s="2">
        <f ca="1">IFERROR(__xludf.DUMMYFUNCTION("""COMPUTED_VALUE"""),0)</f>
        <v>0</v>
      </c>
      <c r="I2" s="2">
        <f ca="1">IFERROR(__xludf.DUMMYFUNCTION("""COMPUTED_VALUE"""),0)</f>
        <v>0</v>
      </c>
      <c r="J2" s="2">
        <f ca="1">IFERROR(__xludf.DUMMYFUNCTION("""COMPUTED_VALUE"""),0)</f>
        <v>0</v>
      </c>
      <c r="K2" s="2">
        <f ca="1">IFERROR(__xludf.DUMMYFUNCTION("""COMPUTED_VALUE"""),0)</f>
        <v>0</v>
      </c>
      <c r="L2" s="2">
        <f ca="1">IFERROR(__xludf.DUMMYFUNCTION("""COMPUTED_VALUE"""),27.7999999999999)</f>
        <v>27.799999999999901</v>
      </c>
      <c r="M2" s="2">
        <f ca="1">IFERROR(__xludf.DUMMYFUNCTION("""COMPUTED_VALUE"""),88.2899999999999)</f>
        <v>88.289999999999907</v>
      </c>
      <c r="N2" s="2">
        <f ca="1">IFERROR(__xludf.DUMMYFUNCTION("""COMPUTED_VALUE"""),116.089999999999)</f>
        <v>116.08999999999899</v>
      </c>
      <c r="O2" s="2">
        <f ca="1">IFERROR(__xludf.DUMMYFUNCTION("""COMPUTED_VALUE"""),9.67416666666666)</f>
        <v>9.6741666666666593</v>
      </c>
      <c r="P2" s="2">
        <f ca="1">IFERROR(__xludf.DUMMYFUNCTION("""COMPUTED_VALUE"""),9.67416666666666)</f>
        <v>9.6741666666666593</v>
      </c>
      <c r="Q2" s="5" t="str">
        <f ca="1"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>
        <f ca="1">IFERROR(__xludf.DUMMYFUNCTION("""COMPUTED_VALUE"""),2020)</f>
        <v>2020</v>
      </c>
      <c r="B3" s="2">
        <f ca="1">IFERROR(__xludf.DUMMYFUNCTION("""COMPUTED_VALUE"""),9.30999999999999)</f>
        <v>9.3099999999999898</v>
      </c>
      <c r="C3" s="2">
        <f ca="1">IFERROR(__xludf.DUMMYFUNCTION("""COMPUTED_VALUE"""),55.22)</f>
        <v>55.22</v>
      </c>
      <c r="D3" s="2">
        <f ca="1">IFERROR(__xludf.DUMMYFUNCTION("""COMPUTED_VALUE"""),28.13)</f>
        <v>28.13</v>
      </c>
      <c r="E3" s="2">
        <f ca="1">IFERROR(__xludf.DUMMYFUNCTION("""COMPUTED_VALUE"""),18.85)</f>
        <v>18.850000000000001</v>
      </c>
      <c r="F3" s="2">
        <f ca="1">IFERROR(__xludf.DUMMYFUNCTION("""COMPUTED_VALUE"""),57.44)</f>
        <v>57.44</v>
      </c>
      <c r="G3" s="2">
        <f ca="1">IFERROR(__xludf.DUMMYFUNCTION("""COMPUTED_VALUE"""),5.55)</f>
        <v>5.55</v>
      </c>
      <c r="H3" s="2">
        <f ca="1">IFERROR(__xludf.DUMMYFUNCTION("""COMPUTED_VALUE"""),1.77)</f>
        <v>1.77</v>
      </c>
      <c r="I3" s="2">
        <f ca="1">IFERROR(__xludf.DUMMYFUNCTION("""COMPUTED_VALUE"""),145.489999999999)</f>
        <v>145.48999999999899</v>
      </c>
      <c r="J3" s="2">
        <f ca="1">IFERROR(__xludf.DUMMYFUNCTION("""COMPUTED_VALUE"""),162.07)</f>
        <v>162.07</v>
      </c>
      <c r="K3" s="2">
        <f ca="1">IFERROR(__xludf.DUMMYFUNCTION("""COMPUTED_VALUE"""),97.23)</f>
        <v>97.23</v>
      </c>
      <c r="L3" s="2">
        <f ca="1">IFERROR(__xludf.DUMMYFUNCTION("""COMPUTED_VALUE"""),16.89)</f>
        <v>16.89</v>
      </c>
      <c r="M3" s="2">
        <f ca="1">IFERROR(__xludf.DUMMYFUNCTION("""COMPUTED_VALUE"""),14.84)</f>
        <v>14.84</v>
      </c>
      <c r="N3" s="2">
        <f ca="1">IFERROR(__xludf.DUMMYFUNCTION("""COMPUTED_VALUE"""),612.79)</f>
        <v>612.79</v>
      </c>
      <c r="O3" s="2">
        <f ca="1">IFERROR(__xludf.DUMMYFUNCTION("""COMPUTED_VALUE"""),51.0658333333333)</f>
        <v>51.065833333333302</v>
      </c>
      <c r="P3" s="2">
        <f ca="1">IFERROR(__xludf.DUMMYFUNCTION("""COMPUTED_VALUE"""),51.0658333333333)</f>
        <v>51.065833333333302</v>
      </c>
      <c r="Q3" s="5">
        <f ca="1">IFERROR(__xludf.DUMMYFUNCTION("""COMPUTED_VALUE"""),4.27857696614695)</f>
        <v>4.2785769661469502</v>
      </c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>
        <f ca="1">IFERROR(__xludf.DUMMYFUNCTION("""COMPUTED_VALUE"""),2021)</f>
        <v>2021</v>
      </c>
      <c r="B4" s="2">
        <f ca="1">IFERROR(__xludf.DUMMYFUNCTION("""COMPUTED_VALUE"""),59.42)</f>
        <v>59.42</v>
      </c>
      <c r="C4" s="2">
        <f ca="1">IFERROR(__xludf.DUMMYFUNCTION("""COMPUTED_VALUE"""),163.059999999999)</f>
        <v>163.05999999999901</v>
      </c>
      <c r="D4" s="2">
        <f ca="1">IFERROR(__xludf.DUMMYFUNCTION("""COMPUTED_VALUE"""),37.59)</f>
        <v>37.590000000000003</v>
      </c>
      <c r="E4" s="2">
        <f ca="1">IFERROR(__xludf.DUMMYFUNCTION("""COMPUTED_VALUE"""),91.96)</f>
        <v>91.96</v>
      </c>
      <c r="F4" s="2">
        <f ca="1">IFERROR(__xludf.DUMMYFUNCTION("""COMPUTED_VALUE"""),642.55)</f>
        <v>642.54999999999995</v>
      </c>
      <c r="G4" s="2">
        <f ca="1">IFERROR(__xludf.DUMMYFUNCTION("""COMPUTED_VALUE"""),414.909999999999)</f>
        <v>414.909999999999</v>
      </c>
      <c r="H4" s="2">
        <f ca="1">IFERROR(__xludf.DUMMYFUNCTION("""COMPUTED_VALUE"""),173.16)</f>
        <v>173.16</v>
      </c>
      <c r="I4" s="2">
        <f ca="1">IFERROR(__xludf.DUMMYFUNCTION("""COMPUTED_VALUE"""),157.78)</f>
        <v>157.78</v>
      </c>
      <c r="J4" s="2">
        <f ca="1">IFERROR(__xludf.DUMMYFUNCTION("""COMPUTED_VALUE"""),401.66)</f>
        <v>401.66</v>
      </c>
      <c r="K4" s="2">
        <f ca="1">IFERROR(__xludf.DUMMYFUNCTION("""COMPUTED_VALUE"""),181.54)</f>
        <v>181.54</v>
      </c>
      <c r="L4" s="2">
        <f ca="1">IFERROR(__xludf.DUMMYFUNCTION("""COMPUTED_VALUE"""),273.22)</f>
        <v>273.22000000000003</v>
      </c>
      <c r="M4" s="2">
        <f ca="1">IFERROR(__xludf.DUMMYFUNCTION("""COMPUTED_VALUE"""),270.01)</f>
        <v>270.01</v>
      </c>
      <c r="N4" s="2">
        <f ca="1">IFERROR(__xludf.DUMMYFUNCTION("""COMPUTED_VALUE"""),2866.85999999999)</f>
        <v>2866.8599999999901</v>
      </c>
      <c r="O4" s="2">
        <f ca="1">IFERROR(__xludf.DUMMYFUNCTION("""COMPUTED_VALUE"""),238.904999999999)</f>
        <v>238.90499999999901</v>
      </c>
      <c r="P4" s="2">
        <f ca="1">IFERROR(__xludf.DUMMYFUNCTION("""COMPUTED_VALUE"""),238.904999999999)</f>
        <v>238.90499999999901</v>
      </c>
      <c r="Q4" s="5">
        <f ca="1">IFERROR(__xludf.DUMMYFUNCTION("""COMPUTED_VALUE"""),3.67837268884936)</f>
        <v>3.6783726888493602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>
        <f ca="1">IFERROR(__xludf.DUMMYFUNCTION("""COMPUTED_VALUE"""),2022)</f>
        <v>2022</v>
      </c>
      <c r="B5" s="2">
        <f ca="1">IFERROR(__xludf.DUMMYFUNCTION("""COMPUTED_VALUE"""),50.77)</f>
        <v>50.77</v>
      </c>
      <c r="C5" s="2">
        <f ca="1">IFERROR(__xludf.DUMMYFUNCTION("""COMPUTED_VALUE"""),275.5)</f>
        <v>275.5</v>
      </c>
      <c r="D5" s="2">
        <f ca="1">IFERROR(__xludf.DUMMYFUNCTION("""COMPUTED_VALUE"""),490.78)</f>
        <v>490.78</v>
      </c>
      <c r="E5" s="2">
        <f ca="1">IFERROR(__xludf.DUMMYFUNCTION("""COMPUTED_VALUE"""),40.42)</f>
        <v>40.42</v>
      </c>
      <c r="F5" s="2">
        <f ca="1">IFERROR(__xludf.DUMMYFUNCTION("""COMPUTED_VALUE"""),815.75)</f>
        <v>815.75</v>
      </c>
      <c r="G5" s="2">
        <f ca="1">IFERROR(__xludf.DUMMYFUNCTION("""COMPUTED_VALUE"""),540.439999999999)</f>
        <v>540.43999999999903</v>
      </c>
      <c r="H5" s="2">
        <f ca="1">IFERROR(__xludf.DUMMYFUNCTION("""COMPUTED_VALUE"""),137.11)</f>
        <v>137.11000000000001</v>
      </c>
      <c r="I5" s="2">
        <f ca="1">IFERROR(__xludf.DUMMYFUNCTION("""COMPUTED_VALUE"""),869.319999999999)</f>
        <v>869.31999999999903</v>
      </c>
      <c r="J5" s="2">
        <f ca="1">IFERROR(__xludf.DUMMYFUNCTION("""COMPUTED_VALUE"""),452.4)</f>
        <v>452.4</v>
      </c>
      <c r="K5" s="2">
        <f ca="1">IFERROR(__xludf.DUMMYFUNCTION("""COMPUTED_VALUE"""),303.349999999999)</f>
        <v>303.349999999999</v>
      </c>
      <c r="L5" s="2">
        <f ca="1">IFERROR(__xludf.DUMMYFUNCTION("""COMPUTED_VALUE"""),755.02)</f>
        <v>755.02</v>
      </c>
      <c r="M5" s="2">
        <f ca="1">IFERROR(__xludf.DUMMYFUNCTION("""COMPUTED_VALUE"""),779.689999999999)</f>
        <v>779.68999999999903</v>
      </c>
      <c r="N5" s="2">
        <f ca="1">IFERROR(__xludf.DUMMYFUNCTION("""COMPUTED_VALUE"""),5510.55)</f>
        <v>5510.55</v>
      </c>
      <c r="O5" s="2">
        <f ca="1">IFERROR(__xludf.DUMMYFUNCTION("""COMPUTED_VALUE"""),459.2125)</f>
        <v>459.21249999999998</v>
      </c>
      <c r="P5" s="2">
        <f ca="1">IFERROR(__xludf.DUMMYFUNCTION("""COMPUTED_VALUE"""),459.2125)</f>
        <v>459.21249999999998</v>
      </c>
      <c r="Q5" s="5">
        <f ca="1">IFERROR(__xludf.DUMMYFUNCTION("""COMPUTED_VALUE"""),0.922155249994768)</f>
        <v>0.92215524999476794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>
        <f ca="1">IFERROR(__xludf.DUMMYFUNCTION("""COMPUTED_VALUE"""),2023)</f>
        <v>2023</v>
      </c>
      <c r="B6" s="2">
        <f ca="1">IFERROR(__xludf.DUMMYFUNCTION("""COMPUTED_VALUE"""),816.71)</f>
        <v>816.71</v>
      </c>
      <c r="C6" s="2">
        <f ca="1">IFERROR(__xludf.DUMMYFUNCTION("""COMPUTED_VALUE"""),9.89)</f>
        <v>9.89</v>
      </c>
      <c r="D6" s="2">
        <f ca="1">IFERROR(__xludf.DUMMYFUNCTION("""COMPUTED_VALUE"""),1368.77)</f>
        <v>1368.77</v>
      </c>
      <c r="E6" s="2">
        <f ca="1">IFERROR(__xludf.DUMMYFUNCTION("""COMPUTED_VALUE"""),718.329999999999)</f>
        <v>718.32999999999902</v>
      </c>
      <c r="F6" s="2">
        <f ca="1">IFERROR(__xludf.DUMMYFUNCTION("""COMPUTED_VALUE"""),500.15)</f>
        <v>500.15</v>
      </c>
      <c r="G6" s="2">
        <f ca="1">IFERROR(__xludf.DUMMYFUNCTION("""COMPUTED_VALUE"""),1835.00999999999)</f>
        <v>1835.00999999999</v>
      </c>
      <c r="H6" s="2">
        <f ca="1">IFERROR(__xludf.DUMMYFUNCTION("""COMPUTED_VALUE"""),400.719999999999)</f>
        <v>400.719999999999</v>
      </c>
      <c r="I6" s="2">
        <f ca="1">IFERROR(__xludf.DUMMYFUNCTION("""COMPUTED_VALUE"""),1702.19)</f>
        <v>1702.19</v>
      </c>
      <c r="J6" s="2">
        <f ca="1">IFERROR(__xludf.DUMMYFUNCTION("""COMPUTED_VALUE"""),587.1)</f>
        <v>587.1</v>
      </c>
      <c r="K6" s="2">
        <f ca="1">IFERROR(__xludf.DUMMYFUNCTION("""COMPUTED_VALUE"""),60.39)</f>
        <v>60.39</v>
      </c>
      <c r="L6" s="2">
        <f ca="1">IFERROR(__xludf.DUMMYFUNCTION("""COMPUTED_VALUE"""),1112.53)</f>
        <v>1112.53</v>
      </c>
      <c r="M6" s="2">
        <f ca="1">IFERROR(__xludf.DUMMYFUNCTION("""COMPUTED_VALUE"""),928.53)</f>
        <v>928.53</v>
      </c>
      <c r="N6" s="2">
        <f ca="1">IFERROR(__xludf.DUMMYFUNCTION("""COMPUTED_VALUE"""),10040.32)</f>
        <v>10040.32</v>
      </c>
      <c r="O6" s="2">
        <f ca="1">IFERROR(__xludf.DUMMYFUNCTION("""COMPUTED_VALUE"""),836.693333333333)</f>
        <v>836.69333333333304</v>
      </c>
      <c r="P6" s="2">
        <f ca="1">IFERROR(__xludf.DUMMYFUNCTION("""COMPUTED_VALUE"""),836.693333333333)</f>
        <v>836.69333333333304</v>
      </c>
      <c r="Q6" s="5">
        <f ca="1">IFERROR(__xludf.DUMMYFUNCTION("""COMPUTED_VALUE"""),0.822017765921732)</f>
        <v>0.82201776592173204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ca="1">IFERROR(__xludf.DUMMYFUNCTION("""COMPUTED_VALUE"""),2024)</f>
        <v>2024</v>
      </c>
      <c r="B7" s="2">
        <f ca="1">IFERROR(__xludf.DUMMYFUNCTION("""COMPUTED_VALUE"""),643.529999999999)</f>
        <v>643.52999999999895</v>
      </c>
      <c r="C7" s="2">
        <f ca="1">IFERROR(__xludf.DUMMYFUNCTION("""COMPUTED_VALUE"""),2324.41)</f>
        <v>2324.41</v>
      </c>
      <c r="D7" s="2">
        <f ca="1">IFERROR(__xludf.DUMMYFUNCTION("""COMPUTED_VALUE"""),544.74)</f>
        <v>544.74</v>
      </c>
      <c r="E7" s="2">
        <f ca="1">IFERROR(__xludf.DUMMYFUNCTION("""COMPUTED_VALUE"""),1343.22)</f>
        <v>1343.22</v>
      </c>
      <c r="F7" s="2">
        <f ca="1">IFERROR(__xludf.DUMMYFUNCTION("""COMPUTED_VALUE"""),1932.13)</f>
        <v>1932.13</v>
      </c>
      <c r="G7" s="2">
        <f ca="1">IFERROR(__xludf.DUMMYFUNCTION("""COMPUTED_VALUE"""),2713.79999999999)</f>
        <v>2713.7999999999902</v>
      </c>
      <c r="H7" s="2">
        <f ca="1">IFERROR(__xludf.DUMMYFUNCTION("""COMPUTED_VALUE"""),111.49)</f>
        <v>111.49</v>
      </c>
      <c r="I7" s="2">
        <f ca="1">IFERROR(__xludf.DUMMYFUNCTION("""COMPUTED_VALUE"""),2656.72)</f>
        <v>2656.72</v>
      </c>
      <c r="J7" s="2">
        <f ca="1">IFERROR(__xludf.DUMMYFUNCTION("""COMPUTED_VALUE"""),516.53)</f>
        <v>516.53</v>
      </c>
      <c r="K7" s="2">
        <f ca="1">IFERROR(__xludf.DUMMYFUNCTION("""COMPUTED_VALUE"""),13.4)</f>
        <v>13.4</v>
      </c>
      <c r="L7" s="2">
        <f ca="1">IFERROR(__xludf.DUMMYFUNCTION("""COMPUTED_VALUE"""),703.9)</f>
        <v>703.9</v>
      </c>
      <c r="M7" s="2">
        <f ca="1">IFERROR(__xludf.DUMMYFUNCTION("""COMPUTED_VALUE"""),2277.8)</f>
        <v>2277.8000000000002</v>
      </c>
      <c r="N7" s="2">
        <f ca="1">IFERROR(__xludf.DUMMYFUNCTION("""COMPUTED_VALUE"""),15781.6699999999)</f>
        <v>15781.6699999999</v>
      </c>
      <c r="O7" s="2">
        <f ca="1">IFERROR(__xludf.DUMMYFUNCTION("""COMPUTED_VALUE"""),1315.13916666666)</f>
        <v>1315.13916666666</v>
      </c>
      <c r="P7" s="2">
        <f ca="1">IFERROR(__xludf.DUMMYFUNCTION("""COMPUTED_VALUE"""),1315.13916666666)</f>
        <v>1315.13916666666</v>
      </c>
      <c r="Q7" s="5">
        <f ca="1">IFERROR(__xludf.DUMMYFUNCTION("""COMPUTED_VALUE"""),0.571829383924018)</f>
        <v>0.57182938392401805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ca="1">IFERROR(__xludf.DUMMYFUNCTION("""COMPUTED_VALUE"""),2025)</f>
        <v>2025</v>
      </c>
      <c r="B8" s="2">
        <f ca="1">IFERROR(__xludf.DUMMYFUNCTION("""COMPUTED_VALUE"""),1659.7)</f>
        <v>1659.7</v>
      </c>
      <c r="C8" s="2">
        <f ca="1">IFERROR(__xludf.DUMMYFUNCTION("""COMPUTED_VALUE"""),599.55)</f>
        <v>599.54999999999995</v>
      </c>
      <c r="D8" s="2">
        <f ca="1">IFERROR(__xludf.DUMMYFUNCTION("""COMPUTED_VALUE"""),7358.46)</f>
        <v>7358.46</v>
      </c>
      <c r="E8" s="2">
        <f ca="1">IFERROR(__xludf.DUMMYFUNCTION("""COMPUTED_VALUE"""),2.35)</f>
        <v>2.35</v>
      </c>
      <c r="F8" s="2">
        <f ca="1">IFERROR(__xludf.DUMMYFUNCTION("""COMPUTED_VALUE"""),2734.14)</f>
        <v>2734.14</v>
      </c>
      <c r="G8" s="2">
        <f ca="1">IFERROR(__xludf.DUMMYFUNCTION("""COMPUTED_VALUE"""),2702.12)</f>
        <v>2702.12</v>
      </c>
      <c r="H8" s="2">
        <f ca="1">IFERROR(__xludf.DUMMYFUNCTION("""COMPUTED_VALUE"""),3.18)</f>
        <v>3.18</v>
      </c>
      <c r="I8" s="2">
        <f ca="1">IFERROR(__xludf.DUMMYFUNCTION("""COMPUTED_VALUE"""),6962.56)</f>
        <v>6962.56</v>
      </c>
      <c r="J8" s="2">
        <f ca="1">IFERROR(__xludf.DUMMYFUNCTION("""COMPUTED_VALUE"""),1607.29)</f>
        <v>1607.29</v>
      </c>
      <c r="K8" s="2">
        <f ca="1">IFERROR(__xludf.DUMMYFUNCTION("""COMPUTED_VALUE"""),229.95)</f>
        <v>229.95</v>
      </c>
      <c r="L8" s="2">
        <f ca="1">IFERROR(__xludf.DUMMYFUNCTION("""COMPUTED_VALUE"""),1437.27)</f>
        <v>1437.27</v>
      </c>
      <c r="M8" s="2">
        <f ca="1">IFERROR(__xludf.DUMMYFUNCTION("""COMPUTED_VALUE"""),3275)</f>
        <v>3275</v>
      </c>
      <c r="N8" s="2">
        <f ca="1">IFERROR(__xludf.DUMMYFUNCTION("""COMPUTED_VALUE"""),28571.57)</f>
        <v>28571.57</v>
      </c>
      <c r="O8" s="2">
        <f ca="1">IFERROR(__xludf.DUMMYFUNCTION("""COMPUTED_VALUE"""),2380.96416666666)</f>
        <v>2380.9641666666598</v>
      </c>
      <c r="P8" s="2">
        <f ca="1">IFERROR(__xludf.DUMMYFUNCTION("""COMPUTED_VALUE"""),2380.96416666666)</f>
        <v>2380.9641666666598</v>
      </c>
      <c r="Q8" s="5">
        <f ca="1">IFERROR(__xludf.DUMMYFUNCTION("""COMPUTED_VALUE"""),0.81042754030467)</f>
        <v>0.81042754030467001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0.85546875" customWidth="1"/>
    <col min="2" max="9" width="8.7109375" customWidth="1"/>
  </cols>
  <sheetData>
    <row r="1" spans="1:26" x14ac:dyDescent="0.2">
      <c r="A1" s="1" t="str">
        <f ca="1">IFERROR(__xludf.DUMMYFUNCTION("IMPORTRANGE(""https://docs.google.com/spreadsheets/d/1QEICpkTEbV1Z_LWeaMjl4KVDsEDLt2EDAtqOvRWsWng/edit?gid=520531123#gid=520531123"",""'BTG'!N1:V15"")"),"Grupo")</f>
        <v>Grupo</v>
      </c>
      <c r="B1" s="6">
        <f ca="1">IFERROR(__xludf.DUMMYFUNCTION("""COMPUTED_VALUE"""),45778)</f>
        <v>45778</v>
      </c>
      <c r="C1" s="6">
        <f ca="1">IFERROR(__xludf.DUMMYFUNCTION("""COMPUTED_VALUE"""),45809)</f>
        <v>45809</v>
      </c>
      <c r="D1" s="6">
        <f ca="1">IFERROR(__xludf.DUMMYFUNCTION("""COMPUTED_VALUE"""),45839)</f>
        <v>45839</v>
      </c>
      <c r="E1" s="6">
        <f ca="1">IFERROR(__xludf.DUMMYFUNCTION("""COMPUTED_VALUE"""),45870)</f>
        <v>45870</v>
      </c>
      <c r="F1" s="6">
        <f ca="1">IFERROR(__xludf.DUMMYFUNCTION("""COMPUTED_VALUE"""),45901)</f>
        <v>45901</v>
      </c>
      <c r="G1" s="6">
        <f ca="1">IFERROR(__xludf.DUMMYFUNCTION("""COMPUTED_VALUE"""),45931)</f>
        <v>45931</v>
      </c>
      <c r="H1" s="6">
        <f ca="1">IFERROR(__xludf.DUMMYFUNCTION("""COMPUTED_VALUE"""),45962)</f>
        <v>45962</v>
      </c>
      <c r="I1" s="6">
        <f ca="1">IFERROR(__xludf.DUMMYFUNCTION("""COMPUTED_VALUE"""),45992)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tr">
        <f ca="1">IFERROR(__xludf.DUMMYFUNCTION("""COMPUTED_VALUE"""),"Brave")</f>
        <v>Brave</v>
      </c>
      <c r="B2" s="2">
        <f ca="1">IFERROR(__xludf.DUMMYFUNCTION("""COMPUTED_VALUE"""),9)</f>
        <v>9</v>
      </c>
      <c r="C2" s="2">
        <f ca="1">IFERROR(__xludf.DUMMYFUNCTION("""COMPUTED_VALUE"""),0)</f>
        <v>0</v>
      </c>
      <c r="D2" s="2">
        <f ca="1">IFERROR(__xludf.DUMMYFUNCTION("""COMPUTED_VALUE"""),0)</f>
        <v>0</v>
      </c>
      <c r="E2" s="2">
        <f ca="1">IFERROR(__xludf.DUMMYFUNCTION("""COMPUTED_VALUE"""),0)</f>
        <v>0</v>
      </c>
      <c r="F2" s="2">
        <f ca="1">IFERROR(__xludf.DUMMYFUNCTION("""COMPUTED_VALUE"""),0)</f>
        <v>0</v>
      </c>
      <c r="G2" s="2">
        <f ca="1">IFERROR(__xludf.DUMMYFUNCTION("""COMPUTED_VALUE"""),0)</f>
        <v>0</v>
      </c>
      <c r="H2" s="2">
        <f ca="1">IFERROR(__xludf.DUMMYFUNCTION("""COMPUTED_VALUE"""),0)</f>
        <v>0</v>
      </c>
      <c r="I2" s="2">
        <f ca="1">IFERROR(__xludf.DUMMYFUNCTION("""COMPUTED_VALUE"""),0)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tr">
        <f ca="1">IFERROR(__xludf.DUMMYFUNCTION("""COMPUTED_VALUE"""),"Hulk")</f>
        <v>Hulk</v>
      </c>
      <c r="B3" s="2">
        <f ca="1">IFERROR(__xludf.DUMMYFUNCTION("""COMPUTED_VALUE"""),329.02)</f>
        <v>329.02</v>
      </c>
      <c r="C3" s="2">
        <f ca="1">IFERROR(__xludf.DUMMYFUNCTION("""COMPUTED_VALUE"""),566.88)</f>
        <v>566.88</v>
      </c>
      <c r="D3" s="2">
        <f ca="1">IFERROR(__xludf.DUMMYFUNCTION("""COMPUTED_VALUE"""),289.5)</f>
        <v>289.5</v>
      </c>
      <c r="E3" s="2">
        <f ca="1">IFERROR(__xludf.DUMMYFUNCTION("""COMPUTED_VALUE"""),357.35)</f>
        <v>357.35</v>
      </c>
      <c r="F3" s="2">
        <f ca="1">IFERROR(__xludf.DUMMYFUNCTION("""COMPUTED_VALUE"""),241.93)</f>
        <v>241.93</v>
      </c>
      <c r="G3" s="2">
        <f ca="1">IFERROR(__xludf.DUMMYFUNCTION("""COMPUTED_VALUE"""),367)</f>
        <v>367</v>
      </c>
      <c r="H3" s="2">
        <f ca="1">IFERROR(__xludf.DUMMYFUNCTION("""COMPUTED_VALUE"""),270.37)</f>
        <v>270.37</v>
      </c>
      <c r="I3" s="2">
        <f ca="1">IFERROR(__xludf.DUMMYFUNCTION("""COMPUTED_VALUE"""),398)</f>
        <v>398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tr">
        <f ca="1">IFERROR(__xludf.DUMMYFUNCTION("""COMPUTED_VALUE"""),"Comida")</f>
        <v>Comida</v>
      </c>
      <c r="B4" s="2">
        <f ca="1">IFERROR(__xludf.DUMMYFUNCTION("""COMPUTED_VALUE"""),1057.76)</f>
        <v>1057.76</v>
      </c>
      <c r="C4" s="2">
        <f ca="1">IFERROR(__xludf.DUMMYFUNCTION("""COMPUTED_VALUE"""),1057.37)</f>
        <v>1057.3699999999999</v>
      </c>
      <c r="D4" s="2">
        <f ca="1">IFERROR(__xludf.DUMMYFUNCTION("""COMPUTED_VALUE"""),947.74)</f>
        <v>947.74</v>
      </c>
      <c r="E4" s="2">
        <f ca="1">IFERROR(__xludf.DUMMYFUNCTION("""COMPUTED_VALUE"""),725.899999999999)</f>
        <v>725.89999999999895</v>
      </c>
      <c r="F4" s="2">
        <f ca="1">IFERROR(__xludf.DUMMYFUNCTION("""COMPUTED_VALUE"""),1347.84)</f>
        <v>1347.84</v>
      </c>
      <c r="G4" s="2">
        <f ca="1">IFERROR(__xludf.DUMMYFUNCTION("""COMPUTED_VALUE"""),351.88)</f>
        <v>351.88</v>
      </c>
      <c r="H4" s="2">
        <f ca="1">IFERROR(__xludf.DUMMYFUNCTION("""COMPUTED_VALUE"""),1106.58)</f>
        <v>1106.58</v>
      </c>
      <c r="I4" s="2">
        <f ca="1">IFERROR(__xludf.DUMMYFUNCTION("""COMPUTED_VALUE"""),1437.62)</f>
        <v>1437.62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tr">
        <f ca="1">IFERROR(__xludf.DUMMYFUNCTION("""COMPUTED_VALUE"""),"Supermercado")</f>
        <v>Supermercado</v>
      </c>
      <c r="B5" s="2">
        <f ca="1">IFERROR(__xludf.DUMMYFUNCTION("""COMPUTED_VALUE"""),345.719999999999)</f>
        <v>345.719999999999</v>
      </c>
      <c r="C5" s="2">
        <f ca="1">IFERROR(__xludf.DUMMYFUNCTION("""COMPUTED_VALUE"""),111.74)</f>
        <v>111.74</v>
      </c>
      <c r="D5" s="2">
        <f ca="1">IFERROR(__xludf.DUMMYFUNCTION("""COMPUTED_VALUE"""),304.83)</f>
        <v>304.83</v>
      </c>
      <c r="E5" s="2">
        <f ca="1">IFERROR(__xludf.DUMMYFUNCTION("""COMPUTED_VALUE"""),905.899999999999)</f>
        <v>905.89999999999895</v>
      </c>
      <c r="F5" s="2">
        <f ca="1">IFERROR(__xludf.DUMMYFUNCTION("""COMPUTED_VALUE"""),569.19)</f>
        <v>569.19000000000005</v>
      </c>
      <c r="G5" s="2">
        <f ca="1">IFERROR(__xludf.DUMMYFUNCTION("""COMPUTED_VALUE"""),1026.19999999999)</f>
        <v>1026.19999999999</v>
      </c>
      <c r="H5" s="2">
        <f ca="1">IFERROR(__xludf.DUMMYFUNCTION("""COMPUTED_VALUE"""),419.21)</f>
        <v>419.21</v>
      </c>
      <c r="I5" s="2">
        <f ca="1">IFERROR(__xludf.DUMMYFUNCTION("""COMPUTED_VALUE"""),271.84)</f>
        <v>271.83999999999997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tr">
        <f ca="1">IFERROR(__xludf.DUMMYFUNCTION("""COMPUTED_VALUE"""),"Carro")</f>
        <v>Carro</v>
      </c>
      <c r="B6" s="2">
        <f ca="1">IFERROR(__xludf.DUMMYFUNCTION("""COMPUTED_VALUE"""),261.44)</f>
        <v>261.44</v>
      </c>
      <c r="C6" s="2">
        <f ca="1">IFERROR(__xludf.DUMMYFUNCTION("""COMPUTED_VALUE"""),195.8)</f>
        <v>195.8</v>
      </c>
      <c r="D6" s="2">
        <f ca="1">IFERROR(__xludf.DUMMYFUNCTION("""COMPUTED_VALUE"""),278.06)</f>
        <v>278.06</v>
      </c>
      <c r="E6" s="2">
        <f ca="1">IFERROR(__xludf.DUMMYFUNCTION("""COMPUTED_VALUE"""),0)</f>
        <v>0</v>
      </c>
      <c r="F6" s="2">
        <f ca="1">IFERROR(__xludf.DUMMYFUNCTION("""COMPUTED_VALUE"""),471.48)</f>
        <v>471.48</v>
      </c>
      <c r="G6" s="2">
        <f ca="1">IFERROR(__xludf.DUMMYFUNCTION("""COMPUTED_VALUE"""),0)</f>
        <v>0</v>
      </c>
      <c r="H6" s="2">
        <f ca="1">IFERROR(__xludf.DUMMYFUNCTION("""COMPUTED_VALUE"""),173.02)</f>
        <v>173.02</v>
      </c>
      <c r="I6" s="2">
        <f ca="1">IFERROR(__xludf.DUMMYFUNCTION("""COMPUTED_VALUE"""),783.18)</f>
        <v>783.18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tr">
        <f ca="1">IFERROR(__xludf.DUMMYFUNCTION("""COMPUTED_VALUE"""),"Compras")</f>
        <v>Compras</v>
      </c>
      <c r="B7" s="2">
        <f ca="1">IFERROR(__xludf.DUMMYFUNCTION("""COMPUTED_VALUE"""),1937.61)</f>
        <v>1937.61</v>
      </c>
      <c r="C7" s="2">
        <f ca="1">IFERROR(__xludf.DUMMYFUNCTION("""COMPUTED_VALUE"""),3552.62)</f>
        <v>3552.62</v>
      </c>
      <c r="D7" s="2">
        <f ca="1">IFERROR(__xludf.DUMMYFUNCTION("""COMPUTED_VALUE"""),3497.94999999999)</f>
        <v>3497.9499999999898</v>
      </c>
      <c r="E7" s="2">
        <f ca="1">IFERROR(__xludf.DUMMYFUNCTION("""COMPUTED_VALUE"""),2260.32)</f>
        <v>2260.3200000000002</v>
      </c>
      <c r="F7" s="2">
        <f ca="1">IFERROR(__xludf.DUMMYFUNCTION("""COMPUTED_VALUE"""),1571.19999999999)</f>
        <v>1571.19999999999</v>
      </c>
      <c r="G7" s="2">
        <f ca="1">IFERROR(__xludf.DUMMYFUNCTION("""COMPUTED_VALUE"""),1969.44)</f>
        <v>1969.44</v>
      </c>
      <c r="H7" s="2">
        <f ca="1">IFERROR(__xludf.DUMMYFUNCTION("""COMPUTED_VALUE"""),4304.49)</f>
        <v>4304.49</v>
      </c>
      <c r="I7" s="2">
        <f ca="1">IFERROR(__xludf.DUMMYFUNCTION("""COMPUTED_VALUE"""),4681.13999999999)</f>
        <v>4681.1399999999903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tr">
        <f ca="1">IFERROR(__xludf.DUMMYFUNCTION("""COMPUTED_VALUE"""),"Uber/99")</f>
        <v>Uber/99</v>
      </c>
      <c r="B8" s="2">
        <f ca="1">IFERROR(__xludf.DUMMYFUNCTION("""COMPUTED_VALUE"""),0)</f>
        <v>0</v>
      </c>
      <c r="C8" s="2">
        <f ca="1">IFERROR(__xludf.DUMMYFUNCTION("""COMPUTED_VALUE"""),75.52)</f>
        <v>75.52</v>
      </c>
      <c r="D8" s="2">
        <f ca="1">IFERROR(__xludf.DUMMYFUNCTION("""COMPUTED_VALUE"""),82.69)</f>
        <v>82.69</v>
      </c>
      <c r="E8" s="2">
        <f ca="1">IFERROR(__xludf.DUMMYFUNCTION("""COMPUTED_VALUE"""),51.75)</f>
        <v>51.75</v>
      </c>
      <c r="F8" s="2">
        <f ca="1">IFERROR(__xludf.DUMMYFUNCTION("""COMPUTED_VALUE"""),546.18)</f>
        <v>546.17999999999995</v>
      </c>
      <c r="G8" s="2">
        <f ca="1">IFERROR(__xludf.DUMMYFUNCTION("""COMPUTED_VALUE"""),388.72)</f>
        <v>388.72</v>
      </c>
      <c r="H8" s="2">
        <f ca="1">IFERROR(__xludf.DUMMYFUNCTION("""COMPUTED_VALUE"""),134.71)</f>
        <v>134.71</v>
      </c>
      <c r="I8" s="2">
        <f ca="1">IFERROR(__xludf.DUMMYFUNCTION("""COMPUTED_VALUE"""),302.69)</f>
        <v>302.69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tr">
        <f ca="1">IFERROR(__xludf.DUMMYFUNCTION("""COMPUTED_VALUE"""),"Assinatura")</f>
        <v>Assinatura</v>
      </c>
      <c r="B9" s="2">
        <f ca="1">IFERROR(__xludf.DUMMYFUNCTION("""COMPUTED_VALUE"""),0)</f>
        <v>0</v>
      </c>
      <c r="C9" s="2">
        <f ca="1">IFERROR(__xludf.DUMMYFUNCTION("""COMPUTED_VALUE"""),100.64)</f>
        <v>100.64</v>
      </c>
      <c r="D9" s="2">
        <f ca="1">IFERROR(__xludf.DUMMYFUNCTION("""COMPUTED_VALUE"""),207.79)</f>
        <v>207.79</v>
      </c>
      <c r="E9" s="2">
        <f ca="1">IFERROR(__xludf.DUMMYFUNCTION("""COMPUTED_VALUE"""),54.89)</f>
        <v>54.89</v>
      </c>
      <c r="F9" s="2">
        <f ca="1">IFERROR(__xludf.DUMMYFUNCTION("""COMPUTED_VALUE"""),115.569999999999)</f>
        <v>115.569999999999</v>
      </c>
      <c r="G9" s="2">
        <f ca="1">IFERROR(__xludf.DUMMYFUNCTION("""COMPUTED_VALUE"""),60.89)</f>
        <v>60.89</v>
      </c>
      <c r="H9" s="2">
        <f ca="1">IFERROR(__xludf.DUMMYFUNCTION("""COMPUTED_VALUE"""),60.89)</f>
        <v>60.89</v>
      </c>
      <c r="I9" s="2">
        <f ca="1">IFERROR(__xludf.DUMMYFUNCTION("""COMPUTED_VALUE"""),60.89)</f>
        <v>60.89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 t="str">
        <f ca="1">IFERROR(__xludf.DUMMYFUNCTION("""COMPUTED_VALUE"""),"Farmácia")</f>
        <v>Farmácia</v>
      </c>
      <c r="B10" s="2">
        <f ca="1">IFERROR(__xludf.DUMMYFUNCTION("""COMPUTED_VALUE"""),0)</f>
        <v>0</v>
      </c>
      <c r="C10" s="2">
        <f ca="1">IFERROR(__xludf.DUMMYFUNCTION("""COMPUTED_VALUE"""),352.39)</f>
        <v>352.39</v>
      </c>
      <c r="D10" s="2">
        <f ca="1">IFERROR(__xludf.DUMMYFUNCTION("""COMPUTED_VALUE"""),973.19)</f>
        <v>973.19</v>
      </c>
      <c r="E10" s="2">
        <f ca="1">IFERROR(__xludf.DUMMYFUNCTION("""COMPUTED_VALUE"""),460.17)</f>
        <v>460.17</v>
      </c>
      <c r="F10" s="2">
        <f ca="1">IFERROR(__xludf.DUMMYFUNCTION("""COMPUTED_VALUE"""),494.84)</f>
        <v>494.84</v>
      </c>
      <c r="G10" s="2">
        <f ca="1">IFERROR(__xludf.DUMMYFUNCTION("""COMPUTED_VALUE"""),527.939999999999)</f>
        <v>527.93999999999903</v>
      </c>
      <c r="H10" s="2">
        <f ca="1">IFERROR(__xludf.DUMMYFUNCTION("""COMPUTED_VALUE"""),491.12)</f>
        <v>491.12</v>
      </c>
      <c r="I10" s="2">
        <f ca="1">IFERROR(__xludf.DUMMYFUNCTION("""COMPUTED_VALUE"""),682.449999999999)</f>
        <v>682.44999999999902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tr">
        <f ca="1">IFERROR(__xludf.DUMMYFUNCTION("""COMPUTED_VALUE"""),"Bianca")</f>
        <v>Bianca</v>
      </c>
      <c r="B11" s="2">
        <f ca="1">IFERROR(__xludf.DUMMYFUNCTION("""COMPUTED_VALUE"""),0)</f>
        <v>0</v>
      </c>
      <c r="C11" s="2">
        <f ca="1">IFERROR(__xludf.DUMMYFUNCTION("""COMPUTED_VALUE"""),0)</f>
        <v>0</v>
      </c>
      <c r="D11" s="2">
        <f ca="1">IFERROR(__xludf.DUMMYFUNCTION("""COMPUTED_VALUE"""),0)</f>
        <v>0</v>
      </c>
      <c r="E11" s="2">
        <f ca="1">IFERROR(__xludf.DUMMYFUNCTION("""COMPUTED_VALUE"""),0)</f>
        <v>0</v>
      </c>
      <c r="F11" s="2">
        <f ca="1">IFERROR(__xludf.DUMMYFUNCTION("""COMPUTED_VALUE"""),1350)</f>
        <v>1350</v>
      </c>
      <c r="G11" s="2">
        <f ca="1">IFERROR(__xludf.DUMMYFUNCTION("""COMPUTED_VALUE"""),1350)</f>
        <v>1350</v>
      </c>
      <c r="H11" s="2">
        <f ca="1">IFERROR(__xludf.DUMMYFUNCTION("""COMPUTED_VALUE"""),5400)</f>
        <v>5400</v>
      </c>
      <c r="I11" s="2">
        <f ca="1">IFERROR(__xludf.DUMMYFUNCTION("""COMPUTED_VALUE"""),0)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>
        <f ca="1">IFERROR(__xludf.DUMMYFUNCTION("""COMPUTED_VALUE"""),0)</f>
        <v>0</v>
      </c>
      <c r="C12" s="2">
        <f ca="1">IFERROR(__xludf.DUMMYFUNCTION("""COMPUTED_VALUE"""),0)</f>
        <v>0</v>
      </c>
      <c r="D12" s="2">
        <f ca="1">IFERROR(__xludf.DUMMYFUNCTION("""COMPUTED_VALUE"""),0)</f>
        <v>0</v>
      </c>
      <c r="E12" s="2">
        <f ca="1">IFERROR(__xludf.DUMMYFUNCTION("""COMPUTED_VALUE"""),0)</f>
        <v>0</v>
      </c>
      <c r="F12" s="2">
        <f ca="1">IFERROR(__xludf.DUMMYFUNCTION("""COMPUTED_VALUE"""),0)</f>
        <v>0</v>
      </c>
      <c r="G12" s="2">
        <f ca="1">IFERROR(__xludf.DUMMYFUNCTION("""COMPUTED_VALUE"""),0)</f>
        <v>0</v>
      </c>
      <c r="H12" s="2">
        <f ca="1">IFERROR(__xludf.DUMMYFUNCTION("""COMPUTED_VALUE"""),0)</f>
        <v>0</v>
      </c>
      <c r="I12" s="2">
        <f ca="1">IFERROR(__xludf.DUMMYFUNCTION("""COMPUTED_VALUE"""),0)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>
        <f ca="1">IFERROR(__xludf.DUMMYFUNCTION("""COMPUTED_VALUE"""),0)</f>
        <v>0</v>
      </c>
      <c r="C13" s="2">
        <f ca="1">IFERROR(__xludf.DUMMYFUNCTION("""COMPUTED_VALUE"""),0)</f>
        <v>0</v>
      </c>
      <c r="D13" s="2">
        <f ca="1">IFERROR(__xludf.DUMMYFUNCTION("""COMPUTED_VALUE"""),0)</f>
        <v>0</v>
      </c>
      <c r="E13" s="2">
        <f ca="1">IFERROR(__xludf.DUMMYFUNCTION("""COMPUTED_VALUE"""),0)</f>
        <v>0</v>
      </c>
      <c r="F13" s="2">
        <f ca="1">IFERROR(__xludf.DUMMYFUNCTION("""COMPUTED_VALUE"""),0)</f>
        <v>0</v>
      </c>
      <c r="G13" s="2">
        <f ca="1">IFERROR(__xludf.DUMMYFUNCTION("""COMPUTED_VALUE"""),0)</f>
        <v>0</v>
      </c>
      <c r="H13" s="2">
        <f ca="1">IFERROR(__xludf.DUMMYFUNCTION("""COMPUTED_VALUE"""),0)</f>
        <v>0</v>
      </c>
      <c r="I13" s="2">
        <f ca="1">IFERROR(__xludf.DUMMYFUNCTION("""COMPUTED_VALUE"""),0)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>
        <f ca="1">IFERROR(__xludf.DUMMYFUNCTION("""COMPUTED_VALUE"""),0)</f>
        <v>0</v>
      </c>
      <c r="C14" s="2">
        <f ca="1">IFERROR(__xludf.DUMMYFUNCTION("""COMPUTED_VALUE"""),0)</f>
        <v>0</v>
      </c>
      <c r="D14" s="2">
        <f ca="1">IFERROR(__xludf.DUMMYFUNCTION("""COMPUTED_VALUE"""),0)</f>
        <v>0</v>
      </c>
      <c r="E14" s="2">
        <f ca="1">IFERROR(__xludf.DUMMYFUNCTION("""COMPUTED_VALUE"""),0)</f>
        <v>0</v>
      </c>
      <c r="F14" s="2">
        <f ca="1">IFERROR(__xludf.DUMMYFUNCTION("""COMPUTED_VALUE"""),0)</f>
        <v>0</v>
      </c>
      <c r="G14" s="2">
        <f ca="1">IFERROR(__xludf.DUMMYFUNCTION("""COMPUTED_VALUE"""),0)</f>
        <v>0</v>
      </c>
      <c r="H14" s="2">
        <f ca="1">IFERROR(__xludf.DUMMYFUNCTION("""COMPUTED_VALUE"""),0)</f>
        <v>0</v>
      </c>
      <c r="I14" s="2">
        <f ca="1">IFERROR(__xludf.DUMMYFUNCTION("""COMPUTED_VALUE"""),0)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>
        <f ca="1">IFERROR(__xludf.DUMMYFUNCTION("""COMPUTED_VALUE"""),0)</f>
        <v>0</v>
      </c>
      <c r="C15" s="2">
        <f ca="1">IFERROR(__xludf.DUMMYFUNCTION("""COMPUTED_VALUE"""),0)</f>
        <v>0</v>
      </c>
      <c r="D15" s="2">
        <f ca="1">IFERROR(__xludf.DUMMYFUNCTION("""COMPUTED_VALUE"""),0)</f>
        <v>0</v>
      </c>
      <c r="E15" s="2">
        <f ca="1">IFERROR(__xludf.DUMMYFUNCTION("""COMPUTED_VALUE"""),0)</f>
        <v>0</v>
      </c>
      <c r="F15" s="2">
        <f ca="1">IFERROR(__xludf.DUMMYFUNCTION("""COMPUTED_VALUE"""),0)</f>
        <v>0</v>
      </c>
      <c r="G15" s="2">
        <f ca="1">IFERROR(__xludf.DUMMYFUNCTION("""COMPUTED_VALUE"""),0)</f>
        <v>0</v>
      </c>
      <c r="H15" s="2">
        <f ca="1">IFERROR(__xludf.DUMMYFUNCTION("""COMPUTED_VALUE"""),0)</f>
        <v>0</v>
      </c>
      <c r="I15" s="2">
        <f ca="1">IFERROR(__xludf.DUMMYFUNCTION("""COMPUTED_VALUE"""),0)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355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6" customWidth="1"/>
    <col min="3" max="3" width="25.85546875" customWidth="1"/>
    <col min="4" max="4" width="7.42578125" customWidth="1"/>
    <col min="5" max="5" width="7.140625" customWidth="1"/>
    <col min="6" max="6" width="25.85546875" customWidth="1"/>
    <col min="7" max="7" width="10.85546875" customWidth="1"/>
  </cols>
  <sheetData>
    <row r="1" spans="1:26" x14ac:dyDescent="0.2">
      <c r="A1" s="6" t="str">
        <f ca="1">IFERROR(__xludf.DUMMYFUNCTION("IMPORTRANGE(""https://docs.google.com/spreadsheets/d/1QEICpkTEbV1Z_LWeaMjl4KVDsEDLt2EDAtqOvRWsWng/edit?gid=520531123#gid=520531123"",""'BTG'!A:G"")"),"Fatura")</f>
        <v>Fatura</v>
      </c>
      <c r="B1" s="1" t="str">
        <f ca="1">IFERROR(__xludf.DUMMYFUNCTION("""COMPUTED_VALUE"""),"Mês")</f>
        <v>Mês</v>
      </c>
      <c r="C1" s="1" t="str">
        <f ca="1">IFERROR(__xludf.DUMMYFUNCTION("""COMPUTED_VALUE"""),"Estabelecimento")</f>
        <v>Estabelecimento</v>
      </c>
      <c r="D1" s="2" t="str">
        <f ca="1">IFERROR(__xludf.DUMMYFUNCTION("""COMPUTED_VALUE"""),"Valor")</f>
        <v>Valor</v>
      </c>
      <c r="E1" s="1" t="str">
        <f ca="1">IFERROR(__xludf.DUMMYFUNCTION("""COMPUTED_VALUE"""),"Cartão")</f>
        <v>Cartão</v>
      </c>
      <c r="F1" s="1" t="str">
        <f ca="1">IFERROR(__xludf.DUMMYFUNCTION("""COMPUTED_VALUE"""),"Estabelecimento Fmt")</f>
        <v>Estabelecimento Fmt</v>
      </c>
      <c r="G1" s="1" t="str">
        <f ca="1"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6">
        <f ca="1">IFERROR(__xludf.DUMMYFUNCTION("""COMPUTED_VALUE"""),45778)</f>
        <v>45778</v>
      </c>
      <c r="B2" s="7">
        <f ca="1">IFERROR(__xludf.DUMMYFUNCTION("""COMPUTED_VALUE"""),45757)</f>
        <v>45757</v>
      </c>
      <c r="C2" s="1" t="str">
        <f ca="1">IFERROR(__xludf.DUMMYFUNCTION("""COMPUTED_VALUE"""),"Rodrigo De Souza")</f>
        <v>Rodrigo De Souza</v>
      </c>
      <c r="D2" s="2">
        <f ca="1">IFERROR(__xludf.DUMMYFUNCTION("""COMPUTED_VALUE"""),75)</f>
        <v>75</v>
      </c>
      <c r="E2" s="1" t="str">
        <f ca="1">IFERROR(__xludf.DUMMYFUNCTION("""COMPUTED_VALUE"""),"Físico")</f>
        <v>Físico</v>
      </c>
      <c r="F2" s="1" t="str">
        <f ca="1">IFERROR(__xludf.DUMMYFUNCTION("""COMPUTED_VALUE"""),"Rodrigo De Souza")</f>
        <v>Rodrigo De Souza</v>
      </c>
      <c r="G2" s="1" t="str">
        <f ca="1"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6">
        <f ca="1">IFERROR(__xludf.DUMMYFUNCTION("""COMPUTED_VALUE"""),45778)</f>
        <v>45778</v>
      </c>
      <c r="B3" s="7">
        <f ca="1">IFERROR(__xludf.DUMMYFUNCTION("""COMPUTED_VALUE"""),45757)</f>
        <v>45757</v>
      </c>
      <c r="C3" s="1" t="str">
        <f ca="1">IFERROR(__xludf.DUMMYFUNCTION("""COMPUTED_VALUE"""),"Wesley")</f>
        <v>Wesley</v>
      </c>
      <c r="D3" s="2">
        <f ca="1">IFERROR(__xludf.DUMMYFUNCTION("""COMPUTED_VALUE"""),23.8)</f>
        <v>23.8</v>
      </c>
      <c r="E3" s="1" t="str">
        <f ca="1">IFERROR(__xludf.DUMMYFUNCTION("""COMPUTED_VALUE"""),"Físico")</f>
        <v>Físico</v>
      </c>
      <c r="F3" s="1" t="str">
        <f ca="1">IFERROR(__xludf.DUMMYFUNCTION("""COMPUTED_VALUE"""),"Wesley")</f>
        <v>Wesley</v>
      </c>
      <c r="G3" s="1" t="str">
        <f ca="1"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6">
        <f ca="1">IFERROR(__xludf.DUMMYFUNCTION("""COMPUTED_VALUE"""),45778)</f>
        <v>45778</v>
      </c>
      <c r="B4" s="7">
        <f ca="1">IFERROR(__xludf.DUMMYFUNCTION("""COMPUTED_VALUE"""),45757)</f>
        <v>45757</v>
      </c>
      <c r="C4" s="1" t="str">
        <f ca="1">IFERROR(__xludf.DUMMYFUNCTION("""COMPUTED_VALUE"""),"Brave Community")</f>
        <v>Brave Community</v>
      </c>
      <c r="D4" s="2">
        <f ca="1">IFERROR(__xludf.DUMMYFUNCTION("""COMPUTED_VALUE"""),9)</f>
        <v>9</v>
      </c>
      <c r="E4" s="1" t="str">
        <f ca="1">IFERROR(__xludf.DUMMYFUNCTION("""COMPUTED_VALUE"""),"Físico")</f>
        <v>Físico</v>
      </c>
      <c r="F4" s="1" t="str">
        <f ca="1">IFERROR(__xludf.DUMMYFUNCTION("""COMPUTED_VALUE"""),"Brave Community")</f>
        <v>Brave Community</v>
      </c>
      <c r="G4" s="1" t="str">
        <f ca="1"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6">
        <f ca="1">IFERROR(__xludf.DUMMYFUNCTION("""COMPUTED_VALUE"""),45778)</f>
        <v>45778</v>
      </c>
      <c r="B5" s="7">
        <f ca="1">IFERROR(__xludf.DUMMYFUNCTION("""COMPUTED_VALUE"""),45757)</f>
        <v>45757</v>
      </c>
      <c r="C5" s="1" t="str">
        <f ca="1">IFERROR(__xludf.DUMMYFUNCTION("""COMPUTED_VALUE"""),"Dma Distribuidora Sa")</f>
        <v>Dma Distribuidora Sa</v>
      </c>
      <c r="D5" s="2">
        <f ca="1">IFERROR(__xludf.DUMMYFUNCTION("""COMPUTED_VALUE"""),14.59)</f>
        <v>14.59</v>
      </c>
      <c r="E5" s="1" t="str">
        <f ca="1">IFERROR(__xludf.DUMMYFUNCTION("""COMPUTED_VALUE"""),"Físico")</f>
        <v>Físico</v>
      </c>
      <c r="F5" s="1" t="str">
        <f ca="1">IFERROR(__xludf.DUMMYFUNCTION("""COMPUTED_VALUE"""),"Dma Distribuidora Sa")</f>
        <v>Dma Distribuidora Sa</v>
      </c>
      <c r="G5" s="1" t="str">
        <f ca="1"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6">
        <f ca="1">IFERROR(__xludf.DUMMYFUNCTION("""COMPUTED_VALUE"""),45778)</f>
        <v>45778</v>
      </c>
      <c r="B6" s="7">
        <f ca="1">IFERROR(__xludf.DUMMYFUNCTION("""COMPUTED_VALUE"""),45758)</f>
        <v>45758</v>
      </c>
      <c r="C6" s="1" t="str">
        <f ca="1">IFERROR(__xludf.DUMMYFUNCTION("""COMPUTED_VALUE"""),"Kanto Bar")</f>
        <v>Kanto Bar</v>
      </c>
      <c r="D6" s="2">
        <f ca="1">IFERROR(__xludf.DUMMYFUNCTION("""COMPUTED_VALUE"""),5)</f>
        <v>5</v>
      </c>
      <c r="E6" s="1" t="str">
        <f ca="1">IFERROR(__xludf.DUMMYFUNCTION("""COMPUTED_VALUE"""),"Físico")</f>
        <v>Físico</v>
      </c>
      <c r="F6" s="1" t="str">
        <f ca="1">IFERROR(__xludf.DUMMYFUNCTION("""COMPUTED_VALUE"""),"Kanto Bar")</f>
        <v>Kanto Bar</v>
      </c>
      <c r="G6" s="1" t="str">
        <f ca="1"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6">
        <f ca="1">IFERROR(__xludf.DUMMYFUNCTION("""COMPUTED_VALUE"""),45778)</f>
        <v>45778</v>
      </c>
      <c r="B7" s="7">
        <f ca="1">IFERROR(__xludf.DUMMYFUNCTION("""COMPUTED_VALUE"""),45759)</f>
        <v>45759</v>
      </c>
      <c r="C7" s="1" t="str">
        <f ca="1">IFERROR(__xludf.DUMMYFUNCTION("""COMPUTED_VALUE"""),"Panif Mendes Sion")</f>
        <v>Panif Mendes Sion</v>
      </c>
      <c r="D7" s="2">
        <f ca="1">IFERROR(__xludf.DUMMYFUNCTION("""COMPUTED_VALUE"""),18.98)</f>
        <v>18.98</v>
      </c>
      <c r="E7" s="1" t="str">
        <f ca="1">IFERROR(__xludf.DUMMYFUNCTION("""COMPUTED_VALUE"""),"Físico")</f>
        <v>Físico</v>
      </c>
      <c r="F7" s="1" t="str">
        <f ca="1">IFERROR(__xludf.DUMMYFUNCTION("""COMPUTED_VALUE"""),"Panif Mendes Sion")</f>
        <v>Panif Mendes Sion</v>
      </c>
      <c r="G7" s="1" t="str">
        <f ca="1"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6">
        <f ca="1">IFERROR(__xludf.DUMMYFUNCTION("""COMPUTED_VALUE"""),45778)</f>
        <v>45778</v>
      </c>
      <c r="B8" s="7">
        <f ca="1">IFERROR(__xludf.DUMMYFUNCTION("""COMPUTED_VALUE"""),45759)</f>
        <v>45759</v>
      </c>
      <c r="C8" s="1" t="str">
        <f ca="1">IFERROR(__xludf.DUMMYFUNCTION("""COMPUTED_VALUE"""),"Alimentar Foods Sao Pe (1/2)")</f>
        <v>Alimentar Foods Sao Pe (1/2)</v>
      </c>
      <c r="D8" s="2">
        <f ca="1">IFERROR(__xludf.DUMMYFUNCTION("""COMPUTED_VALUE"""),246.35)</f>
        <v>246.35</v>
      </c>
      <c r="E8" s="1" t="str">
        <f ca="1">IFERROR(__xludf.DUMMYFUNCTION("""COMPUTED_VALUE"""),"Físico")</f>
        <v>Físico</v>
      </c>
      <c r="F8" s="1" t="str">
        <f ca="1">IFERROR(__xludf.DUMMYFUNCTION("""COMPUTED_VALUE"""),"Alimentar Foods Sao Pe")</f>
        <v>Alimentar Foods Sao Pe</v>
      </c>
      <c r="G8" s="1" t="str">
        <f ca="1"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6">
        <f ca="1">IFERROR(__xludf.DUMMYFUNCTION("""COMPUTED_VALUE"""),45778)</f>
        <v>45778</v>
      </c>
      <c r="B9" s="7">
        <f ca="1">IFERROR(__xludf.DUMMYFUNCTION("""COMPUTED_VALUE"""),45759)</f>
        <v>45759</v>
      </c>
      <c r="C9" s="1" t="str">
        <f ca="1">IFERROR(__xludf.DUMMYFUNCTION("""COMPUTED_VALUE"""),"Supermercado &amp; Padaria")</f>
        <v>Supermercado &amp; Padaria</v>
      </c>
      <c r="D9" s="2">
        <f ca="1">IFERROR(__xludf.DUMMYFUNCTION("""COMPUTED_VALUE"""),152.33)</f>
        <v>152.33000000000001</v>
      </c>
      <c r="E9" s="1" t="str">
        <f ca="1">IFERROR(__xludf.DUMMYFUNCTION("""COMPUTED_VALUE"""),"Físico")</f>
        <v>Físico</v>
      </c>
      <c r="F9" s="1" t="str">
        <f ca="1">IFERROR(__xludf.DUMMYFUNCTION("""COMPUTED_VALUE"""),"Supermercado &amp; Padaria")</f>
        <v>Supermercado &amp; Padaria</v>
      </c>
      <c r="G9" s="1" t="str">
        <f ca="1"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6">
        <f ca="1">IFERROR(__xludf.DUMMYFUNCTION("""COMPUTED_VALUE"""),45778)</f>
        <v>45778</v>
      </c>
      <c r="B10" s="7">
        <f ca="1">IFERROR(__xludf.DUMMYFUNCTION("""COMPUTED_VALUE"""),45759)</f>
        <v>45759</v>
      </c>
      <c r="C10" s="1" t="str">
        <f ca="1">IFERROR(__xludf.DUMMYFUNCTION("""COMPUTED_VALUE"""),"Golden Pet")</f>
        <v>Golden Pet</v>
      </c>
      <c r="D10" s="2">
        <f ca="1">IFERROR(__xludf.DUMMYFUNCTION("""COMPUTED_VALUE"""),180)</f>
        <v>180</v>
      </c>
      <c r="E10" s="1" t="str">
        <f ca="1">IFERROR(__xludf.DUMMYFUNCTION("""COMPUTED_VALUE"""),"Físico")</f>
        <v>Físico</v>
      </c>
      <c r="F10" s="1" t="str">
        <f ca="1">IFERROR(__xludf.DUMMYFUNCTION("""COMPUTED_VALUE"""),"Golden Pet")</f>
        <v>Golden Pet</v>
      </c>
      <c r="G10" s="1" t="str">
        <f ca="1"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6">
        <f ca="1">IFERROR(__xludf.DUMMYFUNCTION("""COMPUTED_VALUE"""),45778)</f>
        <v>45778</v>
      </c>
      <c r="B11" s="7">
        <f ca="1">IFERROR(__xludf.DUMMYFUNCTION("""COMPUTED_VALUE"""),45760)</f>
        <v>45760</v>
      </c>
      <c r="C11" s="1" t="str">
        <f ca="1">IFERROR(__xludf.DUMMYFUNCTION("""COMPUTED_VALUE"""),"Panif Mendes Sion")</f>
        <v>Panif Mendes Sion</v>
      </c>
      <c r="D11" s="2">
        <f ca="1">IFERROR(__xludf.DUMMYFUNCTION("""COMPUTED_VALUE"""),19.23)</f>
        <v>19.23</v>
      </c>
      <c r="E11" s="1" t="str">
        <f ca="1">IFERROR(__xludf.DUMMYFUNCTION("""COMPUTED_VALUE"""),"Físico")</f>
        <v>Físico</v>
      </c>
      <c r="F11" s="1" t="str">
        <f ca="1">IFERROR(__xludf.DUMMYFUNCTION("""COMPUTED_VALUE"""),"Panif Mendes Sion")</f>
        <v>Panif Mendes Sion</v>
      </c>
      <c r="G11" s="1" t="str">
        <f ca="1"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6">
        <f ca="1">IFERROR(__xludf.DUMMYFUNCTION("""COMPUTED_VALUE"""),45778)</f>
        <v>45778</v>
      </c>
      <c r="B12" s="7">
        <f ca="1">IFERROR(__xludf.DUMMYFUNCTION("""COMPUTED_VALUE"""),45760)</f>
        <v>45760</v>
      </c>
      <c r="C12" s="1" t="str">
        <f ca="1">IFERROR(__xludf.DUMMYFUNCTION("""COMPUTED_VALUE"""),"Vila Aymore")</f>
        <v>Vila Aymore</v>
      </c>
      <c r="D12" s="2">
        <f ca="1">IFERROR(__xludf.DUMMYFUNCTION("""COMPUTED_VALUE"""),159.84)</f>
        <v>159.84</v>
      </c>
      <c r="E12" s="1" t="str">
        <f ca="1">IFERROR(__xludf.DUMMYFUNCTION("""COMPUTED_VALUE"""),"Físico")</f>
        <v>Físico</v>
      </c>
      <c r="F12" s="1" t="str">
        <f ca="1">IFERROR(__xludf.DUMMYFUNCTION("""COMPUTED_VALUE"""),"Vila Aymore")</f>
        <v>Vila Aymore</v>
      </c>
      <c r="G12" s="1" t="str">
        <f ca="1"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6">
        <f ca="1">IFERROR(__xludf.DUMMYFUNCTION("""COMPUTED_VALUE"""),45778)</f>
        <v>45778</v>
      </c>
      <c r="B13" s="7">
        <f ca="1">IFERROR(__xludf.DUMMYFUNCTION("""COMPUTED_VALUE"""),45760)</f>
        <v>45760</v>
      </c>
      <c r="C13" s="1" t="str">
        <f ca="1">IFERROR(__xludf.DUMMYFUNCTION("""COMPUTED_VALUE"""),"Sam's Club")</f>
        <v>Sam's Club</v>
      </c>
      <c r="D13" s="2">
        <f ca="1">IFERROR(__xludf.DUMMYFUNCTION("""COMPUTED_VALUE"""),341.57)</f>
        <v>341.57</v>
      </c>
      <c r="E13" s="1" t="str">
        <f ca="1">IFERROR(__xludf.DUMMYFUNCTION("""COMPUTED_VALUE"""),"Físico")</f>
        <v>Físico</v>
      </c>
      <c r="F13" s="1" t="str">
        <f ca="1">IFERROR(__xludf.DUMMYFUNCTION("""COMPUTED_VALUE"""),"Sam's Club")</f>
        <v>Sam's Club</v>
      </c>
      <c r="G13" s="1" t="str">
        <f ca="1"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6">
        <f ca="1">IFERROR(__xludf.DUMMYFUNCTION("""COMPUTED_VALUE"""),45778)</f>
        <v>45778</v>
      </c>
      <c r="B14" s="7">
        <f ca="1">IFERROR(__xludf.DUMMYFUNCTION("""COMPUTED_VALUE"""),45761)</f>
        <v>45761</v>
      </c>
      <c r="C14" s="1" t="str">
        <f ca="1">IFERROR(__xludf.DUMMYFUNCTION("""COMPUTED_VALUE"""),"Tc Pneus")</f>
        <v>Tc Pneus</v>
      </c>
      <c r="D14" s="2">
        <f ca="1">IFERROR(__xludf.DUMMYFUNCTION("""COMPUTED_VALUE"""),65)</f>
        <v>65</v>
      </c>
      <c r="E14" s="1" t="str">
        <f ca="1">IFERROR(__xludf.DUMMYFUNCTION("""COMPUTED_VALUE"""),"Físico")</f>
        <v>Físico</v>
      </c>
      <c r="F14" s="1" t="str">
        <f ca="1">IFERROR(__xludf.DUMMYFUNCTION("""COMPUTED_VALUE"""),"Tc Pneus")</f>
        <v>Tc Pneus</v>
      </c>
      <c r="G14" s="1" t="str">
        <f ca="1"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6">
        <f ca="1">IFERROR(__xludf.DUMMYFUNCTION("""COMPUTED_VALUE"""),45778)</f>
        <v>45778</v>
      </c>
      <c r="B15" s="7">
        <f ca="1">IFERROR(__xludf.DUMMYFUNCTION("""COMPUTED_VALUE"""),45763)</f>
        <v>45763</v>
      </c>
      <c r="C15" s="1" t="str">
        <f ca="1">IFERROR(__xludf.DUMMYFUNCTION("""COMPUTED_VALUE"""),"Supermercado &amp; Padaria")</f>
        <v>Supermercado &amp; Padaria</v>
      </c>
      <c r="D15" s="2">
        <f ca="1">IFERROR(__xludf.DUMMYFUNCTION("""COMPUTED_VALUE"""),33.97)</f>
        <v>33.97</v>
      </c>
      <c r="E15" s="1" t="str">
        <f ca="1">IFERROR(__xludf.DUMMYFUNCTION("""COMPUTED_VALUE"""),"Físico")</f>
        <v>Físico</v>
      </c>
      <c r="F15" s="1" t="str">
        <f ca="1">IFERROR(__xludf.DUMMYFUNCTION("""COMPUTED_VALUE"""),"Supermercado &amp; Padaria")</f>
        <v>Supermercado &amp; Padaria</v>
      </c>
      <c r="G15" s="1" t="str">
        <f ca="1"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6">
        <f ca="1">IFERROR(__xludf.DUMMYFUNCTION("""COMPUTED_VALUE"""),45778)</f>
        <v>45778</v>
      </c>
      <c r="B16" s="7">
        <f ca="1">IFERROR(__xludf.DUMMYFUNCTION("""COMPUTED_VALUE"""),45763)</f>
        <v>45763</v>
      </c>
      <c r="C16" s="1" t="str">
        <f ca="1">IFERROR(__xludf.DUMMYFUNCTION("""COMPUTED_VALUE"""),"Filial 9 Savassi")</f>
        <v>Filial 9 Savassi</v>
      </c>
      <c r="D16" s="2">
        <f ca="1">IFERROR(__xludf.DUMMYFUNCTION("""COMPUTED_VALUE"""),139.8)</f>
        <v>139.80000000000001</v>
      </c>
      <c r="E16" s="1" t="str">
        <f ca="1">IFERROR(__xludf.DUMMYFUNCTION("""COMPUTED_VALUE"""),"Físico")</f>
        <v>Físico</v>
      </c>
      <c r="F16" s="1" t="str">
        <f ca="1">IFERROR(__xludf.DUMMYFUNCTION("""COMPUTED_VALUE"""),"Filial 9 Savassi")</f>
        <v>Filial 9 Savassi</v>
      </c>
      <c r="G16" s="1" t="str">
        <f ca="1"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6">
        <f ca="1">IFERROR(__xludf.DUMMYFUNCTION("""COMPUTED_VALUE"""),45778)</f>
        <v>45778</v>
      </c>
      <c r="B17" s="7">
        <f ca="1">IFERROR(__xludf.DUMMYFUNCTION("""COMPUTED_VALUE"""),45763)</f>
        <v>45763</v>
      </c>
      <c r="C17" s="1" t="str">
        <f ca="1">IFERROR(__xludf.DUMMYFUNCTION("""COMPUTED_VALUE"""),"Deoclecio Gildo Olive")</f>
        <v>Deoclecio Gildo Olive</v>
      </c>
      <c r="D17" s="2">
        <f ca="1">IFERROR(__xludf.DUMMYFUNCTION("""COMPUTED_VALUE"""),13.9)</f>
        <v>13.9</v>
      </c>
      <c r="E17" s="1" t="str">
        <f ca="1">IFERROR(__xludf.DUMMYFUNCTION("""COMPUTED_VALUE"""),"Físico")</f>
        <v>Físico</v>
      </c>
      <c r="F17" s="1" t="str">
        <f ca="1">IFERROR(__xludf.DUMMYFUNCTION("""COMPUTED_VALUE"""),"Deoclecio Gildo Olive")</f>
        <v>Deoclecio Gildo Olive</v>
      </c>
      <c r="G17" s="1" t="str">
        <f ca="1"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6">
        <f ca="1">IFERROR(__xludf.DUMMYFUNCTION("""COMPUTED_VALUE"""),45778)</f>
        <v>45778</v>
      </c>
      <c r="B18" s="7">
        <f ca="1">IFERROR(__xludf.DUMMYFUNCTION("""COMPUTED_VALUE"""),45764)</f>
        <v>45764</v>
      </c>
      <c r="C18" s="1" t="str">
        <f ca="1">IFERROR(__xludf.DUMMYFUNCTION("""COMPUTED_VALUE"""),"Nestlé")</f>
        <v>Nestlé</v>
      </c>
      <c r="D18" s="2">
        <f ca="1">IFERROR(__xludf.DUMMYFUNCTION("""COMPUTED_VALUE"""),16.2)</f>
        <v>16.2</v>
      </c>
      <c r="E18" s="1" t="str">
        <f ca="1">IFERROR(__xludf.DUMMYFUNCTION("""COMPUTED_VALUE"""),"Físico")</f>
        <v>Físico</v>
      </c>
      <c r="F18" s="1" t="str">
        <f ca="1">IFERROR(__xludf.DUMMYFUNCTION("""COMPUTED_VALUE"""),"Nestlé")</f>
        <v>Nestlé</v>
      </c>
      <c r="G18" s="1" t="str">
        <f ca="1"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6">
        <f ca="1">IFERROR(__xludf.DUMMYFUNCTION("""COMPUTED_VALUE"""),45778)</f>
        <v>45778</v>
      </c>
      <c r="B19" s="7">
        <f ca="1">IFERROR(__xludf.DUMMYFUNCTION("""COMPUTED_VALUE"""),45764)</f>
        <v>45764</v>
      </c>
      <c r="C19" s="1" t="str">
        <f ca="1">IFERROR(__xludf.DUMMYFUNCTION("""COMPUTED_VALUE"""),"Coco Bambu")</f>
        <v>Coco Bambu</v>
      </c>
      <c r="D19" s="2">
        <f ca="1">IFERROR(__xludf.DUMMYFUNCTION("""COMPUTED_VALUE"""),238.29)</f>
        <v>238.29</v>
      </c>
      <c r="E19" s="1" t="str">
        <f ca="1">IFERROR(__xludf.DUMMYFUNCTION("""COMPUTED_VALUE"""),"Físico")</f>
        <v>Físico</v>
      </c>
      <c r="F19" s="1" t="str">
        <f ca="1">IFERROR(__xludf.DUMMYFUNCTION("""COMPUTED_VALUE"""),"Coco Bambu")</f>
        <v>Coco Bambu</v>
      </c>
      <c r="G19" s="1" t="str">
        <f ca="1"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6">
        <f ca="1">IFERROR(__xludf.DUMMYFUNCTION("""COMPUTED_VALUE"""),45778)</f>
        <v>45778</v>
      </c>
      <c r="B20" s="7">
        <f ca="1">IFERROR(__xludf.DUMMYFUNCTION("""COMPUTED_VALUE"""),45764)</f>
        <v>45764</v>
      </c>
      <c r="C20" s="1" t="str">
        <f ca="1">IFERROR(__xludf.DUMMYFUNCTION("""COMPUTED_VALUE"""),"Multiplan")</f>
        <v>Multiplan</v>
      </c>
      <c r="D20" s="2">
        <f ca="1">IFERROR(__xludf.DUMMYFUNCTION("""COMPUTED_VALUE"""),19)</f>
        <v>19</v>
      </c>
      <c r="E20" s="1" t="str">
        <f ca="1">IFERROR(__xludf.DUMMYFUNCTION("""COMPUTED_VALUE"""),"Físico")</f>
        <v>Físico</v>
      </c>
      <c r="F20" s="1" t="str">
        <f ca="1">IFERROR(__xludf.DUMMYFUNCTION("""COMPUTED_VALUE"""),"Multiplan")</f>
        <v>Multiplan</v>
      </c>
      <c r="G20" s="1" t="str">
        <f ca="1"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6">
        <f ca="1">IFERROR(__xludf.DUMMYFUNCTION("""COMPUTED_VALUE"""),45778)</f>
        <v>45778</v>
      </c>
      <c r="B21" s="7">
        <f ca="1">IFERROR(__xludf.DUMMYFUNCTION("""COMPUTED_VALUE"""),45765)</f>
        <v>45765</v>
      </c>
      <c r="C21" s="1" t="str">
        <f ca="1">IFERROR(__xludf.DUMMYFUNCTION("""COMPUTED_VALUE"""),"Pão Total")</f>
        <v>Pão Total</v>
      </c>
      <c r="D21" s="2">
        <f ca="1">IFERROR(__xludf.DUMMYFUNCTION("""COMPUTED_VALUE"""),24.42)</f>
        <v>24.42</v>
      </c>
      <c r="E21" s="1" t="str">
        <f ca="1">IFERROR(__xludf.DUMMYFUNCTION("""COMPUTED_VALUE"""),"Físico")</f>
        <v>Físico</v>
      </c>
      <c r="F21" s="1" t="str">
        <f ca="1">IFERROR(__xludf.DUMMYFUNCTION("""COMPUTED_VALUE"""),"Pão Total")</f>
        <v>Pão Total</v>
      </c>
      <c r="G21" s="1" t="str">
        <f ca="1"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6">
        <f ca="1">IFERROR(__xludf.DUMMYFUNCTION("""COMPUTED_VALUE"""),45778)</f>
        <v>45778</v>
      </c>
      <c r="B22" s="7">
        <f ca="1">IFERROR(__xludf.DUMMYFUNCTION("""COMPUTED_VALUE"""),45766)</f>
        <v>45766</v>
      </c>
      <c r="C22" s="1" t="str">
        <f ca="1">IFERROR(__xludf.DUMMYFUNCTION("""COMPUTED_VALUE"""),"Boacha")</f>
        <v>Boacha</v>
      </c>
      <c r="D22" s="2">
        <f ca="1">IFERROR(__xludf.DUMMYFUNCTION("""COMPUTED_VALUE"""),8)</f>
        <v>8</v>
      </c>
      <c r="E22" s="1" t="str">
        <f ca="1">IFERROR(__xludf.DUMMYFUNCTION("""COMPUTED_VALUE"""),"Físico")</f>
        <v>Físico</v>
      </c>
      <c r="F22" s="1" t="str">
        <f ca="1">IFERROR(__xludf.DUMMYFUNCTION("""COMPUTED_VALUE"""),"Boacha")</f>
        <v>Boacha</v>
      </c>
      <c r="G22" s="1" t="str">
        <f ca="1"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6">
        <f ca="1">IFERROR(__xludf.DUMMYFUNCTION("""COMPUTED_VALUE"""),45778)</f>
        <v>45778</v>
      </c>
      <c r="B23" s="7">
        <f ca="1">IFERROR(__xludf.DUMMYFUNCTION("""COMPUTED_VALUE"""),45766)</f>
        <v>45766</v>
      </c>
      <c r="C23" s="1" t="str">
        <f ca="1">IFERROR(__xludf.DUMMYFUNCTION("""COMPUTED_VALUE"""),"Pecado Da Carne")</f>
        <v>Pecado Da Carne</v>
      </c>
      <c r="D23" s="2">
        <f ca="1">IFERROR(__xludf.DUMMYFUNCTION("""COMPUTED_VALUE"""),115)</f>
        <v>115</v>
      </c>
      <c r="E23" s="1" t="str">
        <f ca="1">IFERROR(__xludf.DUMMYFUNCTION("""COMPUTED_VALUE"""),"Físico")</f>
        <v>Físico</v>
      </c>
      <c r="F23" s="1" t="str">
        <f ca="1">IFERROR(__xludf.DUMMYFUNCTION("""COMPUTED_VALUE"""),"Pecado Da Carne")</f>
        <v>Pecado Da Carne</v>
      </c>
      <c r="G23" s="1" t="str">
        <f ca="1"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6">
        <f ca="1">IFERROR(__xludf.DUMMYFUNCTION("""COMPUTED_VALUE"""),45778)</f>
        <v>45778</v>
      </c>
      <c r="B24" s="7">
        <f ca="1">IFERROR(__xludf.DUMMYFUNCTION("""COMPUTED_VALUE"""),45766)</f>
        <v>45766</v>
      </c>
      <c r="C24" s="1" t="str">
        <f ca="1">IFERROR(__xludf.DUMMYFUNCTION("""COMPUTED_VALUE"""),"Gran Burger")</f>
        <v>Gran Burger</v>
      </c>
      <c r="D24" s="2">
        <f ca="1">IFERROR(__xludf.DUMMYFUNCTION("""COMPUTED_VALUE"""),29.07)</f>
        <v>29.07</v>
      </c>
      <c r="E24" s="1" t="str">
        <f ca="1">IFERROR(__xludf.DUMMYFUNCTION("""COMPUTED_VALUE"""),"Físico")</f>
        <v>Físico</v>
      </c>
      <c r="F24" s="1" t="str">
        <f ca="1">IFERROR(__xludf.DUMMYFUNCTION("""COMPUTED_VALUE"""),"Gran Burger")</f>
        <v>Gran Burger</v>
      </c>
      <c r="G24" s="1" t="str">
        <f ca="1"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6">
        <f ca="1">IFERROR(__xludf.DUMMYFUNCTION("""COMPUTED_VALUE"""),45778)</f>
        <v>45778</v>
      </c>
      <c r="B25" s="7">
        <f ca="1">IFERROR(__xludf.DUMMYFUNCTION("""COMPUTED_VALUE"""),45766)</f>
        <v>45766</v>
      </c>
      <c r="C25" s="1" t="str">
        <f ca="1">IFERROR(__xludf.DUMMYFUNCTION("""COMPUTED_VALUE"""),"Pão Total")</f>
        <v>Pão Total</v>
      </c>
      <c r="D25" s="2">
        <f ca="1">IFERROR(__xludf.DUMMYFUNCTION("""COMPUTED_VALUE"""),13.64)</f>
        <v>13.64</v>
      </c>
      <c r="E25" s="1" t="str">
        <f ca="1">IFERROR(__xludf.DUMMYFUNCTION("""COMPUTED_VALUE"""),"Físico")</f>
        <v>Físico</v>
      </c>
      <c r="F25" s="1" t="str">
        <f ca="1">IFERROR(__xludf.DUMMYFUNCTION("""COMPUTED_VALUE"""),"Pão Total")</f>
        <v>Pão Total</v>
      </c>
      <c r="G25" s="1" t="str">
        <f ca="1"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6">
        <f ca="1">IFERROR(__xludf.DUMMYFUNCTION("""COMPUTED_VALUE"""),45778)</f>
        <v>45778</v>
      </c>
      <c r="B26" s="7">
        <f ca="1">IFERROR(__xludf.DUMMYFUNCTION("""COMPUTED_VALUE"""),45767)</f>
        <v>45767</v>
      </c>
      <c r="C26" s="1" t="str">
        <f ca="1">IFERROR(__xludf.DUMMYFUNCTION("""COMPUTED_VALUE"""),"Pizzaria Ltda")</f>
        <v>Pizzaria Ltda</v>
      </c>
      <c r="D26" s="2">
        <f ca="1">IFERROR(__xludf.DUMMYFUNCTION("""COMPUTED_VALUE"""),119.24)</f>
        <v>119.24</v>
      </c>
      <c r="E26" s="1" t="str">
        <f ca="1">IFERROR(__xludf.DUMMYFUNCTION("""COMPUTED_VALUE"""),"Físico")</f>
        <v>Físico</v>
      </c>
      <c r="F26" s="1" t="str">
        <f ca="1">IFERROR(__xludf.DUMMYFUNCTION("""COMPUTED_VALUE"""),"Pizzaria Ltda")</f>
        <v>Pizzaria Ltda</v>
      </c>
      <c r="G26" s="1" t="str">
        <f ca="1"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6">
        <f ca="1">IFERROR(__xludf.DUMMYFUNCTION("""COMPUTED_VALUE"""),45778)</f>
        <v>45778</v>
      </c>
      <c r="B27" s="7">
        <f ca="1">IFERROR(__xludf.DUMMYFUNCTION("""COMPUTED_VALUE"""),45767)</f>
        <v>45767</v>
      </c>
      <c r="C27" s="1" t="str">
        <f ca="1">IFERROR(__xludf.DUMMYFUNCTION("""COMPUTED_VALUE"""),"Beleus Lanches")</f>
        <v>Beleus Lanches</v>
      </c>
      <c r="D27" s="2">
        <f ca="1">IFERROR(__xludf.DUMMYFUNCTION("""COMPUTED_VALUE"""),28.5)</f>
        <v>28.5</v>
      </c>
      <c r="E27" s="1" t="str">
        <f ca="1">IFERROR(__xludf.DUMMYFUNCTION("""COMPUTED_VALUE"""),"Físico")</f>
        <v>Físico</v>
      </c>
      <c r="F27" s="1" t="str">
        <f ca="1">IFERROR(__xludf.DUMMYFUNCTION("""COMPUTED_VALUE"""),"Beleus Lanches")</f>
        <v>Beleus Lanches</v>
      </c>
      <c r="G27" s="1" t="str">
        <f ca="1"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6">
        <f ca="1">IFERROR(__xludf.DUMMYFUNCTION("""COMPUTED_VALUE"""),45778)</f>
        <v>45778</v>
      </c>
      <c r="B28" s="7">
        <f ca="1">IFERROR(__xludf.DUMMYFUNCTION("""COMPUTED_VALUE"""),45768)</f>
        <v>45768</v>
      </c>
      <c r="C28" s="1" t="str">
        <f ca="1">IFERROR(__xludf.DUMMYFUNCTION("""COMPUTED_VALUE"""),"Empório Fazenda Velh")</f>
        <v>Empório Fazenda Velh</v>
      </c>
      <c r="D28" s="2">
        <f ca="1">IFERROR(__xludf.DUMMYFUNCTION("""COMPUTED_VALUE"""),67.5)</f>
        <v>67.5</v>
      </c>
      <c r="E28" s="1" t="str">
        <f ca="1">IFERROR(__xludf.DUMMYFUNCTION("""COMPUTED_VALUE"""),"Físico")</f>
        <v>Físico</v>
      </c>
      <c r="F28" s="1" t="str">
        <f ca="1">IFERROR(__xludf.DUMMYFUNCTION("""COMPUTED_VALUE"""),"Empório Fazenda Velh")</f>
        <v>Empório Fazenda Velh</v>
      </c>
      <c r="G28" s="1" t="str">
        <f ca="1"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6">
        <f ca="1">IFERROR(__xludf.DUMMYFUNCTION("""COMPUTED_VALUE"""),45778)</f>
        <v>45778</v>
      </c>
      <c r="B29" s="7">
        <f ca="1">IFERROR(__xludf.DUMMYFUNCTION("""COMPUTED_VALUE"""),45768)</f>
        <v>45768</v>
      </c>
      <c r="C29" s="1" t="str">
        <f ca="1">IFERROR(__xludf.DUMMYFUNCTION("""COMPUTED_VALUE"""),"Marcus Vinicius")</f>
        <v>Marcus Vinicius</v>
      </c>
      <c r="D29" s="2">
        <f ca="1">IFERROR(__xludf.DUMMYFUNCTION("""COMPUTED_VALUE"""),99.9)</f>
        <v>99.9</v>
      </c>
      <c r="E29" s="1" t="str">
        <f ca="1">IFERROR(__xludf.DUMMYFUNCTION("""COMPUTED_VALUE"""),"Físico")</f>
        <v>Físico</v>
      </c>
      <c r="F29" s="1" t="str">
        <f ca="1">IFERROR(__xludf.DUMMYFUNCTION("""COMPUTED_VALUE"""),"Marcus Vinicius")</f>
        <v>Marcus Vinicius</v>
      </c>
      <c r="G29" s="1" t="str">
        <f ca="1"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6">
        <f ca="1">IFERROR(__xludf.DUMMYFUNCTION("""COMPUTED_VALUE"""),45778)</f>
        <v>45778</v>
      </c>
      <c r="B30" s="7">
        <f ca="1">IFERROR(__xludf.DUMMYFUNCTION("""COMPUTED_VALUE"""),45768)</f>
        <v>45768</v>
      </c>
      <c r="C30" s="1" t="str">
        <f ca="1">IFERROR(__xludf.DUMMYFUNCTION("""COMPUTED_VALUE"""),"Panif Mendes Sion")</f>
        <v>Panif Mendes Sion</v>
      </c>
      <c r="D30" s="2">
        <f ca="1">IFERROR(__xludf.DUMMYFUNCTION("""COMPUTED_VALUE"""),15.72)</f>
        <v>15.72</v>
      </c>
      <c r="E30" s="1" t="str">
        <f ca="1">IFERROR(__xludf.DUMMYFUNCTION("""COMPUTED_VALUE"""),"Físico")</f>
        <v>Físico</v>
      </c>
      <c r="F30" s="1" t="str">
        <f ca="1">IFERROR(__xludf.DUMMYFUNCTION("""COMPUTED_VALUE"""),"Panif Mendes Sion")</f>
        <v>Panif Mendes Sion</v>
      </c>
      <c r="G30" s="1" t="str">
        <f ca="1"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6">
        <f ca="1">IFERROR(__xludf.DUMMYFUNCTION("""COMPUTED_VALUE"""),45778)</f>
        <v>45778</v>
      </c>
      <c r="B31" s="7">
        <f ca="1">IFERROR(__xludf.DUMMYFUNCTION("""COMPUTED_VALUE"""),45769)</f>
        <v>45769</v>
      </c>
      <c r="C31" s="1" t="str">
        <f ca="1">IFERROR(__xludf.DUMMYFUNCTION("""COMPUTED_VALUE"""),"Supermercado &amp; Padaria")</f>
        <v>Supermercado &amp; Padaria</v>
      </c>
      <c r="D31" s="2">
        <f ca="1">IFERROR(__xludf.DUMMYFUNCTION("""COMPUTED_VALUE"""),32.23)</f>
        <v>32.229999999999997</v>
      </c>
      <c r="E31" s="1" t="str">
        <f ca="1">IFERROR(__xludf.DUMMYFUNCTION("""COMPUTED_VALUE"""),"Físico")</f>
        <v>Físico</v>
      </c>
      <c r="F31" s="1" t="str">
        <f ca="1">IFERROR(__xludf.DUMMYFUNCTION("""COMPUTED_VALUE"""),"Supermercado &amp; Padaria")</f>
        <v>Supermercado &amp; Padaria</v>
      </c>
      <c r="G31" s="1" t="str">
        <f ca="1"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6">
        <f ca="1">IFERROR(__xludf.DUMMYFUNCTION("""COMPUTED_VALUE"""),45778)</f>
        <v>45778</v>
      </c>
      <c r="B32" s="7">
        <f ca="1">IFERROR(__xludf.DUMMYFUNCTION("""COMPUTED_VALUE"""),45771)</f>
        <v>45771</v>
      </c>
      <c r="C32" s="1" t="str">
        <f ca="1">IFERROR(__xludf.DUMMYFUNCTION("""COMPUTED_VALUE"""),"Moacyrbragafilho")</f>
        <v>Moacyrbragafilho</v>
      </c>
      <c r="D32" s="2">
        <f ca="1">IFERROR(__xludf.DUMMYFUNCTION("""COMPUTED_VALUE"""),31.97)</f>
        <v>31.97</v>
      </c>
      <c r="E32" s="1" t="str">
        <f ca="1">IFERROR(__xludf.DUMMYFUNCTION("""COMPUTED_VALUE"""),"Físico")</f>
        <v>Físico</v>
      </c>
      <c r="F32" s="1" t="str">
        <f ca="1">IFERROR(__xludf.DUMMYFUNCTION("""COMPUTED_VALUE"""),"Moacyrbragafilho")</f>
        <v>Moacyrbragafilho</v>
      </c>
      <c r="G32" s="1" t="str">
        <f ca="1"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6">
        <f ca="1">IFERROR(__xludf.DUMMYFUNCTION("""COMPUTED_VALUE"""),45778)</f>
        <v>45778</v>
      </c>
      <c r="B33" s="7">
        <f ca="1">IFERROR(__xludf.DUMMYFUNCTION("""COMPUTED_VALUE"""),45771)</f>
        <v>45771</v>
      </c>
      <c r="C33" s="1" t="str">
        <f ca="1">IFERROR(__xludf.DUMMYFUNCTION("""COMPUTED_VALUE"""),"Supermercado &amp; Padaria")</f>
        <v>Supermercado &amp; Padaria</v>
      </c>
      <c r="D33" s="2">
        <f ca="1">IFERROR(__xludf.DUMMYFUNCTION("""COMPUTED_VALUE"""),24.47)</f>
        <v>24.47</v>
      </c>
      <c r="E33" s="1" t="str">
        <f ca="1">IFERROR(__xludf.DUMMYFUNCTION("""COMPUTED_VALUE"""),"Físico")</f>
        <v>Físico</v>
      </c>
      <c r="F33" s="1" t="str">
        <f ca="1">IFERROR(__xludf.DUMMYFUNCTION("""COMPUTED_VALUE"""),"Supermercado &amp; Padaria")</f>
        <v>Supermercado &amp; Padaria</v>
      </c>
      <c r="G33" s="1" t="str">
        <f ca="1"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6">
        <f ca="1">IFERROR(__xludf.DUMMYFUNCTION("""COMPUTED_VALUE"""),45778)</f>
        <v>45778</v>
      </c>
      <c r="B34" s="7">
        <f ca="1">IFERROR(__xludf.DUMMYFUNCTION("""COMPUTED_VALUE"""),45771)</f>
        <v>45771</v>
      </c>
      <c r="C34" s="1" t="str">
        <f ca="1">IFERROR(__xludf.DUMMYFUNCTION("""COMPUTED_VALUE"""),"Supermercado &amp; Padaria")</f>
        <v>Supermercado &amp; Padaria</v>
      </c>
      <c r="D34" s="2">
        <f ca="1">IFERROR(__xludf.DUMMYFUNCTION("""COMPUTED_VALUE"""),62.61)</f>
        <v>62.61</v>
      </c>
      <c r="E34" s="1" t="str">
        <f ca="1">IFERROR(__xludf.DUMMYFUNCTION("""COMPUTED_VALUE"""),"Físico")</f>
        <v>Físico</v>
      </c>
      <c r="F34" s="1" t="str">
        <f ca="1">IFERROR(__xludf.DUMMYFUNCTION("""COMPUTED_VALUE"""),"Supermercado &amp; Padaria")</f>
        <v>Supermercado &amp; Padaria</v>
      </c>
      <c r="G34" s="1" t="str">
        <f ca="1"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6">
        <f ca="1">IFERROR(__xludf.DUMMYFUNCTION("""COMPUTED_VALUE"""),45778)</f>
        <v>45778</v>
      </c>
      <c r="B35" s="7">
        <f ca="1">IFERROR(__xludf.DUMMYFUNCTION("""COMPUTED_VALUE"""),45772)</f>
        <v>45772</v>
      </c>
      <c r="C35" s="1" t="str">
        <f ca="1">IFERROR(__xludf.DUMMYFUNCTION("""COMPUTED_VALUE"""),"Redentor")</f>
        <v>Redentor</v>
      </c>
      <c r="D35" s="2">
        <f ca="1">IFERROR(__xludf.DUMMYFUNCTION("""COMPUTED_VALUE"""),46.56)</f>
        <v>46.56</v>
      </c>
      <c r="E35" s="1" t="str">
        <f ca="1">IFERROR(__xludf.DUMMYFUNCTION("""COMPUTED_VALUE"""),"Físico")</f>
        <v>Físico</v>
      </c>
      <c r="F35" s="1" t="str">
        <f ca="1">IFERROR(__xludf.DUMMYFUNCTION("""COMPUTED_VALUE"""),"Redentor")</f>
        <v>Redentor</v>
      </c>
      <c r="G35" s="1" t="str">
        <f ca="1"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6">
        <f ca="1">IFERROR(__xludf.DUMMYFUNCTION("""COMPUTED_VALUE"""),45778)</f>
        <v>45778</v>
      </c>
      <c r="B36" s="7">
        <f ca="1">IFERROR(__xludf.DUMMYFUNCTION("""COMPUTED_VALUE"""),45772)</f>
        <v>45772</v>
      </c>
      <c r="C36" s="1" t="str">
        <f ca="1">IFERROR(__xludf.DUMMYFUNCTION("""COMPUTED_VALUE"""),"Café E Cia")</f>
        <v>Café E Cia</v>
      </c>
      <c r="D36" s="2">
        <f ca="1">IFERROR(__xludf.DUMMYFUNCTION("""COMPUTED_VALUE"""),8)</f>
        <v>8</v>
      </c>
      <c r="E36" s="1" t="str">
        <f ca="1">IFERROR(__xludf.DUMMYFUNCTION("""COMPUTED_VALUE"""),"Físico")</f>
        <v>Físico</v>
      </c>
      <c r="F36" s="1" t="str">
        <f ca="1">IFERROR(__xludf.DUMMYFUNCTION("""COMPUTED_VALUE"""),"Café E Cia")</f>
        <v>Café E Cia</v>
      </c>
      <c r="G36" s="1" t="str">
        <f ca="1"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6">
        <f ca="1">IFERROR(__xludf.DUMMYFUNCTION("""COMPUTED_VALUE"""),45778)</f>
        <v>45778</v>
      </c>
      <c r="B37" s="7">
        <f ca="1">IFERROR(__xludf.DUMMYFUNCTION("""COMPUTED_VALUE"""),45773)</f>
        <v>45773</v>
      </c>
      <c r="C37" s="1" t="str">
        <f ca="1">IFERROR(__xludf.DUMMYFUNCTION("""COMPUTED_VALUE"""),"Thais Ruas De Araujo")</f>
        <v>Thais Ruas De Araujo</v>
      </c>
      <c r="D37" s="2">
        <f ca="1">IFERROR(__xludf.DUMMYFUNCTION("""COMPUTED_VALUE"""),55)</f>
        <v>55</v>
      </c>
      <c r="E37" s="1" t="str">
        <f ca="1">IFERROR(__xludf.DUMMYFUNCTION("""COMPUTED_VALUE"""),"Físico")</f>
        <v>Físico</v>
      </c>
      <c r="F37" s="1" t="str">
        <f ca="1">IFERROR(__xludf.DUMMYFUNCTION("""COMPUTED_VALUE"""),"Thais Ruas De Araujo")</f>
        <v>Thais Ruas De Araujo</v>
      </c>
      <c r="G37" s="1" t="str">
        <f ca="1"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6">
        <f ca="1">IFERROR(__xludf.DUMMYFUNCTION("""COMPUTED_VALUE"""),45778)</f>
        <v>45778</v>
      </c>
      <c r="B38" s="7">
        <f ca="1">IFERROR(__xludf.DUMMYFUNCTION("""COMPUTED_VALUE"""),45757)</f>
        <v>45757</v>
      </c>
      <c r="C38" s="1" t="str">
        <f ca="1">IFERROR(__xludf.DUMMYFUNCTION("""COMPUTED_VALUE"""),"Amazonmktplc Delutecom (1/2)")</f>
        <v>Amazonmktplc Delutecom (1/2)</v>
      </c>
      <c r="D38" s="2">
        <f ca="1">IFERROR(__xludf.DUMMYFUNCTION("""COMPUTED_VALUE"""),74.95)</f>
        <v>74.95</v>
      </c>
      <c r="E38" s="1" t="str">
        <f ca="1">IFERROR(__xludf.DUMMYFUNCTION("""COMPUTED_VALUE"""),"Virtual")</f>
        <v>Virtual</v>
      </c>
      <c r="F38" s="1" t="str">
        <f ca="1">IFERROR(__xludf.DUMMYFUNCTION("""COMPUTED_VALUE"""),"Amazonmktplc")</f>
        <v>Amazonmktplc</v>
      </c>
      <c r="G38" s="1" t="str">
        <f ca="1"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6">
        <f ca="1">IFERROR(__xludf.DUMMYFUNCTION("""COMPUTED_VALUE"""),45778)</f>
        <v>45778</v>
      </c>
      <c r="B39" s="7">
        <f ca="1">IFERROR(__xludf.DUMMYFUNCTION("""COMPUTED_VALUE"""),45757)</f>
        <v>45757</v>
      </c>
      <c r="C39" s="1" t="str">
        <f ca="1">IFERROR(__xludf.DUMMYFUNCTION("""COMPUTED_VALUE"""),"Amazon (1/3)")</f>
        <v>Amazon (1/3)</v>
      </c>
      <c r="D39" s="2">
        <f ca="1">IFERROR(__xludf.DUMMYFUNCTION("""COMPUTED_VALUE"""),84.54)</f>
        <v>84.54</v>
      </c>
      <c r="E39" s="1" t="str">
        <f ca="1">IFERROR(__xludf.DUMMYFUNCTION("""COMPUTED_VALUE"""),"Virtual")</f>
        <v>Virtual</v>
      </c>
      <c r="F39" s="1" t="str">
        <f ca="1">IFERROR(__xludf.DUMMYFUNCTION("""COMPUTED_VALUE"""),"Amazon")</f>
        <v>Amazon</v>
      </c>
      <c r="G39" s="1" t="str">
        <f ca="1"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6">
        <f ca="1">IFERROR(__xludf.DUMMYFUNCTION("""COMPUTED_VALUE"""),45778)</f>
        <v>45778</v>
      </c>
      <c r="B40" s="7">
        <f ca="1">IFERROR(__xludf.DUMMYFUNCTION("""COMPUTED_VALUE"""),45757)</f>
        <v>45757</v>
      </c>
      <c r="C40" s="1" t="str">
        <f ca="1">IFERROR(__xludf.DUMMYFUNCTION("""COMPUTED_VALUE"""),"Amazon")</f>
        <v>Amazon</v>
      </c>
      <c r="D40" s="2">
        <f ca="1">IFERROR(__xludf.DUMMYFUNCTION("""COMPUTED_VALUE"""),79.61)</f>
        <v>79.61</v>
      </c>
      <c r="E40" s="1" t="str">
        <f ca="1">IFERROR(__xludf.DUMMYFUNCTION("""COMPUTED_VALUE"""),"Virtual")</f>
        <v>Virtual</v>
      </c>
      <c r="F40" s="1" t="str">
        <f ca="1">IFERROR(__xludf.DUMMYFUNCTION("""COMPUTED_VALUE"""),"Amazon")</f>
        <v>Amazon</v>
      </c>
      <c r="G40" s="1" t="str">
        <f ca="1"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6">
        <f ca="1">IFERROR(__xludf.DUMMYFUNCTION("""COMPUTED_VALUE"""),45778)</f>
        <v>45778</v>
      </c>
      <c r="B41" s="7">
        <f ca="1">IFERROR(__xludf.DUMMYFUNCTION("""COMPUTED_VALUE"""),45758)</f>
        <v>45758</v>
      </c>
      <c r="C41" s="1" t="str">
        <f ca="1">IFERROR(__xludf.DUMMYFUNCTION("""COMPUTED_VALUE"""),"Casas Bahia")</f>
        <v>Casas Bahia</v>
      </c>
      <c r="D41" s="2">
        <f ca="1">IFERROR(__xludf.DUMMYFUNCTION("""COMPUTED_VALUE"""),161.42)</f>
        <v>161.41999999999999</v>
      </c>
      <c r="E41" s="1" t="str">
        <f ca="1">IFERROR(__xludf.DUMMYFUNCTION("""COMPUTED_VALUE"""),"Virtual")</f>
        <v>Virtual</v>
      </c>
      <c r="F41" s="1" t="str">
        <f ca="1">IFERROR(__xludf.DUMMYFUNCTION("""COMPUTED_VALUE"""),"Casas Bahia")</f>
        <v>Casas Bahia</v>
      </c>
      <c r="G41" s="1" t="str">
        <f ca="1"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6">
        <f ca="1">IFERROR(__xludf.DUMMYFUNCTION("""COMPUTED_VALUE"""),45778)</f>
        <v>45778</v>
      </c>
      <c r="B42" s="7">
        <f ca="1">IFERROR(__xludf.DUMMYFUNCTION("""COMPUTED_VALUE"""),45761)</f>
        <v>45761</v>
      </c>
      <c r="C42" s="1" t="str">
        <f ca="1">IFERROR(__xludf.DUMMYFUNCTION("""COMPUTED_VALUE"""),"Amazon")</f>
        <v>Amazon</v>
      </c>
      <c r="D42" s="2">
        <f ca="1">IFERROR(__xludf.DUMMYFUNCTION("""COMPUTED_VALUE"""),19.9)</f>
        <v>19.899999999999999</v>
      </c>
      <c r="E42" s="1" t="str">
        <f ca="1">IFERROR(__xludf.DUMMYFUNCTION("""COMPUTED_VALUE"""),"Virtual")</f>
        <v>Virtual</v>
      </c>
      <c r="F42" s="1" t="str">
        <f ca="1">IFERROR(__xludf.DUMMYFUNCTION("""COMPUTED_VALUE"""),"Amazon")</f>
        <v>Amazon</v>
      </c>
      <c r="G42" s="1" t="str">
        <f ca="1"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6">
        <f ca="1">IFERROR(__xludf.DUMMYFUNCTION("""COMPUTED_VALUE"""),45778)</f>
        <v>45778</v>
      </c>
      <c r="B43" s="7">
        <f ca="1">IFERROR(__xludf.DUMMYFUNCTION("""COMPUTED_VALUE"""),45761)</f>
        <v>45761</v>
      </c>
      <c r="C43" s="1" t="str">
        <f ca="1">IFERROR(__xludf.DUMMYFUNCTION("""COMPUTED_VALUE"""),"Mercado Livre")</f>
        <v>Mercado Livre</v>
      </c>
      <c r="D43" s="2">
        <f ca="1">IFERROR(__xludf.DUMMYFUNCTION("""COMPUTED_VALUE"""),60.42)</f>
        <v>60.42</v>
      </c>
      <c r="E43" s="1" t="str">
        <f ca="1">IFERROR(__xludf.DUMMYFUNCTION("""COMPUTED_VALUE"""),"Virtual")</f>
        <v>Virtual</v>
      </c>
      <c r="F43" s="1" t="str">
        <f ca="1">IFERROR(__xludf.DUMMYFUNCTION("""COMPUTED_VALUE"""),"Mercado Livre")</f>
        <v>Mercado Livre</v>
      </c>
      <c r="G43" s="1" t="str">
        <f ca="1"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6">
        <f ca="1">IFERROR(__xludf.DUMMYFUNCTION("""COMPUTED_VALUE"""),45778)</f>
        <v>45778</v>
      </c>
      <c r="B44" s="7">
        <f ca="1">IFERROR(__xludf.DUMMYFUNCTION("""COMPUTED_VALUE"""),45762)</f>
        <v>45762</v>
      </c>
      <c r="C44" s="1" t="str">
        <f ca="1">IFERROR(__xludf.DUMMYFUNCTION("""COMPUTED_VALUE"""),"Amazon")</f>
        <v>Amazon</v>
      </c>
      <c r="D44" s="2">
        <f ca="1">IFERROR(__xludf.DUMMYFUNCTION("""COMPUTED_VALUE"""),9.99)</f>
        <v>9.99</v>
      </c>
      <c r="E44" s="1" t="str">
        <f ca="1">IFERROR(__xludf.DUMMYFUNCTION("""COMPUTED_VALUE"""),"Virtual")</f>
        <v>Virtual</v>
      </c>
      <c r="F44" s="1" t="str">
        <f ca="1">IFERROR(__xludf.DUMMYFUNCTION("""COMPUTED_VALUE"""),"Amazon")</f>
        <v>Amazon</v>
      </c>
      <c r="G44" s="1" t="str">
        <f ca="1"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6">
        <f ca="1">IFERROR(__xludf.DUMMYFUNCTION("""COMPUTED_VALUE"""),45778)</f>
        <v>45778</v>
      </c>
      <c r="B45" s="7">
        <f ca="1">IFERROR(__xludf.DUMMYFUNCTION("""COMPUTED_VALUE"""),45762)</f>
        <v>45762</v>
      </c>
      <c r="C45" s="1" t="str">
        <f ca="1">IFERROR(__xludf.DUMMYFUNCTION("""COMPUTED_VALUE"""),"Amazon")</f>
        <v>Amazon</v>
      </c>
      <c r="D45" s="2">
        <f ca="1">IFERROR(__xludf.DUMMYFUNCTION("""COMPUTED_VALUE"""),30.94)</f>
        <v>30.94</v>
      </c>
      <c r="E45" s="1" t="str">
        <f ca="1">IFERROR(__xludf.DUMMYFUNCTION("""COMPUTED_VALUE"""),"Virtual")</f>
        <v>Virtual</v>
      </c>
      <c r="F45" s="1" t="str">
        <f ca="1">IFERROR(__xludf.DUMMYFUNCTION("""COMPUTED_VALUE"""),"Amazon")</f>
        <v>Amazon</v>
      </c>
      <c r="G45" s="1" t="str">
        <f ca="1"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6">
        <f ca="1">IFERROR(__xludf.DUMMYFUNCTION("""COMPUTED_VALUE"""),45778)</f>
        <v>45778</v>
      </c>
      <c r="B46" s="7">
        <f ca="1">IFERROR(__xludf.DUMMYFUNCTION("""COMPUTED_VALUE"""),45762)</f>
        <v>45762</v>
      </c>
      <c r="C46" s="1" t="str">
        <f ca="1">IFERROR(__xludf.DUMMYFUNCTION("""COMPUTED_VALUE"""),"Lavo Ta Novo (1/2)")</f>
        <v>Lavo Ta Novo (1/2)</v>
      </c>
      <c r="D46" s="2">
        <f ca="1">IFERROR(__xludf.DUMMYFUNCTION("""COMPUTED_VALUE"""),217.5)</f>
        <v>217.5</v>
      </c>
      <c r="E46" s="1" t="str">
        <f ca="1">IFERROR(__xludf.DUMMYFUNCTION("""COMPUTED_VALUE"""),"Virtual")</f>
        <v>Virtual</v>
      </c>
      <c r="F46" s="1" t="str">
        <f ca="1">IFERROR(__xludf.DUMMYFUNCTION("""COMPUTED_VALUE"""),"Lavo Ta Novo")</f>
        <v>Lavo Ta Novo</v>
      </c>
      <c r="G46" s="1" t="str">
        <f ca="1"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6">
        <f ca="1">IFERROR(__xludf.DUMMYFUNCTION("""COMPUTED_VALUE"""),45778)</f>
        <v>45778</v>
      </c>
      <c r="B47" s="7">
        <f ca="1">IFERROR(__xludf.DUMMYFUNCTION("""COMPUTED_VALUE"""),45763)</f>
        <v>45763</v>
      </c>
      <c r="C47" s="1" t="str">
        <f ca="1">IFERROR(__xludf.DUMMYFUNCTION("""COMPUTED_VALUE"""),"Amazon")</f>
        <v>Amazon</v>
      </c>
      <c r="D47" s="2">
        <f ca="1">IFERROR(__xludf.DUMMYFUNCTION("""COMPUTED_VALUE"""),25.9)</f>
        <v>25.9</v>
      </c>
      <c r="E47" s="1" t="str">
        <f ca="1">IFERROR(__xludf.DUMMYFUNCTION("""COMPUTED_VALUE"""),"Virtual")</f>
        <v>Virtual</v>
      </c>
      <c r="F47" s="1" t="str">
        <f ca="1">IFERROR(__xludf.DUMMYFUNCTION("""COMPUTED_VALUE"""),"Amazon")</f>
        <v>Amazon</v>
      </c>
      <c r="G47" s="1" t="str">
        <f ca="1"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6">
        <f ca="1">IFERROR(__xludf.DUMMYFUNCTION("""COMPUTED_VALUE"""),45778)</f>
        <v>45778</v>
      </c>
      <c r="B48" s="7">
        <f ca="1">IFERROR(__xludf.DUMMYFUNCTION("""COMPUTED_VALUE"""),45764)</f>
        <v>45764</v>
      </c>
      <c r="C48" s="1" t="str">
        <f ca="1">IFERROR(__xludf.DUMMYFUNCTION("""COMPUTED_VALUE"""),"Rdsaude Online")</f>
        <v>Rdsaude Online</v>
      </c>
      <c r="D48" s="2">
        <f ca="1">IFERROR(__xludf.DUMMYFUNCTION("""COMPUTED_VALUE"""),48.79)</f>
        <v>48.79</v>
      </c>
      <c r="E48" s="1" t="str">
        <f ca="1">IFERROR(__xludf.DUMMYFUNCTION("""COMPUTED_VALUE"""),"Virtual")</f>
        <v>Virtual</v>
      </c>
      <c r="F48" s="1" t="str">
        <f ca="1">IFERROR(__xludf.DUMMYFUNCTION("""COMPUTED_VALUE"""),"Rdsaude Online")</f>
        <v>Rdsaude Online</v>
      </c>
      <c r="G48" s="1" t="str">
        <f ca="1"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6">
        <f ca="1">IFERROR(__xludf.DUMMYFUNCTION("""COMPUTED_VALUE"""),45778)</f>
        <v>45778</v>
      </c>
      <c r="B49" s="7">
        <f ca="1">IFERROR(__xludf.DUMMYFUNCTION("""COMPUTED_VALUE"""),45764)</f>
        <v>45764</v>
      </c>
      <c r="C49" s="1" t="str">
        <f ca="1">IFERROR(__xludf.DUMMYFUNCTION("""COMPUTED_VALUE"""),"Shopee")</f>
        <v>Shopee</v>
      </c>
      <c r="D49" s="2">
        <f ca="1">IFERROR(__xludf.DUMMYFUNCTION("""COMPUTED_VALUE"""),96.64)</f>
        <v>96.64</v>
      </c>
      <c r="E49" s="1" t="str">
        <f ca="1">IFERROR(__xludf.DUMMYFUNCTION("""COMPUTED_VALUE"""),"Virtual")</f>
        <v>Virtual</v>
      </c>
      <c r="F49" s="1" t="str">
        <f ca="1">IFERROR(__xludf.DUMMYFUNCTION("""COMPUTED_VALUE"""),"Shopee")</f>
        <v>Shopee</v>
      </c>
      <c r="G49" s="1" t="str">
        <f ca="1"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6">
        <f ca="1">IFERROR(__xludf.DUMMYFUNCTION("""COMPUTED_VALUE"""),45778)</f>
        <v>45778</v>
      </c>
      <c r="B50" s="7">
        <f ca="1">IFERROR(__xludf.DUMMYFUNCTION("""COMPUTED_VALUE"""),45765)</f>
        <v>45765</v>
      </c>
      <c r="C50" s="1" t="str">
        <f ca="1">IFERROR(__xludf.DUMMYFUNCTION("""COMPUTED_VALUE"""),"Casas Bahia (1/10)")</f>
        <v>Casas Bahia (1/10)</v>
      </c>
      <c r="D50" s="2">
        <f ca="1">IFERROR(__xludf.DUMMYFUNCTION("""COMPUTED_VALUE"""),361.48)</f>
        <v>361.48</v>
      </c>
      <c r="E50" s="1" t="str">
        <f ca="1">IFERROR(__xludf.DUMMYFUNCTION("""COMPUTED_VALUE"""),"Virtual")</f>
        <v>Virtual</v>
      </c>
      <c r="F50" s="1" t="str">
        <f ca="1">IFERROR(__xludf.DUMMYFUNCTION("""COMPUTED_VALUE"""),"Casas Bahia")</f>
        <v>Casas Bahia</v>
      </c>
      <c r="G50" s="1" t="str">
        <f ca="1"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6">
        <f ca="1">IFERROR(__xludf.DUMMYFUNCTION("""COMPUTED_VALUE"""),45778)</f>
        <v>45778</v>
      </c>
      <c r="B51" s="7">
        <f ca="1">IFERROR(__xludf.DUMMYFUNCTION("""COMPUTED_VALUE"""),45765)</f>
        <v>45765</v>
      </c>
      <c r="C51" s="1" t="str">
        <f ca="1">IFERROR(__xludf.DUMMYFUNCTION("""COMPUTED_VALUE"""),"Shopee (1/3)")</f>
        <v>Shopee (1/3)</v>
      </c>
      <c r="D51" s="2">
        <f ca="1">IFERROR(__xludf.DUMMYFUNCTION("""COMPUTED_VALUE"""),89.64)</f>
        <v>89.64</v>
      </c>
      <c r="E51" s="1" t="str">
        <f ca="1">IFERROR(__xludf.DUMMYFUNCTION("""COMPUTED_VALUE"""),"Virtual")</f>
        <v>Virtual</v>
      </c>
      <c r="F51" s="1" t="str">
        <f ca="1">IFERROR(__xludf.DUMMYFUNCTION("""COMPUTED_VALUE"""),"Shopee")</f>
        <v>Shopee</v>
      </c>
      <c r="G51" s="1" t="str">
        <f ca="1"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6">
        <f ca="1">IFERROR(__xludf.DUMMYFUNCTION("""COMPUTED_VALUE"""),45778)</f>
        <v>45778</v>
      </c>
      <c r="B52" s="7">
        <f ca="1">IFERROR(__xludf.DUMMYFUNCTION("""COMPUTED_VALUE"""),45765)</f>
        <v>45765</v>
      </c>
      <c r="C52" s="1" t="str">
        <f ca="1">IFERROR(__xludf.DUMMYFUNCTION("""COMPUTED_VALUE"""),"Yogi Baby (1/3)")</f>
        <v>Yogi Baby (1/3)</v>
      </c>
      <c r="D52" s="2">
        <f ca="1">IFERROR(__xludf.DUMMYFUNCTION("""COMPUTED_VALUE"""),24.49)</f>
        <v>24.49</v>
      </c>
      <c r="E52" s="1" t="str">
        <f ca="1">IFERROR(__xludf.DUMMYFUNCTION("""COMPUTED_VALUE"""),"Virtual")</f>
        <v>Virtual</v>
      </c>
      <c r="F52" s="1" t="str">
        <f ca="1">IFERROR(__xludf.DUMMYFUNCTION("""COMPUTED_VALUE"""),"Yogi Baby")</f>
        <v>Yogi Baby</v>
      </c>
      <c r="G52" s="1" t="str">
        <f ca="1"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6">
        <f ca="1">IFERROR(__xludf.DUMMYFUNCTION("""COMPUTED_VALUE"""),45778)</f>
        <v>45778</v>
      </c>
      <c r="B53" s="7">
        <f ca="1">IFERROR(__xludf.DUMMYFUNCTION("""COMPUTED_VALUE"""),45766)</f>
        <v>45766</v>
      </c>
      <c r="C53" s="1" t="str">
        <f ca="1">IFERROR(__xludf.DUMMYFUNCTION("""COMPUTED_VALUE"""),"Petlove (1/3)")</f>
        <v>Petlove (1/3)</v>
      </c>
      <c r="D53" s="2">
        <f ca="1">IFERROR(__xludf.DUMMYFUNCTION("""COMPUTED_VALUE"""),149.02)</f>
        <v>149.02000000000001</v>
      </c>
      <c r="E53" s="1" t="str">
        <f ca="1">IFERROR(__xludf.DUMMYFUNCTION("""COMPUTED_VALUE"""),"Virtual")</f>
        <v>Virtual</v>
      </c>
      <c r="F53" s="1" t="str">
        <f ca="1">IFERROR(__xludf.DUMMYFUNCTION("""COMPUTED_VALUE"""),"Petlove")</f>
        <v>Petlove</v>
      </c>
      <c r="G53" s="1" t="str">
        <f ca="1"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6">
        <f ca="1">IFERROR(__xludf.DUMMYFUNCTION("""COMPUTED_VALUE"""),45778)</f>
        <v>45778</v>
      </c>
      <c r="B54" s="7">
        <f ca="1">IFERROR(__xludf.DUMMYFUNCTION("""COMPUTED_VALUE"""),45767)</f>
        <v>45767</v>
      </c>
      <c r="C54" s="1" t="str">
        <f ca="1">IFERROR(__xludf.DUMMYFUNCTION("""COMPUTED_VALUE"""),"Shopee")</f>
        <v>Shopee</v>
      </c>
      <c r="D54" s="2">
        <f ca="1">IFERROR(__xludf.DUMMYFUNCTION("""COMPUTED_VALUE"""),81.71)</f>
        <v>81.709999999999994</v>
      </c>
      <c r="E54" s="1" t="str">
        <f ca="1">IFERROR(__xludf.DUMMYFUNCTION("""COMPUTED_VALUE"""),"Virtual")</f>
        <v>Virtual</v>
      </c>
      <c r="F54" s="1" t="str">
        <f ca="1">IFERROR(__xludf.DUMMYFUNCTION("""COMPUTED_VALUE"""),"Shopee")</f>
        <v>Shopee</v>
      </c>
      <c r="G54" s="1" t="str">
        <f ca="1"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6">
        <f ca="1">IFERROR(__xludf.DUMMYFUNCTION("""COMPUTED_VALUE"""),45778)</f>
        <v>45778</v>
      </c>
      <c r="B55" s="7">
        <f ca="1">IFERROR(__xludf.DUMMYFUNCTION("""COMPUTED_VALUE"""),45767)</f>
        <v>45767</v>
      </c>
      <c r="C55" s="1" t="str">
        <f ca="1">IFERROR(__xludf.DUMMYFUNCTION("""COMPUTED_VALUE"""),"Shopee")</f>
        <v>Shopee</v>
      </c>
      <c r="D55" s="2">
        <f ca="1">IFERROR(__xludf.DUMMYFUNCTION("""COMPUTED_VALUE"""),105.05)</f>
        <v>105.05</v>
      </c>
      <c r="E55" s="1" t="str">
        <f ca="1">IFERROR(__xludf.DUMMYFUNCTION("""COMPUTED_VALUE"""),"Virtual")</f>
        <v>Virtual</v>
      </c>
      <c r="F55" s="1" t="str">
        <f ca="1">IFERROR(__xludf.DUMMYFUNCTION("""COMPUTED_VALUE"""),"Shopee")</f>
        <v>Shopee</v>
      </c>
      <c r="G55" s="1" t="str">
        <f ca="1"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6">
        <f ca="1">IFERROR(__xludf.DUMMYFUNCTION("""COMPUTED_VALUE"""),45778)</f>
        <v>45778</v>
      </c>
      <c r="B56" s="7">
        <f ca="1">IFERROR(__xludf.DUMMYFUNCTION("""COMPUTED_VALUE"""),45768)</f>
        <v>45768</v>
      </c>
      <c r="C56" s="1" t="str">
        <f ca="1">IFERROR(__xludf.DUMMYFUNCTION("""COMPUTED_VALUE"""),"Lellis Baby (1/3)")</f>
        <v>Lellis Baby (1/3)</v>
      </c>
      <c r="D56" s="2">
        <f ca="1">IFERROR(__xludf.DUMMYFUNCTION("""COMPUTED_VALUE"""),137.14)</f>
        <v>137.13999999999999</v>
      </c>
      <c r="E56" s="1" t="str">
        <f ca="1">IFERROR(__xludf.DUMMYFUNCTION("""COMPUTED_VALUE"""),"Virtual")</f>
        <v>Virtual</v>
      </c>
      <c r="F56" s="1" t="str">
        <f ca="1">IFERROR(__xludf.DUMMYFUNCTION("""COMPUTED_VALUE"""),"Lellis Baby")</f>
        <v>Lellis Baby</v>
      </c>
      <c r="G56" s="1" t="str">
        <f ca="1"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6">
        <f ca="1">IFERROR(__xludf.DUMMYFUNCTION("""COMPUTED_VALUE"""),45778)</f>
        <v>45778</v>
      </c>
      <c r="B57" s="7">
        <f ca="1">IFERROR(__xludf.DUMMYFUNCTION("""COMPUTED_VALUE"""),45768)</f>
        <v>45768</v>
      </c>
      <c r="C57" s="1" t="str">
        <f ca="1">IFERROR(__xludf.DUMMYFUNCTION("""COMPUTED_VALUE"""),"Alce (1/3)")</f>
        <v>Alce (1/3)</v>
      </c>
      <c r="D57" s="2">
        <f ca="1">IFERROR(__xludf.DUMMYFUNCTION("""COMPUTED_VALUE"""),139.18)</f>
        <v>139.18</v>
      </c>
      <c r="E57" s="1" t="str">
        <f ca="1">IFERROR(__xludf.DUMMYFUNCTION("""COMPUTED_VALUE"""),"Virtual")</f>
        <v>Virtual</v>
      </c>
      <c r="F57" s="1" t="str">
        <f ca="1">IFERROR(__xludf.DUMMYFUNCTION("""COMPUTED_VALUE"""),"Alce")</f>
        <v>Alce</v>
      </c>
      <c r="G57" s="1" t="str">
        <f ca="1"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6">
        <f ca="1">IFERROR(__xludf.DUMMYFUNCTION("""COMPUTED_VALUE"""),45778)</f>
        <v>45778</v>
      </c>
      <c r="B58" s="7">
        <f ca="1">IFERROR(__xludf.DUMMYFUNCTION("""COMPUTED_VALUE"""),45770)</f>
        <v>45770</v>
      </c>
      <c r="C58" s="1" t="str">
        <f ca="1">IFERROR(__xludf.DUMMYFUNCTION("""COMPUTED_VALUE"""),"Amazonmktplc Bs Comerc")</f>
        <v>Amazonmktplc Bs Comerc</v>
      </c>
      <c r="D58" s="2">
        <f ca="1">IFERROR(__xludf.DUMMYFUNCTION("""COMPUTED_VALUE"""),67.11)</f>
        <v>67.11</v>
      </c>
      <c r="E58" s="1" t="str">
        <f ca="1">IFERROR(__xludf.DUMMYFUNCTION("""COMPUTED_VALUE"""),"Virtual")</f>
        <v>Virtual</v>
      </c>
      <c r="F58" s="1" t="str">
        <f ca="1">IFERROR(__xludf.DUMMYFUNCTION("""COMPUTED_VALUE"""),"Amazonmktplc")</f>
        <v>Amazonmktplc</v>
      </c>
      <c r="G58" s="1" t="str">
        <f ca="1"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6">
        <f ca="1">IFERROR(__xludf.DUMMYFUNCTION("""COMPUTED_VALUE"""),45778)</f>
        <v>45778</v>
      </c>
      <c r="B59" s="7">
        <f ca="1">IFERROR(__xludf.DUMMYFUNCTION("""COMPUTED_VALUE"""),45765)</f>
        <v>45765</v>
      </c>
      <c r="C59" s="1" t="str">
        <f ca="1">IFERROR(__xludf.DUMMYFUNCTION("""COMPUTED_VALUE"""),"Posto Casa Muzzi")</f>
        <v>Posto Casa Muzzi</v>
      </c>
      <c r="D59" s="2">
        <f ca="1">IFERROR(__xludf.DUMMYFUNCTION("""COMPUTED_VALUE"""),196.44)</f>
        <v>196.44</v>
      </c>
      <c r="E59" s="1" t="str">
        <f ca="1">IFERROR(__xludf.DUMMYFUNCTION("""COMPUTED_VALUE"""),"Adicional")</f>
        <v>Adicional</v>
      </c>
      <c r="F59" s="1" t="str">
        <f ca="1">IFERROR(__xludf.DUMMYFUNCTION("""COMPUTED_VALUE"""),"Posto Casa Muzzi")</f>
        <v>Posto Casa Muzzi</v>
      </c>
      <c r="G59" s="1" t="str">
        <f ca="1"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6">
        <f ca="1">IFERROR(__xludf.DUMMYFUNCTION("""COMPUTED_VALUE"""),45778)</f>
        <v>45778</v>
      </c>
      <c r="B60" s="7">
        <f ca="1">IFERROR(__xludf.DUMMYFUNCTION("""COMPUTED_VALUE"""),45770)</f>
        <v>45770</v>
      </c>
      <c r="C60" s="1" t="str">
        <f ca="1">IFERROR(__xludf.DUMMYFUNCTION("""COMPUTED_VALUE"""),"Super Nosso")</f>
        <v>Super Nosso</v>
      </c>
      <c r="D60" s="2">
        <f ca="1">IFERROR(__xludf.DUMMYFUNCTION("""COMPUTED_VALUE"""),4.15)</f>
        <v>4.1500000000000004</v>
      </c>
      <c r="E60" s="1" t="str">
        <f ca="1">IFERROR(__xludf.DUMMYFUNCTION("""COMPUTED_VALUE"""),"Adicional")</f>
        <v>Adicional</v>
      </c>
      <c r="F60" s="1" t="str">
        <f ca="1">IFERROR(__xludf.DUMMYFUNCTION("""COMPUTED_VALUE"""),"Super Nosso")</f>
        <v>Super Nosso</v>
      </c>
      <c r="G60" s="1" t="str">
        <f ca="1"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6">
        <f ca="1">IFERROR(__xludf.DUMMYFUNCTION("""COMPUTED_VALUE"""),45778)</f>
        <v>45778</v>
      </c>
      <c r="B61" s="7">
        <f ca="1">IFERROR(__xludf.DUMMYFUNCTION("""COMPUTED_VALUE"""),45766)</f>
        <v>45766</v>
      </c>
      <c r="C61" s="1" t="str">
        <f ca="1">IFERROR(__xludf.DUMMYFUNCTION("""COMPUTED_VALUE"""),"Stop Celular")</f>
        <v>Stop Celular</v>
      </c>
      <c r="D61" s="2">
        <f ca="1">IFERROR(__xludf.DUMMYFUNCTION("""COMPUTED_VALUE"""),70)</f>
        <v>70</v>
      </c>
      <c r="E61" s="1" t="str">
        <f ca="1">IFERROR(__xludf.DUMMYFUNCTION("""COMPUTED_VALUE"""),"Físico")</f>
        <v>Físico</v>
      </c>
      <c r="F61" s="1" t="str">
        <f ca="1">IFERROR(__xludf.DUMMYFUNCTION("""COMPUTED_VALUE"""),"Stop Celular")</f>
        <v>Stop Celular</v>
      </c>
      <c r="G61" s="1" t="str">
        <f ca="1"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6">
        <f ca="1">IFERROR(__xludf.DUMMYFUNCTION("""COMPUTED_VALUE"""),45778)</f>
        <v>45778</v>
      </c>
      <c r="B62" s="7">
        <f ca="1">IFERROR(__xludf.DUMMYFUNCTION("""COMPUTED_VALUE"""),45766)</f>
        <v>45766</v>
      </c>
      <c r="C62" s="1" t="str">
        <f ca="1">IFERROR(__xludf.DUMMYFUNCTION("""COMPUTED_VALUE"""),"Mpm Comercio Filial")</f>
        <v>Mpm Comercio Filial</v>
      </c>
      <c r="D62" s="2">
        <f ca="1">IFERROR(__xludf.DUMMYFUNCTION("""COMPUTED_VALUE"""),129.9)</f>
        <v>129.9</v>
      </c>
      <c r="E62" s="1" t="str">
        <f ca="1">IFERROR(__xludf.DUMMYFUNCTION("""COMPUTED_VALUE"""),"Físico")</f>
        <v>Físico</v>
      </c>
      <c r="F62" s="1" t="str">
        <f ca="1">IFERROR(__xludf.DUMMYFUNCTION("""COMPUTED_VALUE"""),"Mpm Comercio Filial")</f>
        <v>Mpm Comercio Filial</v>
      </c>
      <c r="G62" s="1" t="str">
        <f ca="1"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6">
        <f ca="1">IFERROR(__xludf.DUMMYFUNCTION("""COMPUTED_VALUE"""),45778)</f>
        <v>45778</v>
      </c>
      <c r="B63" s="7">
        <f ca="1">IFERROR(__xludf.DUMMYFUNCTION("""COMPUTED_VALUE"""),45770)</f>
        <v>45770</v>
      </c>
      <c r="C63" s="1" t="str">
        <f ca="1">IFERROR(__xludf.DUMMYFUNCTION("""COMPUTED_VALUE"""),"Dma Distribuidora Sa")</f>
        <v>Dma Distribuidora Sa</v>
      </c>
      <c r="D63" s="2">
        <f ca="1">IFERROR(__xludf.DUMMYFUNCTION("""COMPUTED_VALUE"""),19.34)</f>
        <v>19.34</v>
      </c>
      <c r="E63" s="1" t="str">
        <f ca="1">IFERROR(__xludf.DUMMYFUNCTION("""COMPUTED_VALUE"""),"Físico")</f>
        <v>Físico</v>
      </c>
      <c r="F63" s="1" t="str">
        <f ca="1">IFERROR(__xludf.DUMMYFUNCTION("""COMPUTED_VALUE"""),"Dma Distribuidora Sa")</f>
        <v>Dma Distribuidora Sa</v>
      </c>
      <c r="G63" s="1" t="str">
        <f ca="1"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6">
        <f ca="1">IFERROR(__xludf.DUMMYFUNCTION("""COMPUTED_VALUE"""),45809)</f>
        <v>45809</v>
      </c>
      <c r="B64" s="7">
        <f ca="1">IFERROR(__xludf.DUMMYFUNCTION("""COMPUTED_VALUE"""),45759)</f>
        <v>45759</v>
      </c>
      <c r="C64" s="1" t="str">
        <f ca="1">IFERROR(__xludf.DUMMYFUNCTION("""COMPUTED_VALUE"""),"Alimentar Foods Sao Pe (2/2)")</f>
        <v>Alimentar Foods Sao Pe (2/2)</v>
      </c>
      <c r="D64" s="2">
        <f ca="1">IFERROR(__xludf.DUMMYFUNCTION("""COMPUTED_VALUE"""),246.34)</f>
        <v>246.34</v>
      </c>
      <c r="E64" s="1" t="str">
        <f ca="1">IFERROR(__xludf.DUMMYFUNCTION("""COMPUTED_VALUE"""),"-")</f>
        <v>-</v>
      </c>
      <c r="F64" s="1" t="str">
        <f ca="1">IFERROR(__xludf.DUMMYFUNCTION("""COMPUTED_VALUE"""),"Alimentar Foods Sao Pe")</f>
        <v>Alimentar Foods Sao Pe</v>
      </c>
      <c r="G64" s="1" t="str">
        <f ca="1"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6">
        <f ca="1">IFERROR(__xludf.DUMMYFUNCTION("""COMPUTED_VALUE"""),45809)</f>
        <v>45809</v>
      </c>
      <c r="B65" s="7">
        <f ca="1">IFERROR(__xludf.DUMMYFUNCTION("""COMPUTED_VALUE"""),45773)</f>
        <v>45773</v>
      </c>
      <c r="C65" s="1" t="str">
        <f ca="1">IFERROR(__xludf.DUMMYFUNCTION("""COMPUTED_VALUE"""),"Panif Mendes Sion")</f>
        <v>Panif Mendes Sion</v>
      </c>
      <c r="D65" s="2">
        <f ca="1">IFERROR(__xludf.DUMMYFUNCTION("""COMPUTED_VALUE"""),20.44)</f>
        <v>20.440000000000001</v>
      </c>
      <c r="E65" s="1" t="str">
        <f ca="1">IFERROR(__xludf.DUMMYFUNCTION("""COMPUTED_VALUE"""),"-")</f>
        <v>-</v>
      </c>
      <c r="F65" s="1" t="str">
        <f ca="1">IFERROR(__xludf.DUMMYFUNCTION("""COMPUTED_VALUE"""),"Panif Mendes Sion")</f>
        <v>Panif Mendes Sion</v>
      </c>
      <c r="G65" s="1" t="str">
        <f ca="1"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6">
        <f ca="1">IFERROR(__xludf.DUMMYFUNCTION("""COMPUTED_VALUE"""),45809)</f>
        <v>45809</v>
      </c>
      <c r="B66" s="7">
        <f ca="1">IFERROR(__xludf.DUMMYFUNCTION("""COMPUTED_VALUE"""),45773)</f>
        <v>45773</v>
      </c>
      <c r="C66" s="1" t="str">
        <f ca="1">IFERROR(__xludf.DUMMYFUNCTION("""COMPUTED_VALUE"""),"Panif Mendes Sion")</f>
        <v>Panif Mendes Sion</v>
      </c>
      <c r="D66" s="2">
        <f ca="1">IFERROR(__xludf.DUMMYFUNCTION("""COMPUTED_VALUE"""),4.09)</f>
        <v>4.09</v>
      </c>
      <c r="E66" s="1" t="str">
        <f ca="1">IFERROR(__xludf.DUMMYFUNCTION("""COMPUTED_VALUE"""),"-")</f>
        <v>-</v>
      </c>
      <c r="F66" s="1" t="str">
        <f ca="1">IFERROR(__xludf.DUMMYFUNCTION("""COMPUTED_VALUE"""),"Panif Mendes Sion")</f>
        <v>Panif Mendes Sion</v>
      </c>
      <c r="G66" s="1" t="str">
        <f ca="1"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6">
        <f ca="1">IFERROR(__xludf.DUMMYFUNCTION("""COMPUTED_VALUE"""),45809)</f>
        <v>45809</v>
      </c>
      <c r="B67" s="7">
        <f ca="1">IFERROR(__xludf.DUMMYFUNCTION("""COMPUTED_VALUE"""),45774)</f>
        <v>45774</v>
      </c>
      <c r="C67" s="1" t="str">
        <f ca="1">IFERROR(__xludf.DUMMYFUNCTION("""COMPUTED_VALUE"""),"Betoeana34")</f>
        <v>Betoeana34</v>
      </c>
      <c r="D67" s="2">
        <f ca="1">IFERROR(__xludf.DUMMYFUNCTION("""COMPUTED_VALUE"""),72)</f>
        <v>72</v>
      </c>
      <c r="E67" s="1" t="str">
        <f ca="1">IFERROR(__xludf.DUMMYFUNCTION("""COMPUTED_VALUE"""),"-")</f>
        <v>-</v>
      </c>
      <c r="F67" s="1" t="str">
        <f ca="1">IFERROR(__xludf.DUMMYFUNCTION("""COMPUTED_VALUE"""),"Betoeana34")</f>
        <v>Betoeana34</v>
      </c>
      <c r="G67" s="1" t="str">
        <f ca="1"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6">
        <f ca="1">IFERROR(__xludf.DUMMYFUNCTION("""COMPUTED_VALUE"""),45809)</f>
        <v>45809</v>
      </c>
      <c r="B68" s="7">
        <f ca="1">IFERROR(__xludf.DUMMYFUNCTION("""COMPUTED_VALUE"""),45774)</f>
        <v>45774</v>
      </c>
      <c r="C68" s="1" t="str">
        <f ca="1">IFERROR(__xludf.DUMMYFUNCTION("""COMPUTED_VALUE"""),"Windsor Hotéis")</f>
        <v>Windsor Hotéis</v>
      </c>
      <c r="D68" s="2">
        <f ca="1">IFERROR(__xludf.DUMMYFUNCTION("""COMPUTED_VALUE"""),9.9)</f>
        <v>9.9</v>
      </c>
      <c r="E68" s="1" t="str">
        <f ca="1">IFERROR(__xludf.DUMMYFUNCTION("""COMPUTED_VALUE"""),"-")</f>
        <v>-</v>
      </c>
      <c r="F68" s="1" t="str">
        <f ca="1">IFERROR(__xludf.DUMMYFUNCTION("""COMPUTED_VALUE"""),"Windsor Hotéis")</f>
        <v>Windsor Hotéis</v>
      </c>
      <c r="G68" s="1" t="str">
        <f ca="1"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6">
        <f ca="1">IFERROR(__xludf.DUMMYFUNCTION("""COMPUTED_VALUE"""),45809)</f>
        <v>45809</v>
      </c>
      <c r="B69" s="7">
        <f ca="1">IFERROR(__xludf.DUMMYFUNCTION("""COMPUTED_VALUE"""),45776)</f>
        <v>45776</v>
      </c>
      <c r="C69" s="1" t="str">
        <f ca="1">IFERROR(__xludf.DUMMYFUNCTION("""COMPUTED_VALUE"""),"Butequim Beco Do Rato")</f>
        <v>Butequim Beco Do Rato</v>
      </c>
      <c r="D69" s="2">
        <f ca="1">IFERROR(__xludf.DUMMYFUNCTION("""COMPUTED_VALUE"""),8.8)</f>
        <v>8.8000000000000007</v>
      </c>
      <c r="E69" s="1" t="str">
        <f ca="1">IFERROR(__xludf.DUMMYFUNCTION("""COMPUTED_VALUE"""),"-")</f>
        <v>-</v>
      </c>
      <c r="F69" s="1" t="str">
        <f ca="1">IFERROR(__xludf.DUMMYFUNCTION("""COMPUTED_VALUE"""),"Butequim Beco Do Rato")</f>
        <v>Butequim Beco Do Rato</v>
      </c>
      <c r="G69" s="1" t="str">
        <f ca="1"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6">
        <f ca="1">IFERROR(__xludf.DUMMYFUNCTION("""COMPUTED_VALUE"""),45809)</f>
        <v>45809</v>
      </c>
      <c r="B70" s="7">
        <f ca="1">IFERROR(__xludf.DUMMYFUNCTION("""COMPUTED_VALUE"""),45777)</f>
        <v>45777</v>
      </c>
      <c r="C70" s="1" t="str">
        <f ca="1">IFERROR(__xludf.DUMMYFUNCTION("""COMPUTED_VALUE"""),"Brasileirissima Galeao")</f>
        <v>Brasileirissima Galeao</v>
      </c>
      <c r="D70" s="2">
        <f ca="1">IFERROR(__xludf.DUMMYFUNCTION("""COMPUTED_VALUE"""),30)</f>
        <v>30</v>
      </c>
      <c r="E70" s="1" t="str">
        <f ca="1">IFERROR(__xludf.DUMMYFUNCTION("""COMPUTED_VALUE"""),"-")</f>
        <v>-</v>
      </c>
      <c r="F70" s="1" t="str">
        <f ca="1">IFERROR(__xludf.DUMMYFUNCTION("""COMPUTED_VALUE"""),"Brasileirissima Galeao")</f>
        <v>Brasileirissima Galeao</v>
      </c>
      <c r="G70" s="1" t="str">
        <f ca="1"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6">
        <f ca="1">IFERROR(__xludf.DUMMYFUNCTION("""COMPUTED_VALUE"""),45809)</f>
        <v>45809</v>
      </c>
      <c r="B71" s="7">
        <f ca="1">IFERROR(__xludf.DUMMYFUNCTION("""COMPUTED_VALUE"""),45778)</f>
        <v>45778</v>
      </c>
      <c r="C71" s="1" t="str">
        <f ca="1">IFERROR(__xludf.DUMMYFUNCTION("""COMPUTED_VALUE"""),"Panif Mendes Sion")</f>
        <v>Panif Mendes Sion</v>
      </c>
      <c r="D71" s="2">
        <f ca="1">IFERROR(__xludf.DUMMYFUNCTION("""COMPUTED_VALUE"""),37.1)</f>
        <v>37.1</v>
      </c>
      <c r="E71" s="1" t="str">
        <f ca="1">IFERROR(__xludf.DUMMYFUNCTION("""COMPUTED_VALUE"""),"-")</f>
        <v>-</v>
      </c>
      <c r="F71" s="1" t="str">
        <f ca="1">IFERROR(__xludf.DUMMYFUNCTION("""COMPUTED_VALUE"""),"Panif Mendes Sion")</f>
        <v>Panif Mendes Sion</v>
      </c>
      <c r="G71" s="1" t="str">
        <f ca="1"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6">
        <f ca="1">IFERROR(__xludf.DUMMYFUNCTION("""COMPUTED_VALUE"""),45809)</f>
        <v>45809</v>
      </c>
      <c r="B72" s="7">
        <f ca="1">IFERROR(__xludf.DUMMYFUNCTION("""COMPUTED_VALUE"""),45780)</f>
        <v>45780</v>
      </c>
      <c r="C72" s="1" t="str">
        <f ca="1">IFERROR(__xludf.DUMMYFUNCTION("""COMPUTED_VALUE"""),"O Bhar")</f>
        <v>O Bhar</v>
      </c>
      <c r="D72" s="2">
        <f ca="1">IFERROR(__xludf.DUMMYFUNCTION("""COMPUTED_VALUE"""),150)</f>
        <v>150</v>
      </c>
      <c r="E72" s="1" t="str">
        <f ca="1">IFERROR(__xludf.DUMMYFUNCTION("""COMPUTED_VALUE"""),"-")</f>
        <v>-</v>
      </c>
      <c r="F72" s="1" t="str">
        <f ca="1">IFERROR(__xludf.DUMMYFUNCTION("""COMPUTED_VALUE"""),"O Bhar")</f>
        <v>O Bhar</v>
      </c>
      <c r="G72" s="1" t="str">
        <f ca="1"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6">
        <f ca="1">IFERROR(__xludf.DUMMYFUNCTION("""COMPUTED_VALUE"""),45809)</f>
        <v>45809</v>
      </c>
      <c r="B73" s="7">
        <f ca="1">IFERROR(__xludf.DUMMYFUNCTION("""COMPUTED_VALUE"""),45780)</f>
        <v>45780</v>
      </c>
      <c r="C73" s="1" t="str">
        <f ca="1">IFERROR(__xludf.DUMMYFUNCTION("""COMPUTED_VALUE"""),"Pr Comercio De Bolsas")</f>
        <v>Pr Comercio De Bolsas</v>
      </c>
      <c r="D73" s="2">
        <f ca="1">IFERROR(__xludf.DUMMYFUNCTION("""COMPUTED_VALUE"""),4.99)</f>
        <v>4.99</v>
      </c>
      <c r="E73" s="1" t="str">
        <f ca="1">IFERROR(__xludf.DUMMYFUNCTION("""COMPUTED_VALUE"""),"-")</f>
        <v>-</v>
      </c>
      <c r="F73" s="1" t="str">
        <f ca="1">IFERROR(__xludf.DUMMYFUNCTION("""COMPUTED_VALUE"""),"Pr Comercio De Bolsas")</f>
        <v>Pr Comercio De Bolsas</v>
      </c>
      <c r="G73" s="1" t="str">
        <f ca="1"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6">
        <f ca="1">IFERROR(__xludf.DUMMYFUNCTION("""COMPUTED_VALUE"""),45809)</f>
        <v>45809</v>
      </c>
      <c r="B74" s="7">
        <f ca="1">IFERROR(__xludf.DUMMYFUNCTION("""COMPUTED_VALUE"""),45780)</f>
        <v>45780</v>
      </c>
      <c r="C74" s="1" t="str">
        <f ca="1">IFERROR(__xludf.DUMMYFUNCTION("""COMPUTED_VALUE"""),"Constance (1/2)")</f>
        <v>Constance (1/2)</v>
      </c>
      <c r="D74" s="2">
        <f ca="1">IFERROR(__xludf.DUMMYFUNCTION("""COMPUTED_VALUE"""),90)</f>
        <v>90</v>
      </c>
      <c r="E74" s="1" t="str">
        <f ca="1">IFERROR(__xludf.DUMMYFUNCTION("""COMPUTED_VALUE"""),"-")</f>
        <v>-</v>
      </c>
      <c r="F74" s="1" t="str">
        <f ca="1">IFERROR(__xludf.DUMMYFUNCTION("""COMPUTED_VALUE"""),"Constance")</f>
        <v>Constance</v>
      </c>
      <c r="G74" s="1" t="str">
        <f ca="1"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6">
        <f ca="1">IFERROR(__xludf.DUMMYFUNCTION("""COMPUTED_VALUE"""),45809)</f>
        <v>45809</v>
      </c>
      <c r="B75" s="7">
        <f ca="1">IFERROR(__xludf.DUMMYFUNCTION("""COMPUTED_VALUE"""),45780)</f>
        <v>45780</v>
      </c>
      <c r="C75" s="1" t="str">
        <f ca="1">IFERROR(__xludf.DUMMYFUNCTION("""COMPUTED_VALUE"""),"Oopcafe")</f>
        <v>Oopcafe</v>
      </c>
      <c r="D75" s="2">
        <f ca="1">IFERROR(__xludf.DUMMYFUNCTION("""COMPUTED_VALUE"""),79.2)</f>
        <v>79.2</v>
      </c>
      <c r="E75" s="1" t="str">
        <f ca="1">IFERROR(__xludf.DUMMYFUNCTION("""COMPUTED_VALUE"""),"-")</f>
        <v>-</v>
      </c>
      <c r="F75" s="1" t="str">
        <f ca="1">IFERROR(__xludf.DUMMYFUNCTION("""COMPUTED_VALUE"""),"Oopcafe")</f>
        <v>Oopcafe</v>
      </c>
      <c r="G75" s="1" t="str">
        <f ca="1"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6">
        <f ca="1">IFERROR(__xludf.DUMMYFUNCTION("""COMPUTED_VALUE"""),45809)</f>
        <v>45809</v>
      </c>
      <c r="B76" s="7">
        <f ca="1">IFERROR(__xludf.DUMMYFUNCTION("""COMPUTED_VALUE"""),45780)</f>
        <v>45780</v>
      </c>
      <c r="C76" s="1" t="str">
        <f ca="1">IFERROR(__xludf.DUMMYFUNCTION("""COMPUTED_VALUE"""),"Casa De Frios E Massas")</f>
        <v>Casa De Frios E Massas</v>
      </c>
      <c r="D76" s="2">
        <f ca="1">IFERROR(__xludf.DUMMYFUNCTION("""COMPUTED_VALUE"""),17.9)</f>
        <v>17.899999999999999</v>
      </c>
      <c r="E76" s="1" t="str">
        <f ca="1">IFERROR(__xludf.DUMMYFUNCTION("""COMPUTED_VALUE"""),"-")</f>
        <v>-</v>
      </c>
      <c r="F76" s="1" t="str">
        <f ca="1">IFERROR(__xludf.DUMMYFUNCTION("""COMPUTED_VALUE"""),"Casa De Frios E Massas")</f>
        <v>Casa De Frios E Massas</v>
      </c>
      <c r="G76" s="1" t="str">
        <f ca="1"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6">
        <f ca="1">IFERROR(__xludf.DUMMYFUNCTION("""COMPUTED_VALUE"""),45809)</f>
        <v>45809</v>
      </c>
      <c r="B77" s="7">
        <f ca="1">IFERROR(__xludf.DUMMYFUNCTION("""COMPUTED_VALUE"""),45781)</f>
        <v>45781</v>
      </c>
      <c r="C77" s="1" t="str">
        <f ca="1">IFERROR(__xludf.DUMMYFUNCTION("""COMPUTED_VALUE"""),"Panif Mendes Sion")</f>
        <v>Panif Mendes Sion</v>
      </c>
      <c r="D77" s="2">
        <f ca="1">IFERROR(__xludf.DUMMYFUNCTION("""COMPUTED_VALUE"""),10.92)</f>
        <v>10.92</v>
      </c>
      <c r="E77" s="1" t="str">
        <f ca="1">IFERROR(__xludf.DUMMYFUNCTION("""COMPUTED_VALUE"""),"-")</f>
        <v>-</v>
      </c>
      <c r="F77" s="1" t="str">
        <f ca="1">IFERROR(__xludf.DUMMYFUNCTION("""COMPUTED_VALUE"""),"Panif Mendes Sion")</f>
        <v>Panif Mendes Sion</v>
      </c>
      <c r="G77" s="1" t="str">
        <f ca="1"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6">
        <f ca="1">IFERROR(__xludf.DUMMYFUNCTION("""COMPUTED_VALUE"""),45809)</f>
        <v>45809</v>
      </c>
      <c r="B78" s="7">
        <f ca="1">IFERROR(__xludf.DUMMYFUNCTION("""COMPUTED_VALUE"""),45785)</f>
        <v>45785</v>
      </c>
      <c r="C78" s="1" t="str">
        <f ca="1">IFERROR(__xludf.DUMMYFUNCTION("""COMPUTED_VALUE"""),"Supermercado &amp; Padaria")</f>
        <v>Supermercado &amp; Padaria</v>
      </c>
      <c r="D78" s="2">
        <f ca="1">IFERROR(__xludf.DUMMYFUNCTION("""COMPUTED_VALUE"""),5.69)</f>
        <v>5.69</v>
      </c>
      <c r="E78" s="1" t="str">
        <f ca="1">IFERROR(__xludf.DUMMYFUNCTION("""COMPUTED_VALUE"""),"-")</f>
        <v>-</v>
      </c>
      <c r="F78" s="1" t="str">
        <f ca="1">IFERROR(__xludf.DUMMYFUNCTION("""COMPUTED_VALUE"""),"Supermercado &amp; Padaria")</f>
        <v>Supermercado &amp; Padaria</v>
      </c>
      <c r="G78" s="1" t="str">
        <f ca="1"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6">
        <f ca="1">IFERROR(__xludf.DUMMYFUNCTION("""COMPUTED_VALUE"""),45809)</f>
        <v>45809</v>
      </c>
      <c r="B79" s="7">
        <f ca="1">IFERROR(__xludf.DUMMYFUNCTION("""COMPUTED_VALUE"""),45786)</f>
        <v>45786</v>
      </c>
      <c r="C79" s="1" t="str">
        <f ca="1">IFERROR(__xludf.DUMMYFUNCTION("""COMPUTED_VALUE"""),"Supermercado &amp; Padaria")</f>
        <v>Supermercado &amp; Padaria</v>
      </c>
      <c r="D79" s="2">
        <f ca="1">IFERROR(__xludf.DUMMYFUNCTION("""COMPUTED_VALUE"""),5.69)</f>
        <v>5.69</v>
      </c>
      <c r="E79" s="1" t="str">
        <f ca="1">IFERROR(__xludf.DUMMYFUNCTION("""COMPUTED_VALUE"""),"-")</f>
        <v>-</v>
      </c>
      <c r="F79" s="1" t="str">
        <f ca="1">IFERROR(__xludf.DUMMYFUNCTION("""COMPUTED_VALUE"""),"Supermercado &amp; Padaria")</f>
        <v>Supermercado &amp; Padaria</v>
      </c>
      <c r="G79" s="1" t="str">
        <f ca="1"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6">
        <f ca="1">IFERROR(__xludf.DUMMYFUNCTION("""COMPUTED_VALUE"""),45809)</f>
        <v>45809</v>
      </c>
      <c r="B80" s="7">
        <f ca="1">IFERROR(__xludf.DUMMYFUNCTION("""COMPUTED_VALUE"""),45786)</f>
        <v>45786</v>
      </c>
      <c r="C80" s="1" t="str">
        <f ca="1">IFERROR(__xludf.DUMMYFUNCTION("""COMPUTED_VALUE"""),"Mac Savassi")</f>
        <v>Mac Savassi</v>
      </c>
      <c r="D80" s="2">
        <f ca="1">IFERROR(__xludf.DUMMYFUNCTION("""COMPUTED_VALUE"""),299)</f>
        <v>299</v>
      </c>
      <c r="E80" s="1" t="str">
        <f ca="1">IFERROR(__xludf.DUMMYFUNCTION("""COMPUTED_VALUE"""),"-")</f>
        <v>-</v>
      </c>
      <c r="F80" s="1" t="str">
        <f ca="1">IFERROR(__xludf.DUMMYFUNCTION("""COMPUTED_VALUE"""),"Mac Savassi")</f>
        <v>Mac Savassi</v>
      </c>
      <c r="G80" s="1" t="str">
        <f ca="1"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6">
        <f ca="1">IFERROR(__xludf.DUMMYFUNCTION("""COMPUTED_VALUE"""),45809)</f>
        <v>45809</v>
      </c>
      <c r="B81" s="7">
        <f ca="1">IFERROR(__xludf.DUMMYFUNCTION("""COMPUTED_VALUE"""),45787)</f>
        <v>45787</v>
      </c>
      <c r="C81" s="1" t="str">
        <f ca="1">IFERROR(__xludf.DUMMYFUNCTION("""COMPUTED_VALUE"""),"Panif Mendes Sion")</f>
        <v>Panif Mendes Sion</v>
      </c>
      <c r="D81" s="2">
        <f ca="1">IFERROR(__xludf.DUMMYFUNCTION("""COMPUTED_VALUE"""),5.72)</f>
        <v>5.72</v>
      </c>
      <c r="E81" s="1" t="str">
        <f ca="1">IFERROR(__xludf.DUMMYFUNCTION("""COMPUTED_VALUE"""),"-")</f>
        <v>-</v>
      </c>
      <c r="F81" s="1" t="str">
        <f ca="1">IFERROR(__xludf.DUMMYFUNCTION("""COMPUTED_VALUE"""),"Panif Mendes Sion")</f>
        <v>Panif Mendes Sion</v>
      </c>
      <c r="G81" s="1" t="str">
        <f ca="1"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6">
        <f ca="1">IFERROR(__xludf.DUMMYFUNCTION("""COMPUTED_VALUE"""),45809)</f>
        <v>45809</v>
      </c>
      <c r="B82" s="7">
        <f ca="1">IFERROR(__xludf.DUMMYFUNCTION("""COMPUTED_VALUE"""),45787)</f>
        <v>45787</v>
      </c>
      <c r="C82" s="1" t="str">
        <f ca="1">IFERROR(__xludf.DUMMYFUNCTION("""COMPUTED_VALUE"""),"Golden Pet")</f>
        <v>Golden Pet</v>
      </c>
      <c r="D82" s="2">
        <f ca="1">IFERROR(__xludf.DUMMYFUNCTION("""COMPUTED_VALUE"""),174)</f>
        <v>174</v>
      </c>
      <c r="E82" s="1" t="str">
        <f ca="1">IFERROR(__xludf.DUMMYFUNCTION("""COMPUTED_VALUE"""),"-")</f>
        <v>-</v>
      </c>
      <c r="F82" s="1" t="str">
        <f ca="1">IFERROR(__xludf.DUMMYFUNCTION("""COMPUTED_VALUE"""),"Golden Pet")</f>
        <v>Golden Pet</v>
      </c>
      <c r="G82" s="1" t="str">
        <f ca="1"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6">
        <f ca="1">IFERROR(__xludf.DUMMYFUNCTION("""COMPUTED_VALUE"""),45809)</f>
        <v>45809</v>
      </c>
      <c r="B83" s="7">
        <f ca="1">IFERROR(__xludf.DUMMYFUNCTION("""COMPUTED_VALUE"""),45787)</f>
        <v>45787</v>
      </c>
      <c r="C83" s="1" t="str">
        <f ca="1">IFERROR(__xludf.DUMMYFUNCTION("""COMPUTED_VALUE"""),"Posto Sigma")</f>
        <v>Posto Sigma</v>
      </c>
      <c r="D83" s="2">
        <f ca="1">IFERROR(__xludf.DUMMYFUNCTION("""COMPUTED_VALUE"""),100)</f>
        <v>100</v>
      </c>
      <c r="E83" s="1" t="str">
        <f ca="1">IFERROR(__xludf.DUMMYFUNCTION("""COMPUTED_VALUE"""),"-")</f>
        <v>-</v>
      </c>
      <c r="F83" s="1" t="str">
        <f ca="1">IFERROR(__xludf.DUMMYFUNCTION("""COMPUTED_VALUE"""),"Posto Sigma")</f>
        <v>Posto Sigma</v>
      </c>
      <c r="G83" s="1" t="str">
        <f ca="1"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6">
        <f ca="1">IFERROR(__xludf.DUMMYFUNCTION("""COMPUTED_VALUE"""),45809)</f>
        <v>45809</v>
      </c>
      <c r="B84" s="7">
        <f ca="1">IFERROR(__xludf.DUMMYFUNCTION("""COMPUTED_VALUE"""),45788)</f>
        <v>45788</v>
      </c>
      <c r="C84" s="1" t="str">
        <f ca="1">IFERROR(__xludf.DUMMYFUNCTION("""COMPUTED_VALUE"""),"Panif Mendes Sion")</f>
        <v>Panif Mendes Sion</v>
      </c>
      <c r="D84" s="2">
        <f ca="1">IFERROR(__xludf.DUMMYFUNCTION("""COMPUTED_VALUE"""),14.24)</f>
        <v>14.24</v>
      </c>
      <c r="E84" s="1" t="str">
        <f ca="1">IFERROR(__xludf.DUMMYFUNCTION("""COMPUTED_VALUE"""),"-")</f>
        <v>-</v>
      </c>
      <c r="F84" s="1" t="str">
        <f ca="1">IFERROR(__xludf.DUMMYFUNCTION("""COMPUTED_VALUE"""),"Panif Mendes Sion")</f>
        <v>Panif Mendes Sion</v>
      </c>
      <c r="G84" s="1" t="str">
        <f ca="1"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6">
        <f ca="1">IFERROR(__xludf.DUMMYFUNCTION("""COMPUTED_VALUE"""),45809)</f>
        <v>45809</v>
      </c>
      <c r="B85" s="7">
        <f ca="1">IFERROR(__xludf.DUMMYFUNCTION("""COMPUTED_VALUE"""),45789)</f>
        <v>45789</v>
      </c>
      <c r="C85" s="1" t="str">
        <f ca="1">IFERROR(__xludf.DUMMYFUNCTION("""COMPUTED_VALUE"""),"Panif Mendes Sion")</f>
        <v>Panif Mendes Sion</v>
      </c>
      <c r="D85" s="2">
        <f ca="1">IFERROR(__xludf.DUMMYFUNCTION("""COMPUTED_VALUE"""),10.44)</f>
        <v>10.44</v>
      </c>
      <c r="E85" s="1" t="str">
        <f ca="1">IFERROR(__xludf.DUMMYFUNCTION("""COMPUTED_VALUE"""),"-")</f>
        <v>-</v>
      </c>
      <c r="F85" s="1" t="str">
        <f ca="1">IFERROR(__xludf.DUMMYFUNCTION("""COMPUTED_VALUE"""),"Panif Mendes Sion")</f>
        <v>Panif Mendes Sion</v>
      </c>
      <c r="G85" s="1" t="str">
        <f ca="1"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6">
        <f ca="1">IFERROR(__xludf.DUMMYFUNCTION("""COMPUTED_VALUE"""),45809)</f>
        <v>45809</v>
      </c>
      <c r="B86" s="7">
        <f ca="1">IFERROR(__xludf.DUMMYFUNCTION("""COMPUTED_VALUE"""),45790)</f>
        <v>45790</v>
      </c>
      <c r="C86" s="1" t="str">
        <f ca="1">IFERROR(__xludf.DUMMYFUNCTION("""COMPUTED_VALUE"""),"Panif Mendes Sion")</f>
        <v>Panif Mendes Sion</v>
      </c>
      <c r="D86" s="2">
        <f ca="1">IFERROR(__xludf.DUMMYFUNCTION("""COMPUTED_VALUE"""),29.8)</f>
        <v>29.8</v>
      </c>
      <c r="E86" s="1" t="str">
        <f ca="1">IFERROR(__xludf.DUMMYFUNCTION("""COMPUTED_VALUE"""),"-")</f>
        <v>-</v>
      </c>
      <c r="F86" s="1" t="str">
        <f ca="1">IFERROR(__xludf.DUMMYFUNCTION("""COMPUTED_VALUE"""),"Panif Mendes Sion")</f>
        <v>Panif Mendes Sion</v>
      </c>
      <c r="G86" s="1" t="str">
        <f ca="1"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6">
        <f ca="1">IFERROR(__xludf.DUMMYFUNCTION("""COMPUTED_VALUE"""),45809)</f>
        <v>45809</v>
      </c>
      <c r="B87" s="7">
        <f ca="1">IFERROR(__xludf.DUMMYFUNCTION("""COMPUTED_VALUE"""),45790)</f>
        <v>45790</v>
      </c>
      <c r="C87" s="1" t="str">
        <f ca="1">IFERROR(__xludf.DUMMYFUNCTION("""COMPUTED_VALUE"""),"Panif Mendes Sion")</f>
        <v>Panif Mendes Sion</v>
      </c>
      <c r="D87" s="2">
        <f ca="1">IFERROR(__xludf.DUMMYFUNCTION("""COMPUTED_VALUE"""),6.28)</f>
        <v>6.28</v>
      </c>
      <c r="E87" s="1" t="str">
        <f ca="1">IFERROR(__xludf.DUMMYFUNCTION("""COMPUTED_VALUE"""),"-")</f>
        <v>-</v>
      </c>
      <c r="F87" s="1" t="str">
        <f ca="1">IFERROR(__xludf.DUMMYFUNCTION("""COMPUTED_VALUE"""),"Panif Mendes Sion")</f>
        <v>Panif Mendes Sion</v>
      </c>
      <c r="G87" s="1" t="str">
        <f ca="1"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6">
        <f ca="1">IFERROR(__xludf.DUMMYFUNCTION("""COMPUTED_VALUE"""),45809)</f>
        <v>45809</v>
      </c>
      <c r="B88" s="7">
        <f ca="1">IFERROR(__xludf.DUMMYFUNCTION("""COMPUTED_VALUE"""),45791)</f>
        <v>45791</v>
      </c>
      <c r="C88" s="1" t="str">
        <f ca="1">IFERROR(__xludf.DUMMYFUNCTION("""COMPUTED_VALUE"""),"Centro De Excelencia (1/2)")</f>
        <v>Centro De Excelencia (1/2)</v>
      </c>
      <c r="D88" s="2">
        <f ca="1">IFERROR(__xludf.DUMMYFUNCTION("""COMPUTED_VALUE"""),520)</f>
        <v>520</v>
      </c>
      <c r="E88" s="1" t="str">
        <f ca="1">IFERROR(__xludf.DUMMYFUNCTION("""COMPUTED_VALUE"""),"-")</f>
        <v>-</v>
      </c>
      <c r="F88" s="1" t="str">
        <f ca="1">IFERROR(__xludf.DUMMYFUNCTION("""COMPUTED_VALUE"""),"Centro De Excelencia")</f>
        <v>Centro De Excelencia</v>
      </c>
      <c r="G88" s="1" t="str">
        <f ca="1"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6">
        <f ca="1">IFERROR(__xludf.DUMMYFUNCTION("""COMPUTED_VALUE"""),45809)</f>
        <v>45809</v>
      </c>
      <c r="B89" s="7">
        <f ca="1">IFERROR(__xludf.DUMMYFUNCTION("""COMPUTED_VALUE"""),45791)</f>
        <v>45791</v>
      </c>
      <c r="C89" s="1" t="str">
        <f ca="1">IFERROR(__xludf.DUMMYFUNCTION("""COMPUTED_VALUE"""),"Supermercado &amp; Padaria")</f>
        <v>Supermercado &amp; Padaria</v>
      </c>
      <c r="D89" s="2">
        <f ca="1">IFERROR(__xludf.DUMMYFUNCTION("""COMPUTED_VALUE"""),66.82)</f>
        <v>66.819999999999993</v>
      </c>
      <c r="E89" s="1" t="str">
        <f ca="1">IFERROR(__xludf.DUMMYFUNCTION("""COMPUTED_VALUE"""),"-")</f>
        <v>-</v>
      </c>
      <c r="F89" s="1" t="str">
        <f ca="1">IFERROR(__xludf.DUMMYFUNCTION("""COMPUTED_VALUE"""),"Supermercado &amp; Padaria")</f>
        <v>Supermercado &amp; Padaria</v>
      </c>
      <c r="G89" s="1" t="str">
        <f ca="1"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6">
        <f ca="1">IFERROR(__xludf.DUMMYFUNCTION("""COMPUTED_VALUE"""),45809)</f>
        <v>45809</v>
      </c>
      <c r="B90" s="7">
        <f ca="1">IFERROR(__xludf.DUMMYFUNCTION("""COMPUTED_VALUE"""),45791)</f>
        <v>45791</v>
      </c>
      <c r="C90" s="1" t="str">
        <f ca="1">IFERROR(__xludf.DUMMYFUNCTION("""COMPUTED_VALUE"""),"Panif Mendes Sion")</f>
        <v>Panif Mendes Sion</v>
      </c>
      <c r="D90" s="2">
        <f ca="1">IFERROR(__xludf.DUMMYFUNCTION("""COMPUTED_VALUE"""),5.7)</f>
        <v>5.7</v>
      </c>
      <c r="E90" s="1" t="str">
        <f ca="1">IFERROR(__xludf.DUMMYFUNCTION("""COMPUTED_VALUE"""),"-")</f>
        <v>-</v>
      </c>
      <c r="F90" s="1" t="str">
        <f ca="1">IFERROR(__xludf.DUMMYFUNCTION("""COMPUTED_VALUE"""),"Panif Mendes Sion")</f>
        <v>Panif Mendes Sion</v>
      </c>
      <c r="G90" s="1" t="str">
        <f ca="1"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6">
        <f ca="1">IFERROR(__xludf.DUMMYFUNCTION("""COMPUTED_VALUE"""),45809)</f>
        <v>45809</v>
      </c>
      <c r="B91" s="7">
        <f ca="1">IFERROR(__xludf.DUMMYFUNCTION("""COMPUTED_VALUE"""),45792)</f>
        <v>45792</v>
      </c>
      <c r="C91" s="1" t="str">
        <f ca="1">IFERROR(__xludf.DUMMYFUNCTION("""COMPUTED_VALUE"""),"Posto Chefao")</f>
        <v>Posto Chefao</v>
      </c>
      <c r="D91" s="2">
        <f ca="1">IFERROR(__xludf.DUMMYFUNCTION("""COMPUTED_VALUE"""),100)</f>
        <v>100</v>
      </c>
      <c r="E91" s="1" t="str">
        <f ca="1">IFERROR(__xludf.DUMMYFUNCTION("""COMPUTED_VALUE"""),"-")</f>
        <v>-</v>
      </c>
      <c r="F91" s="1" t="str">
        <f ca="1">IFERROR(__xludf.DUMMYFUNCTION("""COMPUTED_VALUE"""),"Posto Chefao")</f>
        <v>Posto Chefao</v>
      </c>
      <c r="G91" s="1" t="str">
        <f ca="1"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6">
        <f ca="1">IFERROR(__xludf.DUMMYFUNCTION("""COMPUTED_VALUE"""),45809)</f>
        <v>45809</v>
      </c>
      <c r="B92" s="7">
        <f ca="1">IFERROR(__xludf.DUMMYFUNCTION("""COMPUTED_VALUE"""),45792)</f>
        <v>45792</v>
      </c>
      <c r="C92" s="1" t="str">
        <f ca="1">IFERROR(__xludf.DUMMYFUNCTION("""COMPUTED_VALUE"""),"Belvedere Combustiveis")</f>
        <v>Belvedere Combustiveis</v>
      </c>
      <c r="D92" s="2">
        <f ca="1">IFERROR(__xludf.DUMMYFUNCTION("""COMPUTED_VALUE"""),142.36)</f>
        <v>142.36000000000001</v>
      </c>
      <c r="E92" s="1" t="str">
        <f ca="1">IFERROR(__xludf.DUMMYFUNCTION("""COMPUTED_VALUE"""),"-")</f>
        <v>-</v>
      </c>
      <c r="F92" s="1" t="str">
        <f ca="1">IFERROR(__xludf.DUMMYFUNCTION("""COMPUTED_VALUE"""),"Belvedere Combustiveis")</f>
        <v>Belvedere Combustiveis</v>
      </c>
      <c r="G92" s="1" t="str">
        <f ca="1"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6">
        <f ca="1">IFERROR(__xludf.DUMMYFUNCTION("""COMPUTED_VALUE"""),45809)</f>
        <v>45809</v>
      </c>
      <c r="B93" s="7">
        <f ca="1">IFERROR(__xludf.DUMMYFUNCTION("""COMPUTED_VALUE"""),45792)</f>
        <v>45792</v>
      </c>
      <c r="C93" s="1" t="str">
        <f ca="1">IFERROR(__xludf.DUMMYFUNCTION("""COMPUTED_VALUE"""),"Sabor Da Empda")</f>
        <v>Sabor Da Empda</v>
      </c>
      <c r="D93" s="2">
        <f ca="1">IFERROR(__xludf.DUMMYFUNCTION("""COMPUTED_VALUE"""),19.5)</f>
        <v>19.5</v>
      </c>
      <c r="E93" s="1" t="str">
        <f ca="1">IFERROR(__xludf.DUMMYFUNCTION("""COMPUTED_VALUE"""),"-")</f>
        <v>-</v>
      </c>
      <c r="F93" s="1" t="str">
        <f ca="1">IFERROR(__xludf.DUMMYFUNCTION("""COMPUTED_VALUE"""),"Sabor Da Empda")</f>
        <v>Sabor Da Empda</v>
      </c>
      <c r="G93" s="1" t="str">
        <f ca="1"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6">
        <f ca="1">IFERROR(__xludf.DUMMYFUNCTION("""COMPUTED_VALUE"""),45809)</f>
        <v>45809</v>
      </c>
      <c r="B94" s="7">
        <f ca="1">IFERROR(__xludf.DUMMYFUNCTION("""COMPUTED_VALUE"""),45792)</f>
        <v>45792</v>
      </c>
      <c r="C94" s="1" t="str">
        <f ca="1">IFERROR(__xludf.DUMMYFUNCTION("""COMPUTED_VALUE"""),"Rocambole E Cia")</f>
        <v>Rocambole E Cia</v>
      </c>
      <c r="D94" s="2">
        <f ca="1">IFERROR(__xludf.DUMMYFUNCTION("""COMPUTED_VALUE"""),20)</f>
        <v>20</v>
      </c>
      <c r="E94" s="1" t="str">
        <f ca="1">IFERROR(__xludf.DUMMYFUNCTION("""COMPUTED_VALUE"""),"-")</f>
        <v>-</v>
      </c>
      <c r="F94" s="1" t="str">
        <f ca="1">IFERROR(__xludf.DUMMYFUNCTION("""COMPUTED_VALUE"""),"Rocambole E Cia")</f>
        <v>Rocambole E Cia</v>
      </c>
      <c r="G94" s="1" t="str">
        <f ca="1"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6">
        <f ca="1">IFERROR(__xludf.DUMMYFUNCTION("""COMPUTED_VALUE"""),45809)</f>
        <v>45809</v>
      </c>
      <c r="B95" s="7">
        <f ca="1">IFERROR(__xludf.DUMMYFUNCTION("""COMPUTED_VALUE"""),45792)</f>
        <v>45792</v>
      </c>
      <c r="C95" s="1" t="str">
        <f ca="1">IFERROR(__xludf.DUMMYFUNCTION("""COMPUTED_VALUE"""),"Pasta Basta")</f>
        <v>Pasta Basta</v>
      </c>
      <c r="D95" s="2">
        <f ca="1">IFERROR(__xludf.DUMMYFUNCTION("""COMPUTED_VALUE"""),163.9)</f>
        <v>163.9</v>
      </c>
      <c r="E95" s="1" t="str">
        <f ca="1">IFERROR(__xludf.DUMMYFUNCTION("""COMPUTED_VALUE"""),"-")</f>
        <v>-</v>
      </c>
      <c r="F95" s="1" t="str">
        <f ca="1">IFERROR(__xludf.DUMMYFUNCTION("""COMPUTED_VALUE"""),"Pasta Basta")</f>
        <v>Pasta Basta</v>
      </c>
      <c r="G95" s="1" t="str">
        <f ca="1"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6">
        <f ca="1">IFERROR(__xludf.DUMMYFUNCTION("""COMPUTED_VALUE"""),45809)</f>
        <v>45809</v>
      </c>
      <c r="B96" s="7">
        <f ca="1">IFERROR(__xludf.DUMMYFUNCTION("""COMPUTED_VALUE"""),45792)</f>
        <v>45792</v>
      </c>
      <c r="C96" s="1" t="str">
        <f ca="1">IFERROR(__xludf.DUMMYFUNCTION("""COMPUTED_VALUE"""),"Casa Das Latas Praca")</f>
        <v>Casa Das Latas Praca</v>
      </c>
      <c r="D96" s="2">
        <f ca="1">IFERROR(__xludf.DUMMYFUNCTION("""COMPUTED_VALUE"""),6.27)</f>
        <v>6.27</v>
      </c>
      <c r="E96" s="1" t="str">
        <f ca="1">IFERROR(__xludf.DUMMYFUNCTION("""COMPUTED_VALUE"""),"-")</f>
        <v>-</v>
      </c>
      <c r="F96" s="1" t="str">
        <f ca="1">IFERROR(__xludf.DUMMYFUNCTION("""COMPUTED_VALUE"""),"Casa Das Latas Praca")</f>
        <v>Casa Das Latas Praca</v>
      </c>
      <c r="G96" s="1" t="str">
        <f ca="1"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6">
        <f ca="1">IFERROR(__xludf.DUMMYFUNCTION("""COMPUTED_VALUE"""),45809)</f>
        <v>45809</v>
      </c>
      <c r="B97" s="7">
        <f ca="1">IFERROR(__xludf.DUMMYFUNCTION("""COMPUTED_VALUE"""),45792)</f>
        <v>45792</v>
      </c>
      <c r="C97" s="1" t="str">
        <f ca="1">IFERROR(__xludf.DUMMYFUNCTION("""COMPUTED_VALUE"""),"Lembranca")</f>
        <v>Lembranca</v>
      </c>
      <c r="D97" s="2">
        <f ca="1">IFERROR(__xludf.DUMMYFUNCTION("""COMPUTED_VALUE"""),95)</f>
        <v>95</v>
      </c>
      <c r="E97" s="1" t="str">
        <f ca="1">IFERROR(__xludf.DUMMYFUNCTION("""COMPUTED_VALUE"""),"-")</f>
        <v>-</v>
      </c>
      <c r="F97" s="1" t="str">
        <f ca="1">IFERROR(__xludf.DUMMYFUNCTION("""COMPUTED_VALUE"""),"Lembranca")</f>
        <v>Lembranca</v>
      </c>
      <c r="G97" s="1" t="str">
        <f ca="1"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6">
        <f ca="1">IFERROR(__xludf.DUMMYFUNCTION("""COMPUTED_VALUE"""),45809)</f>
        <v>45809</v>
      </c>
      <c r="B98" s="7">
        <f ca="1">IFERROR(__xludf.DUMMYFUNCTION("""COMPUTED_VALUE"""),45792)</f>
        <v>45792</v>
      </c>
      <c r="C98" s="1" t="str">
        <f ca="1">IFERROR(__xludf.DUMMYFUNCTION("""COMPUTED_VALUE"""),"Chocolateria Puro Caca")</f>
        <v>Chocolateria Puro Caca</v>
      </c>
      <c r="D98" s="2">
        <f ca="1">IFERROR(__xludf.DUMMYFUNCTION("""COMPUTED_VALUE"""),12)</f>
        <v>12</v>
      </c>
      <c r="E98" s="1" t="str">
        <f ca="1">IFERROR(__xludf.DUMMYFUNCTION("""COMPUTED_VALUE"""),"-")</f>
        <v>-</v>
      </c>
      <c r="F98" s="1" t="str">
        <f ca="1">IFERROR(__xludf.DUMMYFUNCTION("""COMPUTED_VALUE"""),"Chocolateria Puro Caca")</f>
        <v>Chocolateria Puro Caca</v>
      </c>
      <c r="G98" s="1" t="str">
        <f ca="1"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6">
        <f ca="1">IFERROR(__xludf.DUMMYFUNCTION("""COMPUTED_VALUE"""),45809)</f>
        <v>45809</v>
      </c>
      <c r="B99" s="7">
        <f ca="1">IFERROR(__xludf.DUMMYFUNCTION("""COMPUTED_VALUE"""),45793)</f>
        <v>45793</v>
      </c>
      <c r="C99" s="1" t="str">
        <f ca="1">IFERROR(__xludf.DUMMYFUNCTION("""COMPUTED_VALUE"""),"Barouk")</f>
        <v>Barouk</v>
      </c>
      <c r="D99" s="2">
        <f ca="1">IFERROR(__xludf.DUMMYFUNCTION("""COMPUTED_VALUE"""),301.04)</f>
        <v>301.04000000000002</v>
      </c>
      <c r="E99" s="1" t="str">
        <f ca="1">IFERROR(__xludf.DUMMYFUNCTION("""COMPUTED_VALUE"""),"-")</f>
        <v>-</v>
      </c>
      <c r="F99" s="1" t="str">
        <f ca="1">IFERROR(__xludf.DUMMYFUNCTION("""COMPUTED_VALUE"""),"Barouk")</f>
        <v>Barouk</v>
      </c>
      <c r="G99" s="1" t="str">
        <f ca="1"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6">
        <f ca="1">IFERROR(__xludf.DUMMYFUNCTION("""COMPUTED_VALUE"""),45809)</f>
        <v>45809</v>
      </c>
      <c r="B100" s="7">
        <f ca="1">IFERROR(__xludf.DUMMYFUNCTION("""COMPUTED_VALUE"""),45793)</f>
        <v>45793</v>
      </c>
      <c r="C100" s="1" t="str">
        <f ca="1">IFERROR(__xludf.DUMMYFUNCTION("""COMPUTED_VALUE"""),"Trembier Festival")</f>
        <v>Trembier Festival</v>
      </c>
      <c r="D100" s="2">
        <f ca="1">IFERROR(__xludf.DUMMYFUNCTION("""COMPUTED_VALUE"""),149)</f>
        <v>149</v>
      </c>
      <c r="E100" s="1" t="str">
        <f ca="1">IFERROR(__xludf.DUMMYFUNCTION("""COMPUTED_VALUE"""),"-")</f>
        <v>-</v>
      </c>
      <c r="F100" s="1" t="str">
        <f ca="1">IFERROR(__xludf.DUMMYFUNCTION("""COMPUTED_VALUE"""),"Trembier Festival")</f>
        <v>Trembier Festival</v>
      </c>
      <c r="G100" s="1" t="str">
        <f ca="1"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6">
        <f ca="1">IFERROR(__xludf.DUMMYFUNCTION("""COMPUTED_VALUE"""),45809)</f>
        <v>45809</v>
      </c>
      <c r="B101" s="7">
        <f ca="1">IFERROR(__xludf.DUMMYFUNCTION("""COMPUTED_VALUE"""),45793)</f>
        <v>45793</v>
      </c>
      <c r="C101" s="1" t="str">
        <f ca="1">IFERROR(__xludf.DUMMYFUNCTION("""COMPUTED_VALUE"""),"Montanhas Restaurante")</f>
        <v>Montanhas Restaurante</v>
      </c>
      <c r="D101" s="2">
        <f ca="1">IFERROR(__xludf.DUMMYFUNCTION("""COMPUTED_VALUE"""),3)</f>
        <v>3</v>
      </c>
      <c r="E101" s="1" t="str">
        <f ca="1">IFERROR(__xludf.DUMMYFUNCTION("""COMPUTED_VALUE"""),"-")</f>
        <v>-</v>
      </c>
      <c r="F101" s="1" t="str">
        <f ca="1">IFERROR(__xludf.DUMMYFUNCTION("""COMPUTED_VALUE"""),"Montanhas Restaurante")</f>
        <v>Montanhas Restaurante</v>
      </c>
      <c r="G101" s="1" t="str">
        <f ca="1"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6">
        <f ca="1">IFERROR(__xludf.DUMMYFUNCTION("""COMPUTED_VALUE"""),45809)</f>
        <v>45809</v>
      </c>
      <c r="B102" s="7">
        <f ca="1">IFERROR(__xludf.DUMMYFUNCTION("""COMPUTED_VALUE"""),45793)</f>
        <v>45793</v>
      </c>
      <c r="C102" s="1" t="str">
        <f ca="1">IFERROR(__xludf.DUMMYFUNCTION("""COMPUTED_VALUE"""),"Cafe Caramello")</f>
        <v>Cafe Caramello</v>
      </c>
      <c r="D102" s="2">
        <f ca="1">IFERROR(__xludf.DUMMYFUNCTION("""COMPUTED_VALUE"""),35)</f>
        <v>35</v>
      </c>
      <c r="E102" s="1" t="str">
        <f ca="1">IFERROR(__xludf.DUMMYFUNCTION("""COMPUTED_VALUE"""),"-")</f>
        <v>-</v>
      </c>
      <c r="F102" s="1" t="str">
        <f ca="1">IFERROR(__xludf.DUMMYFUNCTION("""COMPUTED_VALUE"""),"Cafe Caramello")</f>
        <v>Cafe Caramello</v>
      </c>
      <c r="G102" s="1" t="str">
        <f ca="1"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6">
        <f ca="1">IFERROR(__xludf.DUMMYFUNCTION("""COMPUTED_VALUE"""),45809)</f>
        <v>45809</v>
      </c>
      <c r="B103" s="7">
        <f ca="1">IFERROR(__xludf.DUMMYFUNCTION("""COMPUTED_VALUE"""),45793)</f>
        <v>45793</v>
      </c>
      <c r="C103" s="1" t="str">
        <f ca="1">IFERROR(__xludf.DUMMYFUNCTION("""COMPUTED_VALUE"""),"Supermercado Eskynao L")</f>
        <v>Supermercado Eskynao L</v>
      </c>
      <c r="D103" s="2">
        <f ca="1">IFERROR(__xludf.DUMMYFUNCTION("""COMPUTED_VALUE"""),75.98)</f>
        <v>75.98</v>
      </c>
      <c r="E103" s="1" t="str">
        <f ca="1">IFERROR(__xludf.DUMMYFUNCTION("""COMPUTED_VALUE"""),"-")</f>
        <v>-</v>
      </c>
      <c r="F103" s="1" t="str">
        <f ca="1">IFERROR(__xludf.DUMMYFUNCTION("""COMPUTED_VALUE"""),"Supermercado Eskynao L")</f>
        <v>Supermercado Eskynao L</v>
      </c>
      <c r="G103" s="1" t="str">
        <f ca="1"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6">
        <f ca="1">IFERROR(__xludf.DUMMYFUNCTION("""COMPUTED_VALUE"""),45809)</f>
        <v>45809</v>
      </c>
      <c r="B104" s="7">
        <f ca="1">IFERROR(__xludf.DUMMYFUNCTION("""COMPUTED_VALUE"""),45793)</f>
        <v>45793</v>
      </c>
      <c r="C104" s="1" t="str">
        <f ca="1">IFERROR(__xludf.DUMMYFUNCTION("""COMPUTED_VALUE"""),"Marcia Regina Pinheiro")</f>
        <v>Marcia Regina Pinheiro</v>
      </c>
      <c r="D104" s="2">
        <f ca="1">IFERROR(__xludf.DUMMYFUNCTION("""COMPUTED_VALUE"""),352.35)</f>
        <v>352.35</v>
      </c>
      <c r="E104" s="1" t="str">
        <f ca="1">IFERROR(__xludf.DUMMYFUNCTION("""COMPUTED_VALUE"""),"-")</f>
        <v>-</v>
      </c>
      <c r="F104" s="1" t="str">
        <f ca="1">IFERROR(__xludf.DUMMYFUNCTION("""COMPUTED_VALUE"""),"Marcia Regina Pinheiro")</f>
        <v>Marcia Regina Pinheiro</v>
      </c>
      <c r="G104" s="1" t="str">
        <f ca="1"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6">
        <f ca="1">IFERROR(__xludf.DUMMYFUNCTION("""COMPUTED_VALUE"""),45809)</f>
        <v>45809</v>
      </c>
      <c r="B105" s="7">
        <f ca="1">IFERROR(__xludf.DUMMYFUNCTION("""COMPUTED_VALUE"""),45793)</f>
        <v>45793</v>
      </c>
      <c r="C105" s="1" t="str">
        <f ca="1">IFERROR(__xludf.DUMMYFUNCTION("""COMPUTED_VALUE"""),"Lembranca")</f>
        <v>Lembranca</v>
      </c>
      <c r="D105" s="2">
        <f ca="1">IFERROR(__xludf.DUMMYFUNCTION("""COMPUTED_VALUE"""),95)</f>
        <v>95</v>
      </c>
      <c r="E105" s="1" t="str">
        <f ca="1">IFERROR(__xludf.DUMMYFUNCTION("""COMPUTED_VALUE"""),"-")</f>
        <v>-</v>
      </c>
      <c r="F105" s="1" t="str">
        <f ca="1">IFERROR(__xludf.DUMMYFUNCTION("""COMPUTED_VALUE"""),"Lembranca")</f>
        <v>Lembranca</v>
      </c>
      <c r="G105" s="1" t="str">
        <f ca="1"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6">
        <f ca="1">IFERROR(__xludf.DUMMYFUNCTION("""COMPUTED_VALUE"""),45809)</f>
        <v>45809</v>
      </c>
      <c r="B106" s="7">
        <f ca="1">IFERROR(__xludf.DUMMYFUNCTION("""COMPUTED_VALUE"""),45793)</f>
        <v>45793</v>
      </c>
      <c r="C106" s="1" t="str">
        <f ca="1">IFERROR(__xludf.DUMMYFUNCTION("""COMPUTED_VALUE"""),"Relicario Trem Bie")</f>
        <v>Relicario Trem Bie</v>
      </c>
      <c r="D106" s="2">
        <f ca="1">IFERROR(__xludf.DUMMYFUNCTION("""COMPUTED_VALUE"""),22)</f>
        <v>22</v>
      </c>
      <c r="E106" s="1" t="str">
        <f ca="1">IFERROR(__xludf.DUMMYFUNCTION("""COMPUTED_VALUE"""),"-")</f>
        <v>-</v>
      </c>
      <c r="F106" s="1" t="str">
        <f ca="1">IFERROR(__xludf.DUMMYFUNCTION("""COMPUTED_VALUE"""),"Relicario Trem Bie")</f>
        <v>Relicario Trem Bie</v>
      </c>
      <c r="G106" s="1" t="str">
        <f ca="1"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6">
        <f ca="1">IFERROR(__xludf.DUMMYFUNCTION("""COMPUTED_VALUE"""),45809)</f>
        <v>45809</v>
      </c>
      <c r="B107" s="7">
        <f ca="1">IFERROR(__xludf.DUMMYFUNCTION("""COMPUTED_VALUE"""),45793)</f>
        <v>45793</v>
      </c>
      <c r="C107" s="1" t="str">
        <f ca="1">IFERROR(__xludf.DUMMYFUNCTION("""COMPUTED_VALUE"""),"Relicario Trem Bie")</f>
        <v>Relicario Trem Bie</v>
      </c>
      <c r="D107" s="2">
        <f ca="1">IFERROR(__xludf.DUMMYFUNCTION("""COMPUTED_VALUE"""),18)</f>
        <v>18</v>
      </c>
      <c r="E107" s="1" t="str">
        <f ca="1">IFERROR(__xludf.DUMMYFUNCTION("""COMPUTED_VALUE"""),"-")</f>
        <v>-</v>
      </c>
      <c r="F107" s="1" t="str">
        <f ca="1">IFERROR(__xludf.DUMMYFUNCTION("""COMPUTED_VALUE"""),"Relicario Trem Bie")</f>
        <v>Relicario Trem Bie</v>
      </c>
      <c r="G107" s="1" t="str">
        <f ca="1"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6">
        <f ca="1">IFERROR(__xludf.DUMMYFUNCTION("""COMPUTED_VALUE"""),45809)</f>
        <v>45809</v>
      </c>
      <c r="B108" s="7">
        <f ca="1">IFERROR(__xludf.DUMMYFUNCTION("""COMPUTED_VALUE"""),45793)</f>
        <v>45793</v>
      </c>
      <c r="C108" s="1" t="str">
        <f ca="1">IFERROR(__xludf.DUMMYFUNCTION("""COMPUTED_VALUE"""),"Cafeteria Tiradentes")</f>
        <v>Cafeteria Tiradentes</v>
      </c>
      <c r="D108" s="2">
        <f ca="1">IFERROR(__xludf.DUMMYFUNCTION("""COMPUTED_VALUE"""),44)</f>
        <v>44</v>
      </c>
      <c r="E108" s="1" t="str">
        <f ca="1">IFERROR(__xludf.DUMMYFUNCTION("""COMPUTED_VALUE"""),"-")</f>
        <v>-</v>
      </c>
      <c r="F108" s="1" t="str">
        <f ca="1">IFERROR(__xludf.DUMMYFUNCTION("""COMPUTED_VALUE"""),"Cafeteria Tiradentes")</f>
        <v>Cafeteria Tiradentes</v>
      </c>
      <c r="G108" s="1" t="str">
        <f ca="1"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6">
        <f ca="1">IFERROR(__xludf.DUMMYFUNCTION("""COMPUTED_VALUE"""),45809)</f>
        <v>45809</v>
      </c>
      <c r="B109" s="7">
        <f ca="1">IFERROR(__xludf.DUMMYFUNCTION("""COMPUTED_VALUE"""),45794)</f>
        <v>45794</v>
      </c>
      <c r="C109" s="1" t="str">
        <f ca="1">IFERROR(__xludf.DUMMYFUNCTION("""COMPUTED_VALUE"""),"Espaco Faemam")</f>
        <v>Espaco Faemam</v>
      </c>
      <c r="D109" s="2">
        <f ca="1">IFERROR(__xludf.DUMMYFUNCTION("""COMPUTED_VALUE"""),162.21)</f>
        <v>162.21</v>
      </c>
      <c r="E109" s="1" t="str">
        <f ca="1">IFERROR(__xludf.DUMMYFUNCTION("""COMPUTED_VALUE"""),"-")</f>
        <v>-</v>
      </c>
      <c r="F109" s="1" t="str">
        <f ca="1">IFERROR(__xludf.DUMMYFUNCTION("""COMPUTED_VALUE"""),"Espaco Faemam")</f>
        <v>Espaco Faemam</v>
      </c>
      <c r="G109" s="1" t="str">
        <f ca="1"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6">
        <f ca="1">IFERROR(__xludf.DUMMYFUNCTION("""COMPUTED_VALUE"""),45809)</f>
        <v>45809</v>
      </c>
      <c r="B110" s="7">
        <f ca="1">IFERROR(__xludf.DUMMYFUNCTION("""COMPUTED_VALUE"""),45794)</f>
        <v>45794</v>
      </c>
      <c r="C110" s="1" t="str">
        <f ca="1">IFERROR(__xludf.DUMMYFUNCTION("""COMPUTED_VALUE"""),"América Burgers")</f>
        <v>América Burgers</v>
      </c>
      <c r="D110" s="2">
        <f ca="1">IFERROR(__xludf.DUMMYFUNCTION("""COMPUTED_VALUE"""),174.5)</f>
        <v>174.5</v>
      </c>
      <c r="E110" s="1" t="str">
        <f ca="1">IFERROR(__xludf.DUMMYFUNCTION("""COMPUTED_VALUE"""),"-")</f>
        <v>-</v>
      </c>
      <c r="F110" s="1" t="str">
        <f ca="1">IFERROR(__xludf.DUMMYFUNCTION("""COMPUTED_VALUE"""),"América Burgers")</f>
        <v>América Burgers</v>
      </c>
      <c r="G110" s="1" t="str">
        <f ca="1"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6">
        <f ca="1">IFERROR(__xludf.DUMMYFUNCTION("""COMPUTED_VALUE"""),45809)</f>
        <v>45809</v>
      </c>
      <c r="B111" s="7">
        <f ca="1">IFERROR(__xludf.DUMMYFUNCTION("""COMPUTED_VALUE"""),45795)</f>
        <v>45795</v>
      </c>
      <c r="C111" s="1" t="str">
        <f ca="1">IFERROR(__xludf.DUMMYFUNCTION("""COMPUTED_VALUE"""),"Chocolate Do Rei")</f>
        <v>Chocolate Do Rei</v>
      </c>
      <c r="D111" s="2">
        <f ca="1">IFERROR(__xludf.DUMMYFUNCTION("""COMPUTED_VALUE"""),49.84)</f>
        <v>49.84</v>
      </c>
      <c r="E111" s="1" t="str">
        <f ca="1">IFERROR(__xludf.DUMMYFUNCTION("""COMPUTED_VALUE"""),"-")</f>
        <v>-</v>
      </c>
      <c r="F111" s="1" t="str">
        <f ca="1">IFERROR(__xludf.DUMMYFUNCTION("""COMPUTED_VALUE"""),"Chocolate Do Rei")</f>
        <v>Chocolate Do Rei</v>
      </c>
      <c r="G111" s="1" t="str">
        <f ca="1"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6">
        <f ca="1">IFERROR(__xludf.DUMMYFUNCTION("""COMPUTED_VALUE"""),45809)</f>
        <v>45809</v>
      </c>
      <c r="B112" s="7">
        <f ca="1">IFERROR(__xludf.DUMMYFUNCTION("""COMPUTED_VALUE"""),45795)</f>
        <v>45795</v>
      </c>
      <c r="C112" s="1" t="str">
        <f ca="1">IFERROR(__xludf.DUMMYFUNCTION("""COMPUTED_VALUE"""),"Posto Bernardo Ltda")</f>
        <v>Posto Bernardo Ltda</v>
      </c>
      <c r="D112" s="2">
        <f ca="1">IFERROR(__xludf.DUMMYFUNCTION("""COMPUTED_VALUE"""),142.02)</f>
        <v>142.02000000000001</v>
      </c>
      <c r="E112" s="1" t="str">
        <f ca="1">IFERROR(__xludf.DUMMYFUNCTION("""COMPUTED_VALUE"""),"-")</f>
        <v>-</v>
      </c>
      <c r="F112" s="1" t="str">
        <f ca="1">IFERROR(__xludf.DUMMYFUNCTION("""COMPUTED_VALUE"""),"Posto Bernardo Ltda")</f>
        <v>Posto Bernardo Ltda</v>
      </c>
      <c r="G112" s="1" t="str">
        <f ca="1"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6">
        <f ca="1">IFERROR(__xludf.DUMMYFUNCTION("""COMPUTED_VALUE"""),45809)</f>
        <v>45809</v>
      </c>
      <c r="B113" s="7">
        <f ca="1">IFERROR(__xludf.DUMMYFUNCTION("""COMPUTED_VALUE"""),45795)</f>
        <v>45795</v>
      </c>
      <c r="C113" s="1" t="str">
        <f ca="1">IFERROR(__xludf.DUMMYFUNCTION("""COMPUTED_VALUE"""),"Super Nosso")</f>
        <v>Super Nosso</v>
      </c>
      <c r="D113" s="2">
        <f ca="1">IFERROR(__xludf.DUMMYFUNCTION("""COMPUTED_VALUE"""),302.65)</f>
        <v>302.64999999999998</v>
      </c>
      <c r="E113" s="1" t="str">
        <f ca="1">IFERROR(__xludf.DUMMYFUNCTION("""COMPUTED_VALUE"""),"-")</f>
        <v>-</v>
      </c>
      <c r="F113" s="1" t="str">
        <f ca="1">IFERROR(__xludf.DUMMYFUNCTION("""COMPUTED_VALUE"""),"Super Nosso")</f>
        <v>Super Nosso</v>
      </c>
      <c r="G113" s="1" t="str">
        <f ca="1"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6">
        <f ca="1">IFERROR(__xludf.DUMMYFUNCTION("""COMPUTED_VALUE"""),45809)</f>
        <v>45809</v>
      </c>
      <c r="B114" s="7">
        <f ca="1">IFERROR(__xludf.DUMMYFUNCTION("""COMPUTED_VALUE"""),45797)</f>
        <v>45797</v>
      </c>
      <c r="C114" s="1" t="str">
        <f ca="1">IFERROR(__xludf.DUMMYFUNCTION("""COMPUTED_VALUE"""),"Café E Cia")</f>
        <v>Café E Cia</v>
      </c>
      <c r="D114" s="2">
        <f ca="1">IFERROR(__xludf.DUMMYFUNCTION("""COMPUTED_VALUE"""),4)</f>
        <v>4</v>
      </c>
      <c r="E114" s="1" t="str">
        <f ca="1">IFERROR(__xludf.DUMMYFUNCTION("""COMPUTED_VALUE"""),"-")</f>
        <v>-</v>
      </c>
      <c r="F114" s="1" t="str">
        <f ca="1">IFERROR(__xludf.DUMMYFUNCTION("""COMPUTED_VALUE"""),"Café E Cia")</f>
        <v>Café E Cia</v>
      </c>
      <c r="G114" s="1" t="str">
        <f ca="1"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6">
        <f ca="1">IFERROR(__xludf.DUMMYFUNCTION("""COMPUTED_VALUE"""),45809)</f>
        <v>45809</v>
      </c>
      <c r="B115" s="7">
        <f ca="1">IFERROR(__xludf.DUMMYFUNCTION("""COMPUTED_VALUE"""),45797)</f>
        <v>45797</v>
      </c>
      <c r="C115" s="1" t="str">
        <f ca="1">IFERROR(__xludf.DUMMYFUNCTION("""COMPUTED_VALUE"""),"Panif Mendes Sion")</f>
        <v>Panif Mendes Sion</v>
      </c>
      <c r="D115" s="2">
        <f ca="1">IFERROR(__xludf.DUMMYFUNCTION("""COMPUTED_VALUE"""),4.4)</f>
        <v>4.4000000000000004</v>
      </c>
      <c r="E115" s="1" t="str">
        <f ca="1">IFERROR(__xludf.DUMMYFUNCTION("""COMPUTED_VALUE"""),"-")</f>
        <v>-</v>
      </c>
      <c r="F115" s="1" t="str">
        <f ca="1">IFERROR(__xludf.DUMMYFUNCTION("""COMPUTED_VALUE"""),"Panif Mendes Sion")</f>
        <v>Panif Mendes Sion</v>
      </c>
      <c r="G115" s="1" t="str">
        <f ca="1"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6">
        <f ca="1">IFERROR(__xludf.DUMMYFUNCTION("""COMPUTED_VALUE"""),45809)</f>
        <v>45809</v>
      </c>
      <c r="B116" s="7">
        <f ca="1">IFERROR(__xludf.DUMMYFUNCTION("""COMPUTED_VALUE"""),45798)</f>
        <v>45798</v>
      </c>
      <c r="C116" s="1" t="str">
        <f ca="1">IFERROR(__xludf.DUMMYFUNCTION("""COMPUTED_VALUE"""),"Panif Mendes Sion")</f>
        <v>Panif Mendes Sion</v>
      </c>
      <c r="D116" s="2">
        <f ca="1">IFERROR(__xludf.DUMMYFUNCTION("""COMPUTED_VALUE"""),14.52)</f>
        <v>14.52</v>
      </c>
      <c r="E116" s="1" t="str">
        <f ca="1">IFERROR(__xludf.DUMMYFUNCTION("""COMPUTED_VALUE"""),"-")</f>
        <v>-</v>
      </c>
      <c r="F116" s="1" t="str">
        <f ca="1">IFERROR(__xludf.DUMMYFUNCTION("""COMPUTED_VALUE"""),"Panif Mendes Sion")</f>
        <v>Panif Mendes Sion</v>
      </c>
      <c r="G116" s="1" t="str">
        <f ca="1"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6">
        <f ca="1">IFERROR(__xludf.DUMMYFUNCTION("""COMPUTED_VALUE"""),45809)</f>
        <v>45809</v>
      </c>
      <c r="B117" s="7">
        <f ca="1">IFERROR(__xludf.DUMMYFUNCTION("""COMPUTED_VALUE"""),45798)</f>
        <v>45798</v>
      </c>
      <c r="C117" s="1" t="str">
        <f ca="1">IFERROR(__xludf.DUMMYFUNCTION("""COMPUTED_VALUE"""),"Recanto Sion")</f>
        <v>Recanto Sion</v>
      </c>
      <c r="D117" s="2">
        <f ca="1">IFERROR(__xludf.DUMMYFUNCTION("""COMPUTED_VALUE"""),53.5)</f>
        <v>53.5</v>
      </c>
      <c r="E117" s="1" t="str">
        <f ca="1">IFERROR(__xludf.DUMMYFUNCTION("""COMPUTED_VALUE"""),"-")</f>
        <v>-</v>
      </c>
      <c r="F117" s="1" t="str">
        <f ca="1">IFERROR(__xludf.DUMMYFUNCTION("""COMPUTED_VALUE"""),"Recanto Sion")</f>
        <v>Recanto Sion</v>
      </c>
      <c r="G117" s="1" t="str">
        <f ca="1"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6">
        <f ca="1">IFERROR(__xludf.DUMMYFUNCTION("""COMPUTED_VALUE"""),45809)</f>
        <v>45809</v>
      </c>
      <c r="B118" s="7">
        <f ca="1">IFERROR(__xludf.DUMMYFUNCTION("""COMPUTED_VALUE"""),45799)</f>
        <v>45799</v>
      </c>
      <c r="C118" s="1" t="str">
        <f ca="1">IFERROR(__xludf.DUMMYFUNCTION("""COMPUTED_VALUE"""),"Panif Mendes Sion")</f>
        <v>Panif Mendes Sion</v>
      </c>
      <c r="D118" s="2">
        <f ca="1">IFERROR(__xludf.DUMMYFUNCTION("""COMPUTED_VALUE"""),18.48)</f>
        <v>18.48</v>
      </c>
      <c r="E118" s="1" t="str">
        <f ca="1">IFERROR(__xludf.DUMMYFUNCTION("""COMPUTED_VALUE"""),"-")</f>
        <v>-</v>
      </c>
      <c r="F118" s="1" t="str">
        <f ca="1">IFERROR(__xludf.DUMMYFUNCTION("""COMPUTED_VALUE"""),"Panif Mendes Sion")</f>
        <v>Panif Mendes Sion</v>
      </c>
      <c r="G118" s="1" t="str">
        <f ca="1"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6">
        <f ca="1">IFERROR(__xludf.DUMMYFUNCTION("""COMPUTED_VALUE"""),45809)</f>
        <v>45809</v>
      </c>
      <c r="B119" s="7">
        <f ca="1">IFERROR(__xludf.DUMMYFUNCTION("""COMPUTED_VALUE"""),45799)</f>
        <v>45799</v>
      </c>
      <c r="C119" s="1" t="str">
        <f ca="1">IFERROR(__xludf.DUMMYFUNCTION("""COMPUTED_VALUE"""),"Drogaria Araujo")</f>
        <v>Drogaria Araujo</v>
      </c>
      <c r="D119" s="2">
        <f ca="1">IFERROR(__xludf.DUMMYFUNCTION("""COMPUTED_VALUE"""),35.88)</f>
        <v>35.880000000000003</v>
      </c>
      <c r="E119" s="1" t="str">
        <f ca="1">IFERROR(__xludf.DUMMYFUNCTION("""COMPUTED_VALUE"""),"-")</f>
        <v>-</v>
      </c>
      <c r="F119" s="1" t="str">
        <f ca="1">IFERROR(__xludf.DUMMYFUNCTION("""COMPUTED_VALUE"""),"Drogaria Araujo")</f>
        <v>Drogaria Araujo</v>
      </c>
      <c r="G119" s="1" t="str">
        <f ca="1">IFERROR(__xludf.DUMMYFUNCTION("""COMPUTED_VALUE"""),"Farmácia")</f>
        <v>Farmácia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6">
        <f ca="1">IFERROR(__xludf.DUMMYFUNCTION("""COMPUTED_VALUE"""),45809)</f>
        <v>45809</v>
      </c>
      <c r="B120" s="7">
        <f ca="1">IFERROR(__xludf.DUMMYFUNCTION("""COMPUTED_VALUE"""),45799)</f>
        <v>45799</v>
      </c>
      <c r="C120" s="1" t="str">
        <f ca="1">IFERROR(__xludf.DUMMYFUNCTION("""COMPUTED_VALUE"""),"Espassogourmet")</f>
        <v>Espassogourmet</v>
      </c>
      <c r="D120" s="2">
        <f ca="1">IFERROR(__xludf.DUMMYFUNCTION("""COMPUTED_VALUE"""),59.8)</f>
        <v>59.8</v>
      </c>
      <c r="E120" s="1" t="str">
        <f ca="1">IFERROR(__xludf.DUMMYFUNCTION("""COMPUTED_VALUE"""),"-")</f>
        <v>-</v>
      </c>
      <c r="F120" s="1" t="str">
        <f ca="1">IFERROR(__xludf.DUMMYFUNCTION("""COMPUTED_VALUE"""),"Espassogourmet")</f>
        <v>Espassogourmet</v>
      </c>
      <c r="G120" s="1" t="str">
        <f ca="1"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6">
        <f ca="1">IFERROR(__xludf.DUMMYFUNCTION("""COMPUTED_VALUE"""),45809)</f>
        <v>45809</v>
      </c>
      <c r="B121" s="7">
        <f ca="1">IFERROR(__xludf.DUMMYFUNCTION("""COMPUTED_VALUE"""),45799)</f>
        <v>45799</v>
      </c>
      <c r="C121" s="1" t="str">
        <f ca="1">IFERROR(__xludf.DUMMYFUNCTION("""COMPUTED_VALUE"""),"Bem Oriente")</f>
        <v>Bem Oriente</v>
      </c>
      <c r="D121" s="2">
        <f ca="1">IFERROR(__xludf.DUMMYFUNCTION("""COMPUTED_VALUE"""),37.96)</f>
        <v>37.96</v>
      </c>
      <c r="E121" s="1" t="str">
        <f ca="1">IFERROR(__xludf.DUMMYFUNCTION("""COMPUTED_VALUE"""),"-")</f>
        <v>-</v>
      </c>
      <c r="F121" s="1" t="str">
        <f ca="1">IFERROR(__xludf.DUMMYFUNCTION("""COMPUTED_VALUE"""),"Bem Oriente")</f>
        <v>Bem Oriente</v>
      </c>
      <c r="G121" s="1" t="str">
        <f ca="1"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6">
        <f ca="1">IFERROR(__xludf.DUMMYFUNCTION("""COMPUTED_VALUE"""),45809)</f>
        <v>45809</v>
      </c>
      <c r="B122" s="7">
        <f ca="1">IFERROR(__xludf.DUMMYFUNCTION("""COMPUTED_VALUE"""),45799)</f>
        <v>45799</v>
      </c>
      <c r="C122" s="1" t="str">
        <f ca="1">IFERROR(__xludf.DUMMYFUNCTION("""COMPUTED_VALUE"""),"Bem Oriente")</f>
        <v>Bem Oriente</v>
      </c>
      <c r="D122" s="2">
        <f ca="1">IFERROR(__xludf.DUMMYFUNCTION("""COMPUTED_VALUE"""),7.31)</f>
        <v>7.31</v>
      </c>
      <c r="E122" s="1" t="str">
        <f ca="1">IFERROR(__xludf.DUMMYFUNCTION("""COMPUTED_VALUE"""),"-")</f>
        <v>-</v>
      </c>
      <c r="F122" s="1" t="str">
        <f ca="1">IFERROR(__xludf.DUMMYFUNCTION("""COMPUTED_VALUE"""),"Bem Oriente")</f>
        <v>Bem Oriente</v>
      </c>
      <c r="G122" s="1" t="str">
        <f ca="1"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6">
        <f ca="1">IFERROR(__xludf.DUMMYFUNCTION("""COMPUTED_VALUE"""),45809)</f>
        <v>45809</v>
      </c>
      <c r="B123" s="7">
        <f ca="1">IFERROR(__xludf.DUMMYFUNCTION("""COMPUTED_VALUE"""),45799)</f>
        <v>45799</v>
      </c>
      <c r="C123" s="1" t="str">
        <f ca="1">IFERROR(__xludf.DUMMYFUNCTION("""COMPUTED_VALUE"""),"Pizza Do Douglas")</f>
        <v>Pizza Do Douglas</v>
      </c>
      <c r="D123" s="2">
        <f ca="1">IFERROR(__xludf.DUMMYFUNCTION("""COMPUTED_VALUE"""),40)</f>
        <v>40</v>
      </c>
      <c r="E123" s="1" t="str">
        <f ca="1">IFERROR(__xludf.DUMMYFUNCTION("""COMPUTED_VALUE"""),"-")</f>
        <v>-</v>
      </c>
      <c r="F123" s="1" t="str">
        <f ca="1">IFERROR(__xludf.DUMMYFUNCTION("""COMPUTED_VALUE"""),"Pizza Do Douglas")</f>
        <v>Pizza Do Douglas</v>
      </c>
      <c r="G123" s="1" t="str">
        <f ca="1"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6">
        <f ca="1">IFERROR(__xludf.DUMMYFUNCTION("""COMPUTED_VALUE"""),45809)</f>
        <v>45809</v>
      </c>
      <c r="B124" s="7">
        <f ca="1">IFERROR(__xludf.DUMMYFUNCTION("""COMPUTED_VALUE"""),45799)</f>
        <v>45799</v>
      </c>
      <c r="C124" s="1" t="str">
        <f ca="1">IFERROR(__xludf.DUMMYFUNCTION("""COMPUTED_VALUE"""),"Drogaria Pacheco")</f>
        <v>Drogaria Pacheco</v>
      </c>
      <c r="D124" s="2">
        <f ca="1">IFERROR(__xludf.DUMMYFUNCTION("""COMPUTED_VALUE"""),78.89)</f>
        <v>78.89</v>
      </c>
      <c r="E124" s="1" t="str">
        <f ca="1">IFERROR(__xludf.DUMMYFUNCTION("""COMPUTED_VALUE"""),"-")</f>
        <v>-</v>
      </c>
      <c r="F124" s="1" t="str">
        <f ca="1">IFERROR(__xludf.DUMMYFUNCTION("""COMPUTED_VALUE"""),"Drogaria Pacheco")</f>
        <v>Drogaria Pacheco</v>
      </c>
      <c r="G124" s="1" t="str">
        <f ca="1">IFERROR(__xludf.DUMMYFUNCTION("""COMPUTED_VALUE"""),"Farmácia")</f>
        <v>Farmácia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6">
        <f ca="1">IFERROR(__xludf.DUMMYFUNCTION("""COMPUTED_VALUE"""),45809)</f>
        <v>45809</v>
      </c>
      <c r="B125" s="7">
        <f ca="1">IFERROR(__xludf.DUMMYFUNCTION("""COMPUTED_VALUE"""),45800)</f>
        <v>45800</v>
      </c>
      <c r="C125" s="1" t="str">
        <f ca="1">IFERROR(__xludf.DUMMYFUNCTION("""COMPUTED_VALUE"""),"Cacarolinha")</f>
        <v>Cacarolinha</v>
      </c>
      <c r="D125" s="2">
        <f ca="1">IFERROR(__xludf.DUMMYFUNCTION("""COMPUTED_VALUE"""),27.25)</f>
        <v>27.25</v>
      </c>
      <c r="E125" s="1" t="str">
        <f ca="1">IFERROR(__xludf.DUMMYFUNCTION("""COMPUTED_VALUE"""),"-")</f>
        <v>-</v>
      </c>
      <c r="F125" s="1" t="str">
        <f ca="1">IFERROR(__xludf.DUMMYFUNCTION("""COMPUTED_VALUE"""),"Cacarolinha")</f>
        <v>Cacarolinha</v>
      </c>
      <c r="G125" s="1" t="str">
        <f ca="1"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6">
        <f ca="1">IFERROR(__xludf.DUMMYFUNCTION("""COMPUTED_VALUE"""),45809)</f>
        <v>45809</v>
      </c>
      <c r="B126" s="7">
        <f ca="1">IFERROR(__xludf.DUMMYFUNCTION("""COMPUTED_VALUE"""),45801)</f>
        <v>45801</v>
      </c>
      <c r="C126" s="1" t="str">
        <f ca="1">IFERROR(__xludf.DUMMYFUNCTION("""COMPUTED_VALUE"""),"Panif Mendes Sion")</f>
        <v>Panif Mendes Sion</v>
      </c>
      <c r="D126" s="2">
        <f ca="1">IFERROR(__xludf.DUMMYFUNCTION("""COMPUTED_VALUE"""),21.05)</f>
        <v>21.05</v>
      </c>
      <c r="E126" s="1" t="str">
        <f ca="1">IFERROR(__xludf.DUMMYFUNCTION("""COMPUTED_VALUE"""),"-")</f>
        <v>-</v>
      </c>
      <c r="F126" s="1" t="str">
        <f ca="1">IFERROR(__xludf.DUMMYFUNCTION("""COMPUTED_VALUE"""),"Panif Mendes Sion")</f>
        <v>Panif Mendes Sion</v>
      </c>
      <c r="G126" s="1" t="str">
        <f ca="1"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6">
        <f ca="1">IFERROR(__xludf.DUMMYFUNCTION("""COMPUTED_VALUE"""),45809)</f>
        <v>45809</v>
      </c>
      <c r="B127" s="7">
        <f ca="1">IFERROR(__xludf.DUMMYFUNCTION("""COMPUTED_VALUE"""),45801)</f>
        <v>45801</v>
      </c>
      <c r="C127" s="1" t="str">
        <f ca="1">IFERROR(__xludf.DUMMYFUNCTION("""COMPUTED_VALUE"""),"Golden Pet")</f>
        <v>Golden Pet</v>
      </c>
      <c r="D127" s="2">
        <f ca="1">IFERROR(__xludf.DUMMYFUNCTION("""COMPUTED_VALUE"""),124)</f>
        <v>124</v>
      </c>
      <c r="E127" s="1" t="str">
        <f ca="1">IFERROR(__xludf.DUMMYFUNCTION("""COMPUTED_VALUE"""),"-")</f>
        <v>-</v>
      </c>
      <c r="F127" s="1" t="str">
        <f ca="1">IFERROR(__xludf.DUMMYFUNCTION("""COMPUTED_VALUE"""),"Golden Pet")</f>
        <v>Golden Pet</v>
      </c>
      <c r="G127" s="1" t="str">
        <f ca="1"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6">
        <f ca="1">IFERROR(__xludf.DUMMYFUNCTION("""COMPUTED_VALUE"""),45809)</f>
        <v>45809</v>
      </c>
      <c r="B128" s="7">
        <f ca="1">IFERROR(__xludf.DUMMYFUNCTION("""COMPUTED_VALUE"""),45801)</f>
        <v>45801</v>
      </c>
      <c r="C128" s="1" t="str">
        <f ca="1">IFERROR(__xludf.DUMMYFUNCTION("""COMPUTED_VALUE"""),"480 Mg Bh Boulevard")</f>
        <v>480 Mg Bh Boulevard</v>
      </c>
      <c r="D128" s="2">
        <f ca="1">IFERROR(__xludf.DUMMYFUNCTION("""COMPUTED_VALUE"""),419.98)</f>
        <v>419.98</v>
      </c>
      <c r="E128" s="1" t="str">
        <f ca="1">IFERROR(__xludf.DUMMYFUNCTION("""COMPUTED_VALUE"""),"-")</f>
        <v>-</v>
      </c>
      <c r="F128" s="1" t="str">
        <f ca="1">IFERROR(__xludf.DUMMYFUNCTION("""COMPUTED_VALUE"""),"480 Mg Bh Boulevard")</f>
        <v>480 Mg Bh Boulevard</v>
      </c>
      <c r="G128" s="1" t="str">
        <f ca="1"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6">
        <f ca="1">IFERROR(__xludf.DUMMYFUNCTION("""COMPUTED_VALUE"""),45809)</f>
        <v>45809</v>
      </c>
      <c r="B129" s="7">
        <f ca="1">IFERROR(__xludf.DUMMYFUNCTION("""COMPUTED_VALUE"""),45801)</f>
        <v>45801</v>
      </c>
      <c r="C129" s="1" t="str">
        <f ca="1">IFERROR(__xludf.DUMMYFUNCTION("""COMPUTED_VALUE"""),"Direcao")</f>
        <v>Direcao</v>
      </c>
      <c r="D129" s="2">
        <f ca="1">IFERROR(__xludf.DUMMYFUNCTION("""COMPUTED_VALUE"""),15.75)</f>
        <v>15.75</v>
      </c>
      <c r="E129" s="1" t="str">
        <f ca="1">IFERROR(__xludf.DUMMYFUNCTION("""COMPUTED_VALUE"""),"-")</f>
        <v>-</v>
      </c>
      <c r="F129" s="1" t="str">
        <f ca="1">IFERROR(__xludf.DUMMYFUNCTION("""COMPUTED_VALUE"""),"Direcao")</f>
        <v>Direcao</v>
      </c>
      <c r="G129" s="1" t="str">
        <f ca="1"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6">
        <f ca="1">IFERROR(__xludf.DUMMYFUNCTION("""COMPUTED_VALUE"""),45809)</f>
        <v>45809</v>
      </c>
      <c r="B130" s="7">
        <f ca="1">IFERROR(__xludf.DUMMYFUNCTION("""COMPUTED_VALUE"""),45801)</f>
        <v>45801</v>
      </c>
      <c r="C130" s="1" t="str">
        <f ca="1">IFERROR(__xludf.DUMMYFUNCTION("""COMPUTED_VALUE"""),"O Bhar")</f>
        <v>O Bhar</v>
      </c>
      <c r="D130" s="2">
        <f ca="1">IFERROR(__xludf.DUMMYFUNCTION("""COMPUTED_VALUE"""),56.1)</f>
        <v>56.1</v>
      </c>
      <c r="E130" s="1" t="str">
        <f ca="1">IFERROR(__xludf.DUMMYFUNCTION("""COMPUTED_VALUE"""),"-")</f>
        <v>-</v>
      </c>
      <c r="F130" s="1" t="str">
        <f ca="1">IFERROR(__xludf.DUMMYFUNCTION("""COMPUTED_VALUE"""),"O Bhar")</f>
        <v>O Bhar</v>
      </c>
      <c r="G130" s="1" t="str">
        <f ca="1"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6">
        <f ca="1">IFERROR(__xludf.DUMMYFUNCTION("""COMPUTED_VALUE"""),45809)</f>
        <v>45809</v>
      </c>
      <c r="B131" s="7">
        <f ca="1">IFERROR(__xludf.DUMMYFUNCTION("""COMPUTED_VALUE"""),45802)</f>
        <v>45802</v>
      </c>
      <c r="C131" s="1" t="str">
        <f ca="1">IFERROR(__xludf.DUMMYFUNCTION("""COMPUTED_VALUE"""),"Assaí Atacadista")</f>
        <v>Assaí Atacadista</v>
      </c>
      <c r="D131" s="2">
        <f ca="1">IFERROR(__xludf.DUMMYFUNCTION("""COMPUTED_VALUE"""),68.78)</f>
        <v>68.78</v>
      </c>
      <c r="E131" s="1" t="str">
        <f ca="1">IFERROR(__xludf.DUMMYFUNCTION("""COMPUTED_VALUE"""),"-")</f>
        <v>-</v>
      </c>
      <c r="F131" s="1" t="str">
        <f ca="1">IFERROR(__xludf.DUMMYFUNCTION("""COMPUTED_VALUE"""),"Assaí Atacadista")</f>
        <v>Assaí Atacadista</v>
      </c>
      <c r="G131" s="1" t="str">
        <f ca="1"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6">
        <f ca="1">IFERROR(__xludf.DUMMYFUNCTION("""COMPUTED_VALUE"""),45809)</f>
        <v>45809</v>
      </c>
      <c r="B132" s="7">
        <f ca="1">IFERROR(__xludf.DUMMYFUNCTION("""COMPUTED_VALUE"""),45802)</f>
        <v>45802</v>
      </c>
      <c r="C132" s="1" t="str">
        <f ca="1">IFERROR(__xludf.DUMMYFUNCTION("""COMPUTED_VALUE"""),"Assaí Atacadista")</f>
        <v>Assaí Atacadista</v>
      </c>
      <c r="D132" s="2">
        <f ca="1">IFERROR(__xludf.DUMMYFUNCTION("""COMPUTED_VALUE"""),16.05)</f>
        <v>16.05</v>
      </c>
      <c r="E132" s="1" t="str">
        <f ca="1">IFERROR(__xludf.DUMMYFUNCTION("""COMPUTED_VALUE"""),"-")</f>
        <v>-</v>
      </c>
      <c r="F132" s="1" t="str">
        <f ca="1">IFERROR(__xludf.DUMMYFUNCTION("""COMPUTED_VALUE"""),"Assaí Atacadista")</f>
        <v>Assaí Atacadista</v>
      </c>
      <c r="G132" s="1" t="str">
        <f ca="1"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6">
        <f ca="1">IFERROR(__xludf.DUMMYFUNCTION("""COMPUTED_VALUE"""),45809)</f>
        <v>45809</v>
      </c>
      <c r="B133" s="7">
        <f ca="1">IFERROR(__xludf.DUMMYFUNCTION("""COMPUTED_VALUE"""),45802)</f>
        <v>45802</v>
      </c>
      <c r="C133" s="1" t="str">
        <f ca="1">IFERROR(__xludf.DUMMYFUNCTION("""COMPUTED_VALUE"""),"Panif Mendes Sion")</f>
        <v>Panif Mendes Sion</v>
      </c>
      <c r="D133" s="2">
        <f ca="1">IFERROR(__xludf.DUMMYFUNCTION("""COMPUTED_VALUE"""),15.65)</f>
        <v>15.65</v>
      </c>
      <c r="E133" s="1" t="str">
        <f ca="1">IFERROR(__xludf.DUMMYFUNCTION("""COMPUTED_VALUE"""),"-")</f>
        <v>-</v>
      </c>
      <c r="F133" s="1" t="str">
        <f ca="1">IFERROR(__xludf.DUMMYFUNCTION("""COMPUTED_VALUE"""),"Panif Mendes Sion")</f>
        <v>Panif Mendes Sion</v>
      </c>
      <c r="G133" s="1" t="str">
        <f ca="1"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6">
        <f ca="1">IFERROR(__xludf.DUMMYFUNCTION("""COMPUTED_VALUE"""),45809)</f>
        <v>45809</v>
      </c>
      <c r="B134" s="7">
        <f ca="1">IFERROR(__xludf.DUMMYFUNCTION("""COMPUTED_VALUE"""),45804)</f>
        <v>45804</v>
      </c>
      <c r="C134" s="1" t="str">
        <f ca="1">IFERROR(__xludf.DUMMYFUNCTION("""COMPUTED_VALUE"""),"Redentor")</f>
        <v>Redentor</v>
      </c>
      <c r="D134" s="2">
        <f ca="1">IFERROR(__xludf.DUMMYFUNCTION("""COMPUTED_VALUE"""),46.01)</f>
        <v>46.01</v>
      </c>
      <c r="E134" s="1" t="str">
        <f ca="1">IFERROR(__xludf.DUMMYFUNCTION("""COMPUTED_VALUE"""),"-")</f>
        <v>-</v>
      </c>
      <c r="F134" s="1" t="str">
        <f ca="1">IFERROR(__xludf.DUMMYFUNCTION("""COMPUTED_VALUE"""),"Redentor")</f>
        <v>Redentor</v>
      </c>
      <c r="G134" s="1" t="str">
        <f ca="1"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6">
        <f ca="1">IFERROR(__xludf.DUMMYFUNCTION("""COMPUTED_VALUE"""),45809)</f>
        <v>45809</v>
      </c>
      <c r="B135" s="7">
        <f ca="1">IFERROR(__xludf.DUMMYFUNCTION("""COMPUTED_VALUE"""),45804)</f>
        <v>45804</v>
      </c>
      <c r="C135" s="1" t="str">
        <f ca="1">IFERROR(__xludf.DUMMYFUNCTION("""COMPUTED_VALUE"""),"Amo Burger")</f>
        <v>Amo Burger</v>
      </c>
      <c r="D135" s="2">
        <f ca="1">IFERROR(__xludf.DUMMYFUNCTION("""COMPUTED_VALUE"""),98.78)</f>
        <v>98.78</v>
      </c>
      <c r="E135" s="1" t="str">
        <f ca="1">IFERROR(__xludf.DUMMYFUNCTION("""COMPUTED_VALUE"""),"-")</f>
        <v>-</v>
      </c>
      <c r="F135" s="1" t="str">
        <f ca="1">IFERROR(__xludf.DUMMYFUNCTION("""COMPUTED_VALUE"""),"Amo Burger")</f>
        <v>Amo Burger</v>
      </c>
      <c r="G135" s="1" t="str">
        <f ca="1"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6">
        <f ca="1">IFERROR(__xludf.DUMMYFUNCTION("""COMPUTED_VALUE"""),45809)</f>
        <v>45809</v>
      </c>
      <c r="B136" s="7">
        <f ca="1">IFERROR(__xludf.DUMMYFUNCTION("""COMPUTED_VALUE"""),45793)</f>
        <v>45793</v>
      </c>
      <c r="C136" s="1" t="str">
        <f ca="1">IFERROR(__xludf.DUMMYFUNCTION("""COMPUTED_VALUE"""),"Mai Tiradentes")</f>
        <v>Mai Tiradentes</v>
      </c>
      <c r="D136" s="2">
        <f ca="1">IFERROR(__xludf.DUMMYFUNCTION("""COMPUTED_VALUE"""),36.97)</f>
        <v>36.97</v>
      </c>
      <c r="E136" s="1" t="str">
        <f ca="1">IFERROR(__xludf.DUMMYFUNCTION("""COMPUTED_VALUE"""),"-")</f>
        <v>-</v>
      </c>
      <c r="F136" s="1" t="str">
        <f ca="1">IFERROR(__xludf.DUMMYFUNCTION("""COMPUTED_VALUE"""),"Mai Tiradentes")</f>
        <v>Mai Tiradentes</v>
      </c>
      <c r="G136" s="1" t="str">
        <f ca="1"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6">
        <f ca="1">IFERROR(__xludf.DUMMYFUNCTION("""COMPUTED_VALUE"""),45809)</f>
        <v>45809</v>
      </c>
      <c r="B137" s="7">
        <f ca="1">IFERROR(__xludf.DUMMYFUNCTION("""COMPUTED_VALUE"""),45757)</f>
        <v>45757</v>
      </c>
      <c r="C137" s="1" t="str">
        <f ca="1">IFERROR(__xludf.DUMMYFUNCTION("""COMPUTED_VALUE"""),"Amazonmktplc Delutecom (2/2)")</f>
        <v>Amazonmktplc Delutecom (2/2)</v>
      </c>
      <c r="D137" s="2">
        <f ca="1">IFERROR(__xludf.DUMMYFUNCTION("""COMPUTED_VALUE"""),74.95)</f>
        <v>74.95</v>
      </c>
      <c r="E137" s="1" t="str">
        <f ca="1">IFERROR(__xludf.DUMMYFUNCTION("""COMPUTED_VALUE"""),"-")</f>
        <v>-</v>
      </c>
      <c r="F137" s="1" t="str">
        <f ca="1">IFERROR(__xludf.DUMMYFUNCTION("""COMPUTED_VALUE"""),"Amazonmktplc")</f>
        <v>Amazonmktplc</v>
      </c>
      <c r="G137" s="1" t="str">
        <f ca="1"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6">
        <f ca="1">IFERROR(__xludf.DUMMYFUNCTION("""COMPUTED_VALUE"""),45809)</f>
        <v>45809</v>
      </c>
      <c r="B138" s="7">
        <f ca="1">IFERROR(__xludf.DUMMYFUNCTION("""COMPUTED_VALUE"""),45757)</f>
        <v>45757</v>
      </c>
      <c r="C138" s="1" t="str">
        <f ca="1">IFERROR(__xludf.DUMMYFUNCTION("""COMPUTED_VALUE"""),"Amazon (2/3)")</f>
        <v>Amazon (2/3)</v>
      </c>
      <c r="D138" s="2">
        <f ca="1">IFERROR(__xludf.DUMMYFUNCTION("""COMPUTED_VALUE"""),84.53)</f>
        <v>84.53</v>
      </c>
      <c r="E138" s="1" t="str">
        <f ca="1">IFERROR(__xludf.DUMMYFUNCTION("""COMPUTED_VALUE"""),"-")</f>
        <v>-</v>
      </c>
      <c r="F138" s="1" t="str">
        <f ca="1">IFERROR(__xludf.DUMMYFUNCTION("""COMPUTED_VALUE"""),"Amazon")</f>
        <v>Amazon</v>
      </c>
      <c r="G138" s="1" t="str">
        <f ca="1"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6">
        <f ca="1">IFERROR(__xludf.DUMMYFUNCTION("""COMPUTED_VALUE"""),45809)</f>
        <v>45809</v>
      </c>
      <c r="B139" s="7">
        <f ca="1">IFERROR(__xludf.DUMMYFUNCTION("""COMPUTED_VALUE"""),45762)</f>
        <v>45762</v>
      </c>
      <c r="C139" s="1" t="str">
        <f ca="1">IFERROR(__xludf.DUMMYFUNCTION("""COMPUTED_VALUE"""),"Lavo Ta Novo (2/2)")</f>
        <v>Lavo Ta Novo (2/2)</v>
      </c>
      <c r="D139" s="2">
        <f ca="1">IFERROR(__xludf.DUMMYFUNCTION("""COMPUTED_VALUE"""),217.5)</f>
        <v>217.5</v>
      </c>
      <c r="E139" s="1" t="str">
        <f ca="1">IFERROR(__xludf.DUMMYFUNCTION("""COMPUTED_VALUE"""),"-")</f>
        <v>-</v>
      </c>
      <c r="F139" s="1" t="str">
        <f ca="1">IFERROR(__xludf.DUMMYFUNCTION("""COMPUTED_VALUE"""),"Lavo Ta Novo")</f>
        <v>Lavo Ta Novo</v>
      </c>
      <c r="G139" s="1" t="str">
        <f ca="1"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6">
        <f ca="1">IFERROR(__xludf.DUMMYFUNCTION("""COMPUTED_VALUE"""),45809)</f>
        <v>45809</v>
      </c>
      <c r="B140" s="7">
        <f ca="1">IFERROR(__xludf.DUMMYFUNCTION("""COMPUTED_VALUE"""),45765)</f>
        <v>45765</v>
      </c>
      <c r="C140" s="1" t="str">
        <f ca="1">IFERROR(__xludf.DUMMYFUNCTION("""COMPUTED_VALUE"""),"Casas Bahia (2/10)")</f>
        <v>Casas Bahia (2/10)</v>
      </c>
      <c r="D140" s="2">
        <f ca="1">IFERROR(__xludf.DUMMYFUNCTION("""COMPUTED_VALUE"""),361.46)</f>
        <v>361.46</v>
      </c>
      <c r="E140" s="1" t="str">
        <f ca="1">IFERROR(__xludf.DUMMYFUNCTION("""COMPUTED_VALUE"""),"-")</f>
        <v>-</v>
      </c>
      <c r="F140" s="1" t="str">
        <f ca="1">IFERROR(__xludf.DUMMYFUNCTION("""COMPUTED_VALUE"""),"Casas Bahia")</f>
        <v>Casas Bahia</v>
      </c>
      <c r="G140" s="1" t="str">
        <f ca="1"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6">
        <f ca="1">IFERROR(__xludf.DUMMYFUNCTION("""COMPUTED_VALUE"""),45809)</f>
        <v>45809</v>
      </c>
      <c r="B141" s="7">
        <f ca="1">IFERROR(__xludf.DUMMYFUNCTION("""COMPUTED_VALUE"""),45765)</f>
        <v>45765</v>
      </c>
      <c r="C141" s="1" t="str">
        <f ca="1">IFERROR(__xludf.DUMMYFUNCTION("""COMPUTED_VALUE"""),"Shopee (2/3)")</f>
        <v>Shopee (2/3)</v>
      </c>
      <c r="D141" s="2">
        <f ca="1">IFERROR(__xludf.DUMMYFUNCTION("""COMPUTED_VALUE"""),89.63)</f>
        <v>89.63</v>
      </c>
      <c r="E141" s="1" t="str">
        <f ca="1">IFERROR(__xludf.DUMMYFUNCTION("""COMPUTED_VALUE"""),"-")</f>
        <v>-</v>
      </c>
      <c r="F141" s="1" t="str">
        <f ca="1">IFERROR(__xludf.DUMMYFUNCTION("""COMPUTED_VALUE"""),"Shopee")</f>
        <v>Shopee</v>
      </c>
      <c r="G141" s="1" t="str">
        <f ca="1"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6">
        <f ca="1">IFERROR(__xludf.DUMMYFUNCTION("""COMPUTED_VALUE"""),45809)</f>
        <v>45809</v>
      </c>
      <c r="B142" s="7">
        <f ca="1">IFERROR(__xludf.DUMMYFUNCTION("""COMPUTED_VALUE"""),45765)</f>
        <v>45765</v>
      </c>
      <c r="C142" s="1" t="str">
        <f ca="1">IFERROR(__xludf.DUMMYFUNCTION("""COMPUTED_VALUE"""),"Yogi Baby (2/3)")</f>
        <v>Yogi Baby (2/3)</v>
      </c>
      <c r="D142" s="2">
        <f ca="1">IFERROR(__xludf.DUMMYFUNCTION("""COMPUTED_VALUE"""),24.48)</f>
        <v>24.48</v>
      </c>
      <c r="E142" s="1" t="str">
        <f ca="1">IFERROR(__xludf.DUMMYFUNCTION("""COMPUTED_VALUE"""),"-")</f>
        <v>-</v>
      </c>
      <c r="F142" s="1" t="str">
        <f ca="1">IFERROR(__xludf.DUMMYFUNCTION("""COMPUTED_VALUE"""),"Yogi Baby")</f>
        <v>Yogi Baby</v>
      </c>
      <c r="G142" s="1" t="str">
        <f ca="1"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6">
        <f ca="1">IFERROR(__xludf.DUMMYFUNCTION("""COMPUTED_VALUE"""),45809)</f>
        <v>45809</v>
      </c>
      <c r="B143" s="7">
        <f ca="1">IFERROR(__xludf.DUMMYFUNCTION("""COMPUTED_VALUE"""),45766)</f>
        <v>45766</v>
      </c>
      <c r="C143" s="1" t="str">
        <f ca="1">IFERROR(__xludf.DUMMYFUNCTION("""COMPUTED_VALUE"""),"Petlove (2/3)")</f>
        <v>Petlove (2/3)</v>
      </c>
      <c r="D143" s="2">
        <f ca="1">IFERROR(__xludf.DUMMYFUNCTION("""COMPUTED_VALUE"""),149)</f>
        <v>149</v>
      </c>
      <c r="E143" s="1" t="str">
        <f ca="1">IFERROR(__xludf.DUMMYFUNCTION("""COMPUTED_VALUE"""),"-")</f>
        <v>-</v>
      </c>
      <c r="F143" s="1" t="str">
        <f ca="1">IFERROR(__xludf.DUMMYFUNCTION("""COMPUTED_VALUE"""),"Petlove")</f>
        <v>Petlove</v>
      </c>
      <c r="G143" s="1" t="str">
        <f ca="1"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6">
        <f ca="1">IFERROR(__xludf.DUMMYFUNCTION("""COMPUTED_VALUE"""),45809)</f>
        <v>45809</v>
      </c>
      <c r="B144" s="7">
        <f ca="1">IFERROR(__xludf.DUMMYFUNCTION("""COMPUTED_VALUE"""),45768)</f>
        <v>45768</v>
      </c>
      <c r="C144" s="1" t="str">
        <f ca="1">IFERROR(__xludf.DUMMYFUNCTION("""COMPUTED_VALUE"""),"Lellis Baby (2/3)")</f>
        <v>Lellis Baby (2/3)</v>
      </c>
      <c r="D144" s="2">
        <f ca="1">IFERROR(__xludf.DUMMYFUNCTION("""COMPUTED_VALUE"""),137.13)</f>
        <v>137.13</v>
      </c>
      <c r="E144" s="1" t="str">
        <f ca="1">IFERROR(__xludf.DUMMYFUNCTION("""COMPUTED_VALUE"""),"-")</f>
        <v>-</v>
      </c>
      <c r="F144" s="1" t="str">
        <f ca="1">IFERROR(__xludf.DUMMYFUNCTION("""COMPUTED_VALUE"""),"Lellis Baby")</f>
        <v>Lellis Baby</v>
      </c>
      <c r="G144" s="1" t="str">
        <f ca="1"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6">
        <f ca="1">IFERROR(__xludf.DUMMYFUNCTION("""COMPUTED_VALUE"""),45809)</f>
        <v>45809</v>
      </c>
      <c r="B145" s="7">
        <f ca="1">IFERROR(__xludf.DUMMYFUNCTION("""COMPUTED_VALUE"""),45768)</f>
        <v>45768</v>
      </c>
      <c r="C145" s="1" t="str">
        <f ca="1">IFERROR(__xludf.DUMMYFUNCTION("""COMPUTED_VALUE"""),"Alce (2/3)")</f>
        <v>Alce (2/3)</v>
      </c>
      <c r="D145" s="2">
        <f ca="1">IFERROR(__xludf.DUMMYFUNCTION("""COMPUTED_VALUE"""),139.17)</f>
        <v>139.16999999999999</v>
      </c>
      <c r="E145" s="1" t="str">
        <f ca="1">IFERROR(__xludf.DUMMYFUNCTION("""COMPUTED_VALUE"""),"-")</f>
        <v>-</v>
      </c>
      <c r="F145" s="1" t="str">
        <f ca="1">IFERROR(__xludf.DUMMYFUNCTION("""COMPUTED_VALUE"""),"Alce")</f>
        <v>Alce</v>
      </c>
      <c r="G145" s="1" t="str">
        <f ca="1"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6">
        <f ca="1">IFERROR(__xludf.DUMMYFUNCTION("""COMPUTED_VALUE"""),45809)</f>
        <v>45809</v>
      </c>
      <c r="B146" s="7">
        <f ca="1">IFERROR(__xludf.DUMMYFUNCTION("""COMPUTED_VALUE"""),45776)</f>
        <v>45776</v>
      </c>
      <c r="C146" s="1" t="str">
        <f ca="1">IFERROR(__xludf.DUMMYFUNCTION("""COMPUTED_VALUE"""),"Uber")</f>
        <v>Uber</v>
      </c>
      <c r="D146" s="2">
        <f ca="1">IFERROR(__xludf.DUMMYFUNCTION("""COMPUTED_VALUE"""),43.99)</f>
        <v>43.99</v>
      </c>
      <c r="E146" s="1" t="str">
        <f ca="1">IFERROR(__xludf.DUMMYFUNCTION("""COMPUTED_VALUE"""),"-")</f>
        <v>-</v>
      </c>
      <c r="F146" s="1" t="str">
        <f ca="1">IFERROR(__xludf.DUMMYFUNCTION("""COMPUTED_VALUE"""),"Uber")</f>
        <v>Uber</v>
      </c>
      <c r="G146" s="1" t="str">
        <f ca="1"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6">
        <f ca="1">IFERROR(__xludf.DUMMYFUNCTION("""COMPUTED_VALUE"""),45809)</f>
        <v>45809</v>
      </c>
      <c r="B147" s="7">
        <f ca="1">IFERROR(__xludf.DUMMYFUNCTION("""COMPUTED_VALUE"""),45776)</f>
        <v>45776</v>
      </c>
      <c r="C147" s="1" t="str">
        <f ca="1">IFERROR(__xludf.DUMMYFUNCTION("""COMPUTED_VALUE"""),"Uber")</f>
        <v>Uber</v>
      </c>
      <c r="D147" s="2">
        <f ca="1">IFERROR(__xludf.DUMMYFUNCTION("""COMPUTED_VALUE"""),114.29)</f>
        <v>114.29</v>
      </c>
      <c r="E147" s="1" t="str">
        <f ca="1">IFERROR(__xludf.DUMMYFUNCTION("""COMPUTED_VALUE"""),"-")</f>
        <v>-</v>
      </c>
      <c r="F147" s="1" t="str">
        <f ca="1">IFERROR(__xludf.DUMMYFUNCTION("""COMPUTED_VALUE"""),"Uber")</f>
        <v>Uber</v>
      </c>
      <c r="G147" s="1" t="str">
        <f ca="1"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6">
        <f ca="1">IFERROR(__xludf.DUMMYFUNCTION("""COMPUTED_VALUE"""),45809)</f>
        <v>45809</v>
      </c>
      <c r="B148" s="7">
        <f ca="1">IFERROR(__xludf.DUMMYFUNCTION("""COMPUTED_VALUE"""),45776)</f>
        <v>45776</v>
      </c>
      <c r="C148" s="1" t="str">
        <f ca="1">IFERROR(__xludf.DUMMYFUNCTION("""COMPUTED_VALUE"""),"Uber")</f>
        <v>Uber</v>
      </c>
      <c r="D148" s="2">
        <f ca="1">IFERROR(__xludf.DUMMYFUNCTION("""COMPUTED_VALUE"""),74.89)</f>
        <v>74.89</v>
      </c>
      <c r="E148" s="1" t="str">
        <f ca="1">IFERROR(__xludf.DUMMYFUNCTION("""COMPUTED_VALUE"""),"-")</f>
        <v>-</v>
      </c>
      <c r="F148" s="1" t="str">
        <f ca="1">IFERROR(__xludf.DUMMYFUNCTION("""COMPUTED_VALUE"""),"Uber")</f>
        <v>Uber</v>
      </c>
      <c r="G148" s="1" t="str">
        <f ca="1"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6">
        <f ca="1">IFERROR(__xludf.DUMMYFUNCTION("""COMPUTED_VALUE"""),45809)</f>
        <v>45809</v>
      </c>
      <c r="B149" s="7">
        <f ca="1">IFERROR(__xludf.DUMMYFUNCTION("""COMPUTED_VALUE"""),45777)</f>
        <v>45777</v>
      </c>
      <c r="C149" s="1" t="str">
        <f ca="1">IFERROR(__xludf.DUMMYFUNCTION("""COMPUTED_VALUE"""),"Uber")</f>
        <v>Uber</v>
      </c>
      <c r="D149" s="2">
        <f ca="1">IFERROR(__xludf.DUMMYFUNCTION("""COMPUTED_VALUE"""),109.12)</f>
        <v>109.12</v>
      </c>
      <c r="E149" s="1" t="str">
        <f ca="1">IFERROR(__xludf.DUMMYFUNCTION("""COMPUTED_VALUE"""),"-")</f>
        <v>-</v>
      </c>
      <c r="F149" s="1" t="str">
        <f ca="1">IFERROR(__xludf.DUMMYFUNCTION("""COMPUTED_VALUE"""),"Uber")</f>
        <v>Uber</v>
      </c>
      <c r="G149" s="1" t="str">
        <f ca="1"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6">
        <f ca="1">IFERROR(__xludf.DUMMYFUNCTION("""COMPUTED_VALUE"""),45809)</f>
        <v>45809</v>
      </c>
      <c r="B150" s="7">
        <f ca="1">IFERROR(__xludf.DUMMYFUNCTION("""COMPUTED_VALUE"""),45779)</f>
        <v>45779</v>
      </c>
      <c r="C150" s="1" t="str">
        <f ca="1">IFERROR(__xludf.DUMMYFUNCTION("""COMPUTED_VALUE"""),"Amazon")</f>
        <v>Amazon</v>
      </c>
      <c r="D150" s="2">
        <f ca="1">IFERROR(__xludf.DUMMYFUNCTION("""COMPUTED_VALUE"""),46.2)</f>
        <v>46.2</v>
      </c>
      <c r="E150" s="1" t="str">
        <f ca="1">IFERROR(__xludf.DUMMYFUNCTION("""COMPUTED_VALUE"""),"-")</f>
        <v>-</v>
      </c>
      <c r="F150" s="1" t="str">
        <f ca="1">IFERROR(__xludf.DUMMYFUNCTION("""COMPUTED_VALUE"""),"Amazon")</f>
        <v>Amazon</v>
      </c>
      <c r="G150" s="1" t="str">
        <f ca="1"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6">
        <f ca="1">IFERROR(__xludf.DUMMYFUNCTION("""COMPUTED_VALUE"""),45809)</f>
        <v>45809</v>
      </c>
      <c r="B151" s="7">
        <f ca="1">IFERROR(__xludf.DUMMYFUNCTION("""COMPUTED_VALUE"""),45781)</f>
        <v>45781</v>
      </c>
      <c r="C151" s="1" t="str">
        <f ca="1">IFERROR(__xludf.DUMMYFUNCTION("""COMPUTED_VALUE"""),"Amazon")</f>
        <v>Amazon</v>
      </c>
      <c r="D151" s="2">
        <f ca="1">IFERROR(__xludf.DUMMYFUNCTION("""COMPUTED_VALUE"""),29.05)</f>
        <v>29.05</v>
      </c>
      <c r="E151" s="1" t="str">
        <f ca="1">IFERROR(__xludf.DUMMYFUNCTION("""COMPUTED_VALUE"""),"-")</f>
        <v>-</v>
      </c>
      <c r="F151" s="1" t="str">
        <f ca="1">IFERROR(__xludf.DUMMYFUNCTION("""COMPUTED_VALUE"""),"Amazon")</f>
        <v>Amazon</v>
      </c>
      <c r="G151" s="1" t="str">
        <f ca="1"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6">
        <f ca="1">IFERROR(__xludf.DUMMYFUNCTION("""COMPUTED_VALUE"""),45809)</f>
        <v>45809</v>
      </c>
      <c r="B152" s="7">
        <f ca="1">IFERROR(__xludf.DUMMYFUNCTION("""COMPUTED_VALUE"""),45783)</f>
        <v>45783</v>
      </c>
      <c r="C152" s="1" t="str">
        <f ca="1">IFERROR(__xludf.DUMMYFUNCTION("""COMPUTED_VALUE"""),"Shopee")</f>
        <v>Shopee</v>
      </c>
      <c r="D152" s="2">
        <f ca="1">IFERROR(__xludf.DUMMYFUNCTION("""COMPUTED_VALUE"""),69.9)</f>
        <v>69.900000000000006</v>
      </c>
      <c r="E152" s="1" t="str">
        <f ca="1">IFERROR(__xludf.DUMMYFUNCTION("""COMPUTED_VALUE"""),"-")</f>
        <v>-</v>
      </c>
      <c r="F152" s="1" t="str">
        <f ca="1">IFERROR(__xludf.DUMMYFUNCTION("""COMPUTED_VALUE"""),"Shopee")</f>
        <v>Shopee</v>
      </c>
      <c r="G152" s="1" t="str">
        <f ca="1"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6">
        <f ca="1">IFERROR(__xludf.DUMMYFUNCTION("""COMPUTED_VALUE"""),45809)</f>
        <v>45809</v>
      </c>
      <c r="B153" s="7">
        <f ca="1">IFERROR(__xludf.DUMMYFUNCTION("""COMPUTED_VALUE"""),45783)</f>
        <v>45783</v>
      </c>
      <c r="C153" s="1">
        <f ca="1">IFERROR(__xludf.DUMMYFUNCTION("""COMPUTED_VALUE"""),99)</f>
        <v>99</v>
      </c>
      <c r="D153" s="2">
        <f ca="1">IFERROR(__xludf.DUMMYFUNCTION("""COMPUTED_VALUE"""),13.4)</f>
        <v>13.4</v>
      </c>
      <c r="E153" s="1" t="str">
        <f ca="1">IFERROR(__xludf.DUMMYFUNCTION("""COMPUTED_VALUE"""),"-")</f>
        <v>-</v>
      </c>
      <c r="F153" s="1" t="str">
        <f ca="1">IFERROR(__xludf.DUMMYFUNCTION("""COMPUTED_VALUE"""),"99")</f>
        <v>99</v>
      </c>
      <c r="G153" s="1" t="str">
        <f ca="1"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6">
        <f ca="1">IFERROR(__xludf.DUMMYFUNCTION("""COMPUTED_VALUE"""),45809)</f>
        <v>45809</v>
      </c>
      <c r="B154" s="7">
        <f ca="1">IFERROR(__xludf.DUMMYFUNCTION("""COMPUTED_VALUE"""),45784)</f>
        <v>45784</v>
      </c>
      <c r="C154" s="1" t="str">
        <f ca="1">IFERROR(__xludf.DUMMYFUNCTION("""COMPUTED_VALUE"""),"Amazon Prime (1/12)")</f>
        <v>Amazon Prime (1/12)</v>
      </c>
      <c r="D154" s="2">
        <f ca="1">IFERROR(__xludf.DUMMYFUNCTION("""COMPUTED_VALUE"""),13.9)</f>
        <v>13.9</v>
      </c>
      <c r="E154" s="1" t="str">
        <f ca="1">IFERROR(__xludf.DUMMYFUNCTION("""COMPUTED_VALUE"""),"-")</f>
        <v>-</v>
      </c>
      <c r="F154" s="1" t="str">
        <f ca="1">IFERROR(__xludf.DUMMYFUNCTION("""COMPUTED_VALUE"""),"Amazon Prime")</f>
        <v>Amazon Prime</v>
      </c>
      <c r="G154" s="1" t="str">
        <f ca="1"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6">
        <f ca="1">IFERROR(__xludf.DUMMYFUNCTION("""COMPUTED_VALUE"""),45809)</f>
        <v>45809</v>
      </c>
      <c r="B155" s="7">
        <f ca="1">IFERROR(__xludf.DUMMYFUNCTION("""COMPUTED_VALUE"""),45785)</f>
        <v>45785</v>
      </c>
      <c r="C155" s="1" t="str">
        <f ca="1">IFERROR(__xludf.DUMMYFUNCTION("""COMPUTED_VALUE"""),"Unisant")</f>
        <v>Unisant</v>
      </c>
      <c r="D155" s="2">
        <f ca="1">IFERROR(__xludf.DUMMYFUNCTION("""COMPUTED_VALUE"""),225.53)</f>
        <v>225.53</v>
      </c>
      <c r="E155" s="1" t="str">
        <f ca="1">IFERROR(__xludf.DUMMYFUNCTION("""COMPUTED_VALUE"""),"-")</f>
        <v>-</v>
      </c>
      <c r="F155" s="1" t="str">
        <f ca="1">IFERROR(__xludf.DUMMYFUNCTION("""COMPUTED_VALUE"""),"Unisant")</f>
        <v>Unisant</v>
      </c>
      <c r="G155" s="1" t="str">
        <f ca="1"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6">
        <f ca="1">IFERROR(__xludf.DUMMYFUNCTION("""COMPUTED_VALUE"""),45809)</f>
        <v>45809</v>
      </c>
      <c r="B156" s="7">
        <f ca="1">IFERROR(__xludf.DUMMYFUNCTION("""COMPUTED_VALUE"""),45786)</f>
        <v>45786</v>
      </c>
      <c r="C156" s="1" t="str">
        <f ca="1">IFERROR(__xludf.DUMMYFUNCTION("""COMPUTED_VALUE"""),"Shopee (1/2)")</f>
        <v>Shopee (1/2)</v>
      </c>
      <c r="D156" s="2">
        <f ca="1">IFERROR(__xludf.DUMMYFUNCTION("""COMPUTED_VALUE"""),60.54)</f>
        <v>60.54</v>
      </c>
      <c r="E156" s="1" t="str">
        <f ca="1">IFERROR(__xludf.DUMMYFUNCTION("""COMPUTED_VALUE"""),"-")</f>
        <v>-</v>
      </c>
      <c r="F156" s="1" t="str">
        <f ca="1">IFERROR(__xludf.DUMMYFUNCTION("""COMPUTED_VALUE"""),"Shopee")</f>
        <v>Shopee</v>
      </c>
      <c r="G156" s="1" t="str">
        <f ca="1"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6">
        <f ca="1">IFERROR(__xludf.DUMMYFUNCTION("""COMPUTED_VALUE"""),45809)</f>
        <v>45809</v>
      </c>
      <c r="B157" s="7">
        <f ca="1">IFERROR(__xludf.DUMMYFUNCTION("""COMPUTED_VALUE"""),45786)</f>
        <v>45786</v>
      </c>
      <c r="C157" s="1" t="str">
        <f ca="1">IFERROR(__xludf.DUMMYFUNCTION("""COMPUTED_VALUE"""),"Microsoft")</f>
        <v>Microsoft</v>
      </c>
      <c r="D157" s="2">
        <f ca="1">IFERROR(__xludf.DUMMYFUNCTION("""COMPUTED_VALUE"""),31.85)</f>
        <v>31.85</v>
      </c>
      <c r="E157" s="1" t="str">
        <f ca="1">IFERROR(__xludf.DUMMYFUNCTION("""COMPUTED_VALUE"""),"-")</f>
        <v>-</v>
      </c>
      <c r="F157" s="1" t="str">
        <f ca="1">IFERROR(__xludf.DUMMYFUNCTION("""COMPUTED_VALUE"""),"Microsoft")</f>
        <v>Microsoft</v>
      </c>
      <c r="G157" s="1" t="str">
        <f ca="1"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6">
        <f ca="1">IFERROR(__xludf.DUMMYFUNCTION("""COMPUTED_VALUE"""),45809)</f>
        <v>45809</v>
      </c>
      <c r="B158" s="7">
        <f ca="1">IFERROR(__xludf.DUMMYFUNCTION("""COMPUTED_VALUE"""),45786)</f>
        <v>45786</v>
      </c>
      <c r="C158" s="1" t="str">
        <f ca="1">IFERROR(__xludf.DUMMYFUNCTION("""COMPUTED_VALUE"""),"Uber")</f>
        <v>Uber</v>
      </c>
      <c r="D158" s="2">
        <f ca="1">IFERROR(__xludf.DUMMYFUNCTION("""COMPUTED_VALUE"""),26.06)</f>
        <v>26.06</v>
      </c>
      <c r="E158" s="1" t="str">
        <f ca="1">IFERROR(__xludf.DUMMYFUNCTION("""COMPUTED_VALUE"""),"-")</f>
        <v>-</v>
      </c>
      <c r="F158" s="1" t="str">
        <f ca="1">IFERROR(__xludf.DUMMYFUNCTION("""COMPUTED_VALUE"""),"Uber")</f>
        <v>Uber</v>
      </c>
      <c r="G158" s="1" t="str">
        <f ca="1"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6">
        <f ca="1">IFERROR(__xludf.DUMMYFUNCTION("""COMPUTED_VALUE"""),45809)</f>
        <v>45809</v>
      </c>
      <c r="B159" s="7">
        <f ca="1">IFERROR(__xludf.DUMMYFUNCTION("""COMPUTED_VALUE"""),45787)</f>
        <v>45787</v>
      </c>
      <c r="C159" s="1" t="str">
        <f ca="1">IFERROR(__xludf.DUMMYFUNCTION("""COMPUTED_VALUE"""),"Uber")</f>
        <v>Uber</v>
      </c>
      <c r="D159" s="2">
        <f ca="1">IFERROR(__xludf.DUMMYFUNCTION("""COMPUTED_VALUE"""),13.59)</f>
        <v>13.59</v>
      </c>
      <c r="E159" s="1" t="str">
        <f ca="1">IFERROR(__xludf.DUMMYFUNCTION("""COMPUTED_VALUE"""),"-")</f>
        <v>-</v>
      </c>
      <c r="F159" s="1" t="str">
        <f ca="1">IFERROR(__xludf.DUMMYFUNCTION("""COMPUTED_VALUE"""),"Uber")</f>
        <v>Uber</v>
      </c>
      <c r="G159" s="1" t="str">
        <f ca="1"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6">
        <f ca="1">IFERROR(__xludf.DUMMYFUNCTION("""COMPUTED_VALUE"""),45809)</f>
        <v>45809</v>
      </c>
      <c r="B160" s="7">
        <f ca="1">IFERROR(__xludf.DUMMYFUNCTION("""COMPUTED_VALUE"""),45787)</f>
        <v>45787</v>
      </c>
      <c r="C160" s="1" t="str">
        <f ca="1">IFERROR(__xludf.DUMMYFUNCTION("""COMPUTED_VALUE"""),"Uber")</f>
        <v>Uber</v>
      </c>
      <c r="D160" s="2">
        <f ca="1">IFERROR(__xludf.DUMMYFUNCTION("""COMPUTED_VALUE"""),22.47)</f>
        <v>22.47</v>
      </c>
      <c r="E160" s="1" t="str">
        <f ca="1">IFERROR(__xludf.DUMMYFUNCTION("""COMPUTED_VALUE"""),"-")</f>
        <v>-</v>
      </c>
      <c r="F160" s="1" t="str">
        <f ca="1">IFERROR(__xludf.DUMMYFUNCTION("""COMPUTED_VALUE"""),"Uber")</f>
        <v>Uber</v>
      </c>
      <c r="G160" s="1" t="str">
        <f ca="1"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6">
        <f ca="1">IFERROR(__xludf.DUMMYFUNCTION("""COMPUTED_VALUE"""),45809)</f>
        <v>45809</v>
      </c>
      <c r="B161" s="7">
        <f ca="1">IFERROR(__xludf.DUMMYFUNCTION("""COMPUTED_VALUE"""),45787)</f>
        <v>45787</v>
      </c>
      <c r="C161" s="1" t="str">
        <f ca="1">IFERROR(__xludf.DUMMYFUNCTION("""COMPUTED_VALUE"""),"Spotify")</f>
        <v>Spotify</v>
      </c>
      <c r="D161" s="2">
        <f ca="1">IFERROR(__xludf.DUMMYFUNCTION("""COMPUTED_VALUE"""),34.9)</f>
        <v>34.9</v>
      </c>
      <c r="E161" s="1" t="str">
        <f ca="1">IFERROR(__xludf.DUMMYFUNCTION("""COMPUTED_VALUE"""),"-")</f>
        <v>-</v>
      </c>
      <c r="F161" s="1" t="str">
        <f ca="1">IFERROR(__xludf.DUMMYFUNCTION("""COMPUTED_VALUE"""),"Spotify")</f>
        <v>Spotify</v>
      </c>
      <c r="G161" s="1" t="str">
        <f ca="1"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6">
        <f ca="1">IFERROR(__xludf.DUMMYFUNCTION("""COMPUTED_VALUE"""),45809)</f>
        <v>45809</v>
      </c>
      <c r="B162" s="7">
        <f ca="1">IFERROR(__xludf.DUMMYFUNCTION("""COMPUTED_VALUE"""),45787)</f>
        <v>45787</v>
      </c>
      <c r="C162" s="1" t="str">
        <f ca="1">IFERROR(__xludf.DUMMYFUNCTION("""COMPUTED_VALUE"""),"Amazon")</f>
        <v>Amazon</v>
      </c>
      <c r="D162" s="2">
        <f ca="1">IFERROR(__xludf.DUMMYFUNCTION("""COMPUTED_VALUE"""),34.9)</f>
        <v>34.9</v>
      </c>
      <c r="E162" s="1" t="str">
        <f ca="1">IFERROR(__xludf.DUMMYFUNCTION("""COMPUTED_VALUE"""),"-")</f>
        <v>-</v>
      </c>
      <c r="F162" s="1" t="str">
        <f ca="1">IFERROR(__xludf.DUMMYFUNCTION("""COMPUTED_VALUE"""),"Amazon")</f>
        <v>Amazon</v>
      </c>
      <c r="G162" s="1" t="str">
        <f ca="1"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6">
        <f ca="1">IFERROR(__xludf.DUMMYFUNCTION("""COMPUTED_VALUE"""),45809)</f>
        <v>45809</v>
      </c>
      <c r="B163" s="7">
        <f ca="1">IFERROR(__xludf.DUMMYFUNCTION("""COMPUTED_VALUE"""),45788)</f>
        <v>45788</v>
      </c>
      <c r="C163" s="1" t="str">
        <f ca="1">IFERROR(__xludf.DUMMYFUNCTION("""COMPUTED_VALUE"""),"Shopee")</f>
        <v>Shopee</v>
      </c>
      <c r="D163" s="2">
        <f ca="1">IFERROR(__xludf.DUMMYFUNCTION("""COMPUTED_VALUE"""),101.38)</f>
        <v>101.38</v>
      </c>
      <c r="E163" s="1" t="str">
        <f ca="1">IFERROR(__xludf.DUMMYFUNCTION("""COMPUTED_VALUE"""),"-")</f>
        <v>-</v>
      </c>
      <c r="F163" s="1" t="str">
        <f ca="1">IFERROR(__xludf.DUMMYFUNCTION("""COMPUTED_VALUE"""),"Shopee")</f>
        <v>Shopee</v>
      </c>
      <c r="G163" s="1" t="str">
        <f ca="1"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6">
        <f ca="1">IFERROR(__xludf.DUMMYFUNCTION("""COMPUTED_VALUE"""),45809)</f>
        <v>45809</v>
      </c>
      <c r="B164" s="7">
        <f ca="1">IFERROR(__xludf.DUMMYFUNCTION("""COMPUTED_VALUE"""),45788)</f>
        <v>45788</v>
      </c>
      <c r="C164" s="1" t="str">
        <f ca="1">IFERROR(__xludf.DUMMYFUNCTION("""COMPUTED_VALUE"""),"Amazon")</f>
        <v>Amazon</v>
      </c>
      <c r="D164" s="2">
        <f ca="1">IFERROR(__xludf.DUMMYFUNCTION("""COMPUTED_VALUE"""),22.29)</f>
        <v>22.29</v>
      </c>
      <c r="E164" s="1" t="str">
        <f ca="1">IFERROR(__xludf.DUMMYFUNCTION("""COMPUTED_VALUE"""),"-")</f>
        <v>-</v>
      </c>
      <c r="F164" s="1" t="str">
        <f ca="1">IFERROR(__xludf.DUMMYFUNCTION("""COMPUTED_VALUE"""),"Amazon")</f>
        <v>Amazon</v>
      </c>
      <c r="G164" s="1" t="str">
        <f ca="1"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6">
        <f ca="1">IFERROR(__xludf.DUMMYFUNCTION("""COMPUTED_VALUE"""),45809)</f>
        <v>45809</v>
      </c>
      <c r="B165" s="7">
        <f ca="1">IFERROR(__xludf.DUMMYFUNCTION("""COMPUTED_VALUE"""),45788)</f>
        <v>45788</v>
      </c>
      <c r="C165" s="1" t="str">
        <f ca="1">IFERROR(__xludf.DUMMYFUNCTION("""COMPUTED_VALUE"""),"Amazon")</f>
        <v>Amazon</v>
      </c>
      <c r="D165" s="2">
        <f ca="1">IFERROR(__xludf.DUMMYFUNCTION("""COMPUTED_VALUE"""),63.11)</f>
        <v>63.11</v>
      </c>
      <c r="E165" s="1" t="str">
        <f ca="1">IFERROR(__xludf.DUMMYFUNCTION("""COMPUTED_VALUE"""),"-")</f>
        <v>-</v>
      </c>
      <c r="F165" s="1" t="str">
        <f ca="1">IFERROR(__xludf.DUMMYFUNCTION("""COMPUTED_VALUE"""),"Amazon")</f>
        <v>Amazon</v>
      </c>
      <c r="G165" s="1" t="str">
        <f ca="1"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6">
        <f ca="1">IFERROR(__xludf.DUMMYFUNCTION("""COMPUTED_VALUE"""),45809)</f>
        <v>45809</v>
      </c>
      <c r="B166" s="7">
        <f ca="1">IFERROR(__xludf.DUMMYFUNCTION("""COMPUTED_VALUE"""),45788)</f>
        <v>45788</v>
      </c>
      <c r="C166" s="1" t="str">
        <f ca="1">IFERROR(__xludf.DUMMYFUNCTION("""COMPUTED_VALUE"""),"Shopee")</f>
        <v>Shopee</v>
      </c>
      <c r="D166" s="2">
        <f ca="1">IFERROR(__xludf.DUMMYFUNCTION("""COMPUTED_VALUE"""),26.8)</f>
        <v>26.8</v>
      </c>
      <c r="E166" s="1" t="str">
        <f ca="1">IFERROR(__xludf.DUMMYFUNCTION("""COMPUTED_VALUE"""),"-")</f>
        <v>-</v>
      </c>
      <c r="F166" s="1" t="str">
        <f ca="1">IFERROR(__xludf.DUMMYFUNCTION("""COMPUTED_VALUE"""),"Shopee")</f>
        <v>Shopee</v>
      </c>
      <c r="G166" s="1" t="str">
        <f ca="1"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6">
        <f ca="1">IFERROR(__xludf.DUMMYFUNCTION("""COMPUTED_VALUE"""),45809)</f>
        <v>45809</v>
      </c>
      <c r="B167" s="7">
        <f ca="1">IFERROR(__xludf.DUMMYFUNCTION("""COMPUTED_VALUE"""),45788)</f>
        <v>45788</v>
      </c>
      <c r="C167" s="1" t="str">
        <f ca="1">IFERROR(__xludf.DUMMYFUNCTION("""COMPUTED_VALUE"""),"Shopee")</f>
        <v>Shopee</v>
      </c>
      <c r="D167" s="2">
        <f ca="1">IFERROR(__xludf.DUMMYFUNCTION("""COMPUTED_VALUE"""),59.9)</f>
        <v>59.9</v>
      </c>
      <c r="E167" s="1" t="str">
        <f ca="1">IFERROR(__xludf.DUMMYFUNCTION("""COMPUTED_VALUE"""),"-")</f>
        <v>-</v>
      </c>
      <c r="F167" s="1" t="str">
        <f ca="1">IFERROR(__xludf.DUMMYFUNCTION("""COMPUTED_VALUE"""),"Shopee")</f>
        <v>Shopee</v>
      </c>
      <c r="G167" s="1" t="str">
        <f ca="1"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6">
        <f ca="1">IFERROR(__xludf.DUMMYFUNCTION("""COMPUTED_VALUE"""),45809)</f>
        <v>45809</v>
      </c>
      <c r="B168" s="7">
        <f ca="1">IFERROR(__xludf.DUMMYFUNCTION("""COMPUTED_VALUE"""),45790)</f>
        <v>45790</v>
      </c>
      <c r="C168" s="1" t="str">
        <f ca="1">IFERROR(__xludf.DUMMYFUNCTION("""COMPUTED_VALUE"""),"Amazonmktplc Rtocomerc")</f>
        <v>Amazonmktplc Rtocomerc</v>
      </c>
      <c r="D168" s="2">
        <f ca="1">IFERROR(__xludf.DUMMYFUNCTION("""COMPUTED_VALUE"""),119.99)</f>
        <v>119.99</v>
      </c>
      <c r="E168" s="1" t="str">
        <f ca="1">IFERROR(__xludf.DUMMYFUNCTION("""COMPUTED_VALUE"""),"-")</f>
        <v>-</v>
      </c>
      <c r="F168" s="1" t="str">
        <f ca="1">IFERROR(__xludf.DUMMYFUNCTION("""COMPUTED_VALUE"""),"Amazonmktplc")</f>
        <v>Amazonmktplc</v>
      </c>
      <c r="G168" s="1" t="str">
        <f ca="1"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6">
        <f ca="1">IFERROR(__xludf.DUMMYFUNCTION("""COMPUTED_VALUE"""),45809)</f>
        <v>45809</v>
      </c>
      <c r="B169" s="7">
        <f ca="1">IFERROR(__xludf.DUMMYFUNCTION("""COMPUTED_VALUE"""),45790)</f>
        <v>45790</v>
      </c>
      <c r="C169" s="1" t="str">
        <f ca="1">IFERROR(__xludf.DUMMYFUNCTION("""COMPUTED_VALUE"""),"Amazonmktplc Pdncomerc")</f>
        <v>Amazonmktplc Pdncomerc</v>
      </c>
      <c r="D169" s="2">
        <f ca="1">IFERROR(__xludf.DUMMYFUNCTION("""COMPUTED_VALUE"""),43.9)</f>
        <v>43.9</v>
      </c>
      <c r="E169" s="1" t="str">
        <f ca="1">IFERROR(__xludf.DUMMYFUNCTION("""COMPUTED_VALUE"""),"-")</f>
        <v>-</v>
      </c>
      <c r="F169" s="1" t="str">
        <f ca="1">IFERROR(__xludf.DUMMYFUNCTION("""COMPUTED_VALUE"""),"Amazonmktplc")</f>
        <v>Amazonmktplc</v>
      </c>
      <c r="G169" s="1" t="str">
        <f ca="1"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6">
        <f ca="1">IFERROR(__xludf.DUMMYFUNCTION("""COMPUTED_VALUE"""),45809)</f>
        <v>45809</v>
      </c>
      <c r="B170" s="7">
        <f ca="1">IFERROR(__xludf.DUMMYFUNCTION("""COMPUTED_VALUE"""),45790)</f>
        <v>45790</v>
      </c>
      <c r="C170" s="1" t="str">
        <f ca="1">IFERROR(__xludf.DUMMYFUNCTION("""COMPUTED_VALUE"""),"Petrobrasprem")</f>
        <v>Petrobrasprem</v>
      </c>
      <c r="D170" s="2">
        <f ca="1">IFERROR(__xludf.DUMMYFUNCTION("""COMPUTED_VALUE"""),95.8)</f>
        <v>95.8</v>
      </c>
      <c r="E170" s="1" t="str">
        <f ca="1">IFERROR(__xludf.DUMMYFUNCTION("""COMPUTED_VALUE"""),"-")</f>
        <v>-</v>
      </c>
      <c r="F170" s="1" t="str">
        <f ca="1">IFERROR(__xludf.DUMMYFUNCTION("""COMPUTED_VALUE"""),"Petrobrasprem")</f>
        <v>Petrobrasprem</v>
      </c>
      <c r="G170" s="1" t="str">
        <f ca="1"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6">
        <f ca="1">IFERROR(__xludf.DUMMYFUNCTION("""COMPUTED_VALUE"""),45809)</f>
        <v>45809</v>
      </c>
      <c r="B171" s="7">
        <f ca="1">IFERROR(__xludf.DUMMYFUNCTION("""COMPUTED_VALUE"""),45791)</f>
        <v>45791</v>
      </c>
      <c r="C171" s="1" t="str">
        <f ca="1">IFERROR(__xludf.DUMMYFUNCTION("""COMPUTED_VALUE"""),"Youtube")</f>
        <v>Youtube</v>
      </c>
      <c r="D171" s="2">
        <f ca="1">IFERROR(__xludf.DUMMYFUNCTION("""COMPUTED_VALUE"""),19.99)</f>
        <v>19.989999999999998</v>
      </c>
      <c r="E171" s="1" t="str">
        <f ca="1">IFERROR(__xludf.DUMMYFUNCTION("""COMPUTED_VALUE"""),"-")</f>
        <v>-</v>
      </c>
      <c r="F171" s="1" t="str">
        <f ca="1">IFERROR(__xludf.DUMMYFUNCTION("""COMPUTED_VALUE"""),"Youtube")</f>
        <v>Youtube</v>
      </c>
      <c r="G171" s="1" t="str">
        <f ca="1"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6">
        <f ca="1">IFERROR(__xludf.DUMMYFUNCTION("""COMPUTED_VALUE"""),45809)</f>
        <v>45809</v>
      </c>
      <c r="B172" s="7">
        <f ca="1">IFERROR(__xludf.DUMMYFUNCTION("""COMPUTED_VALUE"""),45795)</f>
        <v>45795</v>
      </c>
      <c r="C172" s="1" t="str">
        <f ca="1">IFERROR(__xludf.DUMMYFUNCTION("""COMPUTED_VALUE"""),"Rdsaude Online")</f>
        <v>Rdsaude Online</v>
      </c>
      <c r="D172" s="2">
        <f ca="1">IFERROR(__xludf.DUMMYFUNCTION("""COMPUTED_VALUE"""),285.99)</f>
        <v>285.99</v>
      </c>
      <c r="E172" s="1" t="str">
        <f ca="1">IFERROR(__xludf.DUMMYFUNCTION("""COMPUTED_VALUE"""),"-")</f>
        <v>-</v>
      </c>
      <c r="F172" s="1" t="str">
        <f ca="1">IFERROR(__xludf.DUMMYFUNCTION("""COMPUTED_VALUE"""),"Rdsaude Online")</f>
        <v>Rdsaude Online</v>
      </c>
      <c r="G172" s="1" t="str">
        <f ca="1"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6">
        <f ca="1">IFERROR(__xludf.DUMMYFUNCTION("""COMPUTED_VALUE"""),45809)</f>
        <v>45809</v>
      </c>
      <c r="B173" s="7">
        <f ca="1">IFERROR(__xludf.DUMMYFUNCTION("""COMPUTED_VALUE"""),45796)</f>
        <v>45796</v>
      </c>
      <c r="C173" s="1" t="str">
        <f ca="1">IFERROR(__xludf.DUMMYFUNCTION("""COMPUTED_VALUE"""),"Shopee (1/2)")</f>
        <v>Shopee (1/2)</v>
      </c>
      <c r="D173" s="2">
        <f ca="1">IFERROR(__xludf.DUMMYFUNCTION("""COMPUTED_VALUE"""),127.56)</f>
        <v>127.56</v>
      </c>
      <c r="E173" s="1" t="str">
        <f ca="1">IFERROR(__xludf.DUMMYFUNCTION("""COMPUTED_VALUE"""),"-")</f>
        <v>-</v>
      </c>
      <c r="F173" s="1" t="str">
        <f ca="1">IFERROR(__xludf.DUMMYFUNCTION("""COMPUTED_VALUE"""),"Shopee")</f>
        <v>Shopee</v>
      </c>
      <c r="G173" s="1" t="str">
        <f ca="1"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6">
        <f ca="1">IFERROR(__xludf.DUMMYFUNCTION("""COMPUTED_VALUE"""),45809)</f>
        <v>45809</v>
      </c>
      <c r="B174" s="7">
        <f ca="1">IFERROR(__xludf.DUMMYFUNCTION("""COMPUTED_VALUE"""),45796)</f>
        <v>45796</v>
      </c>
      <c r="C174" s="1" t="str">
        <f ca="1">IFERROR(__xludf.DUMMYFUNCTION("""COMPUTED_VALUE"""),"Amazon")</f>
        <v>Amazon</v>
      </c>
      <c r="D174" s="2">
        <f ca="1">IFERROR(__xludf.DUMMYFUNCTION("""COMPUTED_VALUE"""),9.2)</f>
        <v>9.1999999999999993</v>
      </c>
      <c r="E174" s="1" t="str">
        <f ca="1">IFERROR(__xludf.DUMMYFUNCTION("""COMPUTED_VALUE"""),"-")</f>
        <v>-</v>
      </c>
      <c r="F174" s="1" t="str">
        <f ca="1">IFERROR(__xludf.DUMMYFUNCTION("""COMPUTED_VALUE"""),"Amazon")</f>
        <v>Amazon</v>
      </c>
      <c r="G174" s="1" t="str">
        <f ca="1"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6">
        <f ca="1">IFERROR(__xludf.DUMMYFUNCTION("""COMPUTED_VALUE"""),45809)</f>
        <v>45809</v>
      </c>
      <c r="B175" s="7">
        <f ca="1">IFERROR(__xludf.DUMMYFUNCTION("""COMPUTED_VALUE"""),45796)</f>
        <v>45796</v>
      </c>
      <c r="C175" s="1" t="str">
        <f ca="1">IFERROR(__xludf.DUMMYFUNCTION("""COMPUTED_VALUE"""),"Mercado Livre")</f>
        <v>Mercado Livre</v>
      </c>
      <c r="D175" s="2">
        <f ca="1">IFERROR(__xludf.DUMMYFUNCTION("""COMPUTED_VALUE"""),24.9)</f>
        <v>24.9</v>
      </c>
      <c r="E175" s="1" t="str">
        <f ca="1">IFERROR(__xludf.DUMMYFUNCTION("""COMPUTED_VALUE"""),"-")</f>
        <v>-</v>
      </c>
      <c r="F175" s="1" t="str">
        <f ca="1">IFERROR(__xludf.DUMMYFUNCTION("""COMPUTED_VALUE"""),"Mercado Livre")</f>
        <v>Mercado Livre</v>
      </c>
      <c r="G175" s="1" t="str">
        <f ca="1"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6">
        <f ca="1">IFERROR(__xludf.DUMMYFUNCTION("""COMPUTED_VALUE"""),45809)</f>
        <v>45809</v>
      </c>
      <c r="B176" s="7">
        <f ca="1">IFERROR(__xludf.DUMMYFUNCTION("""COMPUTED_VALUE"""),45796)</f>
        <v>45796</v>
      </c>
      <c r="C176" s="1" t="str">
        <f ca="1">IFERROR(__xludf.DUMMYFUNCTION("""COMPUTED_VALUE"""),"Shopee")</f>
        <v>Shopee</v>
      </c>
      <c r="D176" s="2">
        <f ca="1">IFERROR(__xludf.DUMMYFUNCTION("""COMPUTED_VALUE"""),74.57)</f>
        <v>74.569999999999993</v>
      </c>
      <c r="E176" s="1" t="str">
        <f ca="1">IFERROR(__xludf.DUMMYFUNCTION("""COMPUTED_VALUE"""),"-")</f>
        <v>-</v>
      </c>
      <c r="F176" s="1" t="str">
        <f ca="1">IFERROR(__xludf.DUMMYFUNCTION("""COMPUTED_VALUE"""),"Shopee")</f>
        <v>Shopee</v>
      </c>
      <c r="G176" s="1" t="str">
        <f ca="1"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6">
        <f ca="1">IFERROR(__xludf.DUMMYFUNCTION("""COMPUTED_VALUE"""),45809)</f>
        <v>45809</v>
      </c>
      <c r="B177" s="7">
        <f ca="1">IFERROR(__xludf.DUMMYFUNCTION("""COMPUTED_VALUE"""),45796)</f>
        <v>45796</v>
      </c>
      <c r="C177" s="1" t="str">
        <f ca="1">IFERROR(__xludf.DUMMYFUNCTION("""COMPUTED_VALUE"""),"Shopee")</f>
        <v>Shopee</v>
      </c>
      <c r="D177" s="2">
        <f ca="1">IFERROR(__xludf.DUMMYFUNCTION("""COMPUTED_VALUE"""),20.93)</f>
        <v>20.93</v>
      </c>
      <c r="E177" s="1" t="str">
        <f ca="1">IFERROR(__xludf.DUMMYFUNCTION("""COMPUTED_VALUE"""),"-")</f>
        <v>-</v>
      </c>
      <c r="F177" s="1" t="str">
        <f ca="1">IFERROR(__xludf.DUMMYFUNCTION("""COMPUTED_VALUE"""),"Shopee")</f>
        <v>Shopee</v>
      </c>
      <c r="G177" s="1" t="str">
        <f ca="1"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6">
        <f ca="1">IFERROR(__xludf.DUMMYFUNCTION("""COMPUTED_VALUE"""),45809)</f>
        <v>45809</v>
      </c>
      <c r="B178" s="7">
        <f ca="1">IFERROR(__xludf.DUMMYFUNCTION("""COMPUTED_VALUE"""),45796)</f>
        <v>45796</v>
      </c>
      <c r="C178" s="1" t="str">
        <f ca="1">IFERROR(__xludf.DUMMYFUNCTION("""COMPUTED_VALUE"""),"Shopee")</f>
        <v>Shopee</v>
      </c>
      <c r="D178" s="2">
        <f ca="1">IFERROR(__xludf.DUMMYFUNCTION("""COMPUTED_VALUE"""),22)</f>
        <v>22</v>
      </c>
      <c r="E178" s="1" t="str">
        <f ca="1">IFERROR(__xludf.DUMMYFUNCTION("""COMPUTED_VALUE"""),"-")</f>
        <v>-</v>
      </c>
      <c r="F178" s="1" t="str">
        <f ca="1">IFERROR(__xludf.DUMMYFUNCTION("""COMPUTED_VALUE"""),"Shopee")</f>
        <v>Shopee</v>
      </c>
      <c r="G178" s="1" t="str">
        <f ca="1"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6">
        <f ca="1">IFERROR(__xludf.DUMMYFUNCTION("""COMPUTED_VALUE"""),45809)</f>
        <v>45809</v>
      </c>
      <c r="B179" s="7">
        <f ca="1">IFERROR(__xludf.DUMMYFUNCTION("""COMPUTED_VALUE"""),45797)</f>
        <v>45797</v>
      </c>
      <c r="C179" s="1" t="str">
        <f ca="1">IFERROR(__xludf.DUMMYFUNCTION("""COMPUTED_VALUE"""),"Riachuelo Lo Riachuelo")</f>
        <v>Riachuelo Lo Riachuelo</v>
      </c>
      <c r="D179" s="2">
        <f ca="1">IFERROR(__xludf.DUMMYFUNCTION("""COMPUTED_VALUE"""),179.99)</f>
        <v>179.99</v>
      </c>
      <c r="E179" s="1" t="str">
        <f ca="1">IFERROR(__xludf.DUMMYFUNCTION("""COMPUTED_VALUE"""),"-")</f>
        <v>-</v>
      </c>
      <c r="F179" s="1" t="str">
        <f ca="1">IFERROR(__xludf.DUMMYFUNCTION("""COMPUTED_VALUE"""),"Riachuelo Lo Riachuelo")</f>
        <v>Riachuelo Lo Riachuelo</v>
      </c>
      <c r="G179" s="1" t="str">
        <f ca="1"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6">
        <f ca="1">IFERROR(__xludf.DUMMYFUNCTION("""COMPUTED_VALUE"""),45809)</f>
        <v>45809</v>
      </c>
      <c r="B180" s="7">
        <f ca="1">IFERROR(__xludf.DUMMYFUNCTION("""COMPUTED_VALUE"""),45797)</f>
        <v>45797</v>
      </c>
      <c r="C180" s="1" t="str">
        <f ca="1">IFERROR(__xludf.DUMMYFUNCTION("""COMPUTED_VALUE"""),"Petlove")</f>
        <v>Petlove</v>
      </c>
      <c r="D180" s="2">
        <f ca="1">IFERROR(__xludf.DUMMYFUNCTION("""COMPUTED_VALUE"""),119.88)</f>
        <v>119.88</v>
      </c>
      <c r="E180" s="1" t="str">
        <f ca="1">IFERROR(__xludf.DUMMYFUNCTION("""COMPUTED_VALUE"""),"-")</f>
        <v>-</v>
      </c>
      <c r="F180" s="1" t="str">
        <f ca="1">IFERROR(__xludf.DUMMYFUNCTION("""COMPUTED_VALUE"""),"Petlove")</f>
        <v>Petlove</v>
      </c>
      <c r="G180" s="1" t="str">
        <f ca="1"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6">
        <f ca="1">IFERROR(__xludf.DUMMYFUNCTION("""COMPUTED_VALUE"""),45809)</f>
        <v>45809</v>
      </c>
      <c r="B181" s="7">
        <f ca="1">IFERROR(__xludf.DUMMYFUNCTION("""COMPUTED_VALUE"""),45797)</f>
        <v>45797</v>
      </c>
      <c r="C181" s="1" t="str">
        <f ca="1">IFERROR(__xludf.DUMMYFUNCTION("""COMPUTED_VALUE"""),"Paypal Mj In")</f>
        <v>Paypal Mj In</v>
      </c>
      <c r="D181" s="2">
        <f ca="1">IFERROR(__xludf.DUMMYFUNCTION("""COMPUTED_VALUE"""),132.17)</f>
        <v>132.16999999999999</v>
      </c>
      <c r="E181" s="1" t="str">
        <f ca="1">IFERROR(__xludf.DUMMYFUNCTION("""COMPUTED_VALUE"""),"-")</f>
        <v>-</v>
      </c>
      <c r="F181" s="1" t="str">
        <f ca="1">IFERROR(__xludf.DUMMYFUNCTION("""COMPUTED_VALUE"""),"Paypal Mj In")</f>
        <v>Paypal Mj In</v>
      </c>
      <c r="G181" s="1" t="str">
        <f ca="1"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6">
        <f ca="1">IFERROR(__xludf.DUMMYFUNCTION("""COMPUTED_VALUE"""),45809)</f>
        <v>45809</v>
      </c>
      <c r="B182" s="7">
        <f ca="1">IFERROR(__xludf.DUMMYFUNCTION("""COMPUTED_VALUE"""),45799)</f>
        <v>45799</v>
      </c>
      <c r="C182" s="1" t="str">
        <f ca="1">IFERROR(__xludf.DUMMYFUNCTION("""COMPUTED_VALUE"""),"Drogaria Araujo")</f>
        <v>Drogaria Araujo</v>
      </c>
      <c r="D182" s="2">
        <f ca="1">IFERROR(__xludf.DUMMYFUNCTION("""COMPUTED_VALUE"""),25.99)</f>
        <v>25.99</v>
      </c>
      <c r="E182" s="1" t="str">
        <f ca="1">IFERROR(__xludf.DUMMYFUNCTION("""COMPUTED_VALUE"""),"-")</f>
        <v>-</v>
      </c>
      <c r="F182" s="1" t="str">
        <f ca="1">IFERROR(__xludf.DUMMYFUNCTION("""COMPUTED_VALUE"""),"Drogaria Araujo")</f>
        <v>Drogaria Araujo</v>
      </c>
      <c r="G182" s="1" t="str">
        <f ca="1">IFERROR(__xludf.DUMMYFUNCTION("""COMPUTED_VALUE"""),"Farmácia")</f>
        <v>Farmácia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6">
        <f ca="1">IFERROR(__xludf.DUMMYFUNCTION("""COMPUTED_VALUE"""),45809)</f>
        <v>45809</v>
      </c>
      <c r="B183" s="7">
        <f ca="1">IFERROR(__xludf.DUMMYFUNCTION("""COMPUTED_VALUE"""),45801)</f>
        <v>45801</v>
      </c>
      <c r="C183" s="1" t="str">
        <f ca="1">IFERROR(__xludf.DUMMYFUNCTION("""COMPUTED_VALUE"""),"Magalu")</f>
        <v>Magalu</v>
      </c>
      <c r="D183" s="2">
        <f ca="1">IFERROR(__xludf.DUMMYFUNCTION("""COMPUTED_VALUE"""),100.9)</f>
        <v>100.9</v>
      </c>
      <c r="E183" s="1" t="str">
        <f ca="1">IFERROR(__xludf.DUMMYFUNCTION("""COMPUTED_VALUE"""),"-")</f>
        <v>-</v>
      </c>
      <c r="F183" s="1" t="str">
        <f ca="1">IFERROR(__xludf.DUMMYFUNCTION("""COMPUTED_VALUE"""),"Magalu")</f>
        <v>Magalu</v>
      </c>
      <c r="G183" s="1" t="str">
        <f ca="1"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6">
        <f ca="1">IFERROR(__xludf.DUMMYFUNCTION("""COMPUTED_VALUE"""),45809)</f>
        <v>45809</v>
      </c>
      <c r="B184" s="7">
        <f ca="1">IFERROR(__xludf.DUMMYFUNCTION("""COMPUTED_VALUE"""),45801)</f>
        <v>45801</v>
      </c>
      <c r="C184" s="1" t="str">
        <f ca="1">IFERROR(__xludf.DUMMYFUNCTION("""COMPUTED_VALUE"""),"Shopee")</f>
        <v>Shopee</v>
      </c>
      <c r="D184" s="2">
        <f ca="1">IFERROR(__xludf.DUMMYFUNCTION("""COMPUTED_VALUE"""),41.21)</f>
        <v>41.21</v>
      </c>
      <c r="E184" s="1" t="str">
        <f ca="1">IFERROR(__xludf.DUMMYFUNCTION("""COMPUTED_VALUE"""),"-")</f>
        <v>-</v>
      </c>
      <c r="F184" s="1" t="str">
        <f ca="1">IFERROR(__xludf.DUMMYFUNCTION("""COMPUTED_VALUE"""),"Shopee")</f>
        <v>Shopee</v>
      </c>
      <c r="G184" s="1" t="str">
        <f ca="1"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6">
        <f ca="1">IFERROR(__xludf.DUMMYFUNCTION("""COMPUTED_VALUE"""),45809)</f>
        <v>45809</v>
      </c>
      <c r="B185" s="7">
        <f ca="1">IFERROR(__xludf.DUMMYFUNCTION("""COMPUTED_VALUE"""),45802)</f>
        <v>45802</v>
      </c>
      <c r="C185" s="1" t="str">
        <f ca="1">IFERROR(__xludf.DUMMYFUNCTION("""COMPUTED_VALUE"""),"Orthocrin")</f>
        <v>Orthocrin</v>
      </c>
      <c r="D185" s="2">
        <f ca="1">IFERROR(__xludf.DUMMYFUNCTION("""COMPUTED_VALUE"""),64.13)</f>
        <v>64.13</v>
      </c>
      <c r="E185" s="1" t="str">
        <f ca="1">IFERROR(__xludf.DUMMYFUNCTION("""COMPUTED_VALUE"""),"-")</f>
        <v>-</v>
      </c>
      <c r="F185" s="1" t="str">
        <f ca="1">IFERROR(__xludf.DUMMYFUNCTION("""COMPUTED_VALUE"""),"Orthocrin")</f>
        <v>Orthocrin</v>
      </c>
      <c r="G185" s="1" t="str">
        <f ca="1"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6">
        <f ca="1">IFERROR(__xludf.DUMMYFUNCTION("""COMPUTED_VALUE"""),45809)</f>
        <v>45809</v>
      </c>
      <c r="B186" s="7">
        <f ca="1">IFERROR(__xludf.DUMMYFUNCTION("""COMPUTED_VALUE"""),45802)</f>
        <v>45802</v>
      </c>
      <c r="C186" s="1" t="str">
        <f ca="1">IFERROR(__xludf.DUMMYFUNCTION("""COMPUTED_VALUE"""),"Farmácias Pa")</f>
        <v>Farmácias Pa</v>
      </c>
      <c r="D186" s="2">
        <f ca="1">IFERROR(__xludf.DUMMYFUNCTION("""COMPUTED_VALUE"""),79.84)</f>
        <v>79.84</v>
      </c>
      <c r="E186" s="1" t="str">
        <f ca="1">IFERROR(__xludf.DUMMYFUNCTION("""COMPUTED_VALUE"""),"-")</f>
        <v>-</v>
      </c>
      <c r="F186" s="1" t="str">
        <f ca="1">IFERROR(__xludf.DUMMYFUNCTION("""COMPUTED_VALUE"""),"Farmácias Pa")</f>
        <v>Farmácias Pa</v>
      </c>
      <c r="G186" s="1" t="str">
        <f ca="1">IFERROR(__xludf.DUMMYFUNCTION("""COMPUTED_VALUE"""),"Farmácia")</f>
        <v>Farmácia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6">
        <f ca="1">IFERROR(__xludf.DUMMYFUNCTION("""COMPUTED_VALUE"""),45809)</f>
        <v>45809</v>
      </c>
      <c r="B187" s="7">
        <f ca="1">IFERROR(__xludf.DUMMYFUNCTION("""COMPUTED_VALUE"""),45803)</f>
        <v>45803</v>
      </c>
      <c r="C187" s="1" t="str">
        <f ca="1">IFERROR(__xludf.DUMMYFUNCTION("""COMPUTED_VALUE"""),"Amazonmktplc Ghscomerc")</f>
        <v>Amazonmktplc Ghscomerc</v>
      </c>
      <c r="D187" s="2">
        <f ca="1">IFERROR(__xludf.DUMMYFUNCTION("""COMPUTED_VALUE"""),59.9)</f>
        <v>59.9</v>
      </c>
      <c r="E187" s="1" t="str">
        <f ca="1">IFERROR(__xludf.DUMMYFUNCTION("""COMPUTED_VALUE"""),"-")</f>
        <v>-</v>
      </c>
      <c r="F187" s="1" t="str">
        <f ca="1">IFERROR(__xludf.DUMMYFUNCTION("""COMPUTED_VALUE"""),"Amazonmktplc")</f>
        <v>Amazonmktplc</v>
      </c>
      <c r="G187" s="1" t="str">
        <f ca="1"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6">
        <f ca="1">IFERROR(__xludf.DUMMYFUNCTION("""COMPUTED_VALUE"""),45809)</f>
        <v>45809</v>
      </c>
      <c r="B188" s="7">
        <f ca="1">IFERROR(__xludf.DUMMYFUNCTION("""COMPUTED_VALUE"""),45773)</f>
        <v>45773</v>
      </c>
      <c r="C188" s="1" t="str">
        <f ca="1">IFERROR(__xludf.DUMMYFUNCTION("""COMPUTED_VALUE"""),"Drogaria Araujo")</f>
        <v>Drogaria Araujo</v>
      </c>
      <c r="D188" s="2">
        <f ca="1">IFERROR(__xludf.DUMMYFUNCTION("""COMPUTED_VALUE"""),2.99)</f>
        <v>2.99</v>
      </c>
      <c r="E188" s="1" t="str">
        <f ca="1">IFERROR(__xludf.DUMMYFUNCTION("""COMPUTED_VALUE"""),"-")</f>
        <v>-</v>
      </c>
      <c r="F188" s="1" t="str">
        <f ca="1">IFERROR(__xludf.DUMMYFUNCTION("""COMPUTED_VALUE"""),"Drogaria Araujo")</f>
        <v>Drogaria Araujo</v>
      </c>
      <c r="G188" s="1" t="str">
        <f ca="1">IFERROR(__xludf.DUMMYFUNCTION("""COMPUTED_VALUE"""),"Farmácia")</f>
        <v>Farmácia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6">
        <f ca="1">IFERROR(__xludf.DUMMYFUNCTION("""COMPUTED_VALUE"""),45809)</f>
        <v>45809</v>
      </c>
      <c r="B189" s="7">
        <f ca="1">IFERROR(__xludf.DUMMYFUNCTION("""COMPUTED_VALUE"""),45775)</f>
        <v>45775</v>
      </c>
      <c r="C189" s="1" t="str">
        <f ca="1">IFERROR(__xludf.DUMMYFUNCTION("""COMPUTED_VALUE"""),"Super Nosso")</f>
        <v>Super Nosso</v>
      </c>
      <c r="D189" s="2">
        <f ca="1">IFERROR(__xludf.DUMMYFUNCTION("""COMPUTED_VALUE"""),16.23)</f>
        <v>16.23</v>
      </c>
      <c r="E189" s="1" t="str">
        <f ca="1">IFERROR(__xludf.DUMMYFUNCTION("""COMPUTED_VALUE"""),"-")</f>
        <v>-</v>
      </c>
      <c r="F189" s="1" t="str">
        <f ca="1">IFERROR(__xludf.DUMMYFUNCTION("""COMPUTED_VALUE"""),"Super Nosso")</f>
        <v>Super Nosso</v>
      </c>
      <c r="G189" s="1" t="str">
        <f ca="1"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6">
        <f ca="1">IFERROR(__xludf.DUMMYFUNCTION("""COMPUTED_VALUE"""),45809)</f>
        <v>45809</v>
      </c>
      <c r="B190" s="7">
        <f ca="1">IFERROR(__xludf.DUMMYFUNCTION("""COMPUTED_VALUE"""),45776)</f>
        <v>45776</v>
      </c>
      <c r="C190" s="1" t="str">
        <f ca="1">IFERROR(__xludf.DUMMYFUNCTION("""COMPUTED_VALUE"""),"Lojas Rede")</f>
        <v>Lojas Rede</v>
      </c>
      <c r="D190" s="2">
        <f ca="1">IFERROR(__xludf.DUMMYFUNCTION("""COMPUTED_VALUE"""),9.18)</f>
        <v>9.18</v>
      </c>
      <c r="E190" s="1" t="str">
        <f ca="1">IFERROR(__xludf.DUMMYFUNCTION("""COMPUTED_VALUE"""),"-")</f>
        <v>-</v>
      </c>
      <c r="F190" s="1" t="str">
        <f ca="1">IFERROR(__xludf.DUMMYFUNCTION("""COMPUTED_VALUE"""),"Lojas Rede")</f>
        <v>Lojas Rede</v>
      </c>
      <c r="G190" s="1" t="str">
        <f ca="1"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6">
        <f ca="1">IFERROR(__xludf.DUMMYFUNCTION("""COMPUTED_VALUE"""),45809)</f>
        <v>45809</v>
      </c>
      <c r="B191" s="7">
        <f ca="1">IFERROR(__xludf.DUMMYFUNCTION("""COMPUTED_VALUE"""),45777)</f>
        <v>45777</v>
      </c>
      <c r="C191" s="1" t="str">
        <f ca="1">IFERROR(__xludf.DUMMYFUNCTION("""COMPUTED_VALUE"""),"Dma Distribuidora Sa")</f>
        <v>Dma Distribuidora Sa</v>
      </c>
      <c r="D191" s="2">
        <f ca="1">IFERROR(__xludf.DUMMYFUNCTION("""COMPUTED_VALUE"""),64.8)</f>
        <v>64.8</v>
      </c>
      <c r="E191" s="1" t="str">
        <f ca="1">IFERROR(__xludf.DUMMYFUNCTION("""COMPUTED_VALUE"""),"-")</f>
        <v>-</v>
      </c>
      <c r="F191" s="1" t="str">
        <f ca="1">IFERROR(__xludf.DUMMYFUNCTION("""COMPUTED_VALUE"""),"Dma Distribuidora Sa")</f>
        <v>Dma Distribuidora Sa</v>
      </c>
      <c r="G191" s="1" t="str">
        <f ca="1"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6">
        <f ca="1">IFERROR(__xludf.DUMMYFUNCTION("""COMPUTED_VALUE"""),45809)</f>
        <v>45809</v>
      </c>
      <c r="B192" s="7">
        <f ca="1">IFERROR(__xludf.DUMMYFUNCTION("""COMPUTED_VALUE"""),45779)</f>
        <v>45779</v>
      </c>
      <c r="C192" s="1" t="str">
        <f ca="1">IFERROR(__xludf.DUMMYFUNCTION("""COMPUTED_VALUE"""),"Alameda 288")</f>
        <v>Alameda 288</v>
      </c>
      <c r="D192" s="2">
        <f ca="1">IFERROR(__xludf.DUMMYFUNCTION("""COMPUTED_VALUE"""),37.25)</f>
        <v>37.25</v>
      </c>
      <c r="E192" s="1" t="str">
        <f ca="1">IFERROR(__xludf.DUMMYFUNCTION("""COMPUTED_VALUE"""),"-")</f>
        <v>-</v>
      </c>
      <c r="F192" s="1" t="str">
        <f ca="1">IFERROR(__xludf.DUMMYFUNCTION("""COMPUTED_VALUE"""),"Alameda 288")</f>
        <v>Alameda 288</v>
      </c>
      <c r="G192" s="1" t="str">
        <f ca="1"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6">
        <f ca="1">IFERROR(__xludf.DUMMYFUNCTION("""COMPUTED_VALUE"""),45809)</f>
        <v>45809</v>
      </c>
      <c r="B193" s="7">
        <f ca="1">IFERROR(__xludf.DUMMYFUNCTION("""COMPUTED_VALUE"""),45786)</f>
        <v>45786</v>
      </c>
      <c r="C193" s="1" t="str">
        <f ca="1">IFERROR(__xludf.DUMMYFUNCTION("""COMPUTED_VALUE"""),"L Amour Restaurante L")</f>
        <v>L Amour Restaurante L</v>
      </c>
      <c r="D193" s="2">
        <f ca="1">IFERROR(__xludf.DUMMYFUNCTION("""COMPUTED_VALUE"""),37.26)</f>
        <v>37.26</v>
      </c>
      <c r="E193" s="1" t="str">
        <f ca="1">IFERROR(__xludf.DUMMYFUNCTION("""COMPUTED_VALUE"""),"-")</f>
        <v>-</v>
      </c>
      <c r="F193" s="1" t="str">
        <f ca="1">IFERROR(__xludf.DUMMYFUNCTION("""COMPUTED_VALUE"""),"L Amour Restaurante L")</f>
        <v>L Amour Restaurante L</v>
      </c>
      <c r="G193" s="1" t="str">
        <f ca="1"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6">
        <f ca="1">IFERROR(__xludf.DUMMYFUNCTION("""COMPUTED_VALUE"""),45809)</f>
        <v>45809</v>
      </c>
      <c r="B194" s="7">
        <f ca="1">IFERROR(__xludf.DUMMYFUNCTION("""COMPUTED_VALUE"""),45786)</f>
        <v>45786</v>
      </c>
      <c r="C194" s="1" t="str">
        <f ca="1">IFERROR(__xludf.DUMMYFUNCTION("""COMPUTED_VALUE"""),"Lojas Rede")</f>
        <v>Lojas Rede</v>
      </c>
      <c r="D194" s="2">
        <f ca="1">IFERROR(__xludf.DUMMYFUNCTION("""COMPUTED_VALUE"""),9.75)</f>
        <v>9.75</v>
      </c>
      <c r="E194" s="1" t="str">
        <f ca="1">IFERROR(__xludf.DUMMYFUNCTION("""COMPUTED_VALUE"""),"-")</f>
        <v>-</v>
      </c>
      <c r="F194" s="1" t="str">
        <f ca="1">IFERROR(__xludf.DUMMYFUNCTION("""COMPUTED_VALUE"""),"Lojas Rede")</f>
        <v>Lojas Rede</v>
      </c>
      <c r="G194" s="1" t="str">
        <f ca="1"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6">
        <f ca="1">IFERROR(__xludf.DUMMYFUNCTION("""COMPUTED_VALUE"""),45809)</f>
        <v>45809</v>
      </c>
      <c r="B195" s="7">
        <f ca="1">IFERROR(__xludf.DUMMYFUNCTION("""COMPUTED_VALUE"""),45789)</f>
        <v>45789</v>
      </c>
      <c r="C195" s="1" t="str">
        <f ca="1">IFERROR(__xludf.DUMMYFUNCTION("""COMPUTED_VALUE"""),"Lavih Spa")</f>
        <v>Lavih Spa</v>
      </c>
      <c r="D195" s="2">
        <f ca="1">IFERROR(__xludf.DUMMYFUNCTION("""COMPUTED_VALUE"""),224.1)</f>
        <v>224.1</v>
      </c>
      <c r="E195" s="1" t="str">
        <f ca="1">IFERROR(__xludf.DUMMYFUNCTION("""COMPUTED_VALUE"""),"-")</f>
        <v>-</v>
      </c>
      <c r="F195" s="1" t="str">
        <f ca="1">IFERROR(__xludf.DUMMYFUNCTION("""COMPUTED_VALUE"""),"Lavih Spa")</f>
        <v>Lavih Spa</v>
      </c>
      <c r="G195" s="1" t="str">
        <f ca="1"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6">
        <f ca="1">IFERROR(__xludf.DUMMYFUNCTION("""COMPUTED_VALUE"""),45809)</f>
        <v>45809</v>
      </c>
      <c r="B196" s="7">
        <f ca="1">IFERROR(__xludf.DUMMYFUNCTION("""COMPUTED_VALUE"""),45789)</f>
        <v>45789</v>
      </c>
      <c r="C196" s="1" t="str">
        <f ca="1">IFERROR(__xludf.DUMMYFUNCTION("""COMPUTED_VALUE"""),"Franquia Lupo")</f>
        <v>Franquia Lupo</v>
      </c>
      <c r="D196" s="2">
        <f ca="1">IFERROR(__xludf.DUMMYFUNCTION("""COMPUTED_VALUE"""),46.9)</f>
        <v>46.9</v>
      </c>
      <c r="E196" s="1" t="str">
        <f ca="1">IFERROR(__xludf.DUMMYFUNCTION("""COMPUTED_VALUE"""),"-")</f>
        <v>-</v>
      </c>
      <c r="F196" s="1" t="str">
        <f ca="1">IFERROR(__xludf.DUMMYFUNCTION("""COMPUTED_VALUE"""),"Franquia Lupo")</f>
        <v>Franquia Lupo</v>
      </c>
      <c r="G196" s="1" t="str">
        <f ca="1"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6">
        <f ca="1">IFERROR(__xludf.DUMMYFUNCTION("""COMPUTED_VALUE"""),45809)</f>
        <v>45809</v>
      </c>
      <c r="B197" s="7">
        <f ca="1">IFERROR(__xludf.DUMMYFUNCTION("""COMPUTED_VALUE"""),45789)</f>
        <v>45789</v>
      </c>
      <c r="C197" s="1" t="str">
        <f ca="1">IFERROR(__xludf.DUMMYFUNCTION("""COMPUTED_VALUE"""),"Mg Bh Savassi Sh (1/2)")</f>
        <v>Mg Bh Savassi Sh (1/2)</v>
      </c>
      <c r="D197" s="2">
        <f ca="1">IFERROR(__xludf.DUMMYFUNCTION("""COMPUTED_VALUE"""),100)</f>
        <v>100</v>
      </c>
      <c r="E197" s="1" t="str">
        <f ca="1">IFERROR(__xludf.DUMMYFUNCTION("""COMPUTED_VALUE"""),"-")</f>
        <v>-</v>
      </c>
      <c r="F197" s="1" t="str">
        <f ca="1">IFERROR(__xludf.DUMMYFUNCTION("""COMPUTED_VALUE"""),"Mg Bh Savassi Sh")</f>
        <v>Mg Bh Savassi Sh</v>
      </c>
      <c r="G197" s="1" t="str">
        <f ca="1"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6">
        <f ca="1">IFERROR(__xludf.DUMMYFUNCTION("""COMPUTED_VALUE"""),45809)</f>
        <v>45809</v>
      </c>
      <c r="B198" s="7">
        <f ca="1">IFERROR(__xludf.DUMMYFUNCTION("""COMPUTED_VALUE"""),45781)</f>
        <v>45781</v>
      </c>
      <c r="C198" s="1" t="str">
        <f ca="1">IFERROR(__xludf.DUMMYFUNCTION("""COMPUTED_VALUE"""),"Magazine Mangabeiras")</f>
        <v>Magazine Mangabeiras</v>
      </c>
      <c r="D198" s="2">
        <f ca="1">IFERROR(__xludf.DUMMYFUNCTION("""COMPUTED_VALUE"""),14.99)</f>
        <v>14.99</v>
      </c>
      <c r="E198" s="1" t="str">
        <f ca="1">IFERROR(__xludf.DUMMYFUNCTION("""COMPUTED_VALUE"""),"-")</f>
        <v>-</v>
      </c>
      <c r="F198" s="1" t="str">
        <f ca="1">IFERROR(__xludf.DUMMYFUNCTION("""COMPUTED_VALUE"""),"Magazine Mangabeiras")</f>
        <v>Magazine Mangabeiras</v>
      </c>
      <c r="G198" s="1" t="str">
        <f ca="1"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6">
        <f ca="1">IFERROR(__xludf.DUMMYFUNCTION("""COMPUTED_VALUE"""),45809)</f>
        <v>45809</v>
      </c>
      <c r="B199" s="7">
        <f ca="1">IFERROR(__xludf.DUMMYFUNCTION("""COMPUTED_VALUE"""),45782)</f>
        <v>45782</v>
      </c>
      <c r="C199" s="1" t="str">
        <f ca="1">IFERROR(__xludf.DUMMYFUNCTION("""COMPUTED_VALUE"""),"Super Nosso")</f>
        <v>Super Nosso</v>
      </c>
      <c r="D199" s="2">
        <f ca="1">IFERROR(__xludf.DUMMYFUNCTION("""COMPUTED_VALUE"""),10.68)</f>
        <v>10.68</v>
      </c>
      <c r="E199" s="1" t="str">
        <f ca="1">IFERROR(__xludf.DUMMYFUNCTION("""COMPUTED_VALUE"""),"-")</f>
        <v>-</v>
      </c>
      <c r="F199" s="1" t="str">
        <f ca="1">IFERROR(__xludf.DUMMYFUNCTION("""COMPUTED_VALUE"""),"Super Nosso")</f>
        <v>Super Nosso</v>
      </c>
      <c r="G199" s="1" t="str">
        <f ca="1"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6">
        <f ca="1">IFERROR(__xludf.DUMMYFUNCTION("""COMPUTED_VALUE"""),45809)</f>
        <v>45809</v>
      </c>
      <c r="B200" s="7">
        <f ca="1">IFERROR(__xludf.DUMMYFUNCTION("""COMPUTED_VALUE"""),45783)</f>
        <v>45783</v>
      </c>
      <c r="C200" s="1" t="str">
        <f ca="1">IFERROR(__xludf.DUMMYFUNCTION("""COMPUTED_VALUE"""),"Megapark")</f>
        <v>Megapark</v>
      </c>
      <c r="D200" s="2">
        <f ca="1">IFERROR(__xludf.DUMMYFUNCTION("""COMPUTED_VALUE"""),285)</f>
        <v>285</v>
      </c>
      <c r="E200" s="1" t="str">
        <f ca="1">IFERROR(__xludf.DUMMYFUNCTION("""COMPUTED_VALUE"""),"-")</f>
        <v>-</v>
      </c>
      <c r="F200" s="1" t="str">
        <f ca="1">IFERROR(__xludf.DUMMYFUNCTION("""COMPUTED_VALUE"""),"Megapark")</f>
        <v>Megapark</v>
      </c>
      <c r="G200" s="1" t="str">
        <f ca="1"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6">
        <f ca="1">IFERROR(__xludf.DUMMYFUNCTION("""COMPUTED_VALUE"""),45809)</f>
        <v>45809</v>
      </c>
      <c r="B201" s="7">
        <f ca="1">IFERROR(__xludf.DUMMYFUNCTION("""COMPUTED_VALUE"""),45784)</f>
        <v>45784</v>
      </c>
      <c r="C201" s="1" t="str">
        <f ca="1">IFERROR(__xludf.DUMMYFUNCTION("""COMPUTED_VALUE"""),"Droga Raia")</f>
        <v>Droga Raia</v>
      </c>
      <c r="D201" s="2">
        <f ca="1">IFERROR(__xludf.DUMMYFUNCTION("""COMPUTED_VALUE"""),20.09)</f>
        <v>20.09</v>
      </c>
      <c r="E201" s="1" t="str">
        <f ca="1">IFERROR(__xludf.DUMMYFUNCTION("""COMPUTED_VALUE"""),"-")</f>
        <v>-</v>
      </c>
      <c r="F201" s="1" t="str">
        <f ca="1">IFERROR(__xludf.DUMMYFUNCTION("""COMPUTED_VALUE"""),"Droga Raia")</f>
        <v>Droga Raia</v>
      </c>
      <c r="G201" s="1" t="str">
        <f ca="1">IFERROR(__xludf.DUMMYFUNCTION("""COMPUTED_VALUE"""),"Farmácia")</f>
        <v>Farmácia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6">
        <f ca="1">IFERROR(__xludf.DUMMYFUNCTION("""COMPUTED_VALUE"""),45809)</f>
        <v>45809</v>
      </c>
      <c r="B202" s="7">
        <f ca="1">IFERROR(__xludf.DUMMYFUNCTION("""COMPUTED_VALUE"""),45785)</f>
        <v>45785</v>
      </c>
      <c r="C202" s="1" t="str">
        <f ca="1">IFERROR(__xludf.DUMMYFUNCTION("""COMPUTED_VALUE"""),"Vila 21 Restaurante")</f>
        <v>Vila 21 Restaurante</v>
      </c>
      <c r="D202" s="2">
        <f ca="1">IFERROR(__xludf.DUMMYFUNCTION("""COMPUTED_VALUE"""),30.29)</f>
        <v>30.29</v>
      </c>
      <c r="E202" s="1" t="str">
        <f ca="1">IFERROR(__xludf.DUMMYFUNCTION("""COMPUTED_VALUE"""),"-")</f>
        <v>-</v>
      </c>
      <c r="F202" s="1" t="str">
        <f ca="1">IFERROR(__xludf.DUMMYFUNCTION("""COMPUTED_VALUE"""),"Vila 21 Restaurante")</f>
        <v>Vila 21 Restaurante</v>
      </c>
      <c r="G202" s="1" t="str">
        <f ca="1"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6">
        <f ca="1">IFERROR(__xludf.DUMMYFUNCTION("""COMPUTED_VALUE"""),45809)</f>
        <v>45809</v>
      </c>
      <c r="B203" s="7">
        <f ca="1">IFERROR(__xludf.DUMMYFUNCTION("""COMPUTED_VALUE"""),45785)</f>
        <v>45785</v>
      </c>
      <c r="C203" s="1" t="str">
        <f ca="1">IFERROR(__xludf.DUMMYFUNCTION("""COMPUTED_VALUE"""),"Drogaria Araujo")</f>
        <v>Drogaria Araujo</v>
      </c>
      <c r="D203" s="2">
        <f ca="1">IFERROR(__xludf.DUMMYFUNCTION("""COMPUTED_VALUE"""),12.26)</f>
        <v>12.26</v>
      </c>
      <c r="E203" s="1" t="str">
        <f ca="1">IFERROR(__xludf.DUMMYFUNCTION("""COMPUTED_VALUE"""),"-")</f>
        <v>-</v>
      </c>
      <c r="F203" s="1" t="str">
        <f ca="1">IFERROR(__xludf.DUMMYFUNCTION("""COMPUTED_VALUE"""),"Drogaria Araujo")</f>
        <v>Drogaria Araujo</v>
      </c>
      <c r="G203" s="1" t="str">
        <f ca="1">IFERROR(__xludf.DUMMYFUNCTION("""COMPUTED_VALUE"""),"Farmácia")</f>
        <v>Farmácia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6">
        <f ca="1">IFERROR(__xludf.DUMMYFUNCTION("""COMPUTED_VALUE"""),45809)</f>
        <v>45809</v>
      </c>
      <c r="B204" s="7">
        <f ca="1">IFERROR(__xludf.DUMMYFUNCTION("""COMPUTED_VALUE"""),45789)</f>
        <v>45789</v>
      </c>
      <c r="C204" s="1" t="str">
        <f ca="1">IFERROR(__xludf.DUMMYFUNCTION("""COMPUTED_VALUE"""),"Kiko Cosméticos")</f>
        <v>Kiko Cosméticos</v>
      </c>
      <c r="D204" s="2">
        <f ca="1">IFERROR(__xludf.DUMMYFUNCTION("""COMPUTED_VALUE"""),39.9)</f>
        <v>39.9</v>
      </c>
      <c r="E204" s="1" t="str">
        <f ca="1">IFERROR(__xludf.DUMMYFUNCTION("""COMPUTED_VALUE"""),"-")</f>
        <v>-</v>
      </c>
      <c r="F204" s="1" t="str">
        <f ca="1">IFERROR(__xludf.DUMMYFUNCTION("""COMPUTED_VALUE"""),"Kiko Cosméticos")</f>
        <v>Kiko Cosméticos</v>
      </c>
      <c r="G204" s="1" t="str">
        <f ca="1"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6">
        <f ca="1">IFERROR(__xludf.DUMMYFUNCTION("""COMPUTED_VALUE"""),45809)</f>
        <v>45809</v>
      </c>
      <c r="B205" s="7">
        <f ca="1">IFERROR(__xludf.DUMMYFUNCTION("""COMPUTED_VALUE"""),45790)</f>
        <v>45790</v>
      </c>
      <c r="C205" s="1" t="str">
        <f ca="1">IFERROR(__xludf.DUMMYFUNCTION("""COMPUTED_VALUE"""),"Barnabe Emporio")</f>
        <v>Barnabe Emporio</v>
      </c>
      <c r="D205" s="2">
        <f ca="1">IFERROR(__xludf.DUMMYFUNCTION("""COMPUTED_VALUE"""),23)</f>
        <v>23</v>
      </c>
      <c r="E205" s="1" t="str">
        <f ca="1">IFERROR(__xludf.DUMMYFUNCTION("""COMPUTED_VALUE"""),"-")</f>
        <v>-</v>
      </c>
      <c r="F205" s="1" t="str">
        <f ca="1">IFERROR(__xludf.DUMMYFUNCTION("""COMPUTED_VALUE"""),"Barnabe Emporio")</f>
        <v>Barnabe Emporio</v>
      </c>
      <c r="G205" s="1" t="str">
        <f ca="1"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6">
        <f ca="1">IFERROR(__xludf.DUMMYFUNCTION("""COMPUTED_VALUE"""),45809)</f>
        <v>45809</v>
      </c>
      <c r="B206" s="7">
        <f ca="1">IFERROR(__xludf.DUMMYFUNCTION("""COMPUTED_VALUE"""),45793)</f>
        <v>45793</v>
      </c>
      <c r="C206" s="1" t="str">
        <f ca="1">IFERROR(__xludf.DUMMYFUNCTION("""COMPUTED_VALUE"""),"Relicario Trem Bie")</f>
        <v>Relicario Trem Bie</v>
      </c>
      <c r="D206" s="2">
        <f ca="1">IFERROR(__xludf.DUMMYFUNCTION("""COMPUTED_VALUE"""),8)</f>
        <v>8</v>
      </c>
      <c r="E206" s="1" t="str">
        <f ca="1">IFERROR(__xludf.DUMMYFUNCTION("""COMPUTED_VALUE"""),"-")</f>
        <v>-</v>
      </c>
      <c r="F206" s="1" t="str">
        <f ca="1">IFERROR(__xludf.DUMMYFUNCTION("""COMPUTED_VALUE"""),"Relicario Trem Bie")</f>
        <v>Relicario Trem Bie</v>
      </c>
      <c r="G206" s="1" t="str">
        <f ca="1"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6">
        <f ca="1">IFERROR(__xludf.DUMMYFUNCTION("""COMPUTED_VALUE"""),45809)</f>
        <v>45809</v>
      </c>
      <c r="B207" s="7">
        <f ca="1">IFERROR(__xludf.DUMMYFUNCTION("""COMPUTED_VALUE"""),45795)</f>
        <v>45795</v>
      </c>
      <c r="C207" s="1" t="str">
        <f ca="1">IFERROR(__xludf.DUMMYFUNCTION("""COMPUTED_VALUE"""),"Sabor Da Empda")</f>
        <v>Sabor Da Empda</v>
      </c>
      <c r="D207" s="2">
        <f ca="1">IFERROR(__xludf.DUMMYFUNCTION("""COMPUTED_VALUE"""),19.5)</f>
        <v>19.5</v>
      </c>
      <c r="E207" s="1" t="str">
        <f ca="1">IFERROR(__xludf.DUMMYFUNCTION("""COMPUTED_VALUE"""),"-")</f>
        <v>-</v>
      </c>
      <c r="F207" s="1" t="str">
        <f ca="1">IFERROR(__xludf.DUMMYFUNCTION("""COMPUTED_VALUE"""),"Sabor Da Empda")</f>
        <v>Sabor Da Empda</v>
      </c>
      <c r="G207" s="1" t="str">
        <f ca="1"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6">
        <f ca="1">IFERROR(__xludf.DUMMYFUNCTION("""COMPUTED_VALUE"""),45809)</f>
        <v>45809</v>
      </c>
      <c r="B208" s="7">
        <f ca="1">IFERROR(__xludf.DUMMYFUNCTION("""COMPUTED_VALUE"""),45801)</f>
        <v>45801</v>
      </c>
      <c r="C208" s="1" t="str">
        <f ca="1">IFERROR(__xludf.DUMMYFUNCTION("""COMPUTED_VALUE"""),"Sangiorgi E Franca Com")</f>
        <v>Sangiorgi E Franca Com</v>
      </c>
      <c r="D208" s="2">
        <f ca="1">IFERROR(__xludf.DUMMYFUNCTION("""COMPUTED_VALUE"""),12.1)</f>
        <v>12.1</v>
      </c>
      <c r="E208" s="1" t="str">
        <f ca="1">IFERROR(__xludf.DUMMYFUNCTION("""COMPUTED_VALUE"""),"-")</f>
        <v>-</v>
      </c>
      <c r="F208" s="1" t="str">
        <f ca="1">IFERROR(__xludf.DUMMYFUNCTION("""COMPUTED_VALUE"""),"Sangiorgi E Franca Com")</f>
        <v>Sangiorgi E Franca Com</v>
      </c>
      <c r="G208" s="1" t="str">
        <f ca="1"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6">
        <f ca="1">IFERROR(__xludf.DUMMYFUNCTION("""COMPUTED_VALUE"""),45809)</f>
        <v>45809</v>
      </c>
      <c r="B209" s="7">
        <f ca="1">IFERROR(__xludf.DUMMYFUNCTION("""COMPUTED_VALUE"""),45801)</f>
        <v>45801</v>
      </c>
      <c r="C209" s="1" t="str">
        <f ca="1">IFERROR(__xludf.DUMMYFUNCTION("""COMPUTED_VALUE"""),"Drogaria Araujo")</f>
        <v>Drogaria Araujo</v>
      </c>
      <c r="D209" s="2">
        <f ca="1">IFERROR(__xludf.DUMMYFUNCTION("""COMPUTED_VALUE"""),96.45)</f>
        <v>96.45</v>
      </c>
      <c r="E209" s="1" t="str">
        <f ca="1">IFERROR(__xludf.DUMMYFUNCTION("""COMPUTED_VALUE"""),"-")</f>
        <v>-</v>
      </c>
      <c r="F209" s="1" t="str">
        <f ca="1">IFERROR(__xludf.DUMMYFUNCTION("""COMPUTED_VALUE"""),"Drogaria Araujo")</f>
        <v>Drogaria Araujo</v>
      </c>
      <c r="G209" s="1" t="str">
        <f ca="1">IFERROR(__xludf.DUMMYFUNCTION("""COMPUTED_VALUE"""),"Farmácia")</f>
        <v>Farmácia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6">
        <f ca="1">IFERROR(__xludf.DUMMYFUNCTION("""COMPUTED_VALUE"""),45839)</f>
        <v>45839</v>
      </c>
      <c r="B210" s="7">
        <f ca="1">IFERROR(__xludf.DUMMYFUNCTION("""COMPUTED_VALUE"""),45831)</f>
        <v>45831</v>
      </c>
      <c r="C210" s="1" t="str">
        <f ca="1">IFERROR(__xludf.DUMMYFUNCTION("""COMPUTED_VALUE"""),"Cancelamento - Shopee -")</f>
        <v>Cancelamento - Shopee -</v>
      </c>
      <c r="D210" s="2">
        <f ca="1">IFERROR(__xludf.DUMMYFUNCTION("""COMPUTED_VALUE"""),-10.1)</f>
        <v>-10.1</v>
      </c>
      <c r="E210" s="1" t="str">
        <f ca="1">IFERROR(__xludf.DUMMYFUNCTION("""COMPUTED_VALUE"""),"-")</f>
        <v>-</v>
      </c>
      <c r="F210" s="1" t="str">
        <f ca="1">IFERROR(__xludf.DUMMYFUNCTION("""COMPUTED_VALUE"""),"Cancelamento - Shopee -")</f>
        <v>Cancelamento - Shopee -</v>
      </c>
      <c r="G210" s="1" t="str">
        <f ca="1"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6">
        <f ca="1">IFERROR(__xludf.DUMMYFUNCTION("""COMPUTED_VALUE"""),45839)</f>
        <v>45839</v>
      </c>
      <c r="B211" s="7">
        <f ca="1">IFERROR(__xludf.DUMMYFUNCTION("""COMPUTED_VALUE"""),45831)</f>
        <v>45831</v>
      </c>
      <c r="C211" s="1" t="str">
        <f ca="1">IFERROR(__xludf.DUMMYFUNCTION("""COMPUTED_VALUE"""),"Cancelamento - Shopee -")</f>
        <v>Cancelamento - Shopee -</v>
      </c>
      <c r="D211" s="2">
        <f ca="1">IFERROR(__xludf.DUMMYFUNCTION("""COMPUTED_VALUE"""),-26.9)</f>
        <v>-26.9</v>
      </c>
      <c r="E211" s="1" t="str">
        <f ca="1">IFERROR(__xludf.DUMMYFUNCTION("""COMPUTED_VALUE"""),"-")</f>
        <v>-</v>
      </c>
      <c r="F211" s="1" t="str">
        <f ca="1">IFERROR(__xludf.DUMMYFUNCTION("""COMPUTED_VALUE"""),"Cancelamento - Shopee -")</f>
        <v>Cancelamento - Shopee -</v>
      </c>
      <c r="G211" s="1" t="str">
        <f ca="1"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6">
        <f ca="1">IFERROR(__xludf.DUMMYFUNCTION("""COMPUTED_VALUE"""),45839)</f>
        <v>45839</v>
      </c>
      <c r="B212" s="7">
        <f ca="1">IFERROR(__xludf.DUMMYFUNCTION("""COMPUTED_VALUE"""),45831)</f>
        <v>45831</v>
      </c>
      <c r="C212" s="1" t="str">
        <f ca="1">IFERROR(__xludf.DUMMYFUNCTION("""COMPUTED_VALUE"""),"Cancelamento - Shopee -")</f>
        <v>Cancelamento - Shopee -</v>
      </c>
      <c r="D212" s="2">
        <f ca="1">IFERROR(__xludf.DUMMYFUNCTION("""COMPUTED_VALUE"""),-29.99)</f>
        <v>-29.99</v>
      </c>
      <c r="E212" s="1" t="str">
        <f ca="1">IFERROR(__xludf.DUMMYFUNCTION("""COMPUTED_VALUE"""),"-")</f>
        <v>-</v>
      </c>
      <c r="F212" s="1" t="str">
        <f ca="1">IFERROR(__xludf.DUMMYFUNCTION("""COMPUTED_VALUE"""),"Cancelamento - Shopee -")</f>
        <v>Cancelamento - Shopee -</v>
      </c>
      <c r="G212" s="1" t="str">
        <f ca="1"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6">
        <f ca="1">IFERROR(__xludf.DUMMYFUNCTION("""COMPUTED_VALUE"""),45839)</f>
        <v>45839</v>
      </c>
      <c r="B213" s="7">
        <f ca="1">IFERROR(__xludf.DUMMYFUNCTION("""COMPUTED_VALUE"""),45831)</f>
        <v>45831</v>
      </c>
      <c r="C213" s="1" t="str">
        <f ca="1">IFERROR(__xludf.DUMMYFUNCTION("""COMPUTED_VALUE"""),"Cancelamento - Shopee -")</f>
        <v>Cancelamento - Shopee -</v>
      </c>
      <c r="D213" s="2">
        <f ca="1">IFERROR(__xludf.DUMMYFUNCTION("""COMPUTED_VALUE"""),-32.89)</f>
        <v>-32.89</v>
      </c>
      <c r="E213" s="1" t="str">
        <f ca="1">IFERROR(__xludf.DUMMYFUNCTION("""COMPUTED_VALUE"""),"-")</f>
        <v>-</v>
      </c>
      <c r="F213" s="1" t="str">
        <f ca="1">IFERROR(__xludf.DUMMYFUNCTION("""COMPUTED_VALUE"""),"Cancelamento - Shopee -")</f>
        <v>Cancelamento - Shopee -</v>
      </c>
      <c r="G213" s="1" t="str">
        <f ca="1"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6">
        <f ca="1">IFERROR(__xludf.DUMMYFUNCTION("""COMPUTED_VALUE"""),45839)</f>
        <v>45839</v>
      </c>
      <c r="B214" s="7">
        <f ca="1">IFERROR(__xludf.DUMMYFUNCTION("""COMPUTED_VALUE"""),45831)</f>
        <v>45831</v>
      </c>
      <c r="C214" s="1" t="str">
        <f ca="1">IFERROR(__xludf.DUMMYFUNCTION("""COMPUTED_VALUE"""),"Cancelamento - Shopee -")</f>
        <v>Cancelamento - Shopee -</v>
      </c>
      <c r="D214" s="2">
        <f ca="1">IFERROR(__xludf.DUMMYFUNCTION("""COMPUTED_VALUE"""),-34.9)</f>
        <v>-34.9</v>
      </c>
      <c r="E214" s="1" t="str">
        <f ca="1">IFERROR(__xludf.DUMMYFUNCTION("""COMPUTED_VALUE"""),"-")</f>
        <v>-</v>
      </c>
      <c r="F214" s="1" t="str">
        <f ca="1">IFERROR(__xludf.DUMMYFUNCTION("""COMPUTED_VALUE"""),"Cancelamento - Shopee -")</f>
        <v>Cancelamento - Shopee -</v>
      </c>
      <c r="G214" s="1" t="str">
        <f ca="1"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6">
        <f ca="1">IFERROR(__xludf.DUMMYFUNCTION("""COMPUTED_VALUE"""),45839)</f>
        <v>45839</v>
      </c>
      <c r="B215" s="7">
        <f ca="1">IFERROR(__xludf.DUMMYFUNCTION("""COMPUTED_VALUE"""),45831)</f>
        <v>45831</v>
      </c>
      <c r="C215" s="1" t="str">
        <f ca="1">IFERROR(__xludf.DUMMYFUNCTION("""COMPUTED_VALUE"""),"Cancelamento - Copkosto -")</f>
        <v>Cancelamento - Copkosto -</v>
      </c>
      <c r="D215" s="2">
        <f ca="1">IFERROR(__xludf.DUMMYFUNCTION("""COMPUTED_VALUE"""),-32.78)</f>
        <v>-32.78</v>
      </c>
      <c r="E215" s="1" t="str">
        <f ca="1">IFERROR(__xludf.DUMMYFUNCTION("""COMPUTED_VALUE"""),"-")</f>
        <v>-</v>
      </c>
      <c r="F215" s="1" t="str">
        <f ca="1">IFERROR(__xludf.DUMMYFUNCTION("""COMPUTED_VALUE"""),"Cancelamento - Copkosto -")</f>
        <v>Cancelamento - Copkosto -</v>
      </c>
      <c r="G215" s="1" t="str">
        <f ca="1"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6">
        <f ca="1">IFERROR(__xludf.DUMMYFUNCTION("""COMPUTED_VALUE"""),45839)</f>
        <v>45839</v>
      </c>
      <c r="B216" s="7">
        <f ca="1">IFERROR(__xludf.DUMMYFUNCTION("""COMPUTED_VALUE"""),45835)</f>
        <v>45835</v>
      </c>
      <c r="C216" s="1" t="str">
        <f ca="1">IFERROR(__xludf.DUMMYFUNCTION("""COMPUTED_VALUE"""),"Desconto Na Parcela 10 De 12 -")</f>
        <v>Desconto Na Parcela 10 De 12 -</v>
      </c>
      <c r="D216" s="2">
        <f ca="1">IFERROR(__xludf.DUMMYFUNCTION("""COMPUTED_VALUE"""),-0.4)</f>
        <v>-0.4</v>
      </c>
      <c r="E216" s="1" t="str">
        <f ca="1">IFERROR(__xludf.DUMMYFUNCTION("""COMPUTED_VALUE"""),"-")</f>
        <v>-</v>
      </c>
      <c r="F216" s="1" t="str">
        <f ca="1">IFERROR(__xludf.DUMMYFUNCTION("""COMPUTED_VALUE"""),"Desconto Na Parcela 10 De 12 -")</f>
        <v>Desconto Na Parcela 10 De 12 -</v>
      </c>
      <c r="G216" s="1" t="str">
        <f ca="1"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6">
        <f ca="1">IFERROR(__xludf.DUMMYFUNCTION("""COMPUTED_VALUE"""),45839)</f>
        <v>45839</v>
      </c>
      <c r="B217" s="7">
        <f ca="1">IFERROR(__xludf.DUMMYFUNCTION("""COMPUTED_VALUE"""),45835)</f>
        <v>45835</v>
      </c>
      <c r="C217" s="1" t="str">
        <f ca="1">IFERROR(__xludf.DUMMYFUNCTION("""COMPUTED_VALUE"""),"Desconto Na Parcela 11 De 12 -")</f>
        <v>Desconto Na Parcela 11 De 12 -</v>
      </c>
      <c r="D217" s="2">
        <f ca="1">IFERROR(__xludf.DUMMYFUNCTION("""COMPUTED_VALUE"""),-0.46)</f>
        <v>-0.46</v>
      </c>
      <c r="E217" s="1" t="str">
        <f ca="1">IFERROR(__xludf.DUMMYFUNCTION("""COMPUTED_VALUE"""),"-")</f>
        <v>-</v>
      </c>
      <c r="F217" s="1" t="str">
        <f ca="1">IFERROR(__xludf.DUMMYFUNCTION("""COMPUTED_VALUE"""),"Desconto Na Parcela 11 De 12 -")</f>
        <v>Desconto Na Parcela 11 De 12 -</v>
      </c>
      <c r="G217" s="1" t="str">
        <f ca="1"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6">
        <f ca="1">IFERROR(__xludf.DUMMYFUNCTION("""COMPUTED_VALUE"""),45839)</f>
        <v>45839</v>
      </c>
      <c r="B218" s="7">
        <f ca="1">IFERROR(__xludf.DUMMYFUNCTION("""COMPUTED_VALUE"""),45835)</f>
        <v>45835</v>
      </c>
      <c r="C218" s="1" t="str">
        <f ca="1">IFERROR(__xludf.DUMMYFUNCTION("""COMPUTED_VALUE"""),"Desconto Na Parcela 12 De 12 -")</f>
        <v>Desconto Na Parcela 12 De 12 -</v>
      </c>
      <c r="D218" s="2">
        <f ca="1">IFERROR(__xludf.DUMMYFUNCTION("""COMPUTED_VALUE"""),-0.5)</f>
        <v>-0.5</v>
      </c>
      <c r="E218" s="1" t="str">
        <f ca="1">IFERROR(__xludf.DUMMYFUNCTION("""COMPUTED_VALUE"""),"-")</f>
        <v>-</v>
      </c>
      <c r="F218" s="1" t="str">
        <f ca="1">IFERROR(__xludf.DUMMYFUNCTION("""COMPUTED_VALUE"""),"Desconto Na Parcela 12 De 12 -")</f>
        <v>Desconto Na Parcela 12 De 12 -</v>
      </c>
      <c r="G218" s="1" t="str">
        <f ca="1"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6">
        <f ca="1">IFERROR(__xludf.DUMMYFUNCTION("""COMPUTED_VALUE"""),45839)</f>
        <v>45839</v>
      </c>
      <c r="B219" s="7">
        <f ca="1">IFERROR(__xludf.DUMMYFUNCTION("""COMPUTED_VALUE"""),45835)</f>
        <v>45835</v>
      </c>
      <c r="C219" s="1" t="str">
        <f ca="1">IFERROR(__xludf.DUMMYFUNCTION("""COMPUTED_VALUE"""),"Desconto Na Parcela 8 De 12 -")</f>
        <v>Desconto Na Parcela 8 De 12 -</v>
      </c>
      <c r="D219" s="2">
        <f ca="1">IFERROR(__xludf.DUMMYFUNCTION("""COMPUTED_VALUE"""),-0.31)</f>
        <v>-0.31</v>
      </c>
      <c r="E219" s="1" t="str">
        <f ca="1">IFERROR(__xludf.DUMMYFUNCTION("""COMPUTED_VALUE"""),"-")</f>
        <v>-</v>
      </c>
      <c r="F219" s="1" t="str">
        <f ca="1">IFERROR(__xludf.DUMMYFUNCTION("""COMPUTED_VALUE"""),"Desconto Na Parcela 8 De 12 -")</f>
        <v>Desconto Na Parcela 8 De 12 -</v>
      </c>
      <c r="G219" s="1" t="str">
        <f ca="1"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6">
        <f ca="1">IFERROR(__xludf.DUMMYFUNCTION("""COMPUTED_VALUE"""),45839)</f>
        <v>45839</v>
      </c>
      <c r="B220" s="7">
        <f ca="1">IFERROR(__xludf.DUMMYFUNCTION("""COMPUTED_VALUE"""),45835)</f>
        <v>45835</v>
      </c>
      <c r="C220" s="1" t="str">
        <f ca="1">IFERROR(__xludf.DUMMYFUNCTION("""COMPUTED_VALUE"""),"Desconto Na Parcela 9 De 12 -")</f>
        <v>Desconto Na Parcela 9 De 12 -</v>
      </c>
      <c r="D220" s="2">
        <f ca="1">IFERROR(__xludf.DUMMYFUNCTION("""COMPUTED_VALUE"""),-0.36)</f>
        <v>-0.36</v>
      </c>
      <c r="E220" s="1" t="str">
        <f ca="1">IFERROR(__xludf.DUMMYFUNCTION("""COMPUTED_VALUE"""),"-")</f>
        <v>-</v>
      </c>
      <c r="F220" s="1" t="str">
        <f ca="1">IFERROR(__xludf.DUMMYFUNCTION("""COMPUTED_VALUE"""),"Desconto Na Parcela 9 De 12 -")</f>
        <v>Desconto Na Parcela 9 De 12 -</v>
      </c>
      <c r="G220" s="1" t="str">
        <f ca="1"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6">
        <f ca="1">IFERROR(__xludf.DUMMYFUNCTION("""COMPUTED_VALUE"""),45839)</f>
        <v>45839</v>
      </c>
      <c r="B221" s="7">
        <f ca="1">IFERROR(__xludf.DUMMYFUNCTION("""COMPUTED_VALUE"""),45835)</f>
        <v>45835</v>
      </c>
      <c r="C221" s="1" t="str">
        <f ca="1">IFERROR(__xludf.DUMMYFUNCTION("""COMPUTED_VALUE"""),"Desconto Na Parcela 6 De 12 -")</f>
        <v>Desconto Na Parcela 6 De 12 -</v>
      </c>
      <c r="D221" s="2">
        <f ca="1">IFERROR(__xludf.DUMMYFUNCTION("""COMPUTED_VALUE"""),-0.21)</f>
        <v>-0.21</v>
      </c>
      <c r="E221" s="1" t="str">
        <f ca="1">IFERROR(__xludf.DUMMYFUNCTION("""COMPUTED_VALUE"""),"-")</f>
        <v>-</v>
      </c>
      <c r="F221" s="1" t="str">
        <f ca="1">IFERROR(__xludf.DUMMYFUNCTION("""COMPUTED_VALUE"""),"Desconto Na Parcela 6 De 12 -")</f>
        <v>Desconto Na Parcela 6 De 12 -</v>
      </c>
      <c r="G221" s="1" t="str">
        <f ca="1"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6">
        <f ca="1">IFERROR(__xludf.DUMMYFUNCTION("""COMPUTED_VALUE"""),45839)</f>
        <v>45839</v>
      </c>
      <c r="B222" s="7">
        <f ca="1">IFERROR(__xludf.DUMMYFUNCTION("""COMPUTED_VALUE"""),45835)</f>
        <v>45835</v>
      </c>
      <c r="C222" s="1" t="str">
        <f ca="1">IFERROR(__xludf.DUMMYFUNCTION("""COMPUTED_VALUE"""),"Desconto Na Parcela 7 De 12 -")</f>
        <v>Desconto Na Parcela 7 De 12 -</v>
      </c>
      <c r="D222" s="2">
        <f ca="1">IFERROR(__xludf.DUMMYFUNCTION("""COMPUTED_VALUE"""),-0.26)</f>
        <v>-0.26</v>
      </c>
      <c r="E222" s="1" t="str">
        <f ca="1">IFERROR(__xludf.DUMMYFUNCTION("""COMPUTED_VALUE"""),"-")</f>
        <v>-</v>
      </c>
      <c r="F222" s="1" t="str">
        <f ca="1">IFERROR(__xludf.DUMMYFUNCTION("""COMPUTED_VALUE"""),"Desconto Na Parcela 7 De 12 -")</f>
        <v>Desconto Na Parcela 7 De 12 -</v>
      </c>
      <c r="G222" s="1" t="str">
        <f ca="1"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6">
        <f ca="1">IFERROR(__xludf.DUMMYFUNCTION("""COMPUTED_VALUE"""),45839)</f>
        <v>45839</v>
      </c>
      <c r="B223" s="7">
        <f ca="1">IFERROR(__xludf.DUMMYFUNCTION("""COMPUTED_VALUE"""),45835)</f>
        <v>45835</v>
      </c>
      <c r="C223" s="1" t="str">
        <f ca="1">IFERROR(__xludf.DUMMYFUNCTION("""COMPUTED_VALUE"""),"Desconto Na Parcela 4 De 12 -")</f>
        <v>Desconto Na Parcela 4 De 12 -</v>
      </c>
      <c r="D223" s="2">
        <f ca="1">IFERROR(__xludf.DUMMYFUNCTION("""COMPUTED_VALUE"""),-0.1)</f>
        <v>-0.1</v>
      </c>
      <c r="E223" s="1" t="str">
        <f ca="1">IFERROR(__xludf.DUMMYFUNCTION("""COMPUTED_VALUE"""),"-")</f>
        <v>-</v>
      </c>
      <c r="F223" s="1" t="str">
        <f ca="1">IFERROR(__xludf.DUMMYFUNCTION("""COMPUTED_VALUE"""),"Desconto Na Parcela 4 De 12 -")</f>
        <v>Desconto Na Parcela 4 De 12 -</v>
      </c>
      <c r="G223" s="1" t="str">
        <f ca="1"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6">
        <f ca="1">IFERROR(__xludf.DUMMYFUNCTION("""COMPUTED_VALUE"""),45839)</f>
        <v>45839</v>
      </c>
      <c r="B224" s="7">
        <f ca="1">IFERROR(__xludf.DUMMYFUNCTION("""COMPUTED_VALUE"""),45835)</f>
        <v>45835</v>
      </c>
      <c r="C224" s="1" t="str">
        <f ca="1">IFERROR(__xludf.DUMMYFUNCTION("""COMPUTED_VALUE"""),"Desconto Na Parcela 5 De 12 -")</f>
        <v>Desconto Na Parcela 5 De 12 -</v>
      </c>
      <c r="D224" s="2">
        <f ca="1">IFERROR(__xludf.DUMMYFUNCTION("""COMPUTED_VALUE"""),-0.15)</f>
        <v>-0.15</v>
      </c>
      <c r="E224" s="1" t="str">
        <f ca="1">IFERROR(__xludf.DUMMYFUNCTION("""COMPUTED_VALUE"""),"-")</f>
        <v>-</v>
      </c>
      <c r="F224" s="1" t="str">
        <f ca="1">IFERROR(__xludf.DUMMYFUNCTION("""COMPUTED_VALUE"""),"Desconto Na Parcela 5 De 12 -")</f>
        <v>Desconto Na Parcela 5 De 12 -</v>
      </c>
      <c r="G224" s="1" t="str">
        <f ca="1"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6">
        <f ca="1">IFERROR(__xludf.DUMMYFUNCTION("""COMPUTED_VALUE"""),45839)</f>
        <v>45839</v>
      </c>
      <c r="B225" s="7">
        <f ca="1">IFERROR(__xludf.DUMMYFUNCTION("""COMPUTED_VALUE"""),45835)</f>
        <v>45835</v>
      </c>
      <c r="C225" s="1" t="str">
        <f ca="1">IFERROR(__xludf.DUMMYFUNCTION("""COMPUTED_VALUE"""),"Desconto Na Parcela 3 De 12 -")</f>
        <v>Desconto Na Parcela 3 De 12 -</v>
      </c>
      <c r="D225" s="2">
        <f ca="1">IFERROR(__xludf.DUMMYFUNCTION("""COMPUTED_VALUE"""),-0.05)</f>
        <v>-0.05</v>
      </c>
      <c r="E225" s="1" t="str">
        <f ca="1">IFERROR(__xludf.DUMMYFUNCTION("""COMPUTED_VALUE"""),"-")</f>
        <v>-</v>
      </c>
      <c r="F225" s="1" t="str">
        <f ca="1">IFERROR(__xludf.DUMMYFUNCTION("""COMPUTED_VALUE"""),"Desconto Na Parcela 3 De 12 -")</f>
        <v>Desconto Na Parcela 3 De 12 -</v>
      </c>
      <c r="G225" s="1" t="str">
        <f ca="1"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6">
        <f ca="1">IFERROR(__xludf.DUMMYFUNCTION("""COMPUTED_VALUE"""),45839)</f>
        <v>45839</v>
      </c>
      <c r="B226" s="7">
        <f ca="1">IFERROR(__xludf.DUMMYFUNCTION("""COMPUTED_VALUE"""),45837)</f>
        <v>45837</v>
      </c>
      <c r="C226" s="1" t="str">
        <f ca="1">IFERROR(__xludf.DUMMYFUNCTION("""COMPUTED_VALUE"""),"Desconto Na Parcela 5 De 5 Simple -")</f>
        <v>Desconto Na Parcela 5 De 5 Simple -</v>
      </c>
      <c r="D226" s="2">
        <f ca="1">IFERROR(__xludf.DUMMYFUNCTION("""COMPUTED_VALUE"""),-0.36)</f>
        <v>-0.36</v>
      </c>
      <c r="E226" s="1" t="str">
        <f ca="1">IFERROR(__xludf.DUMMYFUNCTION("""COMPUTED_VALUE"""),"-")</f>
        <v>-</v>
      </c>
      <c r="F226" s="1" t="str">
        <f ca="1">IFERROR(__xludf.DUMMYFUNCTION("""COMPUTED_VALUE"""),"Desconto Na Parcela 5 De 5 Simple -")</f>
        <v>Desconto Na Parcela 5 De 5 Simple -</v>
      </c>
      <c r="G226" s="1" t="str">
        <f ca="1"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6">
        <f ca="1">IFERROR(__xludf.DUMMYFUNCTION("""COMPUTED_VALUE"""),45839)</f>
        <v>45839</v>
      </c>
      <c r="B227" s="7">
        <f ca="1">IFERROR(__xludf.DUMMYFUNCTION("""COMPUTED_VALUE"""),45837)</f>
        <v>45837</v>
      </c>
      <c r="C227" s="1" t="str">
        <f ca="1">IFERROR(__xludf.DUMMYFUNCTION("""COMPUTED_VALUE"""),"Desconto Na Parcela 2 De 5 Simple -")</f>
        <v>Desconto Na Parcela 2 De 5 Simple -</v>
      </c>
      <c r="D227" s="2">
        <f ca="1">IFERROR(__xludf.DUMMYFUNCTION("""COMPUTED_VALUE"""),-0.09)</f>
        <v>-0.09</v>
      </c>
      <c r="E227" s="1" t="str">
        <f ca="1">IFERROR(__xludf.DUMMYFUNCTION("""COMPUTED_VALUE"""),"-")</f>
        <v>-</v>
      </c>
      <c r="F227" s="1" t="str">
        <f ca="1">IFERROR(__xludf.DUMMYFUNCTION("""COMPUTED_VALUE"""),"Desconto Na Parcela 2 De 5 Simple -")</f>
        <v>Desconto Na Parcela 2 De 5 Simple -</v>
      </c>
      <c r="G227" s="1" t="str">
        <f ca="1"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6">
        <f ca="1">IFERROR(__xludf.DUMMYFUNCTION("""COMPUTED_VALUE"""),45839)</f>
        <v>45839</v>
      </c>
      <c r="B228" s="7">
        <f ca="1">IFERROR(__xludf.DUMMYFUNCTION("""COMPUTED_VALUE"""),45837)</f>
        <v>45837</v>
      </c>
      <c r="C228" s="1" t="str">
        <f ca="1">IFERROR(__xludf.DUMMYFUNCTION("""COMPUTED_VALUE"""),"Desconto Na Parcela 3 De 5 Simple -")</f>
        <v>Desconto Na Parcela 3 De 5 Simple -</v>
      </c>
      <c r="D228" s="2">
        <f ca="1">IFERROR(__xludf.DUMMYFUNCTION("""COMPUTED_VALUE"""),-0.18)</f>
        <v>-0.18</v>
      </c>
      <c r="E228" s="1" t="str">
        <f ca="1">IFERROR(__xludf.DUMMYFUNCTION("""COMPUTED_VALUE"""),"-")</f>
        <v>-</v>
      </c>
      <c r="F228" s="1" t="str">
        <f ca="1">IFERROR(__xludf.DUMMYFUNCTION("""COMPUTED_VALUE"""),"Desconto Na Parcela 3 De 5 Simple -")</f>
        <v>Desconto Na Parcela 3 De 5 Simple -</v>
      </c>
      <c r="G228" s="1" t="str">
        <f ca="1"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6">
        <f ca="1">IFERROR(__xludf.DUMMYFUNCTION("""COMPUTED_VALUE"""),45839)</f>
        <v>45839</v>
      </c>
      <c r="B229" s="7">
        <f ca="1">IFERROR(__xludf.DUMMYFUNCTION("""COMPUTED_VALUE"""),45837)</f>
        <v>45837</v>
      </c>
      <c r="C229" s="1" t="str">
        <f ca="1">IFERROR(__xludf.DUMMYFUNCTION("""COMPUTED_VALUE"""),"Desconto Na Parcela 4 De 5 Simple -")</f>
        <v>Desconto Na Parcela 4 De 5 Simple -</v>
      </c>
      <c r="D229" s="2">
        <f ca="1">IFERROR(__xludf.DUMMYFUNCTION("""COMPUTED_VALUE"""),-0.27)</f>
        <v>-0.27</v>
      </c>
      <c r="E229" s="1" t="str">
        <f ca="1">IFERROR(__xludf.DUMMYFUNCTION("""COMPUTED_VALUE"""),"-")</f>
        <v>-</v>
      </c>
      <c r="F229" s="1" t="str">
        <f ca="1">IFERROR(__xludf.DUMMYFUNCTION("""COMPUTED_VALUE"""),"Desconto Na Parcela 4 De 5 Simple -")</f>
        <v>Desconto Na Parcela 4 De 5 Simple -</v>
      </c>
      <c r="G229" s="1" t="str">
        <f ca="1"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6">
        <f ca="1">IFERROR(__xludf.DUMMYFUNCTION("""COMPUTED_VALUE"""),45839)</f>
        <v>45839</v>
      </c>
      <c r="B230" s="7">
        <f ca="1">IFERROR(__xludf.DUMMYFUNCTION("""COMPUTED_VALUE"""),45837)</f>
        <v>45837</v>
      </c>
      <c r="C230" s="1" t="str">
        <f ca="1">IFERROR(__xludf.DUMMYFUNCTION("""COMPUTED_VALUE"""),"Desconto Na Parcela 2 De 2 -")</f>
        <v>Desconto Na Parcela 2 De 2 -</v>
      </c>
      <c r="D230" s="2">
        <f ca="1">IFERROR(__xludf.DUMMYFUNCTION("""COMPUTED_VALUE"""),-0.09)</f>
        <v>-0.09</v>
      </c>
      <c r="E230" s="1" t="str">
        <f ca="1">IFERROR(__xludf.DUMMYFUNCTION("""COMPUTED_VALUE"""),"-")</f>
        <v>-</v>
      </c>
      <c r="F230" s="1" t="str">
        <f ca="1">IFERROR(__xludf.DUMMYFUNCTION("""COMPUTED_VALUE"""),"Desconto Na Parcela 2 De 2 -")</f>
        <v>Desconto Na Parcela 2 De 2 -</v>
      </c>
      <c r="G230" s="1" t="str">
        <f ca="1"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6">
        <f ca="1">IFERROR(__xludf.DUMMYFUNCTION("""COMPUTED_VALUE"""),45839)</f>
        <v>45839</v>
      </c>
      <c r="B231" s="7">
        <f ca="1">IFERROR(__xludf.DUMMYFUNCTION("""COMPUTED_VALUE"""),45837)</f>
        <v>45837</v>
      </c>
      <c r="C231" s="1" t="str">
        <f ca="1">IFERROR(__xludf.DUMMYFUNCTION("""COMPUTED_VALUE"""),"Desconto Na Parcela 3 De 3 Dma -")</f>
        <v>Desconto Na Parcela 3 De 3 Dma -</v>
      </c>
      <c r="D231" s="2">
        <f ca="1">IFERROR(__xludf.DUMMYFUNCTION("""COMPUTED_VALUE"""),-0.28)</f>
        <v>-0.28000000000000003</v>
      </c>
      <c r="E231" s="1" t="str">
        <f ca="1">IFERROR(__xludf.DUMMYFUNCTION("""COMPUTED_VALUE"""),"-")</f>
        <v>-</v>
      </c>
      <c r="F231" s="1" t="str">
        <f ca="1">IFERROR(__xludf.DUMMYFUNCTION("""COMPUTED_VALUE"""),"Desconto Na Parcela 3 De 3 Dma -")</f>
        <v>Desconto Na Parcela 3 De 3 Dma -</v>
      </c>
      <c r="G231" s="1" t="str">
        <f ca="1"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6">
        <f ca="1">IFERROR(__xludf.DUMMYFUNCTION("""COMPUTED_VALUE"""),45839)</f>
        <v>45839</v>
      </c>
      <c r="B232" s="7">
        <f ca="1">IFERROR(__xludf.DUMMYFUNCTION("""COMPUTED_VALUE"""),45837)</f>
        <v>45837</v>
      </c>
      <c r="C232" s="1" t="str">
        <f ca="1">IFERROR(__xludf.DUMMYFUNCTION("""COMPUTED_VALUE"""),"Desconto Na Parcela 2 De 3 Dma -")</f>
        <v>Desconto Na Parcela 2 De 3 Dma -</v>
      </c>
      <c r="D232" s="2">
        <f ca="1">IFERROR(__xludf.DUMMYFUNCTION("""COMPUTED_VALUE"""),-0.14)</f>
        <v>-0.14000000000000001</v>
      </c>
      <c r="E232" s="1" t="str">
        <f ca="1">IFERROR(__xludf.DUMMYFUNCTION("""COMPUTED_VALUE"""),"-")</f>
        <v>-</v>
      </c>
      <c r="F232" s="1" t="str">
        <f ca="1">IFERROR(__xludf.DUMMYFUNCTION("""COMPUTED_VALUE"""),"Desconto Na Parcela 2 De 3 Dma -")</f>
        <v>Desconto Na Parcela 2 De 3 Dma -</v>
      </c>
      <c r="G232" s="1" t="str">
        <f ca="1"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6">
        <f ca="1">IFERROR(__xludf.DUMMYFUNCTION("""COMPUTED_VALUE"""),45839)</f>
        <v>45839</v>
      </c>
      <c r="B233" s="7">
        <f ca="1">IFERROR(__xludf.DUMMYFUNCTION("""COMPUTED_VALUE"""),45839)</f>
        <v>45839</v>
      </c>
      <c r="C233" s="1" t="str">
        <f ca="1">IFERROR(__xludf.DUMMYFUNCTION("""COMPUTED_VALUE"""),"Desconto Na Parcela 3 De 3 -")</f>
        <v>Desconto Na Parcela 3 De 3 -</v>
      </c>
      <c r="D233" s="2">
        <f ca="1">IFERROR(__xludf.DUMMYFUNCTION("""COMPUTED_VALUE"""),-0.31)</f>
        <v>-0.31</v>
      </c>
      <c r="E233" s="1" t="str">
        <f ca="1">IFERROR(__xludf.DUMMYFUNCTION("""COMPUTED_VALUE"""),"-")</f>
        <v>-</v>
      </c>
      <c r="F233" s="1" t="str">
        <f ca="1">IFERROR(__xludf.DUMMYFUNCTION("""COMPUTED_VALUE"""),"Desconto Na Parcela 3 De 3 -")</f>
        <v>Desconto Na Parcela 3 De 3 -</v>
      </c>
      <c r="G233" s="1" t="str">
        <f ca="1"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6">
        <f ca="1">IFERROR(__xludf.DUMMYFUNCTION("""COMPUTED_VALUE"""),45839)</f>
        <v>45839</v>
      </c>
      <c r="B234" s="7">
        <f ca="1">IFERROR(__xludf.DUMMYFUNCTION("""COMPUTED_VALUE"""),45839)</f>
        <v>45839</v>
      </c>
      <c r="C234" s="1" t="str">
        <f ca="1">IFERROR(__xludf.DUMMYFUNCTION("""COMPUTED_VALUE"""),"Desconto Na Parcela 2 De 3 -")</f>
        <v>Desconto Na Parcela 2 De 3 -</v>
      </c>
      <c r="D234" s="2">
        <f ca="1">IFERROR(__xludf.DUMMYFUNCTION("""COMPUTED_VALUE"""),-0.15)</f>
        <v>-0.15</v>
      </c>
      <c r="E234" s="1" t="str">
        <f ca="1">IFERROR(__xludf.DUMMYFUNCTION("""COMPUTED_VALUE"""),"-")</f>
        <v>-</v>
      </c>
      <c r="F234" s="1" t="str">
        <f ca="1">IFERROR(__xludf.DUMMYFUNCTION("""COMPUTED_VALUE"""),"Desconto Na Parcela 2 De 3 -")</f>
        <v>Desconto Na Parcela 2 De 3 -</v>
      </c>
      <c r="G234" s="1" t="str">
        <f ca="1"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6">
        <f ca="1">IFERROR(__xludf.DUMMYFUNCTION("""COMPUTED_VALUE"""),45839)</f>
        <v>45839</v>
      </c>
      <c r="B235" s="7">
        <f ca="1">IFERROR(__xludf.DUMMYFUNCTION("""COMPUTED_VALUE"""),45780)</f>
        <v>45780</v>
      </c>
      <c r="C235" s="1" t="str">
        <f ca="1">IFERROR(__xludf.DUMMYFUNCTION("""COMPUTED_VALUE"""),"Constance (2/2)")</f>
        <v>Constance (2/2)</v>
      </c>
      <c r="D235" s="2">
        <f ca="1">IFERROR(__xludf.DUMMYFUNCTION("""COMPUTED_VALUE"""),89.99)</f>
        <v>89.99</v>
      </c>
      <c r="E235" s="1" t="str">
        <f ca="1">IFERROR(__xludf.DUMMYFUNCTION("""COMPUTED_VALUE"""),"-")</f>
        <v>-</v>
      </c>
      <c r="F235" s="1" t="str">
        <f ca="1">IFERROR(__xludf.DUMMYFUNCTION("""COMPUTED_VALUE"""),"Constance")</f>
        <v>Constance</v>
      </c>
      <c r="G235" s="1" t="str">
        <f ca="1"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6">
        <f ca="1">IFERROR(__xludf.DUMMYFUNCTION("""COMPUTED_VALUE"""),45839)</f>
        <v>45839</v>
      </c>
      <c r="B236" s="7">
        <f ca="1">IFERROR(__xludf.DUMMYFUNCTION("""COMPUTED_VALUE"""),45791)</f>
        <v>45791</v>
      </c>
      <c r="C236" s="1" t="str">
        <f ca="1">IFERROR(__xludf.DUMMYFUNCTION("""COMPUTED_VALUE"""),"Centro De Excelencia (2/2)")</f>
        <v>Centro De Excelencia (2/2)</v>
      </c>
      <c r="D236" s="2">
        <f ca="1">IFERROR(__xludf.DUMMYFUNCTION("""COMPUTED_VALUE"""),520)</f>
        <v>520</v>
      </c>
      <c r="E236" s="1" t="str">
        <f ca="1">IFERROR(__xludf.DUMMYFUNCTION("""COMPUTED_VALUE"""),"-")</f>
        <v>-</v>
      </c>
      <c r="F236" s="1" t="str">
        <f ca="1">IFERROR(__xludf.DUMMYFUNCTION("""COMPUTED_VALUE"""),"Centro De Excelencia")</f>
        <v>Centro De Excelencia</v>
      </c>
      <c r="G236" s="1" t="str">
        <f ca="1"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6">
        <f ca="1">IFERROR(__xludf.DUMMYFUNCTION("""COMPUTED_VALUE"""),45839)</f>
        <v>45839</v>
      </c>
      <c r="B237" s="7">
        <f ca="1">IFERROR(__xludf.DUMMYFUNCTION("""COMPUTED_VALUE"""),45804)</f>
        <v>45804</v>
      </c>
      <c r="C237" s="1" t="str">
        <f ca="1">IFERROR(__xludf.DUMMYFUNCTION("""COMPUTED_VALUE"""),"Copiar")</f>
        <v>Copiar</v>
      </c>
      <c r="D237" s="2">
        <f ca="1">IFERROR(__xludf.DUMMYFUNCTION("""COMPUTED_VALUE"""),23.5)</f>
        <v>23.5</v>
      </c>
      <c r="E237" s="1" t="str">
        <f ca="1">IFERROR(__xludf.DUMMYFUNCTION("""COMPUTED_VALUE"""),"-")</f>
        <v>-</v>
      </c>
      <c r="F237" s="1" t="str">
        <f ca="1">IFERROR(__xludf.DUMMYFUNCTION("""COMPUTED_VALUE"""),"Copiar")</f>
        <v>Copiar</v>
      </c>
      <c r="G237" s="1" t="str">
        <f ca="1"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6">
        <f ca="1">IFERROR(__xludf.DUMMYFUNCTION("""COMPUTED_VALUE"""),45839)</f>
        <v>45839</v>
      </c>
      <c r="B238" s="7">
        <f ca="1">IFERROR(__xludf.DUMMYFUNCTION("""COMPUTED_VALUE"""),45804)</f>
        <v>45804</v>
      </c>
      <c r="C238" s="1" t="str">
        <f ca="1">IFERROR(__xludf.DUMMYFUNCTION("""COMPUTED_VALUE"""),"Multiplan")</f>
        <v>Multiplan</v>
      </c>
      <c r="D238" s="2">
        <f ca="1">IFERROR(__xludf.DUMMYFUNCTION("""COMPUTED_VALUE"""),10.5)</f>
        <v>10.5</v>
      </c>
      <c r="E238" s="1" t="str">
        <f ca="1">IFERROR(__xludf.DUMMYFUNCTION("""COMPUTED_VALUE"""),"-")</f>
        <v>-</v>
      </c>
      <c r="F238" s="1" t="str">
        <f ca="1">IFERROR(__xludf.DUMMYFUNCTION("""COMPUTED_VALUE"""),"Multiplan")</f>
        <v>Multiplan</v>
      </c>
      <c r="G238" s="1" t="str">
        <f ca="1"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6">
        <f ca="1">IFERROR(__xludf.DUMMYFUNCTION("""COMPUTED_VALUE"""),45839)</f>
        <v>45839</v>
      </c>
      <c r="B239" s="7">
        <f ca="1">IFERROR(__xludf.DUMMYFUNCTION("""COMPUTED_VALUE"""),45804)</f>
        <v>45804</v>
      </c>
      <c r="C239" s="1" t="str">
        <f ca="1">IFERROR(__xludf.DUMMYFUNCTION("""COMPUTED_VALUE"""),"Panif Mendes Sion")</f>
        <v>Panif Mendes Sion</v>
      </c>
      <c r="D239" s="2">
        <f ca="1">IFERROR(__xludf.DUMMYFUNCTION("""COMPUTED_VALUE"""),9.9)</f>
        <v>9.9</v>
      </c>
      <c r="E239" s="1" t="str">
        <f ca="1">IFERROR(__xludf.DUMMYFUNCTION("""COMPUTED_VALUE"""),"-")</f>
        <v>-</v>
      </c>
      <c r="F239" s="1" t="str">
        <f ca="1">IFERROR(__xludf.DUMMYFUNCTION("""COMPUTED_VALUE"""),"Panif Mendes Sion")</f>
        <v>Panif Mendes Sion</v>
      </c>
      <c r="G239" s="1" t="str">
        <f ca="1"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6">
        <f ca="1">IFERROR(__xludf.DUMMYFUNCTION("""COMPUTED_VALUE"""),45839)</f>
        <v>45839</v>
      </c>
      <c r="B240" s="7">
        <f ca="1">IFERROR(__xludf.DUMMYFUNCTION("""COMPUTED_VALUE"""),45805)</f>
        <v>45805</v>
      </c>
      <c r="C240" s="1" t="str">
        <f ca="1">IFERROR(__xludf.DUMMYFUNCTION("""COMPUTED_VALUE"""),"Panif Mendes Sion")</f>
        <v>Panif Mendes Sion</v>
      </c>
      <c r="D240" s="2">
        <f ca="1">IFERROR(__xludf.DUMMYFUNCTION("""COMPUTED_VALUE"""),6.8)</f>
        <v>6.8</v>
      </c>
      <c r="E240" s="1" t="str">
        <f ca="1">IFERROR(__xludf.DUMMYFUNCTION("""COMPUTED_VALUE"""),"-")</f>
        <v>-</v>
      </c>
      <c r="F240" s="1" t="str">
        <f ca="1">IFERROR(__xludf.DUMMYFUNCTION("""COMPUTED_VALUE"""),"Panif Mendes Sion")</f>
        <v>Panif Mendes Sion</v>
      </c>
      <c r="G240" s="1" t="str">
        <f ca="1"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6">
        <f ca="1">IFERROR(__xludf.DUMMYFUNCTION("""COMPUTED_VALUE"""),45839)</f>
        <v>45839</v>
      </c>
      <c r="B241" s="7">
        <f ca="1">IFERROR(__xludf.DUMMYFUNCTION("""COMPUTED_VALUE"""),45805)</f>
        <v>45805</v>
      </c>
      <c r="C241" s="1" t="str">
        <f ca="1">IFERROR(__xludf.DUMMYFUNCTION("""COMPUTED_VALUE"""),"Sion 1001 Festas")</f>
        <v>Sion 1001 Festas</v>
      </c>
      <c r="D241" s="2">
        <f ca="1">IFERROR(__xludf.DUMMYFUNCTION("""COMPUTED_VALUE"""),488.6)</f>
        <v>488.6</v>
      </c>
      <c r="E241" s="1" t="str">
        <f ca="1">IFERROR(__xludf.DUMMYFUNCTION("""COMPUTED_VALUE"""),"-")</f>
        <v>-</v>
      </c>
      <c r="F241" s="1" t="str">
        <f ca="1">IFERROR(__xludf.DUMMYFUNCTION("""COMPUTED_VALUE"""),"Sion 1001 Festas")</f>
        <v>Sion 1001 Festas</v>
      </c>
      <c r="G241" s="1" t="str">
        <f ca="1"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6">
        <f ca="1">IFERROR(__xludf.DUMMYFUNCTION("""COMPUTED_VALUE"""),45839)</f>
        <v>45839</v>
      </c>
      <c r="B242" s="7">
        <f ca="1">IFERROR(__xludf.DUMMYFUNCTION("""COMPUTED_VALUE"""),45805)</f>
        <v>45805</v>
      </c>
      <c r="C242" s="1" t="str">
        <f ca="1">IFERROR(__xludf.DUMMYFUNCTION("""COMPUTED_VALUE"""),"Supermercado &amp; Padaria")</f>
        <v>Supermercado &amp; Padaria</v>
      </c>
      <c r="D242" s="2">
        <f ca="1">IFERROR(__xludf.DUMMYFUNCTION("""COMPUTED_VALUE"""),33.05)</f>
        <v>33.049999999999997</v>
      </c>
      <c r="E242" s="1" t="str">
        <f ca="1">IFERROR(__xludf.DUMMYFUNCTION("""COMPUTED_VALUE"""),"-")</f>
        <v>-</v>
      </c>
      <c r="F242" s="1" t="str">
        <f ca="1">IFERROR(__xludf.DUMMYFUNCTION("""COMPUTED_VALUE"""),"Supermercado &amp; Padaria")</f>
        <v>Supermercado &amp; Padaria</v>
      </c>
      <c r="G242" s="1" t="str">
        <f ca="1"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6">
        <f ca="1">IFERROR(__xludf.DUMMYFUNCTION("""COMPUTED_VALUE"""),45839)</f>
        <v>45839</v>
      </c>
      <c r="B243" s="7">
        <f ca="1">IFERROR(__xludf.DUMMYFUNCTION("""COMPUTED_VALUE"""),45806)</f>
        <v>45806</v>
      </c>
      <c r="C243" s="1" t="str">
        <f ca="1">IFERROR(__xludf.DUMMYFUNCTION("""COMPUTED_VALUE"""),"Dma Distribuidora Sa")</f>
        <v>Dma Distribuidora Sa</v>
      </c>
      <c r="D243" s="2">
        <f ca="1">IFERROR(__xludf.DUMMYFUNCTION("""COMPUTED_VALUE"""),173.03)</f>
        <v>173.03</v>
      </c>
      <c r="E243" s="1" t="str">
        <f ca="1">IFERROR(__xludf.DUMMYFUNCTION("""COMPUTED_VALUE"""),"-")</f>
        <v>-</v>
      </c>
      <c r="F243" s="1" t="str">
        <f ca="1">IFERROR(__xludf.DUMMYFUNCTION("""COMPUTED_VALUE"""),"Dma Distribuidora Sa")</f>
        <v>Dma Distribuidora Sa</v>
      </c>
      <c r="G243" s="1" t="str">
        <f ca="1">IFERROR(__xludf.DUMMYFUNCTION("""COMPUTED_VALUE"""),"Supermercado")</f>
        <v>Supermercado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6">
        <f ca="1">IFERROR(__xludf.DUMMYFUNCTION("""COMPUTED_VALUE"""),45839)</f>
        <v>45839</v>
      </c>
      <c r="B244" s="7">
        <f ca="1">IFERROR(__xludf.DUMMYFUNCTION("""COMPUTED_VALUE"""),45807)</f>
        <v>45807</v>
      </c>
      <c r="C244" s="1" t="str">
        <f ca="1">IFERROR(__xludf.DUMMYFUNCTION("""COMPUTED_VALUE"""),"Vila Arabe Lourdes")</f>
        <v>Vila Arabe Lourdes</v>
      </c>
      <c r="D244" s="2">
        <f ca="1">IFERROR(__xludf.DUMMYFUNCTION("""COMPUTED_VALUE"""),37.58)</f>
        <v>37.58</v>
      </c>
      <c r="E244" s="1" t="str">
        <f ca="1">IFERROR(__xludf.DUMMYFUNCTION("""COMPUTED_VALUE"""),"-")</f>
        <v>-</v>
      </c>
      <c r="F244" s="1" t="str">
        <f ca="1">IFERROR(__xludf.DUMMYFUNCTION("""COMPUTED_VALUE"""),"Vila Arabe Lourdes")</f>
        <v>Vila Arabe Lourdes</v>
      </c>
      <c r="G244" s="1" t="str">
        <f ca="1"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6">
        <f ca="1">IFERROR(__xludf.DUMMYFUNCTION("""COMPUTED_VALUE"""),45839)</f>
        <v>45839</v>
      </c>
      <c r="B245" s="7">
        <f ca="1">IFERROR(__xludf.DUMMYFUNCTION("""COMPUTED_VALUE"""),45807)</f>
        <v>45807</v>
      </c>
      <c r="C245" s="1" t="str">
        <f ca="1">IFERROR(__xludf.DUMMYFUNCTION("""COMPUTED_VALUE"""),"Gelateria Mfps Mg2")</f>
        <v>Gelateria Mfps Mg2</v>
      </c>
      <c r="D245" s="2">
        <f ca="1">IFERROR(__xludf.DUMMYFUNCTION("""COMPUTED_VALUE"""),21)</f>
        <v>21</v>
      </c>
      <c r="E245" s="1" t="str">
        <f ca="1">IFERROR(__xludf.DUMMYFUNCTION("""COMPUTED_VALUE"""),"-")</f>
        <v>-</v>
      </c>
      <c r="F245" s="1" t="str">
        <f ca="1">IFERROR(__xludf.DUMMYFUNCTION("""COMPUTED_VALUE"""),"Gelateria Mfps Mg2")</f>
        <v>Gelateria Mfps Mg2</v>
      </c>
      <c r="G245" s="1" t="str">
        <f ca="1"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6">
        <f ca="1">IFERROR(__xludf.DUMMYFUNCTION("""COMPUTED_VALUE"""),45839)</f>
        <v>45839</v>
      </c>
      <c r="B246" s="7">
        <f ca="1">IFERROR(__xludf.DUMMYFUNCTION("""COMPUTED_VALUE"""),45807)</f>
        <v>45807</v>
      </c>
      <c r="C246" s="1" t="str">
        <f ca="1">IFERROR(__xludf.DUMMYFUNCTION("""COMPUTED_VALUE"""),"Oakberry")</f>
        <v>Oakberry</v>
      </c>
      <c r="D246" s="2">
        <f ca="1">IFERROR(__xludf.DUMMYFUNCTION("""COMPUTED_VALUE"""),33.98)</f>
        <v>33.979999999999997</v>
      </c>
      <c r="E246" s="1" t="str">
        <f ca="1">IFERROR(__xludf.DUMMYFUNCTION("""COMPUTED_VALUE"""),"-")</f>
        <v>-</v>
      </c>
      <c r="F246" s="1" t="str">
        <f ca="1">IFERROR(__xludf.DUMMYFUNCTION("""COMPUTED_VALUE"""),"Oakberry")</f>
        <v>Oakberry</v>
      </c>
      <c r="G246" s="1" t="str">
        <f ca="1"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6">
        <f ca="1">IFERROR(__xludf.DUMMYFUNCTION("""COMPUTED_VALUE"""),45839)</f>
        <v>45839</v>
      </c>
      <c r="B247" s="7">
        <f ca="1">IFERROR(__xludf.DUMMYFUNCTION("""COMPUTED_VALUE"""),45807)</f>
        <v>45807</v>
      </c>
      <c r="C247" s="1" t="str">
        <f ca="1">IFERROR(__xludf.DUMMYFUNCTION("""COMPUTED_VALUE"""),"Oakberry")</f>
        <v>Oakberry</v>
      </c>
      <c r="D247" s="2">
        <f ca="1">IFERROR(__xludf.DUMMYFUNCTION("""COMPUTED_VALUE"""),27.89)</f>
        <v>27.89</v>
      </c>
      <c r="E247" s="1" t="str">
        <f ca="1">IFERROR(__xludf.DUMMYFUNCTION("""COMPUTED_VALUE"""),"-")</f>
        <v>-</v>
      </c>
      <c r="F247" s="1" t="str">
        <f ca="1">IFERROR(__xludf.DUMMYFUNCTION("""COMPUTED_VALUE"""),"Oakberry")</f>
        <v>Oakberry</v>
      </c>
      <c r="G247" s="1" t="str">
        <f ca="1"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6">
        <f ca="1">IFERROR(__xludf.DUMMYFUNCTION("""COMPUTED_VALUE"""),45839)</f>
        <v>45839</v>
      </c>
      <c r="B248" s="7">
        <f ca="1">IFERROR(__xludf.DUMMYFUNCTION("""COMPUTED_VALUE"""),45807)</f>
        <v>45807</v>
      </c>
      <c r="C248" s="1" t="str">
        <f ca="1">IFERROR(__xludf.DUMMYFUNCTION("""COMPUTED_VALUE"""),"Cobasi")</f>
        <v>Cobasi</v>
      </c>
      <c r="D248" s="2">
        <f ca="1">IFERROR(__xludf.DUMMYFUNCTION("""COMPUTED_VALUE"""),108.8)</f>
        <v>108.8</v>
      </c>
      <c r="E248" s="1" t="str">
        <f ca="1">IFERROR(__xludf.DUMMYFUNCTION("""COMPUTED_VALUE"""),"-")</f>
        <v>-</v>
      </c>
      <c r="F248" s="1" t="str">
        <f ca="1">IFERROR(__xludf.DUMMYFUNCTION("""COMPUTED_VALUE"""),"Cobasi")</f>
        <v>Cobasi</v>
      </c>
      <c r="G248" s="1" t="str">
        <f ca="1"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6">
        <f ca="1">IFERROR(__xludf.DUMMYFUNCTION("""COMPUTED_VALUE"""),45839)</f>
        <v>45839</v>
      </c>
      <c r="B249" s="7">
        <f ca="1">IFERROR(__xludf.DUMMYFUNCTION("""COMPUTED_VALUE"""),45808)</f>
        <v>45808</v>
      </c>
      <c r="C249" s="1" t="str">
        <f ca="1">IFERROR(__xludf.DUMMYFUNCTION("""COMPUTED_VALUE"""),"Panif Mendes Sion")</f>
        <v>Panif Mendes Sion</v>
      </c>
      <c r="D249" s="2">
        <f ca="1">IFERROR(__xludf.DUMMYFUNCTION("""COMPUTED_VALUE"""),12.4)</f>
        <v>12.4</v>
      </c>
      <c r="E249" s="1" t="str">
        <f ca="1">IFERROR(__xludf.DUMMYFUNCTION("""COMPUTED_VALUE"""),"-")</f>
        <v>-</v>
      </c>
      <c r="F249" s="1" t="str">
        <f ca="1">IFERROR(__xludf.DUMMYFUNCTION("""COMPUTED_VALUE"""),"Panif Mendes Sion")</f>
        <v>Panif Mendes Sion</v>
      </c>
      <c r="G249" s="1" t="str">
        <f ca="1"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6">
        <f ca="1">IFERROR(__xludf.DUMMYFUNCTION("""COMPUTED_VALUE"""),45839)</f>
        <v>45839</v>
      </c>
      <c r="B250" s="7">
        <f ca="1">IFERROR(__xludf.DUMMYFUNCTION("""COMPUTED_VALUE"""),45808)</f>
        <v>45808</v>
      </c>
      <c r="C250" s="1" t="str">
        <f ca="1">IFERROR(__xludf.DUMMYFUNCTION("""COMPUTED_VALUE"""),"Sion 1001 Festas")</f>
        <v>Sion 1001 Festas</v>
      </c>
      <c r="D250" s="2">
        <f ca="1">IFERROR(__xludf.DUMMYFUNCTION("""COMPUTED_VALUE"""),88.98)</f>
        <v>88.98</v>
      </c>
      <c r="E250" s="1" t="str">
        <f ca="1">IFERROR(__xludf.DUMMYFUNCTION("""COMPUTED_VALUE"""),"-")</f>
        <v>-</v>
      </c>
      <c r="F250" s="1" t="str">
        <f ca="1">IFERROR(__xludf.DUMMYFUNCTION("""COMPUTED_VALUE"""),"Sion 1001 Festas")</f>
        <v>Sion 1001 Festas</v>
      </c>
      <c r="G250" s="1" t="str">
        <f ca="1"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6">
        <f ca="1">IFERROR(__xludf.DUMMYFUNCTION("""COMPUTED_VALUE"""),45839)</f>
        <v>45839</v>
      </c>
      <c r="B251" s="7">
        <f ca="1">IFERROR(__xludf.DUMMYFUNCTION("""COMPUTED_VALUE"""),45808)</f>
        <v>45808</v>
      </c>
      <c r="C251" s="1" t="str">
        <f ca="1">IFERROR(__xludf.DUMMYFUNCTION("""COMPUTED_VALUE"""),"Cobasi")</f>
        <v>Cobasi</v>
      </c>
      <c r="D251" s="2">
        <f ca="1">IFERROR(__xludf.DUMMYFUNCTION("""COMPUTED_VALUE"""),15.6)</f>
        <v>15.6</v>
      </c>
      <c r="E251" s="1" t="str">
        <f ca="1">IFERROR(__xludf.DUMMYFUNCTION("""COMPUTED_VALUE"""),"-")</f>
        <v>-</v>
      </c>
      <c r="F251" s="1" t="str">
        <f ca="1">IFERROR(__xludf.DUMMYFUNCTION("""COMPUTED_VALUE"""),"Cobasi")</f>
        <v>Cobasi</v>
      </c>
      <c r="G251" s="1" t="str">
        <f ca="1"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6">
        <f ca="1">IFERROR(__xludf.DUMMYFUNCTION("""COMPUTED_VALUE"""),45839)</f>
        <v>45839</v>
      </c>
      <c r="B252" s="7">
        <f ca="1">IFERROR(__xludf.DUMMYFUNCTION("""COMPUTED_VALUE"""),45808)</f>
        <v>45808</v>
      </c>
      <c r="C252" s="1" t="str">
        <f ca="1">IFERROR(__xludf.DUMMYFUNCTION("""COMPUTED_VALUE"""),"Supermercado &amp; Padaria")</f>
        <v>Supermercado &amp; Padaria</v>
      </c>
      <c r="D252" s="2">
        <f ca="1">IFERROR(__xludf.DUMMYFUNCTION("""COMPUTED_VALUE"""),431.29)</f>
        <v>431.29</v>
      </c>
      <c r="E252" s="1" t="str">
        <f ca="1">IFERROR(__xludf.DUMMYFUNCTION("""COMPUTED_VALUE"""),"-")</f>
        <v>-</v>
      </c>
      <c r="F252" s="1" t="str">
        <f ca="1">IFERROR(__xludf.DUMMYFUNCTION("""COMPUTED_VALUE"""),"Supermercado &amp; Padaria")</f>
        <v>Supermercado &amp; Padaria</v>
      </c>
      <c r="G252" s="1" t="str">
        <f ca="1"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6">
        <f ca="1">IFERROR(__xludf.DUMMYFUNCTION("""COMPUTED_VALUE"""),45839)</f>
        <v>45839</v>
      </c>
      <c r="B253" s="7">
        <f ca="1">IFERROR(__xludf.DUMMYFUNCTION("""COMPUTED_VALUE"""),45808)</f>
        <v>45808</v>
      </c>
      <c r="C253" s="1" t="str">
        <f ca="1">IFERROR(__xludf.DUMMYFUNCTION("""COMPUTED_VALUE"""),"Estufa Mangabera Butiq")</f>
        <v>Estufa Mangabera Butiq</v>
      </c>
      <c r="D253" s="2">
        <f ca="1">IFERROR(__xludf.DUMMYFUNCTION("""COMPUTED_VALUE"""),69.96)</f>
        <v>69.959999999999994</v>
      </c>
      <c r="E253" s="1" t="str">
        <f ca="1">IFERROR(__xludf.DUMMYFUNCTION("""COMPUTED_VALUE"""),"-")</f>
        <v>-</v>
      </c>
      <c r="F253" s="1" t="str">
        <f ca="1">IFERROR(__xludf.DUMMYFUNCTION("""COMPUTED_VALUE"""),"Estufa Mangabera Butiq")</f>
        <v>Estufa Mangabera Butiq</v>
      </c>
      <c r="G253" s="1" t="str">
        <f ca="1"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6">
        <f ca="1">IFERROR(__xludf.DUMMYFUNCTION("""COMPUTED_VALUE"""),45839)</f>
        <v>45839</v>
      </c>
      <c r="B254" s="7">
        <f ca="1">IFERROR(__xludf.DUMMYFUNCTION("""COMPUTED_VALUE"""),45809)</f>
        <v>45809</v>
      </c>
      <c r="C254" s="1" t="str">
        <f ca="1">IFERROR(__xludf.DUMMYFUNCTION("""COMPUTED_VALUE"""),"Panif Mendes Sion")</f>
        <v>Panif Mendes Sion</v>
      </c>
      <c r="D254" s="2">
        <f ca="1">IFERROR(__xludf.DUMMYFUNCTION("""COMPUTED_VALUE"""),29.6)</f>
        <v>29.6</v>
      </c>
      <c r="E254" s="1" t="str">
        <f ca="1">IFERROR(__xludf.DUMMYFUNCTION("""COMPUTED_VALUE"""),"-")</f>
        <v>-</v>
      </c>
      <c r="F254" s="1" t="str">
        <f ca="1">IFERROR(__xludf.DUMMYFUNCTION("""COMPUTED_VALUE"""),"Panif Mendes Sion")</f>
        <v>Panif Mendes Sion</v>
      </c>
      <c r="G254" s="1" t="str">
        <f ca="1"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6">
        <f ca="1">IFERROR(__xludf.DUMMYFUNCTION("""COMPUTED_VALUE"""),45839)</f>
        <v>45839</v>
      </c>
      <c r="B255" s="7">
        <f ca="1">IFERROR(__xludf.DUMMYFUNCTION("""COMPUTED_VALUE"""),45810)</f>
        <v>45810</v>
      </c>
      <c r="C255" s="1" t="str">
        <f ca="1">IFERROR(__xludf.DUMMYFUNCTION("""COMPUTED_VALUE"""),"Sion 1001 Festas")</f>
        <v>Sion 1001 Festas</v>
      </c>
      <c r="D255" s="2">
        <f ca="1">IFERROR(__xludf.DUMMYFUNCTION("""COMPUTED_VALUE"""),5.19)</f>
        <v>5.19</v>
      </c>
      <c r="E255" s="1" t="str">
        <f ca="1">IFERROR(__xludf.DUMMYFUNCTION("""COMPUTED_VALUE"""),"-")</f>
        <v>-</v>
      </c>
      <c r="F255" s="1" t="str">
        <f ca="1">IFERROR(__xludf.DUMMYFUNCTION("""COMPUTED_VALUE"""),"Sion 1001 Festas")</f>
        <v>Sion 1001 Festas</v>
      </c>
      <c r="G255" s="1" t="str">
        <f ca="1"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6">
        <f ca="1">IFERROR(__xludf.DUMMYFUNCTION("""COMPUTED_VALUE"""),45839)</f>
        <v>45839</v>
      </c>
      <c r="B256" s="7">
        <f ca="1">IFERROR(__xludf.DUMMYFUNCTION("""COMPUTED_VALUE"""),45820)</f>
        <v>45820</v>
      </c>
      <c r="C256" s="1" t="str">
        <f ca="1">IFERROR(__xludf.DUMMYFUNCTION("""COMPUTED_VALUE"""),"Panif Mendes Sion")</f>
        <v>Panif Mendes Sion</v>
      </c>
      <c r="D256" s="2">
        <f ca="1">IFERROR(__xludf.DUMMYFUNCTION("""COMPUTED_VALUE"""),25.12)</f>
        <v>25.12</v>
      </c>
      <c r="E256" s="1" t="str">
        <f ca="1">IFERROR(__xludf.DUMMYFUNCTION("""COMPUTED_VALUE"""),"-")</f>
        <v>-</v>
      </c>
      <c r="F256" s="1" t="str">
        <f ca="1">IFERROR(__xludf.DUMMYFUNCTION("""COMPUTED_VALUE"""),"Panif Mendes Sion")</f>
        <v>Panif Mendes Sion</v>
      </c>
      <c r="G256" s="1" t="str">
        <f ca="1"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6">
        <f ca="1">IFERROR(__xludf.DUMMYFUNCTION("""COMPUTED_VALUE"""),45839)</f>
        <v>45839</v>
      </c>
      <c r="B257" s="7">
        <f ca="1">IFERROR(__xludf.DUMMYFUNCTION("""COMPUTED_VALUE"""),45820)</f>
        <v>45820</v>
      </c>
      <c r="C257" s="1" t="str">
        <f ca="1">IFERROR(__xludf.DUMMYFUNCTION("""COMPUTED_VALUE"""),"Drogaria Araujo")</f>
        <v>Drogaria Araujo</v>
      </c>
      <c r="D257" s="2">
        <f ca="1">IFERROR(__xludf.DUMMYFUNCTION("""COMPUTED_VALUE"""),31.46)</f>
        <v>31.46</v>
      </c>
      <c r="E257" s="1" t="str">
        <f ca="1">IFERROR(__xludf.DUMMYFUNCTION("""COMPUTED_VALUE"""),"-")</f>
        <v>-</v>
      </c>
      <c r="F257" s="1" t="str">
        <f ca="1">IFERROR(__xludf.DUMMYFUNCTION("""COMPUTED_VALUE"""),"Drogaria Araujo")</f>
        <v>Drogaria Araujo</v>
      </c>
      <c r="G257" s="1" t="str">
        <f ca="1">IFERROR(__xludf.DUMMYFUNCTION("""COMPUTED_VALUE"""),"Farmácia")</f>
        <v>Farmácia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6">
        <f ca="1">IFERROR(__xludf.DUMMYFUNCTION("""COMPUTED_VALUE"""),45839)</f>
        <v>45839</v>
      </c>
      <c r="B258" s="7">
        <f ca="1">IFERROR(__xludf.DUMMYFUNCTION("""COMPUTED_VALUE"""),45820)</f>
        <v>45820</v>
      </c>
      <c r="C258" s="1" t="str">
        <f ca="1">IFERROR(__xludf.DUMMYFUNCTION("""COMPUTED_VALUE"""),"Super Sacolao")</f>
        <v>Super Sacolao</v>
      </c>
      <c r="D258" s="2">
        <f ca="1">IFERROR(__xludf.DUMMYFUNCTION("""COMPUTED_VALUE"""),88.68)</f>
        <v>88.68</v>
      </c>
      <c r="E258" s="1" t="str">
        <f ca="1">IFERROR(__xludf.DUMMYFUNCTION("""COMPUTED_VALUE"""),"-")</f>
        <v>-</v>
      </c>
      <c r="F258" s="1" t="str">
        <f ca="1">IFERROR(__xludf.DUMMYFUNCTION("""COMPUTED_VALUE"""),"Super Sacolao")</f>
        <v>Super Sacolao</v>
      </c>
      <c r="G258" s="1" t="str">
        <f ca="1"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6">
        <f ca="1">IFERROR(__xludf.DUMMYFUNCTION("""COMPUTED_VALUE"""),45839)</f>
        <v>45839</v>
      </c>
      <c r="B259" s="7">
        <f ca="1">IFERROR(__xludf.DUMMYFUNCTION("""COMPUTED_VALUE"""),45822)</f>
        <v>45822</v>
      </c>
      <c r="C259" s="1" t="str">
        <f ca="1">IFERROR(__xludf.DUMMYFUNCTION("""COMPUTED_VALUE"""),"Santa Rosa Acabamentos")</f>
        <v>Santa Rosa Acabamentos</v>
      </c>
      <c r="D259" s="2">
        <f ca="1">IFERROR(__xludf.DUMMYFUNCTION("""COMPUTED_VALUE"""),7.8)</f>
        <v>7.8</v>
      </c>
      <c r="E259" s="1" t="str">
        <f ca="1">IFERROR(__xludf.DUMMYFUNCTION("""COMPUTED_VALUE"""),"-")</f>
        <v>-</v>
      </c>
      <c r="F259" s="1" t="str">
        <f ca="1">IFERROR(__xludf.DUMMYFUNCTION("""COMPUTED_VALUE"""),"Santa Rosa Acabamentos")</f>
        <v>Santa Rosa Acabamentos</v>
      </c>
      <c r="G259" s="1" t="str">
        <f ca="1"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6">
        <f ca="1">IFERROR(__xludf.DUMMYFUNCTION("""COMPUTED_VALUE"""),45839)</f>
        <v>45839</v>
      </c>
      <c r="B260" s="7">
        <f ca="1">IFERROR(__xludf.DUMMYFUNCTION("""COMPUTED_VALUE"""),45822)</f>
        <v>45822</v>
      </c>
      <c r="C260" s="1" t="str">
        <f ca="1">IFERROR(__xludf.DUMMYFUNCTION("""COMPUTED_VALUE"""),"Santissimo Pao")</f>
        <v>Santissimo Pao</v>
      </c>
      <c r="D260" s="2">
        <f ca="1">IFERROR(__xludf.DUMMYFUNCTION("""COMPUTED_VALUE"""),23)</f>
        <v>23</v>
      </c>
      <c r="E260" s="1" t="str">
        <f ca="1">IFERROR(__xludf.DUMMYFUNCTION("""COMPUTED_VALUE"""),"-")</f>
        <v>-</v>
      </c>
      <c r="F260" s="1" t="str">
        <f ca="1">IFERROR(__xludf.DUMMYFUNCTION("""COMPUTED_VALUE"""),"Santissimo Pao")</f>
        <v>Santissimo Pao</v>
      </c>
      <c r="G260" s="1" t="str">
        <f ca="1">IFERROR(__xludf.DUMMYFUNCTION("""COMPUTED_VALUE"""),"Comida")</f>
        <v>Comida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6">
        <f ca="1">IFERROR(__xludf.DUMMYFUNCTION("""COMPUTED_VALUE"""),45839)</f>
        <v>45839</v>
      </c>
      <c r="B261" s="7">
        <f ca="1">IFERROR(__xludf.DUMMYFUNCTION("""COMPUTED_VALUE"""),45822)</f>
        <v>45822</v>
      </c>
      <c r="C261" s="1" t="str">
        <f ca="1">IFERROR(__xludf.DUMMYFUNCTION("""COMPUTED_VALUE"""),"Golden Pet")</f>
        <v>Golden Pet</v>
      </c>
      <c r="D261" s="2">
        <f ca="1">IFERROR(__xludf.DUMMYFUNCTION("""COMPUTED_VALUE"""),85.5)</f>
        <v>85.5</v>
      </c>
      <c r="E261" s="1" t="str">
        <f ca="1">IFERROR(__xludf.DUMMYFUNCTION("""COMPUTED_VALUE"""),"-")</f>
        <v>-</v>
      </c>
      <c r="F261" s="1" t="str">
        <f ca="1">IFERROR(__xludf.DUMMYFUNCTION("""COMPUTED_VALUE"""),"Golden Pet")</f>
        <v>Golden Pet</v>
      </c>
      <c r="G261" s="1" t="str">
        <f ca="1"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6">
        <f ca="1">IFERROR(__xludf.DUMMYFUNCTION("""COMPUTED_VALUE"""),45839)</f>
        <v>45839</v>
      </c>
      <c r="B262" s="7">
        <f ca="1">IFERROR(__xludf.DUMMYFUNCTION("""COMPUTED_VALUE"""),45822)</f>
        <v>45822</v>
      </c>
      <c r="C262" s="1" t="str">
        <f ca="1">IFERROR(__xludf.DUMMYFUNCTION("""COMPUTED_VALUE"""),"Panif Mendes Sion")</f>
        <v>Panif Mendes Sion</v>
      </c>
      <c r="D262" s="2">
        <f ca="1">IFERROR(__xludf.DUMMYFUNCTION("""COMPUTED_VALUE"""),10.84)</f>
        <v>10.84</v>
      </c>
      <c r="E262" s="1" t="str">
        <f ca="1">IFERROR(__xludf.DUMMYFUNCTION("""COMPUTED_VALUE"""),"-")</f>
        <v>-</v>
      </c>
      <c r="F262" s="1" t="str">
        <f ca="1">IFERROR(__xludf.DUMMYFUNCTION("""COMPUTED_VALUE"""),"Panif Mendes Sion")</f>
        <v>Panif Mendes Sion</v>
      </c>
      <c r="G262" s="1" t="str">
        <f ca="1"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6">
        <f ca="1">IFERROR(__xludf.DUMMYFUNCTION("""COMPUTED_VALUE"""),45839)</f>
        <v>45839</v>
      </c>
      <c r="B263" s="7">
        <f ca="1">IFERROR(__xludf.DUMMYFUNCTION("""COMPUTED_VALUE"""),45823)</f>
        <v>45823</v>
      </c>
      <c r="C263" s="1" t="str">
        <f ca="1">IFERROR(__xludf.DUMMYFUNCTION("""COMPUTED_VALUE"""),"Panif Mendes Sion")</f>
        <v>Panif Mendes Sion</v>
      </c>
      <c r="D263" s="2">
        <f ca="1">IFERROR(__xludf.DUMMYFUNCTION("""COMPUTED_VALUE"""),41.61)</f>
        <v>41.61</v>
      </c>
      <c r="E263" s="1" t="str">
        <f ca="1">IFERROR(__xludf.DUMMYFUNCTION("""COMPUTED_VALUE"""),"-")</f>
        <v>-</v>
      </c>
      <c r="F263" s="1" t="str">
        <f ca="1">IFERROR(__xludf.DUMMYFUNCTION("""COMPUTED_VALUE"""),"Panif Mendes Sion")</f>
        <v>Panif Mendes Sion</v>
      </c>
      <c r="G263" s="1" t="str">
        <f ca="1"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6">
        <f ca="1">IFERROR(__xludf.DUMMYFUNCTION("""COMPUTED_VALUE"""),45839)</f>
        <v>45839</v>
      </c>
      <c r="B264" s="7">
        <f ca="1">IFERROR(__xludf.DUMMYFUNCTION("""COMPUTED_VALUE"""),45823)</f>
        <v>45823</v>
      </c>
      <c r="C264" s="1" t="str">
        <f ca="1">IFERROR(__xludf.DUMMYFUNCTION("""COMPUTED_VALUE"""),"Bem Hortifruti")</f>
        <v>Bem Hortifruti</v>
      </c>
      <c r="D264" s="2">
        <f ca="1">IFERROR(__xludf.DUMMYFUNCTION("""COMPUTED_VALUE"""),84.96)</f>
        <v>84.96</v>
      </c>
      <c r="E264" s="1" t="str">
        <f ca="1">IFERROR(__xludf.DUMMYFUNCTION("""COMPUTED_VALUE"""),"-")</f>
        <v>-</v>
      </c>
      <c r="F264" s="1" t="str">
        <f ca="1">IFERROR(__xludf.DUMMYFUNCTION("""COMPUTED_VALUE"""),"Bem Hortifruti")</f>
        <v>Bem Hortifruti</v>
      </c>
      <c r="G264" s="1" t="str">
        <f ca="1"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6">
        <f ca="1">IFERROR(__xludf.DUMMYFUNCTION("""COMPUTED_VALUE"""),45839)</f>
        <v>45839</v>
      </c>
      <c r="B265" s="7">
        <f ca="1">IFERROR(__xludf.DUMMYFUNCTION("""COMPUTED_VALUE"""),45823)</f>
        <v>45823</v>
      </c>
      <c r="C265" s="1" t="str">
        <f ca="1">IFERROR(__xludf.DUMMYFUNCTION("""COMPUTED_VALUE"""),"Drogaria Araujo")</f>
        <v>Drogaria Araujo</v>
      </c>
      <c r="D265" s="2">
        <f ca="1">IFERROR(__xludf.DUMMYFUNCTION("""COMPUTED_VALUE"""),18.99)</f>
        <v>18.989999999999998</v>
      </c>
      <c r="E265" s="1" t="str">
        <f ca="1">IFERROR(__xludf.DUMMYFUNCTION("""COMPUTED_VALUE"""),"-")</f>
        <v>-</v>
      </c>
      <c r="F265" s="1" t="str">
        <f ca="1">IFERROR(__xludf.DUMMYFUNCTION("""COMPUTED_VALUE"""),"Drogaria Araujo")</f>
        <v>Drogaria Araujo</v>
      </c>
      <c r="G265" s="1" t="str">
        <f ca="1">IFERROR(__xludf.DUMMYFUNCTION("""COMPUTED_VALUE"""),"Farmácia")</f>
        <v>Farmácia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6">
        <f ca="1">IFERROR(__xludf.DUMMYFUNCTION("""COMPUTED_VALUE"""),45839)</f>
        <v>45839</v>
      </c>
      <c r="B266" s="7">
        <f ca="1">IFERROR(__xludf.DUMMYFUNCTION("""COMPUTED_VALUE"""),45823)</f>
        <v>45823</v>
      </c>
      <c r="C266" s="1" t="str">
        <f ca="1">IFERROR(__xludf.DUMMYFUNCTION("""COMPUTED_VALUE"""),"Panif Mendes Sion")</f>
        <v>Panif Mendes Sion</v>
      </c>
      <c r="D266" s="2">
        <f ca="1">IFERROR(__xludf.DUMMYFUNCTION("""COMPUTED_VALUE"""),24.9)</f>
        <v>24.9</v>
      </c>
      <c r="E266" s="1" t="str">
        <f ca="1">IFERROR(__xludf.DUMMYFUNCTION("""COMPUTED_VALUE"""),"-")</f>
        <v>-</v>
      </c>
      <c r="F266" s="1" t="str">
        <f ca="1">IFERROR(__xludf.DUMMYFUNCTION("""COMPUTED_VALUE"""),"Panif Mendes Sion")</f>
        <v>Panif Mendes Sion</v>
      </c>
      <c r="G266" s="1" t="str">
        <f ca="1"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6">
        <f ca="1">IFERROR(__xludf.DUMMYFUNCTION("""COMPUTED_VALUE"""),45839)</f>
        <v>45839</v>
      </c>
      <c r="B267" s="7">
        <f ca="1">IFERROR(__xludf.DUMMYFUNCTION("""COMPUTED_VALUE"""),45825)</f>
        <v>45825</v>
      </c>
      <c r="C267" s="1" t="str">
        <f ca="1">IFERROR(__xludf.DUMMYFUNCTION("""COMPUTED_VALUE"""),"Panif Mendes Sion")</f>
        <v>Panif Mendes Sion</v>
      </c>
      <c r="D267" s="2">
        <f ca="1">IFERROR(__xludf.DUMMYFUNCTION("""COMPUTED_VALUE"""),14.02)</f>
        <v>14.02</v>
      </c>
      <c r="E267" s="1" t="str">
        <f ca="1">IFERROR(__xludf.DUMMYFUNCTION("""COMPUTED_VALUE"""),"-")</f>
        <v>-</v>
      </c>
      <c r="F267" s="1" t="str">
        <f ca="1">IFERROR(__xludf.DUMMYFUNCTION("""COMPUTED_VALUE"""),"Panif Mendes Sion")</f>
        <v>Panif Mendes Sion</v>
      </c>
      <c r="G267" s="1" t="str">
        <f ca="1"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6">
        <f ca="1">IFERROR(__xludf.DUMMYFUNCTION("""COMPUTED_VALUE"""),45839)</f>
        <v>45839</v>
      </c>
      <c r="B268" s="7">
        <f ca="1">IFERROR(__xludf.DUMMYFUNCTION("""COMPUTED_VALUE"""),45825)</f>
        <v>45825</v>
      </c>
      <c r="C268" s="1" t="str">
        <f ca="1">IFERROR(__xludf.DUMMYFUNCTION("""COMPUTED_VALUE"""),"B1 Sist Ester De Lima")</f>
        <v>B1 Sist Ester De Lima</v>
      </c>
      <c r="D268" s="2">
        <f ca="1">IFERROR(__xludf.DUMMYFUNCTION("""COMPUTED_VALUE"""),353.2)</f>
        <v>353.2</v>
      </c>
      <c r="E268" s="1" t="str">
        <f ca="1">IFERROR(__xludf.DUMMYFUNCTION("""COMPUTED_VALUE"""),"-")</f>
        <v>-</v>
      </c>
      <c r="F268" s="1" t="str">
        <f ca="1">IFERROR(__xludf.DUMMYFUNCTION("""COMPUTED_VALUE"""),"B1 Sist Ester De Lima")</f>
        <v>B1 Sist Ester De Lima</v>
      </c>
      <c r="G268" s="1" t="str">
        <f ca="1"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6">
        <f ca="1">IFERROR(__xludf.DUMMYFUNCTION("""COMPUTED_VALUE"""),45839)</f>
        <v>45839</v>
      </c>
      <c r="B269" s="7">
        <f ca="1">IFERROR(__xludf.DUMMYFUNCTION("""COMPUTED_VALUE"""),45825)</f>
        <v>45825</v>
      </c>
      <c r="C269" s="1" t="str">
        <f ca="1">IFERROR(__xludf.DUMMYFUNCTION("""COMPUTED_VALUE"""),"Soul De Queijo")</f>
        <v>Soul De Queijo</v>
      </c>
      <c r="D269" s="2">
        <f ca="1">IFERROR(__xludf.DUMMYFUNCTION("""COMPUTED_VALUE"""),7)</f>
        <v>7</v>
      </c>
      <c r="E269" s="1" t="str">
        <f ca="1">IFERROR(__xludf.DUMMYFUNCTION("""COMPUTED_VALUE"""),"-")</f>
        <v>-</v>
      </c>
      <c r="F269" s="1" t="str">
        <f ca="1">IFERROR(__xludf.DUMMYFUNCTION("""COMPUTED_VALUE"""),"Soul De Queijo")</f>
        <v>Soul De Queijo</v>
      </c>
      <c r="G269" s="1" t="str">
        <f ca="1"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6">
        <f ca="1">IFERROR(__xludf.DUMMYFUNCTION("""COMPUTED_VALUE"""),45839)</f>
        <v>45839</v>
      </c>
      <c r="B270" s="7">
        <f ca="1">IFERROR(__xludf.DUMMYFUNCTION("""COMPUTED_VALUE"""),45825)</f>
        <v>45825</v>
      </c>
      <c r="C270" s="1" t="str">
        <f ca="1">IFERROR(__xludf.DUMMYFUNCTION("""COMPUTED_VALUE"""),"Drogaria Araujo")</f>
        <v>Drogaria Araujo</v>
      </c>
      <c r="D270" s="2">
        <f ca="1">IFERROR(__xludf.DUMMYFUNCTION("""COMPUTED_VALUE"""),10.59)</f>
        <v>10.59</v>
      </c>
      <c r="E270" s="1" t="str">
        <f ca="1">IFERROR(__xludf.DUMMYFUNCTION("""COMPUTED_VALUE"""),"-")</f>
        <v>-</v>
      </c>
      <c r="F270" s="1" t="str">
        <f ca="1">IFERROR(__xludf.DUMMYFUNCTION("""COMPUTED_VALUE"""),"Drogaria Araujo")</f>
        <v>Drogaria Araujo</v>
      </c>
      <c r="G270" s="1" t="str">
        <f ca="1">IFERROR(__xludf.DUMMYFUNCTION("""COMPUTED_VALUE"""),"Farmácia")</f>
        <v>Farmácia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6">
        <f ca="1">IFERROR(__xludf.DUMMYFUNCTION("""COMPUTED_VALUE"""),45839)</f>
        <v>45839</v>
      </c>
      <c r="B271" s="7">
        <f ca="1">IFERROR(__xludf.DUMMYFUNCTION("""COMPUTED_VALUE"""),45825)</f>
        <v>45825</v>
      </c>
      <c r="C271" s="1" t="str">
        <f ca="1">IFERROR(__xludf.DUMMYFUNCTION("""COMPUTED_VALUE"""),"Panif Mendes Sion")</f>
        <v>Panif Mendes Sion</v>
      </c>
      <c r="D271" s="2">
        <f ca="1">IFERROR(__xludf.DUMMYFUNCTION("""COMPUTED_VALUE"""),5.7)</f>
        <v>5.7</v>
      </c>
      <c r="E271" s="1" t="str">
        <f ca="1">IFERROR(__xludf.DUMMYFUNCTION("""COMPUTED_VALUE"""),"-")</f>
        <v>-</v>
      </c>
      <c r="F271" s="1" t="str">
        <f ca="1">IFERROR(__xludf.DUMMYFUNCTION("""COMPUTED_VALUE"""),"Panif Mendes Sion")</f>
        <v>Panif Mendes Sion</v>
      </c>
      <c r="G271" s="1" t="str">
        <f ca="1"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6">
        <f ca="1">IFERROR(__xludf.DUMMYFUNCTION("""COMPUTED_VALUE"""),45839)</f>
        <v>45839</v>
      </c>
      <c r="B272" s="7">
        <f ca="1">IFERROR(__xludf.DUMMYFUNCTION("""COMPUTED_VALUE"""),45826)</f>
        <v>45826</v>
      </c>
      <c r="C272" s="1" t="str">
        <f ca="1">IFERROR(__xludf.DUMMYFUNCTION("""COMPUTED_VALUE"""),"Eletirca Llrd")</f>
        <v>Eletirca Llrd</v>
      </c>
      <c r="D272" s="2">
        <f ca="1">IFERROR(__xludf.DUMMYFUNCTION("""COMPUTED_VALUE"""),148.99)</f>
        <v>148.99</v>
      </c>
      <c r="E272" s="1" t="str">
        <f ca="1">IFERROR(__xludf.DUMMYFUNCTION("""COMPUTED_VALUE"""),"-")</f>
        <v>-</v>
      </c>
      <c r="F272" s="1" t="str">
        <f ca="1">IFERROR(__xludf.DUMMYFUNCTION("""COMPUTED_VALUE"""),"Eletirca Llrd")</f>
        <v>Eletirca Llrd</v>
      </c>
      <c r="G272" s="1" t="str">
        <f ca="1"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6">
        <f ca="1">IFERROR(__xludf.DUMMYFUNCTION("""COMPUTED_VALUE"""),45839)</f>
        <v>45839</v>
      </c>
      <c r="B273" s="7">
        <f ca="1">IFERROR(__xludf.DUMMYFUNCTION("""COMPUTED_VALUE"""),45827)</f>
        <v>45827</v>
      </c>
      <c r="C273" s="1" t="str">
        <f ca="1">IFERROR(__xludf.DUMMYFUNCTION("""COMPUTED_VALUE"""),"Drogaria Araujo")</f>
        <v>Drogaria Araujo</v>
      </c>
      <c r="D273" s="2">
        <f ca="1">IFERROR(__xludf.DUMMYFUNCTION("""COMPUTED_VALUE"""),0.49)</f>
        <v>0.49</v>
      </c>
      <c r="E273" s="1" t="str">
        <f ca="1">IFERROR(__xludf.DUMMYFUNCTION("""COMPUTED_VALUE"""),"-")</f>
        <v>-</v>
      </c>
      <c r="F273" s="1" t="str">
        <f ca="1">IFERROR(__xludf.DUMMYFUNCTION("""COMPUTED_VALUE"""),"Drogaria Araujo")</f>
        <v>Drogaria Araujo</v>
      </c>
      <c r="G273" s="1" t="str">
        <f ca="1">IFERROR(__xludf.DUMMYFUNCTION("""COMPUTED_VALUE"""),"Farmácia")</f>
        <v>Farmácia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6">
        <f ca="1">IFERROR(__xludf.DUMMYFUNCTION("""COMPUTED_VALUE"""),45839)</f>
        <v>45839</v>
      </c>
      <c r="B274" s="7">
        <f ca="1">IFERROR(__xludf.DUMMYFUNCTION("""COMPUTED_VALUE"""),45827)</f>
        <v>45827</v>
      </c>
      <c r="C274" s="1" t="str">
        <f ca="1">IFERROR(__xludf.DUMMYFUNCTION("""COMPUTED_VALUE"""),"Panif Mendes Sion")</f>
        <v>Panif Mendes Sion</v>
      </c>
      <c r="D274" s="2">
        <f ca="1">IFERROR(__xludf.DUMMYFUNCTION("""COMPUTED_VALUE"""),5.33)</f>
        <v>5.33</v>
      </c>
      <c r="E274" s="1" t="str">
        <f ca="1">IFERROR(__xludf.DUMMYFUNCTION("""COMPUTED_VALUE"""),"-")</f>
        <v>-</v>
      </c>
      <c r="F274" s="1" t="str">
        <f ca="1">IFERROR(__xludf.DUMMYFUNCTION("""COMPUTED_VALUE"""),"Panif Mendes Sion")</f>
        <v>Panif Mendes Sion</v>
      </c>
      <c r="G274" s="1" t="str">
        <f ca="1"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6">
        <f ca="1">IFERROR(__xludf.DUMMYFUNCTION("""COMPUTED_VALUE"""),45839)</f>
        <v>45839</v>
      </c>
      <c r="B275" s="7">
        <f ca="1">IFERROR(__xludf.DUMMYFUNCTION("""COMPUTED_VALUE"""),45831)</f>
        <v>45831</v>
      </c>
      <c r="C275" s="1" t="str">
        <f ca="1">IFERROR(__xludf.DUMMYFUNCTION("""COMPUTED_VALUE"""),"Leroy Merlin")</f>
        <v>Leroy Merlin</v>
      </c>
      <c r="D275" s="2">
        <f ca="1">IFERROR(__xludf.DUMMYFUNCTION("""COMPUTED_VALUE"""),542.78)</f>
        <v>542.78</v>
      </c>
      <c r="E275" s="1" t="str">
        <f ca="1">IFERROR(__xludf.DUMMYFUNCTION("""COMPUTED_VALUE"""),"-")</f>
        <v>-</v>
      </c>
      <c r="F275" s="1" t="str">
        <f ca="1">IFERROR(__xludf.DUMMYFUNCTION("""COMPUTED_VALUE"""),"Leroy Merlin")</f>
        <v>Leroy Merlin</v>
      </c>
      <c r="G275" s="1" t="str">
        <f ca="1"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6">
        <f ca="1">IFERROR(__xludf.DUMMYFUNCTION("""COMPUTED_VALUE"""),45839)</f>
        <v>45839</v>
      </c>
      <c r="B276" s="7">
        <f ca="1">IFERROR(__xludf.DUMMYFUNCTION("""COMPUTED_VALUE"""),45831)</f>
        <v>45831</v>
      </c>
      <c r="C276" s="1" t="str">
        <f ca="1">IFERROR(__xludf.DUMMYFUNCTION("""COMPUTED_VALUE"""),"Drogaria Araujo")</f>
        <v>Drogaria Araujo</v>
      </c>
      <c r="D276" s="2">
        <f ca="1">IFERROR(__xludf.DUMMYFUNCTION("""COMPUTED_VALUE"""),42.88)</f>
        <v>42.88</v>
      </c>
      <c r="E276" s="1" t="str">
        <f ca="1">IFERROR(__xludf.DUMMYFUNCTION("""COMPUTED_VALUE"""),"-")</f>
        <v>-</v>
      </c>
      <c r="F276" s="1" t="str">
        <f ca="1">IFERROR(__xludf.DUMMYFUNCTION("""COMPUTED_VALUE"""),"Drogaria Araujo")</f>
        <v>Drogaria Araujo</v>
      </c>
      <c r="G276" s="1" t="str">
        <f ca="1">IFERROR(__xludf.DUMMYFUNCTION("""COMPUTED_VALUE"""),"Farmácia")</f>
        <v>Farmácia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6">
        <f ca="1">IFERROR(__xludf.DUMMYFUNCTION("""COMPUTED_VALUE"""),45839)</f>
        <v>45839</v>
      </c>
      <c r="B277" s="7">
        <f ca="1">IFERROR(__xludf.DUMMYFUNCTION("""COMPUTED_VALUE"""),45812)</f>
        <v>45812</v>
      </c>
      <c r="C277" s="1" t="str">
        <f ca="1">IFERROR(__xludf.DUMMYFUNCTION("""COMPUTED_VALUE"""),"Simone Lanches")</f>
        <v>Simone Lanches</v>
      </c>
      <c r="D277" s="2">
        <f ca="1">IFERROR(__xludf.DUMMYFUNCTION("""COMPUTED_VALUE"""),4)</f>
        <v>4</v>
      </c>
      <c r="E277" s="1" t="str">
        <f ca="1">IFERROR(__xludf.DUMMYFUNCTION("""COMPUTED_VALUE"""),"-")</f>
        <v>-</v>
      </c>
      <c r="F277" s="1" t="str">
        <f ca="1">IFERROR(__xludf.DUMMYFUNCTION("""COMPUTED_VALUE"""),"Simone Lanches")</f>
        <v>Simone Lanches</v>
      </c>
      <c r="G277" s="1" t="str">
        <f ca="1"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6">
        <f ca="1">IFERROR(__xludf.DUMMYFUNCTION("""COMPUTED_VALUE"""),45839)</f>
        <v>45839</v>
      </c>
      <c r="B278" s="7">
        <f ca="1">IFERROR(__xludf.DUMMYFUNCTION("""COMPUTED_VALUE"""),45812)</f>
        <v>45812</v>
      </c>
      <c r="C278" s="1" t="str">
        <f ca="1">IFERROR(__xludf.DUMMYFUNCTION("""COMPUTED_VALUE"""),"Drogaria Araujo")</f>
        <v>Drogaria Araujo</v>
      </c>
      <c r="D278" s="2">
        <f ca="1">IFERROR(__xludf.DUMMYFUNCTION("""COMPUTED_VALUE"""),3.99)</f>
        <v>3.99</v>
      </c>
      <c r="E278" s="1" t="str">
        <f ca="1">IFERROR(__xludf.DUMMYFUNCTION("""COMPUTED_VALUE"""),"-")</f>
        <v>-</v>
      </c>
      <c r="F278" s="1" t="str">
        <f ca="1">IFERROR(__xludf.DUMMYFUNCTION("""COMPUTED_VALUE"""),"Drogaria Araujo")</f>
        <v>Drogaria Araujo</v>
      </c>
      <c r="G278" s="1" t="str">
        <f ca="1">IFERROR(__xludf.DUMMYFUNCTION("""COMPUTED_VALUE"""),"Farmácia")</f>
        <v>Farmácia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6">
        <f ca="1">IFERROR(__xludf.DUMMYFUNCTION("""COMPUTED_VALUE"""),45839)</f>
        <v>45839</v>
      </c>
      <c r="B279" s="7">
        <f ca="1">IFERROR(__xludf.DUMMYFUNCTION("""COMPUTED_VALUE"""),45812)</f>
        <v>45812</v>
      </c>
      <c r="C279" s="1" t="str">
        <f ca="1">IFERROR(__xludf.DUMMYFUNCTION("""COMPUTED_VALUE"""),"Estufa Mangabera Butiq")</f>
        <v>Estufa Mangabera Butiq</v>
      </c>
      <c r="D279" s="2">
        <f ca="1">IFERROR(__xludf.DUMMYFUNCTION("""COMPUTED_VALUE"""),65.67)</f>
        <v>65.67</v>
      </c>
      <c r="E279" s="1" t="str">
        <f ca="1">IFERROR(__xludf.DUMMYFUNCTION("""COMPUTED_VALUE"""),"-")</f>
        <v>-</v>
      </c>
      <c r="F279" s="1" t="str">
        <f ca="1">IFERROR(__xludf.DUMMYFUNCTION("""COMPUTED_VALUE"""),"Estufa Mangabera Butiq")</f>
        <v>Estufa Mangabera Butiq</v>
      </c>
      <c r="G279" s="1" t="str">
        <f ca="1"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6">
        <f ca="1">IFERROR(__xludf.DUMMYFUNCTION("""COMPUTED_VALUE"""),45839)</f>
        <v>45839</v>
      </c>
      <c r="B280" s="7">
        <f ca="1">IFERROR(__xludf.DUMMYFUNCTION("""COMPUTED_VALUE"""),45813)</f>
        <v>45813</v>
      </c>
      <c r="C280" s="1" t="str">
        <f ca="1">IFERROR(__xludf.DUMMYFUNCTION("""COMPUTED_VALUE"""),"Pacheco Barbearia")</f>
        <v>Pacheco Barbearia</v>
      </c>
      <c r="D280" s="2">
        <f ca="1">IFERROR(__xludf.DUMMYFUNCTION("""COMPUTED_VALUE"""),75)</f>
        <v>75</v>
      </c>
      <c r="E280" s="1" t="str">
        <f ca="1">IFERROR(__xludf.DUMMYFUNCTION("""COMPUTED_VALUE"""),"-")</f>
        <v>-</v>
      </c>
      <c r="F280" s="1" t="str">
        <f ca="1">IFERROR(__xludf.DUMMYFUNCTION("""COMPUTED_VALUE"""),"Pacheco Barbearia")</f>
        <v>Pacheco Barbearia</v>
      </c>
      <c r="G280" s="1" t="str">
        <f ca="1"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6">
        <f ca="1">IFERROR(__xludf.DUMMYFUNCTION("""COMPUTED_VALUE"""),45839)</f>
        <v>45839</v>
      </c>
      <c r="B281" s="7">
        <f ca="1">IFERROR(__xludf.DUMMYFUNCTION("""COMPUTED_VALUE"""),45814)</f>
        <v>45814</v>
      </c>
      <c r="C281" s="1" t="str">
        <f ca="1">IFERROR(__xludf.DUMMYFUNCTION("""COMPUTED_VALUE"""),"Ricks Café Pastelaria")</f>
        <v>Ricks Café Pastelaria</v>
      </c>
      <c r="D281" s="2">
        <f ca="1">IFERROR(__xludf.DUMMYFUNCTION("""COMPUTED_VALUE"""),4)</f>
        <v>4</v>
      </c>
      <c r="E281" s="1" t="str">
        <f ca="1">IFERROR(__xludf.DUMMYFUNCTION("""COMPUTED_VALUE"""),"-")</f>
        <v>-</v>
      </c>
      <c r="F281" s="1" t="str">
        <f ca="1">IFERROR(__xludf.DUMMYFUNCTION("""COMPUTED_VALUE"""),"Ricks Café Pastelaria")</f>
        <v>Ricks Café Pastelaria</v>
      </c>
      <c r="G281" s="1" t="str">
        <f ca="1"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6">
        <f ca="1">IFERROR(__xludf.DUMMYFUNCTION("""COMPUTED_VALUE"""),45839)</f>
        <v>45839</v>
      </c>
      <c r="B282" s="7">
        <f ca="1">IFERROR(__xludf.DUMMYFUNCTION("""COMPUTED_VALUE"""),45814)</f>
        <v>45814</v>
      </c>
      <c r="C282" s="1" t="str">
        <f ca="1">IFERROR(__xludf.DUMMYFUNCTION("""COMPUTED_VALUE"""),"Supermercado Epa")</f>
        <v>Supermercado Epa</v>
      </c>
      <c r="D282" s="2">
        <f ca="1">IFERROR(__xludf.DUMMYFUNCTION("""COMPUTED_VALUE"""),19.98)</f>
        <v>19.98</v>
      </c>
      <c r="E282" s="1" t="str">
        <f ca="1">IFERROR(__xludf.DUMMYFUNCTION("""COMPUTED_VALUE"""),"-")</f>
        <v>-</v>
      </c>
      <c r="F282" s="1" t="str">
        <f ca="1">IFERROR(__xludf.DUMMYFUNCTION("""COMPUTED_VALUE"""),"Supermercado Epa")</f>
        <v>Supermercado Epa</v>
      </c>
      <c r="G282" s="1" t="str">
        <f ca="1"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6">
        <f ca="1">IFERROR(__xludf.DUMMYFUNCTION("""COMPUTED_VALUE"""),45839)</f>
        <v>45839</v>
      </c>
      <c r="B283" s="7">
        <f ca="1">IFERROR(__xludf.DUMMYFUNCTION("""COMPUTED_VALUE"""),45815)</f>
        <v>45815</v>
      </c>
      <c r="C283" s="1" t="str">
        <f ca="1">IFERROR(__xludf.DUMMYFUNCTION("""COMPUTED_VALUE"""),"Panif Mendes Sion")</f>
        <v>Panif Mendes Sion</v>
      </c>
      <c r="D283" s="2">
        <f ca="1">IFERROR(__xludf.DUMMYFUNCTION("""COMPUTED_VALUE"""),12.8)</f>
        <v>12.8</v>
      </c>
      <c r="E283" s="1" t="str">
        <f ca="1">IFERROR(__xludf.DUMMYFUNCTION("""COMPUTED_VALUE"""),"-")</f>
        <v>-</v>
      </c>
      <c r="F283" s="1" t="str">
        <f ca="1">IFERROR(__xludf.DUMMYFUNCTION("""COMPUTED_VALUE"""),"Panif Mendes Sion")</f>
        <v>Panif Mendes Sion</v>
      </c>
      <c r="G283" s="1" t="str">
        <f ca="1"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6">
        <f ca="1">IFERROR(__xludf.DUMMYFUNCTION("""COMPUTED_VALUE"""),45839)</f>
        <v>45839</v>
      </c>
      <c r="B284" s="7">
        <f ca="1">IFERROR(__xludf.DUMMYFUNCTION("""COMPUTED_VALUE"""),45816)</f>
        <v>45816</v>
      </c>
      <c r="C284" s="1" t="str">
        <f ca="1">IFERROR(__xludf.DUMMYFUNCTION("""COMPUTED_VALUE"""),"O Bhar")</f>
        <v>O Bhar</v>
      </c>
      <c r="D284" s="2">
        <f ca="1">IFERROR(__xludf.DUMMYFUNCTION("""COMPUTED_VALUE"""),57.75)</f>
        <v>57.75</v>
      </c>
      <c r="E284" s="1" t="str">
        <f ca="1">IFERROR(__xludf.DUMMYFUNCTION("""COMPUTED_VALUE"""),"-")</f>
        <v>-</v>
      </c>
      <c r="F284" s="1" t="str">
        <f ca="1">IFERROR(__xludf.DUMMYFUNCTION("""COMPUTED_VALUE"""),"O Bhar")</f>
        <v>O Bhar</v>
      </c>
      <c r="G284" s="1" t="str">
        <f ca="1"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6">
        <f ca="1">IFERROR(__xludf.DUMMYFUNCTION("""COMPUTED_VALUE"""),45839)</f>
        <v>45839</v>
      </c>
      <c r="B285" s="7">
        <f ca="1">IFERROR(__xludf.DUMMYFUNCTION("""COMPUTED_VALUE"""),45816)</f>
        <v>45816</v>
      </c>
      <c r="C285" s="1" t="str">
        <f ca="1">IFERROR(__xludf.DUMMYFUNCTION("""COMPUTED_VALUE"""),"Drogaria Araujo")</f>
        <v>Drogaria Araujo</v>
      </c>
      <c r="D285" s="2">
        <f ca="1">IFERROR(__xludf.DUMMYFUNCTION("""COMPUTED_VALUE"""),44.08)</f>
        <v>44.08</v>
      </c>
      <c r="E285" s="1" t="str">
        <f ca="1">IFERROR(__xludf.DUMMYFUNCTION("""COMPUTED_VALUE"""),"-")</f>
        <v>-</v>
      </c>
      <c r="F285" s="1" t="str">
        <f ca="1">IFERROR(__xludf.DUMMYFUNCTION("""COMPUTED_VALUE"""),"Drogaria Araujo")</f>
        <v>Drogaria Araujo</v>
      </c>
      <c r="G285" s="1" t="str">
        <f ca="1">IFERROR(__xludf.DUMMYFUNCTION("""COMPUTED_VALUE"""),"Farmácia")</f>
        <v>Farmácia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6">
        <f ca="1">IFERROR(__xludf.DUMMYFUNCTION("""COMPUTED_VALUE"""),45839)</f>
        <v>45839</v>
      </c>
      <c r="B286" s="7">
        <f ca="1">IFERROR(__xludf.DUMMYFUNCTION("""COMPUTED_VALUE"""),45818)</f>
        <v>45818</v>
      </c>
      <c r="C286" s="1" t="str">
        <f ca="1">IFERROR(__xludf.DUMMYFUNCTION("""COMPUTED_VALUE"""),"Ricks Café Pastelaria")</f>
        <v>Ricks Café Pastelaria</v>
      </c>
      <c r="D286" s="2">
        <f ca="1">IFERROR(__xludf.DUMMYFUNCTION("""COMPUTED_VALUE"""),4)</f>
        <v>4</v>
      </c>
      <c r="E286" s="1" t="str">
        <f ca="1">IFERROR(__xludf.DUMMYFUNCTION("""COMPUTED_VALUE"""),"-")</f>
        <v>-</v>
      </c>
      <c r="F286" s="1" t="str">
        <f ca="1">IFERROR(__xludf.DUMMYFUNCTION("""COMPUTED_VALUE"""),"Ricks Café Pastelaria")</f>
        <v>Ricks Café Pastelaria</v>
      </c>
      <c r="G286" s="1" t="str">
        <f ca="1"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6">
        <f ca="1">IFERROR(__xludf.DUMMYFUNCTION("""COMPUTED_VALUE"""),45839)</f>
        <v>45839</v>
      </c>
      <c r="B287" s="7">
        <f ca="1">IFERROR(__xludf.DUMMYFUNCTION("""COMPUTED_VALUE"""),45818)</f>
        <v>45818</v>
      </c>
      <c r="C287" s="1" t="str">
        <f ca="1">IFERROR(__xludf.DUMMYFUNCTION("""COMPUTED_VALUE"""),"Crstina Marcia (1/10)")</f>
        <v>Crstina Marcia (1/10)</v>
      </c>
      <c r="D287" s="2">
        <f ca="1">IFERROR(__xludf.DUMMYFUNCTION("""COMPUTED_VALUE"""),696)</f>
        <v>696</v>
      </c>
      <c r="E287" s="1" t="str">
        <f ca="1">IFERROR(__xludf.DUMMYFUNCTION("""COMPUTED_VALUE"""),"-")</f>
        <v>-</v>
      </c>
      <c r="F287" s="1" t="str">
        <f ca="1">IFERROR(__xludf.DUMMYFUNCTION("""COMPUTED_VALUE"""),"Crstina Marcia")</f>
        <v>Crstina Marcia</v>
      </c>
      <c r="G287" s="1" t="str">
        <f ca="1"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6">
        <f ca="1">IFERROR(__xludf.DUMMYFUNCTION("""COMPUTED_VALUE"""),45839)</f>
        <v>45839</v>
      </c>
      <c r="B288" s="7">
        <f ca="1">IFERROR(__xludf.DUMMYFUNCTION("""COMPUTED_VALUE"""),45819)</f>
        <v>45819</v>
      </c>
      <c r="C288" s="1" t="str">
        <f ca="1">IFERROR(__xludf.DUMMYFUNCTION("""COMPUTED_VALUE"""),"Vila Restaurante")</f>
        <v>Vila Restaurante</v>
      </c>
      <c r="D288" s="2">
        <f ca="1">IFERROR(__xludf.DUMMYFUNCTION("""COMPUTED_VALUE"""),25.5)</f>
        <v>25.5</v>
      </c>
      <c r="E288" s="1" t="str">
        <f ca="1">IFERROR(__xludf.DUMMYFUNCTION("""COMPUTED_VALUE"""),"-")</f>
        <v>-</v>
      </c>
      <c r="F288" s="1" t="str">
        <f ca="1">IFERROR(__xludf.DUMMYFUNCTION("""COMPUTED_VALUE"""),"Vila Restaurante")</f>
        <v>Vila Restaurante</v>
      </c>
      <c r="G288" s="1" t="str">
        <f ca="1"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6">
        <f ca="1">IFERROR(__xludf.DUMMYFUNCTION("""COMPUTED_VALUE"""),45839)</f>
        <v>45839</v>
      </c>
      <c r="B289" s="7">
        <f ca="1">IFERROR(__xludf.DUMMYFUNCTION("""COMPUTED_VALUE"""),45819)</f>
        <v>45819</v>
      </c>
      <c r="C289" s="1" t="str">
        <f ca="1">IFERROR(__xludf.DUMMYFUNCTION("""COMPUTED_VALUE"""),"Vila Restaurante")</f>
        <v>Vila Restaurante</v>
      </c>
      <c r="D289" s="2">
        <f ca="1">IFERROR(__xludf.DUMMYFUNCTION("""COMPUTED_VALUE"""),12)</f>
        <v>12</v>
      </c>
      <c r="E289" s="1" t="str">
        <f ca="1">IFERROR(__xludf.DUMMYFUNCTION("""COMPUTED_VALUE"""),"-")</f>
        <v>-</v>
      </c>
      <c r="F289" s="1" t="str">
        <f ca="1">IFERROR(__xludf.DUMMYFUNCTION("""COMPUTED_VALUE"""),"Vila Restaurante")</f>
        <v>Vila Restaurante</v>
      </c>
      <c r="G289" s="1" t="str">
        <f ca="1"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6">
        <f ca="1">IFERROR(__xludf.DUMMYFUNCTION("""COMPUTED_VALUE"""),45839)</f>
        <v>45839</v>
      </c>
      <c r="B290" s="7">
        <f ca="1">IFERROR(__xludf.DUMMYFUNCTION("""COMPUTED_VALUE"""),45820)</f>
        <v>45820</v>
      </c>
      <c r="C290" s="1" t="str">
        <f ca="1">IFERROR(__xludf.DUMMYFUNCTION("""COMPUTED_VALUE"""),"Drogaria Araujo")</f>
        <v>Drogaria Araujo</v>
      </c>
      <c r="D290" s="2">
        <f ca="1">IFERROR(__xludf.DUMMYFUNCTION("""COMPUTED_VALUE"""),294.23)</f>
        <v>294.23</v>
      </c>
      <c r="E290" s="1" t="str">
        <f ca="1">IFERROR(__xludf.DUMMYFUNCTION("""COMPUTED_VALUE"""),"-")</f>
        <v>-</v>
      </c>
      <c r="F290" s="1" t="str">
        <f ca="1">IFERROR(__xludf.DUMMYFUNCTION("""COMPUTED_VALUE"""),"Drogaria Araujo")</f>
        <v>Drogaria Araujo</v>
      </c>
      <c r="G290" s="1" t="str">
        <f ca="1">IFERROR(__xludf.DUMMYFUNCTION("""COMPUTED_VALUE"""),"Farmácia")</f>
        <v>Farmácia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6">
        <f ca="1">IFERROR(__xludf.DUMMYFUNCTION("""COMPUTED_VALUE"""),45839)</f>
        <v>45839</v>
      </c>
      <c r="B291" s="7">
        <f ca="1">IFERROR(__xludf.DUMMYFUNCTION("""COMPUTED_VALUE"""),45833)</f>
        <v>45833</v>
      </c>
      <c r="C291" s="1" t="str">
        <f ca="1">IFERROR(__xludf.DUMMYFUNCTION("""COMPUTED_VALUE"""),"Carmo Sion Mat Const")</f>
        <v>Carmo Sion Mat Const</v>
      </c>
      <c r="D291" s="2">
        <f ca="1">IFERROR(__xludf.DUMMYFUNCTION("""COMPUTED_VALUE"""),16.39)</f>
        <v>16.39</v>
      </c>
      <c r="E291" s="1" t="str">
        <f ca="1">IFERROR(__xludf.DUMMYFUNCTION("""COMPUTED_VALUE"""),"-")</f>
        <v>-</v>
      </c>
      <c r="F291" s="1" t="str">
        <f ca="1">IFERROR(__xludf.DUMMYFUNCTION("""COMPUTED_VALUE"""),"Carmo Sion Mat Const")</f>
        <v>Carmo Sion Mat Const</v>
      </c>
      <c r="G291" s="1" t="str">
        <f ca="1"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6">
        <f ca="1">IFERROR(__xludf.DUMMYFUNCTION("""COMPUTED_VALUE"""),45839)</f>
        <v>45839</v>
      </c>
      <c r="B292" s="7">
        <f ca="1">IFERROR(__xludf.DUMMYFUNCTION("""COMPUTED_VALUE"""),45834)</f>
        <v>45834</v>
      </c>
      <c r="C292" s="1" t="str">
        <f ca="1">IFERROR(__xludf.DUMMYFUNCTION("""COMPUTED_VALUE"""),"Dma Distribuidora Sa (3/3)")</f>
        <v>Dma Distribuidora Sa (3/3)</v>
      </c>
      <c r="D292" s="2">
        <f ca="1">IFERROR(__xludf.DUMMYFUNCTION("""COMPUTED_VALUE"""),37.84)</f>
        <v>37.840000000000003</v>
      </c>
      <c r="E292" s="1" t="str">
        <f ca="1">IFERROR(__xludf.DUMMYFUNCTION("""COMPUTED_VALUE"""),"-")</f>
        <v>-</v>
      </c>
      <c r="F292" s="1" t="str">
        <f ca="1">IFERROR(__xludf.DUMMYFUNCTION("""COMPUTED_VALUE"""),"Dma Distribuidora Sa")</f>
        <v>Dma Distribuidora Sa</v>
      </c>
      <c r="G292" s="1" t="str">
        <f ca="1">IFERROR(__xludf.DUMMYFUNCTION("""COMPUTED_VALUE"""),"Supermercado")</f>
        <v>Supermercado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6">
        <f ca="1">IFERROR(__xludf.DUMMYFUNCTION("""COMPUTED_VALUE"""),45839)</f>
        <v>45839</v>
      </c>
      <c r="B293" s="7">
        <f ca="1">IFERROR(__xludf.DUMMYFUNCTION("""COMPUTED_VALUE"""),45834)</f>
        <v>45834</v>
      </c>
      <c r="C293" s="1" t="str">
        <f ca="1">IFERROR(__xludf.DUMMYFUNCTION("""COMPUTED_VALUE"""),"Dma Distribuidora Sa (2/3)")</f>
        <v>Dma Distribuidora Sa (2/3)</v>
      </c>
      <c r="D293" s="2">
        <f ca="1">IFERROR(__xludf.DUMMYFUNCTION("""COMPUTED_VALUE"""),37.84)</f>
        <v>37.840000000000003</v>
      </c>
      <c r="E293" s="1" t="str">
        <f ca="1">IFERROR(__xludf.DUMMYFUNCTION("""COMPUTED_VALUE"""),"-")</f>
        <v>-</v>
      </c>
      <c r="F293" s="1" t="str">
        <f ca="1">IFERROR(__xludf.DUMMYFUNCTION("""COMPUTED_VALUE"""),"Dma Distribuidora Sa")</f>
        <v>Dma Distribuidora Sa</v>
      </c>
      <c r="G293" s="1" t="str">
        <f ca="1">IFERROR(__xludf.DUMMYFUNCTION("""COMPUTED_VALUE"""),"Supermercado")</f>
        <v>Supermercado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6">
        <f ca="1">IFERROR(__xludf.DUMMYFUNCTION("""COMPUTED_VALUE"""),45839)</f>
        <v>45839</v>
      </c>
      <c r="B294" s="7">
        <f ca="1">IFERROR(__xludf.DUMMYFUNCTION("""COMPUTED_VALUE"""),45834)</f>
        <v>45834</v>
      </c>
      <c r="C294" s="1" t="str">
        <f ca="1">IFERROR(__xludf.DUMMYFUNCTION("""COMPUTED_VALUE"""),"Dma Distribuidora Sa (1/3)")</f>
        <v>Dma Distribuidora Sa (1/3)</v>
      </c>
      <c r="D294" s="2">
        <f ca="1">IFERROR(__xludf.DUMMYFUNCTION("""COMPUTED_VALUE"""),37.85)</f>
        <v>37.85</v>
      </c>
      <c r="E294" s="1" t="str">
        <f ca="1">IFERROR(__xludf.DUMMYFUNCTION("""COMPUTED_VALUE"""),"-")</f>
        <v>-</v>
      </c>
      <c r="F294" s="1" t="str">
        <f ca="1">IFERROR(__xludf.DUMMYFUNCTION("""COMPUTED_VALUE"""),"Dma Distribuidora Sa")</f>
        <v>Dma Distribuidora Sa</v>
      </c>
      <c r="G294" s="1" t="str">
        <f ca="1">IFERROR(__xludf.DUMMYFUNCTION("""COMPUTED_VALUE"""),"Supermercado")</f>
        <v>Supermercado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6">
        <f ca="1">IFERROR(__xludf.DUMMYFUNCTION("""COMPUTED_VALUE"""),45839)</f>
        <v>45839</v>
      </c>
      <c r="B295" s="7">
        <f ca="1">IFERROR(__xludf.DUMMYFUNCTION("""COMPUTED_VALUE"""),45834)</f>
        <v>45834</v>
      </c>
      <c r="C295" s="1" t="str">
        <f ca="1">IFERROR(__xludf.DUMMYFUNCTION("""COMPUTED_VALUE"""),"Leroy Merlin")</f>
        <v>Leroy Merlin</v>
      </c>
      <c r="D295" s="2">
        <f ca="1">IFERROR(__xludf.DUMMYFUNCTION("""COMPUTED_VALUE"""),11.76)</f>
        <v>11.76</v>
      </c>
      <c r="E295" s="1" t="str">
        <f ca="1">IFERROR(__xludf.DUMMYFUNCTION("""COMPUTED_VALUE"""),"-")</f>
        <v>-</v>
      </c>
      <c r="F295" s="1" t="str">
        <f ca="1">IFERROR(__xludf.DUMMYFUNCTION("""COMPUTED_VALUE"""),"Leroy Merlin")</f>
        <v>Leroy Merlin</v>
      </c>
      <c r="G295" s="1" t="str">
        <f ca="1"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6">
        <f ca="1">IFERROR(__xludf.DUMMYFUNCTION("""COMPUTED_VALUE"""),45839)</f>
        <v>45839</v>
      </c>
      <c r="B296" s="7">
        <f ca="1">IFERROR(__xludf.DUMMYFUNCTION("""COMPUTED_VALUE"""),45834)</f>
        <v>45834</v>
      </c>
      <c r="C296" s="1" t="str">
        <f ca="1">IFERROR(__xludf.DUMMYFUNCTION("""COMPUTED_VALUE"""),"Estacionamento De Veic")</f>
        <v>Estacionamento De Veic</v>
      </c>
      <c r="D296" s="2">
        <f ca="1">IFERROR(__xludf.DUMMYFUNCTION("""COMPUTED_VALUE"""),10.5)</f>
        <v>10.5</v>
      </c>
      <c r="E296" s="1" t="str">
        <f ca="1">IFERROR(__xludf.DUMMYFUNCTION("""COMPUTED_VALUE"""),"-")</f>
        <v>-</v>
      </c>
      <c r="F296" s="1" t="str">
        <f ca="1">IFERROR(__xludf.DUMMYFUNCTION("""COMPUTED_VALUE"""),"Estacionamento De Veic")</f>
        <v>Estacionamento De Veic</v>
      </c>
      <c r="G296" s="1" t="str">
        <f ca="1"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6">
        <f ca="1">IFERROR(__xludf.DUMMYFUNCTION("""COMPUTED_VALUE"""),45839)</f>
        <v>45839</v>
      </c>
      <c r="B297" s="7">
        <f ca="1">IFERROR(__xludf.DUMMYFUNCTION("""COMPUTED_VALUE"""),45835)</f>
        <v>45835</v>
      </c>
      <c r="C297" s="1" t="str">
        <f ca="1">IFERROR(__xludf.DUMMYFUNCTION("""COMPUTED_VALUE"""),"Golden Pet")</f>
        <v>Golden Pet</v>
      </c>
      <c r="D297" s="2">
        <f ca="1">IFERROR(__xludf.DUMMYFUNCTION("""COMPUTED_VALUE"""),55)</f>
        <v>55</v>
      </c>
      <c r="E297" s="1" t="str">
        <f ca="1">IFERROR(__xludf.DUMMYFUNCTION("""COMPUTED_VALUE"""),"-")</f>
        <v>-</v>
      </c>
      <c r="F297" s="1" t="str">
        <f ca="1">IFERROR(__xludf.DUMMYFUNCTION("""COMPUTED_VALUE"""),"Golden Pet")</f>
        <v>Golden Pet</v>
      </c>
      <c r="G297" s="1" t="str">
        <f ca="1"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6">
        <f ca="1">IFERROR(__xludf.DUMMYFUNCTION("""COMPUTED_VALUE"""),45839)</f>
        <v>45839</v>
      </c>
      <c r="B298" s="7">
        <f ca="1">IFERROR(__xludf.DUMMYFUNCTION("""COMPUTED_VALUE"""),45837)</f>
        <v>45837</v>
      </c>
      <c r="C298" s="1" t="str">
        <f ca="1">IFERROR(__xludf.DUMMYFUNCTION("""COMPUTED_VALUE"""),"Ifood")</f>
        <v>Ifood</v>
      </c>
      <c r="D298" s="2">
        <f ca="1">IFERROR(__xludf.DUMMYFUNCTION("""COMPUTED_VALUE"""),5.95)</f>
        <v>5.95</v>
      </c>
      <c r="E298" s="1" t="str">
        <f ca="1">IFERROR(__xludf.DUMMYFUNCTION("""COMPUTED_VALUE"""),"-")</f>
        <v>-</v>
      </c>
      <c r="F298" s="1" t="str">
        <f ca="1">IFERROR(__xludf.DUMMYFUNCTION("""COMPUTED_VALUE"""),"Ifood")</f>
        <v>Ifood</v>
      </c>
      <c r="G298" s="1" t="str">
        <f ca="1"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6">
        <f ca="1">IFERROR(__xludf.DUMMYFUNCTION("""COMPUTED_VALUE"""),45839)</f>
        <v>45839</v>
      </c>
      <c r="B299" s="7">
        <f ca="1">IFERROR(__xludf.DUMMYFUNCTION("""COMPUTED_VALUE"""),45837)</f>
        <v>45837</v>
      </c>
      <c r="C299" s="1" t="str">
        <f ca="1">IFERROR(__xludf.DUMMYFUNCTION("""COMPUTED_VALUE"""),"Niberna Sorvetes")</f>
        <v>Niberna Sorvetes</v>
      </c>
      <c r="D299" s="2">
        <f ca="1">IFERROR(__xludf.DUMMYFUNCTION("""COMPUTED_VALUE"""),30.88)</f>
        <v>30.88</v>
      </c>
      <c r="E299" s="1" t="str">
        <f ca="1">IFERROR(__xludf.DUMMYFUNCTION("""COMPUTED_VALUE"""),"-")</f>
        <v>-</v>
      </c>
      <c r="F299" s="1" t="str">
        <f ca="1">IFERROR(__xludf.DUMMYFUNCTION("""COMPUTED_VALUE"""),"Niberna Sorvetes")</f>
        <v>Niberna Sorvetes</v>
      </c>
      <c r="G299" s="1" t="str">
        <f ca="1"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6">
        <f ca="1">IFERROR(__xludf.DUMMYFUNCTION("""COMPUTED_VALUE"""),45839)</f>
        <v>45839</v>
      </c>
      <c r="B300" s="7">
        <f ca="1">IFERROR(__xludf.DUMMYFUNCTION("""COMPUTED_VALUE"""),45838)</f>
        <v>45838</v>
      </c>
      <c r="C300" s="1" t="str">
        <f ca="1">IFERROR(__xludf.DUMMYFUNCTION("""COMPUTED_VALUE"""),"Panif Mendes Sion")</f>
        <v>Panif Mendes Sion</v>
      </c>
      <c r="D300" s="2">
        <f ca="1">IFERROR(__xludf.DUMMYFUNCTION("""COMPUTED_VALUE"""),19.12)</f>
        <v>19.12</v>
      </c>
      <c r="E300" s="1" t="str">
        <f ca="1">IFERROR(__xludf.DUMMYFUNCTION("""COMPUTED_VALUE"""),"-")</f>
        <v>-</v>
      </c>
      <c r="F300" s="1" t="str">
        <f ca="1">IFERROR(__xludf.DUMMYFUNCTION("""COMPUTED_VALUE"""),"Panif Mendes Sion")</f>
        <v>Panif Mendes Sion</v>
      </c>
      <c r="G300" s="1" t="str">
        <f ca="1"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6">
        <f ca="1">IFERROR(__xludf.DUMMYFUNCTION("""COMPUTED_VALUE"""),45839)</f>
        <v>45839</v>
      </c>
      <c r="B301" s="7">
        <f ca="1">IFERROR(__xludf.DUMMYFUNCTION("""COMPUTED_VALUE"""),45839)</f>
        <v>45839</v>
      </c>
      <c r="C301" s="1" t="str">
        <f ca="1">IFERROR(__xludf.DUMMYFUNCTION("""COMPUTED_VALUE"""),"Drogaria Araujo")</f>
        <v>Drogaria Araujo</v>
      </c>
      <c r="D301" s="2">
        <f ca="1">IFERROR(__xludf.DUMMYFUNCTION("""COMPUTED_VALUE"""),8.59)</f>
        <v>8.59</v>
      </c>
      <c r="E301" s="1" t="str">
        <f ca="1">IFERROR(__xludf.DUMMYFUNCTION("""COMPUTED_VALUE"""),"-")</f>
        <v>-</v>
      </c>
      <c r="F301" s="1" t="str">
        <f ca="1">IFERROR(__xludf.DUMMYFUNCTION("""COMPUTED_VALUE"""),"Drogaria Araujo")</f>
        <v>Drogaria Araujo</v>
      </c>
      <c r="G301" s="1" t="str">
        <f ca="1">IFERROR(__xludf.DUMMYFUNCTION("""COMPUTED_VALUE"""),"Farmácia")</f>
        <v>Farmácia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6">
        <f ca="1">IFERROR(__xludf.DUMMYFUNCTION("""COMPUTED_VALUE"""),45839)</f>
        <v>45839</v>
      </c>
      <c r="B302" s="7">
        <f ca="1">IFERROR(__xludf.DUMMYFUNCTION("""COMPUTED_VALUE"""),45840)</f>
        <v>45840</v>
      </c>
      <c r="C302" s="1" t="str">
        <f ca="1">IFERROR(__xludf.DUMMYFUNCTION("""COMPUTED_VALUE"""),"Papelaria Alegria")</f>
        <v>Papelaria Alegria</v>
      </c>
      <c r="D302" s="2">
        <f ca="1">IFERROR(__xludf.DUMMYFUNCTION("""COMPUTED_VALUE"""),7.9)</f>
        <v>7.9</v>
      </c>
      <c r="E302" s="1" t="str">
        <f ca="1">IFERROR(__xludf.DUMMYFUNCTION("""COMPUTED_VALUE"""),"-")</f>
        <v>-</v>
      </c>
      <c r="F302" s="1" t="str">
        <f ca="1">IFERROR(__xludf.DUMMYFUNCTION("""COMPUTED_VALUE"""),"Papelaria Alegria")</f>
        <v>Papelaria Alegria</v>
      </c>
      <c r="G302" s="1" t="str">
        <f ca="1"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6">
        <f ca="1">IFERROR(__xludf.DUMMYFUNCTION("""COMPUTED_VALUE"""),45839)</f>
        <v>45839</v>
      </c>
      <c r="B303" s="7">
        <f ca="1">IFERROR(__xludf.DUMMYFUNCTION("""COMPUTED_VALUE"""),45840)</f>
        <v>45840</v>
      </c>
      <c r="C303" s="1" t="str">
        <f ca="1">IFERROR(__xludf.DUMMYFUNCTION("""COMPUTED_VALUE"""),"Shopee")</f>
        <v>Shopee</v>
      </c>
      <c r="D303" s="2">
        <f ca="1">IFERROR(__xludf.DUMMYFUNCTION("""COMPUTED_VALUE"""),10.1)</f>
        <v>10.1</v>
      </c>
      <c r="E303" s="1" t="str">
        <f ca="1">IFERROR(__xludf.DUMMYFUNCTION("""COMPUTED_VALUE"""),"-")</f>
        <v>-</v>
      </c>
      <c r="F303" s="1" t="str">
        <f ca="1">IFERROR(__xludf.DUMMYFUNCTION("""COMPUTED_VALUE"""),"Shopee")</f>
        <v>Shopee</v>
      </c>
      <c r="G303" s="1" t="str">
        <f ca="1"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6">
        <f ca="1">IFERROR(__xludf.DUMMYFUNCTION("""COMPUTED_VALUE"""),45839)</f>
        <v>45839</v>
      </c>
      <c r="B304" s="7">
        <f ca="1">IFERROR(__xludf.DUMMYFUNCTION("""COMPUTED_VALUE"""),45840)</f>
        <v>45840</v>
      </c>
      <c r="C304" s="1" t="str">
        <f ca="1">IFERROR(__xludf.DUMMYFUNCTION("""COMPUTED_VALUE"""),"Shopee")</f>
        <v>Shopee</v>
      </c>
      <c r="D304" s="2">
        <f ca="1">IFERROR(__xludf.DUMMYFUNCTION("""COMPUTED_VALUE"""),29.99)</f>
        <v>29.99</v>
      </c>
      <c r="E304" s="1" t="str">
        <f ca="1">IFERROR(__xludf.DUMMYFUNCTION("""COMPUTED_VALUE"""),"-")</f>
        <v>-</v>
      </c>
      <c r="F304" s="1" t="str">
        <f ca="1">IFERROR(__xludf.DUMMYFUNCTION("""COMPUTED_VALUE"""),"Shopee")</f>
        <v>Shopee</v>
      </c>
      <c r="G304" s="1" t="str">
        <f ca="1"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6">
        <f ca="1">IFERROR(__xludf.DUMMYFUNCTION("""COMPUTED_VALUE"""),45839)</f>
        <v>45839</v>
      </c>
      <c r="B305" s="7">
        <f ca="1">IFERROR(__xludf.DUMMYFUNCTION("""COMPUTED_VALUE"""),45808)</f>
        <v>45808</v>
      </c>
      <c r="C305" s="1" t="str">
        <f ca="1">IFERROR(__xludf.DUMMYFUNCTION("""COMPUTED_VALUE"""),"Cancelamento - Shopee -")</f>
        <v>Cancelamento - Shopee -</v>
      </c>
      <c r="D305" s="2">
        <f ca="1">IFERROR(__xludf.DUMMYFUNCTION("""COMPUTED_VALUE"""),-17.9)</f>
        <v>-17.899999999999999</v>
      </c>
      <c r="E305" s="1" t="str">
        <f ca="1">IFERROR(__xludf.DUMMYFUNCTION("""COMPUTED_VALUE"""),"-")</f>
        <v>-</v>
      </c>
      <c r="F305" s="1" t="str">
        <f ca="1">IFERROR(__xludf.DUMMYFUNCTION("""COMPUTED_VALUE"""),"Cancelamento - Shopee -")</f>
        <v>Cancelamento - Shopee -</v>
      </c>
      <c r="G305" s="1" t="str">
        <f ca="1"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6">
        <f ca="1">IFERROR(__xludf.DUMMYFUNCTION("""COMPUTED_VALUE"""),45839)</f>
        <v>45839</v>
      </c>
      <c r="B306" s="7">
        <f ca="1">IFERROR(__xludf.DUMMYFUNCTION("""COMPUTED_VALUE"""),45822)</f>
        <v>45822</v>
      </c>
      <c r="C306" s="1" t="str">
        <f ca="1">IFERROR(__xludf.DUMMYFUNCTION("""COMPUTED_VALUE"""),"Cancelamento - Amazon -")</f>
        <v>Cancelamento - Amazon -</v>
      </c>
      <c r="D306" s="2">
        <f ca="1">IFERROR(__xludf.DUMMYFUNCTION("""COMPUTED_VALUE"""),-51.9)</f>
        <v>-51.9</v>
      </c>
      <c r="E306" s="1" t="str">
        <f ca="1">IFERROR(__xludf.DUMMYFUNCTION("""COMPUTED_VALUE"""),"-")</f>
        <v>-</v>
      </c>
      <c r="F306" s="1" t="str">
        <f ca="1">IFERROR(__xludf.DUMMYFUNCTION("""COMPUTED_VALUE"""),"Cancelamento - Amazon -")</f>
        <v>Cancelamento - Amazon -</v>
      </c>
      <c r="G306" s="1" t="str">
        <f ca="1"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6">
        <f ca="1">IFERROR(__xludf.DUMMYFUNCTION("""COMPUTED_VALUE"""),45839)</f>
        <v>45839</v>
      </c>
      <c r="B307" s="7">
        <f ca="1">IFERROR(__xludf.DUMMYFUNCTION("""COMPUTED_VALUE"""),45829)</f>
        <v>45829</v>
      </c>
      <c r="C307" s="1" t="str">
        <f ca="1">IFERROR(__xludf.DUMMYFUNCTION("""COMPUTED_VALUE"""),"Cancelamento - Shopee -")</f>
        <v>Cancelamento - Shopee -</v>
      </c>
      <c r="D307" s="2">
        <f ca="1">IFERROR(__xludf.DUMMYFUNCTION("""COMPUTED_VALUE"""),-10.1)</f>
        <v>-10.1</v>
      </c>
      <c r="E307" s="1" t="str">
        <f ca="1">IFERROR(__xludf.DUMMYFUNCTION("""COMPUTED_VALUE"""),"-")</f>
        <v>-</v>
      </c>
      <c r="F307" s="1" t="str">
        <f ca="1">IFERROR(__xludf.DUMMYFUNCTION("""COMPUTED_VALUE"""),"Cancelamento - Shopee -")</f>
        <v>Cancelamento - Shopee -</v>
      </c>
      <c r="G307" s="1" t="str">
        <f ca="1"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6">
        <f ca="1">IFERROR(__xludf.DUMMYFUNCTION("""COMPUTED_VALUE"""),45839)</f>
        <v>45839</v>
      </c>
      <c r="B308" s="7">
        <f ca="1">IFERROR(__xludf.DUMMYFUNCTION("""COMPUTED_VALUE"""),45829)</f>
        <v>45829</v>
      </c>
      <c r="C308" s="1" t="str">
        <f ca="1">IFERROR(__xludf.DUMMYFUNCTION("""COMPUTED_VALUE"""),"Cancelamento - Shopee -")</f>
        <v>Cancelamento - Shopee -</v>
      </c>
      <c r="D308" s="2">
        <f ca="1">IFERROR(__xludf.DUMMYFUNCTION("""COMPUTED_VALUE"""),-10.1)</f>
        <v>-10.1</v>
      </c>
      <c r="E308" s="1" t="str">
        <f ca="1">IFERROR(__xludf.DUMMYFUNCTION("""COMPUTED_VALUE"""),"-")</f>
        <v>-</v>
      </c>
      <c r="F308" s="1" t="str">
        <f ca="1">IFERROR(__xludf.DUMMYFUNCTION("""COMPUTED_VALUE"""),"Cancelamento - Shopee -")</f>
        <v>Cancelamento - Shopee -</v>
      </c>
      <c r="G308" s="1" t="str">
        <f ca="1"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6">
        <f ca="1">IFERROR(__xludf.DUMMYFUNCTION("""COMPUTED_VALUE"""),45839)</f>
        <v>45839</v>
      </c>
      <c r="B309" s="7">
        <f ca="1">IFERROR(__xludf.DUMMYFUNCTION("""COMPUTED_VALUE"""),45829)</f>
        <v>45829</v>
      </c>
      <c r="C309" s="1" t="str">
        <f ca="1">IFERROR(__xludf.DUMMYFUNCTION("""COMPUTED_VALUE"""),"Cancelamento - Shopee -")</f>
        <v>Cancelamento - Shopee -</v>
      </c>
      <c r="D309" s="2">
        <f ca="1">IFERROR(__xludf.DUMMYFUNCTION("""COMPUTED_VALUE"""),-29.99)</f>
        <v>-29.99</v>
      </c>
      <c r="E309" s="1" t="str">
        <f ca="1">IFERROR(__xludf.DUMMYFUNCTION("""COMPUTED_VALUE"""),"-")</f>
        <v>-</v>
      </c>
      <c r="F309" s="1" t="str">
        <f ca="1">IFERROR(__xludf.DUMMYFUNCTION("""COMPUTED_VALUE"""),"Cancelamento - Shopee -")</f>
        <v>Cancelamento - Shopee -</v>
      </c>
      <c r="G309" s="1" t="str">
        <f ca="1"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6">
        <f ca="1">IFERROR(__xludf.DUMMYFUNCTION("""COMPUTED_VALUE"""),45839)</f>
        <v>45839</v>
      </c>
      <c r="B310" s="7">
        <f ca="1">IFERROR(__xludf.DUMMYFUNCTION("""COMPUTED_VALUE"""),45829)</f>
        <v>45829</v>
      </c>
      <c r="C310" s="1" t="str">
        <f ca="1">IFERROR(__xludf.DUMMYFUNCTION("""COMPUTED_VALUE"""),"Cancelamento - Shopee -")</f>
        <v>Cancelamento - Shopee -</v>
      </c>
      <c r="D310" s="2">
        <f ca="1">IFERROR(__xludf.DUMMYFUNCTION("""COMPUTED_VALUE"""),-29.99)</f>
        <v>-29.99</v>
      </c>
      <c r="E310" s="1" t="str">
        <f ca="1">IFERROR(__xludf.DUMMYFUNCTION("""COMPUTED_VALUE"""),"-")</f>
        <v>-</v>
      </c>
      <c r="F310" s="1" t="str">
        <f ca="1">IFERROR(__xludf.DUMMYFUNCTION("""COMPUTED_VALUE"""),"Cancelamento - Shopee -")</f>
        <v>Cancelamento - Shopee -</v>
      </c>
      <c r="G310" s="1" t="str">
        <f ca="1"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6">
        <f ca="1">IFERROR(__xludf.DUMMYFUNCTION("""COMPUTED_VALUE"""),45839)</f>
        <v>45839</v>
      </c>
      <c r="B311" s="7">
        <f ca="1">IFERROR(__xludf.DUMMYFUNCTION("""COMPUTED_VALUE"""),45834)</f>
        <v>45834</v>
      </c>
      <c r="C311" s="1" t="str">
        <f ca="1">IFERROR(__xludf.DUMMYFUNCTION("""COMPUTED_VALUE"""),"Cancelamento - Amazon -")</f>
        <v>Cancelamento - Amazon -</v>
      </c>
      <c r="D311" s="2">
        <f ca="1">IFERROR(__xludf.DUMMYFUNCTION("""COMPUTED_VALUE"""),-21.12)</f>
        <v>-21.12</v>
      </c>
      <c r="E311" s="1" t="str">
        <f ca="1">IFERROR(__xludf.DUMMYFUNCTION("""COMPUTED_VALUE"""),"-")</f>
        <v>-</v>
      </c>
      <c r="F311" s="1" t="str">
        <f ca="1">IFERROR(__xludf.DUMMYFUNCTION("""COMPUTED_VALUE"""),"Cancelamento - Amazon -")</f>
        <v>Cancelamento - Amazon -</v>
      </c>
      <c r="G311" s="1" t="str">
        <f ca="1"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6">
        <f ca="1">IFERROR(__xludf.DUMMYFUNCTION("""COMPUTED_VALUE"""),45839)</f>
        <v>45839</v>
      </c>
      <c r="B312" s="7">
        <f ca="1">IFERROR(__xludf.DUMMYFUNCTION("""COMPUTED_VALUE"""),45757)</f>
        <v>45757</v>
      </c>
      <c r="C312" s="1" t="str">
        <f ca="1">IFERROR(__xludf.DUMMYFUNCTION("""COMPUTED_VALUE"""),"Amazon (3/3)")</f>
        <v>Amazon (3/3)</v>
      </c>
      <c r="D312" s="2">
        <f ca="1">IFERROR(__xludf.DUMMYFUNCTION("""COMPUTED_VALUE"""),84.53)</f>
        <v>84.53</v>
      </c>
      <c r="E312" s="1" t="str">
        <f ca="1">IFERROR(__xludf.DUMMYFUNCTION("""COMPUTED_VALUE"""),"-")</f>
        <v>-</v>
      </c>
      <c r="F312" s="1" t="str">
        <f ca="1">IFERROR(__xludf.DUMMYFUNCTION("""COMPUTED_VALUE"""),"Amazon")</f>
        <v>Amazon</v>
      </c>
      <c r="G312" s="1" t="str">
        <f ca="1"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6">
        <f ca="1">IFERROR(__xludf.DUMMYFUNCTION("""COMPUTED_VALUE"""),45839)</f>
        <v>45839</v>
      </c>
      <c r="B313" s="7">
        <f ca="1">IFERROR(__xludf.DUMMYFUNCTION("""COMPUTED_VALUE"""),45765)</f>
        <v>45765</v>
      </c>
      <c r="C313" s="1" t="str">
        <f ca="1">IFERROR(__xludf.DUMMYFUNCTION("""COMPUTED_VALUE"""),"Casas Bahia (3/10)")</f>
        <v>Casas Bahia (3/10)</v>
      </c>
      <c r="D313" s="2">
        <f ca="1">IFERROR(__xludf.DUMMYFUNCTION("""COMPUTED_VALUE"""),361.46)</f>
        <v>361.46</v>
      </c>
      <c r="E313" s="1" t="str">
        <f ca="1">IFERROR(__xludf.DUMMYFUNCTION("""COMPUTED_VALUE"""),"-")</f>
        <v>-</v>
      </c>
      <c r="F313" s="1" t="str">
        <f ca="1">IFERROR(__xludf.DUMMYFUNCTION("""COMPUTED_VALUE"""),"Casas Bahia")</f>
        <v>Casas Bahia</v>
      </c>
      <c r="G313" s="1" t="str">
        <f ca="1"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6">
        <f ca="1">IFERROR(__xludf.DUMMYFUNCTION("""COMPUTED_VALUE"""),45839)</f>
        <v>45839</v>
      </c>
      <c r="B314" s="7">
        <f ca="1">IFERROR(__xludf.DUMMYFUNCTION("""COMPUTED_VALUE"""),45765)</f>
        <v>45765</v>
      </c>
      <c r="C314" s="1" t="str">
        <f ca="1">IFERROR(__xludf.DUMMYFUNCTION("""COMPUTED_VALUE"""),"Shopee (3/3)")</f>
        <v>Shopee (3/3)</v>
      </c>
      <c r="D314" s="2">
        <f ca="1">IFERROR(__xludf.DUMMYFUNCTION("""COMPUTED_VALUE"""),89.63)</f>
        <v>89.63</v>
      </c>
      <c r="E314" s="1" t="str">
        <f ca="1">IFERROR(__xludf.DUMMYFUNCTION("""COMPUTED_VALUE"""),"-")</f>
        <v>-</v>
      </c>
      <c r="F314" s="1" t="str">
        <f ca="1">IFERROR(__xludf.DUMMYFUNCTION("""COMPUTED_VALUE"""),"Shopee")</f>
        <v>Shopee</v>
      </c>
      <c r="G314" s="1" t="str">
        <f ca="1"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6">
        <f ca="1">IFERROR(__xludf.DUMMYFUNCTION("""COMPUTED_VALUE"""),45839)</f>
        <v>45839</v>
      </c>
      <c r="B315" s="7">
        <f ca="1">IFERROR(__xludf.DUMMYFUNCTION("""COMPUTED_VALUE"""),45765)</f>
        <v>45765</v>
      </c>
      <c r="C315" s="1" t="str">
        <f ca="1">IFERROR(__xludf.DUMMYFUNCTION("""COMPUTED_VALUE"""),"Yogi Baby (3/3)")</f>
        <v>Yogi Baby (3/3)</v>
      </c>
      <c r="D315" s="2">
        <f ca="1">IFERROR(__xludf.DUMMYFUNCTION("""COMPUTED_VALUE"""),24.48)</f>
        <v>24.48</v>
      </c>
      <c r="E315" s="1" t="str">
        <f ca="1">IFERROR(__xludf.DUMMYFUNCTION("""COMPUTED_VALUE"""),"-")</f>
        <v>-</v>
      </c>
      <c r="F315" s="1" t="str">
        <f ca="1">IFERROR(__xludf.DUMMYFUNCTION("""COMPUTED_VALUE"""),"Yogi Baby")</f>
        <v>Yogi Baby</v>
      </c>
      <c r="G315" s="1" t="str">
        <f ca="1"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6">
        <f ca="1">IFERROR(__xludf.DUMMYFUNCTION("""COMPUTED_VALUE"""),45839)</f>
        <v>45839</v>
      </c>
      <c r="B316" s="7">
        <f ca="1">IFERROR(__xludf.DUMMYFUNCTION("""COMPUTED_VALUE"""),45766)</f>
        <v>45766</v>
      </c>
      <c r="C316" s="1" t="str">
        <f ca="1">IFERROR(__xludf.DUMMYFUNCTION("""COMPUTED_VALUE"""),"Petlove (3/3)")</f>
        <v>Petlove (3/3)</v>
      </c>
      <c r="D316" s="2">
        <f ca="1">IFERROR(__xludf.DUMMYFUNCTION("""COMPUTED_VALUE"""),149)</f>
        <v>149</v>
      </c>
      <c r="E316" s="1" t="str">
        <f ca="1">IFERROR(__xludf.DUMMYFUNCTION("""COMPUTED_VALUE"""),"-")</f>
        <v>-</v>
      </c>
      <c r="F316" s="1" t="str">
        <f ca="1">IFERROR(__xludf.DUMMYFUNCTION("""COMPUTED_VALUE"""),"Petlove")</f>
        <v>Petlove</v>
      </c>
      <c r="G316" s="1" t="str">
        <f ca="1"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6">
        <f ca="1">IFERROR(__xludf.DUMMYFUNCTION("""COMPUTED_VALUE"""),45839)</f>
        <v>45839</v>
      </c>
      <c r="B317" s="7">
        <f ca="1">IFERROR(__xludf.DUMMYFUNCTION("""COMPUTED_VALUE"""),45768)</f>
        <v>45768</v>
      </c>
      <c r="C317" s="1" t="str">
        <f ca="1">IFERROR(__xludf.DUMMYFUNCTION("""COMPUTED_VALUE"""),"Lellis Baby (3/3)")</f>
        <v>Lellis Baby (3/3)</v>
      </c>
      <c r="D317" s="2">
        <f ca="1">IFERROR(__xludf.DUMMYFUNCTION("""COMPUTED_VALUE"""),137.13)</f>
        <v>137.13</v>
      </c>
      <c r="E317" s="1" t="str">
        <f ca="1">IFERROR(__xludf.DUMMYFUNCTION("""COMPUTED_VALUE"""),"-")</f>
        <v>-</v>
      </c>
      <c r="F317" s="1" t="str">
        <f ca="1">IFERROR(__xludf.DUMMYFUNCTION("""COMPUTED_VALUE"""),"Lellis Baby")</f>
        <v>Lellis Baby</v>
      </c>
      <c r="G317" s="1" t="str">
        <f ca="1"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6">
        <f ca="1">IFERROR(__xludf.DUMMYFUNCTION("""COMPUTED_VALUE"""),45839)</f>
        <v>45839</v>
      </c>
      <c r="B318" s="7">
        <f ca="1">IFERROR(__xludf.DUMMYFUNCTION("""COMPUTED_VALUE"""),45768)</f>
        <v>45768</v>
      </c>
      <c r="C318" s="1" t="str">
        <f ca="1">IFERROR(__xludf.DUMMYFUNCTION("""COMPUTED_VALUE"""),"Alce (3/3)")</f>
        <v>Alce (3/3)</v>
      </c>
      <c r="D318" s="2">
        <f ca="1">IFERROR(__xludf.DUMMYFUNCTION("""COMPUTED_VALUE"""),139.17)</f>
        <v>139.16999999999999</v>
      </c>
      <c r="E318" s="1" t="str">
        <f ca="1">IFERROR(__xludf.DUMMYFUNCTION("""COMPUTED_VALUE"""),"-")</f>
        <v>-</v>
      </c>
      <c r="F318" s="1" t="str">
        <f ca="1">IFERROR(__xludf.DUMMYFUNCTION("""COMPUTED_VALUE"""),"Alce")</f>
        <v>Alce</v>
      </c>
      <c r="G318" s="1" t="str">
        <f ca="1"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6">
        <f ca="1">IFERROR(__xludf.DUMMYFUNCTION("""COMPUTED_VALUE"""),45839)</f>
        <v>45839</v>
      </c>
      <c r="B319" s="7">
        <f ca="1">IFERROR(__xludf.DUMMYFUNCTION("""COMPUTED_VALUE"""),45784)</f>
        <v>45784</v>
      </c>
      <c r="C319" s="1" t="str">
        <f ca="1">IFERROR(__xludf.DUMMYFUNCTION("""COMPUTED_VALUE"""),"Amazon Prime (12/12)")</f>
        <v>Amazon Prime (12/12)</v>
      </c>
      <c r="D319" s="2">
        <f ca="1">IFERROR(__xludf.DUMMYFUNCTION("""COMPUTED_VALUE"""),13.9)</f>
        <v>13.9</v>
      </c>
      <c r="E319" s="1" t="str">
        <f ca="1">IFERROR(__xludf.DUMMYFUNCTION("""COMPUTED_VALUE"""),"-")</f>
        <v>-</v>
      </c>
      <c r="F319" s="1" t="str">
        <f ca="1">IFERROR(__xludf.DUMMYFUNCTION("""COMPUTED_VALUE"""),"Amazon Prime")</f>
        <v>Amazon Prime</v>
      </c>
      <c r="G319" s="1" t="str">
        <f ca="1"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6">
        <f ca="1">IFERROR(__xludf.DUMMYFUNCTION("""COMPUTED_VALUE"""),45839)</f>
        <v>45839</v>
      </c>
      <c r="B320" s="7">
        <f ca="1">IFERROR(__xludf.DUMMYFUNCTION("""COMPUTED_VALUE"""),45784)</f>
        <v>45784</v>
      </c>
      <c r="C320" s="1" t="str">
        <f ca="1">IFERROR(__xludf.DUMMYFUNCTION("""COMPUTED_VALUE"""),"Amazon Prime (11/12)")</f>
        <v>Amazon Prime (11/12)</v>
      </c>
      <c r="D320" s="2">
        <f ca="1">IFERROR(__xludf.DUMMYFUNCTION("""COMPUTED_VALUE"""),13.9)</f>
        <v>13.9</v>
      </c>
      <c r="E320" s="1" t="str">
        <f ca="1">IFERROR(__xludf.DUMMYFUNCTION("""COMPUTED_VALUE"""),"-")</f>
        <v>-</v>
      </c>
      <c r="F320" s="1" t="str">
        <f ca="1">IFERROR(__xludf.DUMMYFUNCTION("""COMPUTED_VALUE"""),"Amazon Prime")</f>
        <v>Amazon Prime</v>
      </c>
      <c r="G320" s="1" t="str">
        <f ca="1"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6">
        <f ca="1">IFERROR(__xludf.DUMMYFUNCTION("""COMPUTED_VALUE"""),45839)</f>
        <v>45839</v>
      </c>
      <c r="B321" s="7">
        <f ca="1">IFERROR(__xludf.DUMMYFUNCTION("""COMPUTED_VALUE"""),45784)</f>
        <v>45784</v>
      </c>
      <c r="C321" s="1" t="str">
        <f ca="1">IFERROR(__xludf.DUMMYFUNCTION("""COMPUTED_VALUE"""),"Amazon Prime (10/12)")</f>
        <v>Amazon Prime (10/12)</v>
      </c>
      <c r="D321" s="2">
        <f ca="1">IFERROR(__xludf.DUMMYFUNCTION("""COMPUTED_VALUE"""),13.9)</f>
        <v>13.9</v>
      </c>
      <c r="E321" s="1" t="str">
        <f ca="1">IFERROR(__xludf.DUMMYFUNCTION("""COMPUTED_VALUE"""),"-")</f>
        <v>-</v>
      </c>
      <c r="F321" s="1" t="str">
        <f ca="1">IFERROR(__xludf.DUMMYFUNCTION("""COMPUTED_VALUE"""),"Amazon Prime")</f>
        <v>Amazon Prime</v>
      </c>
      <c r="G321" s="1" t="str">
        <f ca="1"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6">
        <f ca="1">IFERROR(__xludf.DUMMYFUNCTION("""COMPUTED_VALUE"""),45839)</f>
        <v>45839</v>
      </c>
      <c r="B322" s="7">
        <f ca="1">IFERROR(__xludf.DUMMYFUNCTION("""COMPUTED_VALUE"""),45784)</f>
        <v>45784</v>
      </c>
      <c r="C322" s="1" t="str">
        <f ca="1">IFERROR(__xludf.DUMMYFUNCTION("""COMPUTED_VALUE"""),"Amazon Prime (9/12)")</f>
        <v>Amazon Prime (9/12)</v>
      </c>
      <c r="D322" s="2">
        <f ca="1">IFERROR(__xludf.DUMMYFUNCTION("""COMPUTED_VALUE"""),13.9)</f>
        <v>13.9</v>
      </c>
      <c r="E322" s="1" t="str">
        <f ca="1">IFERROR(__xludf.DUMMYFUNCTION("""COMPUTED_VALUE"""),"-")</f>
        <v>-</v>
      </c>
      <c r="F322" s="1" t="str">
        <f ca="1">IFERROR(__xludf.DUMMYFUNCTION("""COMPUTED_VALUE"""),"Amazon Prime")</f>
        <v>Amazon Prime</v>
      </c>
      <c r="G322" s="1" t="str">
        <f ca="1"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6">
        <f ca="1">IFERROR(__xludf.DUMMYFUNCTION("""COMPUTED_VALUE"""),45839)</f>
        <v>45839</v>
      </c>
      <c r="B323" s="7">
        <f ca="1">IFERROR(__xludf.DUMMYFUNCTION("""COMPUTED_VALUE"""),45784)</f>
        <v>45784</v>
      </c>
      <c r="C323" s="1" t="str">
        <f ca="1">IFERROR(__xludf.DUMMYFUNCTION("""COMPUTED_VALUE"""),"Amazon Prime (8/12)")</f>
        <v>Amazon Prime (8/12)</v>
      </c>
      <c r="D323" s="2">
        <f ca="1">IFERROR(__xludf.DUMMYFUNCTION("""COMPUTED_VALUE"""),13.9)</f>
        <v>13.9</v>
      </c>
      <c r="E323" s="1" t="str">
        <f ca="1">IFERROR(__xludf.DUMMYFUNCTION("""COMPUTED_VALUE"""),"-")</f>
        <v>-</v>
      </c>
      <c r="F323" s="1" t="str">
        <f ca="1">IFERROR(__xludf.DUMMYFUNCTION("""COMPUTED_VALUE"""),"Amazon Prime")</f>
        <v>Amazon Prime</v>
      </c>
      <c r="G323" s="1" t="str">
        <f ca="1"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6">
        <f ca="1">IFERROR(__xludf.DUMMYFUNCTION("""COMPUTED_VALUE"""),45839)</f>
        <v>45839</v>
      </c>
      <c r="B324" s="7">
        <f ca="1">IFERROR(__xludf.DUMMYFUNCTION("""COMPUTED_VALUE"""),45784)</f>
        <v>45784</v>
      </c>
      <c r="C324" s="1" t="str">
        <f ca="1">IFERROR(__xludf.DUMMYFUNCTION("""COMPUTED_VALUE"""),"Amazon Prime (7/12)")</f>
        <v>Amazon Prime (7/12)</v>
      </c>
      <c r="D324" s="2">
        <f ca="1">IFERROR(__xludf.DUMMYFUNCTION("""COMPUTED_VALUE"""),13.9)</f>
        <v>13.9</v>
      </c>
      <c r="E324" s="1" t="str">
        <f ca="1">IFERROR(__xludf.DUMMYFUNCTION("""COMPUTED_VALUE"""),"-")</f>
        <v>-</v>
      </c>
      <c r="F324" s="1" t="str">
        <f ca="1">IFERROR(__xludf.DUMMYFUNCTION("""COMPUTED_VALUE"""),"Amazon Prime")</f>
        <v>Amazon Prime</v>
      </c>
      <c r="G324" s="1" t="str">
        <f ca="1"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6">
        <f ca="1">IFERROR(__xludf.DUMMYFUNCTION("""COMPUTED_VALUE"""),45839)</f>
        <v>45839</v>
      </c>
      <c r="B325" s="7">
        <f ca="1">IFERROR(__xludf.DUMMYFUNCTION("""COMPUTED_VALUE"""),45784)</f>
        <v>45784</v>
      </c>
      <c r="C325" s="1" t="str">
        <f ca="1">IFERROR(__xludf.DUMMYFUNCTION("""COMPUTED_VALUE"""),"Amazon Prime (6/12)")</f>
        <v>Amazon Prime (6/12)</v>
      </c>
      <c r="D325" s="2">
        <f ca="1">IFERROR(__xludf.DUMMYFUNCTION("""COMPUTED_VALUE"""),13.9)</f>
        <v>13.9</v>
      </c>
      <c r="E325" s="1" t="str">
        <f ca="1">IFERROR(__xludf.DUMMYFUNCTION("""COMPUTED_VALUE"""),"-")</f>
        <v>-</v>
      </c>
      <c r="F325" s="1" t="str">
        <f ca="1">IFERROR(__xludf.DUMMYFUNCTION("""COMPUTED_VALUE"""),"Amazon Prime")</f>
        <v>Amazon Prime</v>
      </c>
      <c r="G325" s="1" t="str">
        <f ca="1"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6">
        <f ca="1">IFERROR(__xludf.DUMMYFUNCTION("""COMPUTED_VALUE"""),45839)</f>
        <v>45839</v>
      </c>
      <c r="B326" s="7">
        <f ca="1">IFERROR(__xludf.DUMMYFUNCTION("""COMPUTED_VALUE"""),45784)</f>
        <v>45784</v>
      </c>
      <c r="C326" s="1" t="str">
        <f ca="1">IFERROR(__xludf.DUMMYFUNCTION("""COMPUTED_VALUE"""),"Amazon Prime (5/12)")</f>
        <v>Amazon Prime (5/12)</v>
      </c>
      <c r="D326" s="2">
        <f ca="1">IFERROR(__xludf.DUMMYFUNCTION("""COMPUTED_VALUE"""),13.9)</f>
        <v>13.9</v>
      </c>
      <c r="E326" s="1" t="str">
        <f ca="1">IFERROR(__xludf.DUMMYFUNCTION("""COMPUTED_VALUE"""),"-")</f>
        <v>-</v>
      </c>
      <c r="F326" s="1" t="str">
        <f ca="1">IFERROR(__xludf.DUMMYFUNCTION("""COMPUTED_VALUE"""),"Amazon Prime")</f>
        <v>Amazon Prime</v>
      </c>
      <c r="G326" s="1" t="str">
        <f ca="1"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6">
        <f ca="1">IFERROR(__xludf.DUMMYFUNCTION("""COMPUTED_VALUE"""),45839)</f>
        <v>45839</v>
      </c>
      <c r="B327" s="7">
        <f ca="1">IFERROR(__xludf.DUMMYFUNCTION("""COMPUTED_VALUE"""),45784)</f>
        <v>45784</v>
      </c>
      <c r="C327" s="1" t="str">
        <f ca="1">IFERROR(__xludf.DUMMYFUNCTION("""COMPUTED_VALUE"""),"Amazon Prime (4/12)")</f>
        <v>Amazon Prime (4/12)</v>
      </c>
      <c r="D327" s="2">
        <f ca="1">IFERROR(__xludf.DUMMYFUNCTION("""COMPUTED_VALUE"""),13.9)</f>
        <v>13.9</v>
      </c>
      <c r="E327" s="1" t="str">
        <f ca="1">IFERROR(__xludf.DUMMYFUNCTION("""COMPUTED_VALUE"""),"-")</f>
        <v>-</v>
      </c>
      <c r="F327" s="1" t="str">
        <f ca="1">IFERROR(__xludf.DUMMYFUNCTION("""COMPUTED_VALUE"""),"Amazon Prime")</f>
        <v>Amazon Prime</v>
      </c>
      <c r="G327" s="1" t="str">
        <f ca="1"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6">
        <f ca="1">IFERROR(__xludf.DUMMYFUNCTION("""COMPUTED_VALUE"""),45839)</f>
        <v>45839</v>
      </c>
      <c r="B328" s="7">
        <f ca="1">IFERROR(__xludf.DUMMYFUNCTION("""COMPUTED_VALUE"""),45784)</f>
        <v>45784</v>
      </c>
      <c r="C328" s="1" t="str">
        <f ca="1">IFERROR(__xludf.DUMMYFUNCTION("""COMPUTED_VALUE"""),"Amazon Prime (3/12)")</f>
        <v>Amazon Prime (3/12)</v>
      </c>
      <c r="D328" s="2">
        <f ca="1">IFERROR(__xludf.DUMMYFUNCTION("""COMPUTED_VALUE"""),13.9)</f>
        <v>13.9</v>
      </c>
      <c r="E328" s="1" t="str">
        <f ca="1">IFERROR(__xludf.DUMMYFUNCTION("""COMPUTED_VALUE"""),"-")</f>
        <v>-</v>
      </c>
      <c r="F328" s="1" t="str">
        <f ca="1">IFERROR(__xludf.DUMMYFUNCTION("""COMPUTED_VALUE"""),"Amazon Prime")</f>
        <v>Amazon Prime</v>
      </c>
      <c r="G328" s="1" t="str">
        <f ca="1"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6">
        <f ca="1">IFERROR(__xludf.DUMMYFUNCTION("""COMPUTED_VALUE"""),45839)</f>
        <v>45839</v>
      </c>
      <c r="B329" s="7">
        <f ca="1">IFERROR(__xludf.DUMMYFUNCTION("""COMPUTED_VALUE"""),45784)</f>
        <v>45784</v>
      </c>
      <c r="C329" s="1" t="str">
        <f ca="1">IFERROR(__xludf.DUMMYFUNCTION("""COMPUTED_VALUE"""),"Amazon Prime (2/12)")</f>
        <v>Amazon Prime (2/12)</v>
      </c>
      <c r="D329" s="2">
        <f ca="1">IFERROR(__xludf.DUMMYFUNCTION("""COMPUTED_VALUE"""),13.9)</f>
        <v>13.9</v>
      </c>
      <c r="E329" s="1" t="str">
        <f ca="1">IFERROR(__xludf.DUMMYFUNCTION("""COMPUTED_VALUE"""),"-")</f>
        <v>-</v>
      </c>
      <c r="F329" s="1" t="str">
        <f ca="1">IFERROR(__xludf.DUMMYFUNCTION("""COMPUTED_VALUE"""),"Amazon Prime")</f>
        <v>Amazon Prime</v>
      </c>
      <c r="G329" s="1" t="str">
        <f ca="1"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6">
        <f ca="1">IFERROR(__xludf.DUMMYFUNCTION("""COMPUTED_VALUE"""),45839)</f>
        <v>45839</v>
      </c>
      <c r="B330" s="7">
        <f ca="1">IFERROR(__xludf.DUMMYFUNCTION("""COMPUTED_VALUE"""),45826)</f>
        <v>45826</v>
      </c>
      <c r="C330" s="1" t="str">
        <f ca="1">IFERROR(__xludf.DUMMYFUNCTION("""COMPUTED_VALUE"""),"Drogaria Pacheco")</f>
        <v>Drogaria Pacheco</v>
      </c>
      <c r="D330" s="2">
        <f ca="1">IFERROR(__xludf.DUMMYFUNCTION("""COMPUTED_VALUE"""),16.59)</f>
        <v>16.59</v>
      </c>
      <c r="E330" s="1" t="str">
        <f ca="1">IFERROR(__xludf.DUMMYFUNCTION("""COMPUTED_VALUE"""),"-")</f>
        <v>-</v>
      </c>
      <c r="F330" s="1" t="str">
        <f ca="1">IFERROR(__xludf.DUMMYFUNCTION("""COMPUTED_VALUE"""),"Drogaria Pacheco")</f>
        <v>Drogaria Pacheco</v>
      </c>
      <c r="G330" s="1" t="str">
        <f ca="1">IFERROR(__xludf.DUMMYFUNCTION("""COMPUTED_VALUE"""),"Farmácia")</f>
        <v>Farmácia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6">
        <f ca="1">IFERROR(__xludf.DUMMYFUNCTION("""COMPUTED_VALUE"""),45839)</f>
        <v>45839</v>
      </c>
      <c r="B331" s="7">
        <f ca="1">IFERROR(__xludf.DUMMYFUNCTION("""COMPUTED_VALUE"""),45826)</f>
        <v>45826</v>
      </c>
      <c r="C331" s="1" t="str">
        <f ca="1">IFERROR(__xludf.DUMMYFUNCTION("""COMPUTED_VALUE"""),"Mercado Livre")</f>
        <v>Mercado Livre</v>
      </c>
      <c r="D331" s="2">
        <f ca="1">IFERROR(__xludf.DUMMYFUNCTION("""COMPUTED_VALUE"""),24.9)</f>
        <v>24.9</v>
      </c>
      <c r="E331" s="1" t="str">
        <f ca="1">IFERROR(__xludf.DUMMYFUNCTION("""COMPUTED_VALUE"""),"-")</f>
        <v>-</v>
      </c>
      <c r="F331" s="1" t="str">
        <f ca="1">IFERROR(__xludf.DUMMYFUNCTION("""COMPUTED_VALUE"""),"Mercado Livre")</f>
        <v>Mercado Livre</v>
      </c>
      <c r="G331" s="1" t="str">
        <f ca="1"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6">
        <f ca="1">IFERROR(__xludf.DUMMYFUNCTION("""COMPUTED_VALUE"""),45839)</f>
        <v>45839</v>
      </c>
      <c r="B332" s="7">
        <f ca="1">IFERROR(__xludf.DUMMYFUNCTION("""COMPUTED_VALUE"""),45826)</f>
        <v>45826</v>
      </c>
      <c r="C332" s="1" t="str">
        <f ca="1">IFERROR(__xludf.DUMMYFUNCTION("""COMPUTED_VALUE"""),"Amazon")</f>
        <v>Amazon</v>
      </c>
      <c r="D332" s="2">
        <f ca="1">IFERROR(__xludf.DUMMYFUNCTION("""COMPUTED_VALUE"""),22.69)</f>
        <v>22.69</v>
      </c>
      <c r="E332" s="1" t="str">
        <f ca="1">IFERROR(__xludf.DUMMYFUNCTION("""COMPUTED_VALUE"""),"-")</f>
        <v>-</v>
      </c>
      <c r="F332" s="1" t="str">
        <f ca="1">IFERROR(__xludf.DUMMYFUNCTION("""COMPUTED_VALUE"""),"Amazon")</f>
        <v>Amazon</v>
      </c>
      <c r="G332" s="1" t="str">
        <f ca="1"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6">
        <f ca="1">IFERROR(__xludf.DUMMYFUNCTION("""COMPUTED_VALUE"""),45839)</f>
        <v>45839</v>
      </c>
      <c r="B333" s="7">
        <f ca="1">IFERROR(__xludf.DUMMYFUNCTION("""COMPUTED_VALUE"""),45828)</f>
        <v>45828</v>
      </c>
      <c r="C333" s="1" t="str">
        <f ca="1">IFERROR(__xludf.DUMMYFUNCTION("""COMPUTED_VALUE"""),"Amazonmktplc Tscomerci")</f>
        <v>Amazonmktplc Tscomerci</v>
      </c>
      <c r="D333" s="2">
        <f ca="1">IFERROR(__xludf.DUMMYFUNCTION("""COMPUTED_VALUE"""),155)</f>
        <v>155</v>
      </c>
      <c r="E333" s="1" t="str">
        <f ca="1">IFERROR(__xludf.DUMMYFUNCTION("""COMPUTED_VALUE"""),"-")</f>
        <v>-</v>
      </c>
      <c r="F333" s="1" t="str">
        <f ca="1">IFERROR(__xludf.DUMMYFUNCTION("""COMPUTED_VALUE"""),"Amazonmktplc")</f>
        <v>Amazonmktplc</v>
      </c>
      <c r="G333" s="1" t="str">
        <f ca="1"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6">
        <f ca="1">IFERROR(__xludf.DUMMYFUNCTION("""COMPUTED_VALUE"""),45839)</f>
        <v>45839</v>
      </c>
      <c r="B334" s="7">
        <f ca="1">IFERROR(__xludf.DUMMYFUNCTION("""COMPUTED_VALUE"""),45828)</f>
        <v>45828</v>
      </c>
      <c r="C334" s="1" t="str">
        <f ca="1">IFERROR(__xludf.DUMMYFUNCTION("""COMPUTED_VALUE"""),"Shopee")</f>
        <v>Shopee</v>
      </c>
      <c r="D334" s="2">
        <f ca="1">IFERROR(__xludf.DUMMYFUNCTION("""COMPUTED_VALUE"""),19.48)</f>
        <v>19.48</v>
      </c>
      <c r="E334" s="1" t="str">
        <f ca="1">IFERROR(__xludf.DUMMYFUNCTION("""COMPUTED_VALUE"""),"-")</f>
        <v>-</v>
      </c>
      <c r="F334" s="1" t="str">
        <f ca="1">IFERROR(__xludf.DUMMYFUNCTION("""COMPUTED_VALUE"""),"Shopee")</f>
        <v>Shopee</v>
      </c>
      <c r="G334" s="1" t="str">
        <f ca="1"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6">
        <f ca="1">IFERROR(__xludf.DUMMYFUNCTION("""COMPUTED_VALUE"""),45839)</f>
        <v>45839</v>
      </c>
      <c r="B335" s="7">
        <f ca="1">IFERROR(__xludf.DUMMYFUNCTION("""COMPUTED_VALUE"""),45828)</f>
        <v>45828</v>
      </c>
      <c r="C335" s="1" t="str">
        <f ca="1">IFERROR(__xludf.DUMMYFUNCTION("""COMPUTED_VALUE"""),"Shopee")</f>
        <v>Shopee</v>
      </c>
      <c r="D335" s="2">
        <f ca="1">IFERROR(__xludf.DUMMYFUNCTION("""COMPUTED_VALUE"""),16.99)</f>
        <v>16.989999999999998</v>
      </c>
      <c r="E335" s="1" t="str">
        <f ca="1">IFERROR(__xludf.DUMMYFUNCTION("""COMPUTED_VALUE"""),"-")</f>
        <v>-</v>
      </c>
      <c r="F335" s="1" t="str">
        <f ca="1">IFERROR(__xludf.DUMMYFUNCTION("""COMPUTED_VALUE"""),"Shopee")</f>
        <v>Shopee</v>
      </c>
      <c r="G335" s="1" t="str">
        <f ca="1"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6">
        <f ca="1">IFERROR(__xludf.DUMMYFUNCTION("""COMPUTED_VALUE"""),45839)</f>
        <v>45839</v>
      </c>
      <c r="B336" s="7">
        <f ca="1">IFERROR(__xludf.DUMMYFUNCTION("""COMPUTED_VALUE"""),45828)</f>
        <v>45828</v>
      </c>
      <c r="C336" s="1" t="str">
        <f ca="1">IFERROR(__xludf.DUMMYFUNCTION("""COMPUTED_VALUE"""),"Comtexti")</f>
        <v>Comtexti</v>
      </c>
      <c r="D336" s="2">
        <f ca="1">IFERROR(__xludf.DUMMYFUNCTION("""COMPUTED_VALUE"""),130.9)</f>
        <v>130.9</v>
      </c>
      <c r="E336" s="1" t="str">
        <f ca="1">IFERROR(__xludf.DUMMYFUNCTION("""COMPUTED_VALUE"""),"-")</f>
        <v>-</v>
      </c>
      <c r="F336" s="1" t="str">
        <f ca="1">IFERROR(__xludf.DUMMYFUNCTION("""COMPUTED_VALUE"""),"Comtexti")</f>
        <v>Comtexti</v>
      </c>
      <c r="G336" s="1" t="str">
        <f ca="1"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6">
        <f ca="1">IFERROR(__xludf.DUMMYFUNCTION("""COMPUTED_VALUE"""),45839)</f>
        <v>45839</v>
      </c>
      <c r="B337" s="7">
        <f ca="1">IFERROR(__xludf.DUMMYFUNCTION("""COMPUTED_VALUE"""),45828)</f>
        <v>45828</v>
      </c>
      <c r="C337" s="1" t="str">
        <f ca="1">IFERROR(__xludf.DUMMYFUNCTION("""COMPUTED_VALUE"""),"Shpstecnologia")</f>
        <v>Shpstecnologia</v>
      </c>
      <c r="D337" s="2">
        <f ca="1">IFERROR(__xludf.DUMMYFUNCTION("""COMPUTED_VALUE"""),35.54)</f>
        <v>35.54</v>
      </c>
      <c r="E337" s="1" t="str">
        <f ca="1">IFERROR(__xludf.DUMMYFUNCTION("""COMPUTED_VALUE"""),"-")</f>
        <v>-</v>
      </c>
      <c r="F337" s="1" t="str">
        <f ca="1">IFERROR(__xludf.DUMMYFUNCTION("""COMPUTED_VALUE"""),"Shpstecnologia")</f>
        <v>Shpstecnologia</v>
      </c>
      <c r="G337" s="1" t="str">
        <f ca="1"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6">
        <f ca="1">IFERROR(__xludf.DUMMYFUNCTION("""COMPUTED_VALUE"""),45839)</f>
        <v>45839</v>
      </c>
      <c r="B338" s="7">
        <f ca="1">IFERROR(__xludf.DUMMYFUNCTION("""COMPUTED_VALUE"""),45829)</f>
        <v>45829</v>
      </c>
      <c r="C338" s="1" t="str">
        <f ca="1">IFERROR(__xludf.DUMMYFUNCTION("""COMPUTED_VALUE"""),"Shopee")</f>
        <v>Shopee</v>
      </c>
      <c r="D338" s="2">
        <f ca="1">IFERROR(__xludf.DUMMYFUNCTION("""COMPUTED_VALUE"""),32.89)</f>
        <v>32.89</v>
      </c>
      <c r="E338" s="1" t="str">
        <f ca="1">IFERROR(__xludf.DUMMYFUNCTION("""COMPUTED_VALUE"""),"-")</f>
        <v>-</v>
      </c>
      <c r="F338" s="1" t="str">
        <f ca="1">IFERROR(__xludf.DUMMYFUNCTION("""COMPUTED_VALUE"""),"Shopee")</f>
        <v>Shopee</v>
      </c>
      <c r="G338" s="1" t="str">
        <f ca="1"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6">
        <f ca="1">IFERROR(__xludf.DUMMYFUNCTION("""COMPUTED_VALUE"""),45839)</f>
        <v>45839</v>
      </c>
      <c r="B339" s="7">
        <f ca="1">IFERROR(__xludf.DUMMYFUNCTION("""COMPUTED_VALUE"""),45829)</f>
        <v>45829</v>
      </c>
      <c r="C339" s="1" t="str">
        <f ca="1">IFERROR(__xludf.DUMMYFUNCTION("""COMPUTED_VALUE"""),"Shopee")</f>
        <v>Shopee</v>
      </c>
      <c r="D339" s="2">
        <f ca="1">IFERROR(__xludf.DUMMYFUNCTION("""COMPUTED_VALUE"""),32.89)</f>
        <v>32.89</v>
      </c>
      <c r="E339" s="1" t="str">
        <f ca="1">IFERROR(__xludf.DUMMYFUNCTION("""COMPUTED_VALUE"""),"-")</f>
        <v>-</v>
      </c>
      <c r="F339" s="1" t="str">
        <f ca="1">IFERROR(__xludf.DUMMYFUNCTION("""COMPUTED_VALUE"""),"Shopee")</f>
        <v>Shopee</v>
      </c>
      <c r="G339" s="1" t="str">
        <f ca="1"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6">
        <f ca="1">IFERROR(__xludf.DUMMYFUNCTION("""COMPUTED_VALUE"""),45839)</f>
        <v>45839</v>
      </c>
      <c r="B340" s="7">
        <f ca="1">IFERROR(__xludf.DUMMYFUNCTION("""COMPUTED_VALUE"""),45829)</f>
        <v>45829</v>
      </c>
      <c r="C340" s="1" t="str">
        <f ca="1">IFERROR(__xludf.DUMMYFUNCTION("""COMPUTED_VALUE"""),"Copkosto")</f>
        <v>Copkosto</v>
      </c>
      <c r="D340" s="2">
        <f ca="1">IFERROR(__xludf.DUMMYFUNCTION("""COMPUTED_VALUE"""),32.78)</f>
        <v>32.78</v>
      </c>
      <c r="E340" s="1" t="str">
        <f ca="1">IFERROR(__xludf.DUMMYFUNCTION("""COMPUTED_VALUE"""),"-")</f>
        <v>-</v>
      </c>
      <c r="F340" s="1" t="str">
        <f ca="1">IFERROR(__xludf.DUMMYFUNCTION("""COMPUTED_VALUE"""),"Copkosto")</f>
        <v>Copkosto</v>
      </c>
      <c r="G340" s="1" t="str">
        <f ca="1"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6">
        <f ca="1">IFERROR(__xludf.DUMMYFUNCTION("""COMPUTED_VALUE"""),45839)</f>
        <v>45839</v>
      </c>
      <c r="B341" s="7">
        <f ca="1">IFERROR(__xludf.DUMMYFUNCTION("""COMPUTED_VALUE"""),45829)</f>
        <v>45829</v>
      </c>
      <c r="C341" s="1" t="str">
        <f ca="1">IFERROR(__xludf.DUMMYFUNCTION("""COMPUTED_VALUE"""),"Copkosto")</f>
        <v>Copkosto</v>
      </c>
      <c r="D341" s="2">
        <f ca="1">IFERROR(__xludf.DUMMYFUNCTION("""COMPUTED_VALUE"""),32.78)</f>
        <v>32.78</v>
      </c>
      <c r="E341" s="1" t="str">
        <f ca="1">IFERROR(__xludf.DUMMYFUNCTION("""COMPUTED_VALUE"""),"-")</f>
        <v>-</v>
      </c>
      <c r="F341" s="1" t="str">
        <f ca="1">IFERROR(__xludf.DUMMYFUNCTION("""COMPUTED_VALUE"""),"Copkosto")</f>
        <v>Copkosto</v>
      </c>
      <c r="G341" s="1" t="str">
        <f ca="1"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6">
        <f ca="1">IFERROR(__xludf.DUMMYFUNCTION("""COMPUTED_VALUE"""),45839)</f>
        <v>45839</v>
      </c>
      <c r="B342" s="7">
        <f ca="1">IFERROR(__xludf.DUMMYFUNCTION("""COMPUTED_VALUE"""),45829)</f>
        <v>45829</v>
      </c>
      <c r="C342" s="1" t="str">
        <f ca="1">IFERROR(__xludf.DUMMYFUNCTION("""COMPUTED_VALUE"""),"Shopee")</f>
        <v>Shopee</v>
      </c>
      <c r="D342" s="2">
        <f ca="1">IFERROR(__xludf.DUMMYFUNCTION("""COMPUTED_VALUE"""),10.1)</f>
        <v>10.1</v>
      </c>
      <c r="E342" s="1" t="str">
        <f ca="1">IFERROR(__xludf.DUMMYFUNCTION("""COMPUTED_VALUE"""),"-")</f>
        <v>-</v>
      </c>
      <c r="F342" s="1" t="str">
        <f ca="1">IFERROR(__xludf.DUMMYFUNCTION("""COMPUTED_VALUE"""),"Shopee")</f>
        <v>Shopee</v>
      </c>
      <c r="G342" s="1" t="str">
        <f ca="1"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6">
        <f ca="1">IFERROR(__xludf.DUMMYFUNCTION("""COMPUTED_VALUE"""),45839)</f>
        <v>45839</v>
      </c>
      <c r="B343" s="7">
        <f ca="1">IFERROR(__xludf.DUMMYFUNCTION("""COMPUTED_VALUE"""),45829)</f>
        <v>45829</v>
      </c>
      <c r="C343" s="1" t="str">
        <f ca="1">IFERROR(__xludf.DUMMYFUNCTION("""COMPUTED_VALUE"""),"Shopee")</f>
        <v>Shopee</v>
      </c>
      <c r="D343" s="2">
        <f ca="1">IFERROR(__xludf.DUMMYFUNCTION("""COMPUTED_VALUE"""),10.1)</f>
        <v>10.1</v>
      </c>
      <c r="E343" s="1" t="str">
        <f ca="1">IFERROR(__xludf.DUMMYFUNCTION("""COMPUTED_VALUE"""),"-")</f>
        <v>-</v>
      </c>
      <c r="F343" s="1" t="str">
        <f ca="1">IFERROR(__xludf.DUMMYFUNCTION("""COMPUTED_VALUE"""),"Shopee")</f>
        <v>Shopee</v>
      </c>
      <c r="G343" s="1" t="str">
        <f ca="1"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6">
        <f ca="1">IFERROR(__xludf.DUMMYFUNCTION("""COMPUTED_VALUE"""),45839)</f>
        <v>45839</v>
      </c>
      <c r="B344" s="7">
        <f ca="1">IFERROR(__xludf.DUMMYFUNCTION("""COMPUTED_VALUE"""),45829)</f>
        <v>45829</v>
      </c>
      <c r="C344" s="1" t="str">
        <f ca="1">IFERROR(__xludf.DUMMYFUNCTION("""COMPUTED_VALUE"""),"Shopee")</f>
        <v>Shopee</v>
      </c>
      <c r="D344" s="2">
        <f ca="1">IFERROR(__xludf.DUMMYFUNCTION("""COMPUTED_VALUE"""),29.99)</f>
        <v>29.99</v>
      </c>
      <c r="E344" s="1" t="str">
        <f ca="1">IFERROR(__xludf.DUMMYFUNCTION("""COMPUTED_VALUE"""),"-")</f>
        <v>-</v>
      </c>
      <c r="F344" s="1" t="str">
        <f ca="1">IFERROR(__xludf.DUMMYFUNCTION("""COMPUTED_VALUE"""),"Shopee")</f>
        <v>Shopee</v>
      </c>
      <c r="G344" s="1" t="str">
        <f ca="1"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6">
        <f ca="1">IFERROR(__xludf.DUMMYFUNCTION("""COMPUTED_VALUE"""),45839)</f>
        <v>45839</v>
      </c>
      <c r="B345" s="7">
        <f ca="1">IFERROR(__xludf.DUMMYFUNCTION("""COMPUTED_VALUE"""),45829)</f>
        <v>45829</v>
      </c>
      <c r="C345" s="1" t="str">
        <f ca="1">IFERROR(__xludf.DUMMYFUNCTION("""COMPUTED_VALUE"""),"Shopee")</f>
        <v>Shopee</v>
      </c>
      <c r="D345" s="2">
        <f ca="1">IFERROR(__xludf.DUMMYFUNCTION("""COMPUTED_VALUE"""),29.99)</f>
        <v>29.99</v>
      </c>
      <c r="E345" s="1" t="str">
        <f ca="1">IFERROR(__xludf.DUMMYFUNCTION("""COMPUTED_VALUE"""),"-")</f>
        <v>-</v>
      </c>
      <c r="F345" s="1" t="str">
        <f ca="1">IFERROR(__xludf.DUMMYFUNCTION("""COMPUTED_VALUE"""),"Shopee")</f>
        <v>Shopee</v>
      </c>
      <c r="G345" s="1" t="str">
        <f ca="1"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6">
        <f ca="1">IFERROR(__xludf.DUMMYFUNCTION("""COMPUTED_VALUE"""),45839)</f>
        <v>45839</v>
      </c>
      <c r="B346" s="7">
        <f ca="1">IFERROR(__xludf.DUMMYFUNCTION("""COMPUTED_VALUE"""),45829)</f>
        <v>45829</v>
      </c>
      <c r="C346" s="1" t="str">
        <f ca="1">IFERROR(__xludf.DUMMYFUNCTION("""COMPUTED_VALUE"""),"Shopee")</f>
        <v>Shopee</v>
      </c>
      <c r="D346" s="2">
        <f ca="1">IFERROR(__xludf.DUMMYFUNCTION("""COMPUTED_VALUE"""),34.9)</f>
        <v>34.9</v>
      </c>
      <c r="E346" s="1" t="str">
        <f ca="1">IFERROR(__xludf.DUMMYFUNCTION("""COMPUTED_VALUE"""),"-")</f>
        <v>-</v>
      </c>
      <c r="F346" s="1" t="str">
        <f ca="1">IFERROR(__xludf.DUMMYFUNCTION("""COMPUTED_VALUE"""),"Shopee")</f>
        <v>Shopee</v>
      </c>
      <c r="G346" s="1" t="str">
        <f ca="1"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6">
        <f ca="1">IFERROR(__xludf.DUMMYFUNCTION("""COMPUTED_VALUE"""),45839)</f>
        <v>45839</v>
      </c>
      <c r="B347" s="7">
        <f ca="1">IFERROR(__xludf.DUMMYFUNCTION("""COMPUTED_VALUE"""),45829)</f>
        <v>45829</v>
      </c>
      <c r="C347" s="1" t="str">
        <f ca="1">IFERROR(__xludf.DUMMYFUNCTION("""COMPUTED_VALUE"""),"Shopee")</f>
        <v>Shopee</v>
      </c>
      <c r="D347" s="2">
        <f ca="1">IFERROR(__xludf.DUMMYFUNCTION("""COMPUTED_VALUE"""),34.9)</f>
        <v>34.9</v>
      </c>
      <c r="E347" s="1" t="str">
        <f ca="1">IFERROR(__xludf.DUMMYFUNCTION("""COMPUTED_VALUE"""),"-")</f>
        <v>-</v>
      </c>
      <c r="F347" s="1" t="str">
        <f ca="1">IFERROR(__xludf.DUMMYFUNCTION("""COMPUTED_VALUE"""),"Shopee")</f>
        <v>Shopee</v>
      </c>
      <c r="G347" s="1" t="str">
        <f ca="1"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6">
        <f ca="1">IFERROR(__xludf.DUMMYFUNCTION("""COMPUTED_VALUE"""),45839)</f>
        <v>45839</v>
      </c>
      <c r="B348" s="7">
        <f ca="1">IFERROR(__xludf.DUMMYFUNCTION("""COMPUTED_VALUE"""),45786)</f>
        <v>45786</v>
      </c>
      <c r="C348" s="1" t="str">
        <f ca="1">IFERROR(__xludf.DUMMYFUNCTION("""COMPUTED_VALUE"""),"Shopee (2/2)")</f>
        <v>Shopee (2/2)</v>
      </c>
      <c r="D348" s="2">
        <f ca="1">IFERROR(__xludf.DUMMYFUNCTION("""COMPUTED_VALUE"""),60.54)</f>
        <v>60.54</v>
      </c>
      <c r="E348" s="1" t="str">
        <f ca="1">IFERROR(__xludf.DUMMYFUNCTION("""COMPUTED_VALUE"""),"-")</f>
        <v>-</v>
      </c>
      <c r="F348" s="1" t="str">
        <f ca="1">IFERROR(__xludf.DUMMYFUNCTION("""COMPUTED_VALUE"""),"Shopee")</f>
        <v>Shopee</v>
      </c>
      <c r="G348" s="1" t="str">
        <f ca="1"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6">
        <f ca="1">IFERROR(__xludf.DUMMYFUNCTION("""COMPUTED_VALUE"""),45839)</f>
        <v>45839</v>
      </c>
      <c r="B349" s="7">
        <f ca="1">IFERROR(__xludf.DUMMYFUNCTION("""COMPUTED_VALUE"""),45796)</f>
        <v>45796</v>
      </c>
      <c r="C349" s="1" t="str">
        <f ca="1">IFERROR(__xludf.DUMMYFUNCTION("""COMPUTED_VALUE"""),"Shopee (2/2)")</f>
        <v>Shopee (2/2)</v>
      </c>
      <c r="D349" s="2">
        <f ca="1">IFERROR(__xludf.DUMMYFUNCTION("""COMPUTED_VALUE"""),127.55)</f>
        <v>127.55</v>
      </c>
      <c r="E349" s="1" t="str">
        <f ca="1">IFERROR(__xludf.DUMMYFUNCTION("""COMPUTED_VALUE"""),"-")</f>
        <v>-</v>
      </c>
      <c r="F349" s="1" t="str">
        <f ca="1">IFERROR(__xludf.DUMMYFUNCTION("""COMPUTED_VALUE"""),"Shopee")</f>
        <v>Shopee</v>
      </c>
      <c r="G349" s="1" t="str">
        <f ca="1"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6">
        <f ca="1">IFERROR(__xludf.DUMMYFUNCTION("""COMPUTED_VALUE"""),45839)</f>
        <v>45839</v>
      </c>
      <c r="B350" s="7">
        <f ca="1">IFERROR(__xludf.DUMMYFUNCTION("""COMPUTED_VALUE"""),45805)</f>
        <v>45805</v>
      </c>
      <c r="C350" s="1" t="str">
        <f ca="1">IFERROR(__xludf.DUMMYFUNCTION("""COMPUTED_VALUE"""),"Amazon")</f>
        <v>Amazon</v>
      </c>
      <c r="D350" s="2">
        <f ca="1">IFERROR(__xludf.DUMMYFUNCTION("""COMPUTED_VALUE"""),12.99)</f>
        <v>12.99</v>
      </c>
      <c r="E350" s="1" t="str">
        <f ca="1">IFERROR(__xludf.DUMMYFUNCTION("""COMPUTED_VALUE"""),"-")</f>
        <v>-</v>
      </c>
      <c r="F350" s="1" t="str">
        <f ca="1">IFERROR(__xludf.DUMMYFUNCTION("""COMPUTED_VALUE"""),"Amazon")</f>
        <v>Amazon</v>
      </c>
      <c r="G350" s="1" t="str">
        <f ca="1"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6">
        <f ca="1">IFERROR(__xludf.DUMMYFUNCTION("""COMPUTED_VALUE"""),45839)</f>
        <v>45839</v>
      </c>
      <c r="B351" s="7">
        <f ca="1">IFERROR(__xludf.DUMMYFUNCTION("""COMPUTED_VALUE"""),45806)</f>
        <v>45806</v>
      </c>
      <c r="C351" s="1" t="str">
        <f ca="1">IFERROR(__xludf.DUMMYFUNCTION("""COMPUTED_VALUE"""),"Uber")</f>
        <v>Uber</v>
      </c>
      <c r="D351" s="2">
        <f ca="1">IFERROR(__xludf.DUMMYFUNCTION("""COMPUTED_VALUE"""),14.23)</f>
        <v>14.23</v>
      </c>
      <c r="E351" s="1" t="str">
        <f ca="1">IFERROR(__xludf.DUMMYFUNCTION("""COMPUTED_VALUE"""),"-")</f>
        <v>-</v>
      </c>
      <c r="F351" s="1" t="str">
        <f ca="1">IFERROR(__xludf.DUMMYFUNCTION("""COMPUTED_VALUE"""),"Uber")</f>
        <v>Uber</v>
      </c>
      <c r="G351" s="1" t="str">
        <f ca="1"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6">
        <f ca="1">IFERROR(__xludf.DUMMYFUNCTION("""COMPUTED_VALUE"""),45839)</f>
        <v>45839</v>
      </c>
      <c r="B352" s="7">
        <f ca="1">IFERROR(__xludf.DUMMYFUNCTION("""COMPUTED_VALUE"""),45806)</f>
        <v>45806</v>
      </c>
      <c r="C352" s="1" t="str">
        <f ca="1">IFERROR(__xludf.DUMMYFUNCTION("""COMPUTED_VALUE"""),"Amazon")</f>
        <v>Amazon</v>
      </c>
      <c r="D352" s="2">
        <f ca="1">IFERROR(__xludf.DUMMYFUNCTION("""COMPUTED_VALUE"""),37.94)</f>
        <v>37.94</v>
      </c>
      <c r="E352" s="1" t="str">
        <f ca="1">IFERROR(__xludf.DUMMYFUNCTION("""COMPUTED_VALUE"""),"-")</f>
        <v>-</v>
      </c>
      <c r="F352" s="1" t="str">
        <f ca="1">IFERROR(__xludf.DUMMYFUNCTION("""COMPUTED_VALUE"""),"Amazon")</f>
        <v>Amazon</v>
      </c>
      <c r="G352" s="1" t="str">
        <f ca="1"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6">
        <f ca="1">IFERROR(__xludf.DUMMYFUNCTION("""COMPUTED_VALUE"""),45839)</f>
        <v>45839</v>
      </c>
      <c r="B353" s="7">
        <f ca="1">IFERROR(__xludf.DUMMYFUNCTION("""COMPUTED_VALUE"""),45808)</f>
        <v>45808</v>
      </c>
      <c r="C353" s="1" t="str">
        <f ca="1">IFERROR(__xludf.DUMMYFUNCTION("""COMPUTED_VALUE"""),"Uber")</f>
        <v>Uber</v>
      </c>
      <c r="D353" s="2">
        <f ca="1">IFERROR(__xludf.DUMMYFUNCTION("""COMPUTED_VALUE"""),10.35)</f>
        <v>10.35</v>
      </c>
      <c r="E353" s="1" t="str">
        <f ca="1">IFERROR(__xludf.DUMMYFUNCTION("""COMPUTED_VALUE"""),"-")</f>
        <v>-</v>
      </c>
      <c r="F353" s="1" t="str">
        <f ca="1">IFERROR(__xludf.DUMMYFUNCTION("""COMPUTED_VALUE"""),"Uber")</f>
        <v>Uber</v>
      </c>
      <c r="G353" s="1" t="str">
        <f ca="1"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6">
        <f ca="1">IFERROR(__xludf.DUMMYFUNCTION("""COMPUTED_VALUE"""),45839)</f>
        <v>45839</v>
      </c>
      <c r="B354" s="7">
        <f ca="1">IFERROR(__xludf.DUMMYFUNCTION("""COMPUTED_VALUE"""),45810)</f>
        <v>45810</v>
      </c>
      <c r="C354" s="1" t="str">
        <f ca="1">IFERROR(__xludf.DUMMYFUNCTION("""COMPUTED_VALUE"""),"Uber")</f>
        <v>Uber</v>
      </c>
      <c r="D354" s="2">
        <f ca="1">IFERROR(__xludf.DUMMYFUNCTION("""COMPUTED_VALUE"""),25.98)</f>
        <v>25.98</v>
      </c>
      <c r="E354" s="1" t="str">
        <f ca="1">IFERROR(__xludf.DUMMYFUNCTION("""COMPUTED_VALUE"""),"-")</f>
        <v>-</v>
      </c>
      <c r="F354" s="1" t="str">
        <f ca="1">IFERROR(__xludf.DUMMYFUNCTION("""COMPUTED_VALUE"""),"Uber")</f>
        <v>Uber</v>
      </c>
      <c r="G354" s="1" t="str">
        <f ca="1"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6">
        <f ca="1">IFERROR(__xludf.DUMMYFUNCTION("""COMPUTED_VALUE"""),45839)</f>
        <v>45839</v>
      </c>
      <c r="B355" s="7">
        <f ca="1">IFERROR(__xludf.DUMMYFUNCTION("""COMPUTED_VALUE"""),45810)</f>
        <v>45810</v>
      </c>
      <c r="C355" s="1">
        <f ca="1">IFERROR(__xludf.DUMMYFUNCTION("""COMPUTED_VALUE"""),99)</f>
        <v>99</v>
      </c>
      <c r="D355" s="2">
        <f ca="1">IFERROR(__xludf.DUMMYFUNCTION("""COMPUTED_VALUE"""),21.6)</f>
        <v>21.6</v>
      </c>
      <c r="E355" s="1" t="str">
        <f ca="1">IFERROR(__xludf.DUMMYFUNCTION("""COMPUTED_VALUE"""),"-")</f>
        <v>-</v>
      </c>
      <c r="F355" s="1" t="str">
        <f ca="1">IFERROR(__xludf.DUMMYFUNCTION("""COMPUTED_VALUE"""),"99")</f>
        <v>99</v>
      </c>
      <c r="G355" s="1" t="str">
        <f ca="1"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6">
        <f ca="1">IFERROR(__xludf.DUMMYFUNCTION("""COMPUTED_VALUE"""),45839)</f>
        <v>45839</v>
      </c>
      <c r="B356" s="7">
        <f ca="1">IFERROR(__xludf.DUMMYFUNCTION("""COMPUTED_VALUE"""),45811)</f>
        <v>45811</v>
      </c>
      <c r="C356" s="1" t="str">
        <f ca="1">IFERROR(__xludf.DUMMYFUNCTION("""COMPUTED_VALUE"""),"Amazon")</f>
        <v>Amazon</v>
      </c>
      <c r="D356" s="2">
        <f ca="1">IFERROR(__xludf.DUMMYFUNCTION("""COMPUTED_VALUE"""),38.25)</f>
        <v>38.25</v>
      </c>
      <c r="E356" s="1" t="str">
        <f ca="1">IFERROR(__xludf.DUMMYFUNCTION("""COMPUTED_VALUE"""),"-")</f>
        <v>-</v>
      </c>
      <c r="F356" s="1" t="str">
        <f ca="1">IFERROR(__xludf.DUMMYFUNCTION("""COMPUTED_VALUE"""),"Amazon")</f>
        <v>Amazon</v>
      </c>
      <c r="G356" s="1" t="str">
        <f ca="1"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6">
        <f ca="1">IFERROR(__xludf.DUMMYFUNCTION("""COMPUTED_VALUE"""),45839)</f>
        <v>45839</v>
      </c>
      <c r="B357" s="7">
        <f ca="1">IFERROR(__xludf.DUMMYFUNCTION("""COMPUTED_VALUE"""),45812)</f>
        <v>45812</v>
      </c>
      <c r="C357" s="1" t="str">
        <f ca="1">IFERROR(__xludf.DUMMYFUNCTION("""COMPUTED_VALUE"""),"Amazon")</f>
        <v>Amazon</v>
      </c>
      <c r="D357" s="2">
        <f ca="1">IFERROR(__xludf.DUMMYFUNCTION("""COMPUTED_VALUE"""),24.61)</f>
        <v>24.61</v>
      </c>
      <c r="E357" s="1" t="str">
        <f ca="1">IFERROR(__xludf.DUMMYFUNCTION("""COMPUTED_VALUE"""),"-")</f>
        <v>-</v>
      </c>
      <c r="F357" s="1" t="str">
        <f ca="1">IFERROR(__xludf.DUMMYFUNCTION("""COMPUTED_VALUE"""),"Amazon")</f>
        <v>Amazon</v>
      </c>
      <c r="G357" s="1" t="str">
        <f ca="1"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6">
        <f ca="1">IFERROR(__xludf.DUMMYFUNCTION("""COMPUTED_VALUE"""),45839)</f>
        <v>45839</v>
      </c>
      <c r="B358" s="7">
        <f ca="1">IFERROR(__xludf.DUMMYFUNCTION("""COMPUTED_VALUE"""),45813)</f>
        <v>45813</v>
      </c>
      <c r="C358" s="1" t="str">
        <f ca="1">IFERROR(__xludf.DUMMYFUNCTION("""COMPUTED_VALUE"""),"Petrobrasprem")</f>
        <v>Petrobrasprem</v>
      </c>
      <c r="D358" s="2">
        <f ca="1">IFERROR(__xludf.DUMMYFUNCTION("""COMPUTED_VALUE"""),278.06)</f>
        <v>278.06</v>
      </c>
      <c r="E358" s="1" t="str">
        <f ca="1">IFERROR(__xludf.DUMMYFUNCTION("""COMPUTED_VALUE"""),"-")</f>
        <v>-</v>
      </c>
      <c r="F358" s="1" t="str">
        <f ca="1">IFERROR(__xludf.DUMMYFUNCTION("""COMPUTED_VALUE"""),"Petrobrasprem")</f>
        <v>Petrobrasprem</v>
      </c>
      <c r="G358" s="1" t="str">
        <f ca="1"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6">
        <f ca="1">IFERROR(__xludf.DUMMYFUNCTION("""COMPUTED_VALUE"""),45839)</f>
        <v>45839</v>
      </c>
      <c r="B359" s="7">
        <f ca="1">IFERROR(__xludf.DUMMYFUNCTION("""COMPUTED_VALUE"""),45813)</f>
        <v>45813</v>
      </c>
      <c r="C359" s="1">
        <f ca="1">IFERROR(__xludf.DUMMYFUNCTION("""COMPUTED_VALUE"""),99)</f>
        <v>99</v>
      </c>
      <c r="D359" s="2">
        <f ca="1">IFERROR(__xludf.DUMMYFUNCTION("""COMPUTED_VALUE"""),10.53)</f>
        <v>10.53</v>
      </c>
      <c r="E359" s="1" t="str">
        <f ca="1">IFERROR(__xludf.DUMMYFUNCTION("""COMPUTED_VALUE"""),"-")</f>
        <v>-</v>
      </c>
      <c r="F359" s="1" t="str">
        <f ca="1">IFERROR(__xludf.DUMMYFUNCTION("""COMPUTED_VALUE"""),"99")</f>
        <v>99</v>
      </c>
      <c r="G359" s="1" t="str">
        <f ca="1"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6">
        <f ca="1">IFERROR(__xludf.DUMMYFUNCTION("""COMPUTED_VALUE"""),45839)</f>
        <v>45839</v>
      </c>
      <c r="B360" s="7">
        <f ca="1">IFERROR(__xludf.DUMMYFUNCTION("""COMPUTED_VALUE"""),45816)</f>
        <v>45816</v>
      </c>
      <c r="C360" s="1" t="str">
        <f ca="1">IFERROR(__xludf.DUMMYFUNCTION("""COMPUTED_VALUE"""),"Livelo")</f>
        <v>Livelo</v>
      </c>
      <c r="D360" s="2">
        <f ca="1">IFERROR(__xludf.DUMMYFUNCTION("""COMPUTED_VALUE"""),177.98)</f>
        <v>177.98</v>
      </c>
      <c r="E360" s="1" t="str">
        <f ca="1">IFERROR(__xludf.DUMMYFUNCTION("""COMPUTED_VALUE"""),"-")</f>
        <v>-</v>
      </c>
      <c r="F360" s="1" t="str">
        <f ca="1">IFERROR(__xludf.DUMMYFUNCTION("""COMPUTED_VALUE"""),"Livelo")</f>
        <v>Livelo</v>
      </c>
      <c r="G360" s="1" t="str">
        <f ca="1"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6">
        <f ca="1">IFERROR(__xludf.DUMMYFUNCTION("""COMPUTED_VALUE"""),45839)</f>
        <v>45839</v>
      </c>
      <c r="B361" s="7">
        <f ca="1">IFERROR(__xludf.DUMMYFUNCTION("""COMPUTED_VALUE"""),45817)</f>
        <v>45817</v>
      </c>
      <c r="C361" s="1" t="str">
        <f ca="1">IFERROR(__xludf.DUMMYFUNCTION("""COMPUTED_VALUE"""),"Mercado Livre")</f>
        <v>Mercado Livre</v>
      </c>
      <c r="D361" s="2">
        <f ca="1">IFERROR(__xludf.DUMMYFUNCTION("""COMPUTED_VALUE"""),65.09)</f>
        <v>65.09</v>
      </c>
      <c r="E361" s="1" t="str">
        <f ca="1">IFERROR(__xludf.DUMMYFUNCTION("""COMPUTED_VALUE"""),"-")</f>
        <v>-</v>
      </c>
      <c r="F361" s="1" t="str">
        <f ca="1">IFERROR(__xludf.DUMMYFUNCTION("""COMPUTED_VALUE"""),"Mercado Livre")</f>
        <v>Mercado Livre</v>
      </c>
      <c r="G361" s="1" t="str">
        <f ca="1"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6">
        <f ca="1">IFERROR(__xludf.DUMMYFUNCTION("""COMPUTED_VALUE"""),45839)</f>
        <v>45839</v>
      </c>
      <c r="B362" s="7">
        <f ca="1">IFERROR(__xludf.DUMMYFUNCTION("""COMPUTED_VALUE"""),45817)</f>
        <v>45817</v>
      </c>
      <c r="C362" s="1" t="str">
        <f ca="1">IFERROR(__xludf.DUMMYFUNCTION("""COMPUTED_VALUE"""),"Amazon")</f>
        <v>Amazon</v>
      </c>
      <c r="D362" s="2">
        <f ca="1">IFERROR(__xludf.DUMMYFUNCTION("""COMPUTED_VALUE"""),99.9)</f>
        <v>99.9</v>
      </c>
      <c r="E362" s="1" t="str">
        <f ca="1">IFERROR(__xludf.DUMMYFUNCTION("""COMPUTED_VALUE"""),"-")</f>
        <v>-</v>
      </c>
      <c r="F362" s="1" t="str">
        <f ca="1">IFERROR(__xludf.DUMMYFUNCTION("""COMPUTED_VALUE"""),"Amazon")</f>
        <v>Amazon</v>
      </c>
      <c r="G362" s="1" t="str">
        <f ca="1"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6">
        <f ca="1">IFERROR(__xludf.DUMMYFUNCTION("""COMPUTED_VALUE"""),45839)</f>
        <v>45839</v>
      </c>
      <c r="B363" s="7">
        <f ca="1">IFERROR(__xludf.DUMMYFUNCTION("""COMPUTED_VALUE"""),45818)</f>
        <v>45818</v>
      </c>
      <c r="C363" s="1" t="str">
        <f ca="1">IFERROR(__xludf.DUMMYFUNCTION("""COMPUTED_VALUE"""),"Spotify")</f>
        <v>Spotify</v>
      </c>
      <c r="D363" s="2">
        <f ca="1">IFERROR(__xludf.DUMMYFUNCTION("""COMPUTED_VALUE"""),34.9)</f>
        <v>34.9</v>
      </c>
      <c r="E363" s="1" t="str">
        <f ca="1">IFERROR(__xludf.DUMMYFUNCTION("""COMPUTED_VALUE"""),"-")</f>
        <v>-</v>
      </c>
      <c r="F363" s="1" t="str">
        <f ca="1">IFERROR(__xludf.DUMMYFUNCTION("""COMPUTED_VALUE"""),"Spotify")</f>
        <v>Spotify</v>
      </c>
      <c r="G363" s="1" t="str">
        <f ca="1"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6">
        <f ca="1">IFERROR(__xludf.DUMMYFUNCTION("""COMPUTED_VALUE"""),45839)</f>
        <v>45839</v>
      </c>
      <c r="B364" s="7">
        <f ca="1">IFERROR(__xludf.DUMMYFUNCTION("""COMPUTED_VALUE"""),45819)</f>
        <v>45819</v>
      </c>
      <c r="C364" s="1" t="str">
        <f ca="1">IFERROR(__xludf.DUMMYFUNCTION("""COMPUTED_VALUE"""),"Amazon")</f>
        <v>Amazon</v>
      </c>
      <c r="D364" s="2">
        <f ca="1">IFERROR(__xludf.DUMMYFUNCTION("""COMPUTED_VALUE"""),149.9)</f>
        <v>149.9</v>
      </c>
      <c r="E364" s="1" t="str">
        <f ca="1">IFERROR(__xludf.DUMMYFUNCTION("""COMPUTED_VALUE"""),"-")</f>
        <v>-</v>
      </c>
      <c r="F364" s="1" t="str">
        <f ca="1">IFERROR(__xludf.DUMMYFUNCTION("""COMPUTED_VALUE"""),"Amazon")</f>
        <v>Amazon</v>
      </c>
      <c r="G364" s="1" t="str">
        <f ca="1"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6">
        <f ca="1">IFERROR(__xludf.DUMMYFUNCTION("""COMPUTED_VALUE"""),45839)</f>
        <v>45839</v>
      </c>
      <c r="B365" s="7">
        <f ca="1">IFERROR(__xludf.DUMMYFUNCTION("""COMPUTED_VALUE"""),45821)</f>
        <v>45821</v>
      </c>
      <c r="C365" s="1" t="str">
        <f ca="1">IFERROR(__xludf.DUMMYFUNCTION("""COMPUTED_VALUE"""),"Amazon")</f>
        <v>Amazon</v>
      </c>
      <c r="D365" s="2">
        <f ca="1">IFERROR(__xludf.DUMMYFUNCTION("""COMPUTED_VALUE"""),83.47)</f>
        <v>83.47</v>
      </c>
      <c r="E365" s="1" t="str">
        <f ca="1">IFERROR(__xludf.DUMMYFUNCTION("""COMPUTED_VALUE"""),"-")</f>
        <v>-</v>
      </c>
      <c r="F365" s="1" t="str">
        <f ca="1">IFERROR(__xludf.DUMMYFUNCTION("""COMPUTED_VALUE"""),"Amazon")</f>
        <v>Amazon</v>
      </c>
      <c r="G365" s="1" t="str">
        <f ca="1"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6">
        <f ca="1">IFERROR(__xludf.DUMMYFUNCTION("""COMPUTED_VALUE"""),45839)</f>
        <v>45839</v>
      </c>
      <c r="B366" s="7">
        <f ca="1">IFERROR(__xludf.DUMMYFUNCTION("""COMPUTED_VALUE"""),45821)</f>
        <v>45821</v>
      </c>
      <c r="C366" s="1" t="str">
        <f ca="1">IFERROR(__xludf.DUMMYFUNCTION("""COMPUTED_VALUE"""),"Amazon")</f>
        <v>Amazon</v>
      </c>
      <c r="D366" s="2">
        <f ca="1">IFERROR(__xludf.DUMMYFUNCTION("""COMPUTED_VALUE"""),48.08)</f>
        <v>48.08</v>
      </c>
      <c r="E366" s="1" t="str">
        <f ca="1">IFERROR(__xludf.DUMMYFUNCTION("""COMPUTED_VALUE"""),"-")</f>
        <v>-</v>
      </c>
      <c r="F366" s="1" t="str">
        <f ca="1">IFERROR(__xludf.DUMMYFUNCTION("""COMPUTED_VALUE"""),"Amazon")</f>
        <v>Amazon</v>
      </c>
      <c r="G366" s="1" t="str">
        <f ca="1"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6">
        <f ca="1">IFERROR(__xludf.DUMMYFUNCTION("""COMPUTED_VALUE"""),45839)</f>
        <v>45839</v>
      </c>
      <c r="B367" s="7">
        <f ca="1">IFERROR(__xludf.DUMMYFUNCTION("""COMPUTED_VALUE"""),45822)</f>
        <v>45822</v>
      </c>
      <c r="C367" s="1" t="str">
        <f ca="1">IFERROR(__xludf.DUMMYFUNCTION("""COMPUTED_VALUE"""),"Youtube")</f>
        <v>Youtube</v>
      </c>
      <c r="D367" s="2">
        <f ca="1">IFERROR(__xludf.DUMMYFUNCTION("""COMPUTED_VALUE"""),19.99)</f>
        <v>19.989999999999998</v>
      </c>
      <c r="E367" s="1" t="str">
        <f ca="1">IFERROR(__xludf.DUMMYFUNCTION("""COMPUTED_VALUE"""),"-")</f>
        <v>-</v>
      </c>
      <c r="F367" s="1" t="str">
        <f ca="1">IFERROR(__xludf.DUMMYFUNCTION("""COMPUTED_VALUE"""),"Youtube")</f>
        <v>Youtube</v>
      </c>
      <c r="G367" s="1" t="str">
        <f ca="1"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6">
        <f ca="1">IFERROR(__xludf.DUMMYFUNCTION("""COMPUTED_VALUE"""),45839)</f>
        <v>45839</v>
      </c>
      <c r="B368" s="7">
        <f ca="1">IFERROR(__xludf.DUMMYFUNCTION("""COMPUTED_VALUE"""),45822)</f>
        <v>45822</v>
      </c>
      <c r="C368" s="1" t="str">
        <f ca="1">IFERROR(__xludf.DUMMYFUNCTION("""COMPUTED_VALUE"""),"Amazon")</f>
        <v>Amazon</v>
      </c>
      <c r="D368" s="2">
        <f ca="1">IFERROR(__xludf.DUMMYFUNCTION("""COMPUTED_VALUE"""),4.74)</f>
        <v>4.74</v>
      </c>
      <c r="E368" s="1" t="str">
        <f ca="1">IFERROR(__xludf.DUMMYFUNCTION("""COMPUTED_VALUE"""),"-")</f>
        <v>-</v>
      </c>
      <c r="F368" s="1" t="str">
        <f ca="1">IFERROR(__xludf.DUMMYFUNCTION("""COMPUTED_VALUE"""),"Amazon")</f>
        <v>Amazon</v>
      </c>
      <c r="G368" s="1" t="str">
        <f ca="1"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6">
        <f ca="1">IFERROR(__xludf.DUMMYFUNCTION("""COMPUTED_VALUE"""),45839)</f>
        <v>45839</v>
      </c>
      <c r="B369" s="7">
        <f ca="1">IFERROR(__xludf.DUMMYFUNCTION("""COMPUTED_VALUE"""),45822)</f>
        <v>45822</v>
      </c>
      <c r="C369" s="1" t="str">
        <f ca="1">IFERROR(__xludf.DUMMYFUNCTION("""COMPUTED_VALUE"""),"Amazon")</f>
        <v>Amazon</v>
      </c>
      <c r="D369" s="2">
        <f ca="1">IFERROR(__xludf.DUMMYFUNCTION("""COMPUTED_VALUE"""),51.9)</f>
        <v>51.9</v>
      </c>
      <c r="E369" s="1" t="str">
        <f ca="1">IFERROR(__xludf.DUMMYFUNCTION("""COMPUTED_VALUE"""),"-")</f>
        <v>-</v>
      </c>
      <c r="F369" s="1" t="str">
        <f ca="1">IFERROR(__xludf.DUMMYFUNCTION("""COMPUTED_VALUE"""),"Amazon")</f>
        <v>Amazon</v>
      </c>
      <c r="G369" s="1" t="str">
        <f ca="1"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6">
        <f ca="1">IFERROR(__xludf.DUMMYFUNCTION("""COMPUTED_VALUE"""),45839)</f>
        <v>45839</v>
      </c>
      <c r="B370" s="7">
        <f ca="1">IFERROR(__xludf.DUMMYFUNCTION("""COMPUTED_VALUE"""),45822)</f>
        <v>45822</v>
      </c>
      <c r="C370" s="1" t="str">
        <f ca="1">IFERROR(__xludf.DUMMYFUNCTION("""COMPUTED_VALUE"""),"Farmácias Pa 324")</f>
        <v>Farmácias Pa 324</v>
      </c>
      <c r="D370" s="2">
        <f ca="1">IFERROR(__xludf.DUMMYFUNCTION("""COMPUTED_VALUE"""),86.39)</f>
        <v>86.39</v>
      </c>
      <c r="E370" s="1" t="str">
        <f ca="1">IFERROR(__xludf.DUMMYFUNCTION("""COMPUTED_VALUE"""),"-")</f>
        <v>-</v>
      </c>
      <c r="F370" s="1" t="str">
        <f ca="1">IFERROR(__xludf.DUMMYFUNCTION("""COMPUTED_VALUE"""),"Farmácias Pa 324")</f>
        <v>Farmácias Pa 324</v>
      </c>
      <c r="G370" s="1" t="str">
        <f ca="1">IFERROR(__xludf.DUMMYFUNCTION("""COMPUTED_VALUE"""),"Compras")</f>
        <v>Compras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6">
        <f ca="1">IFERROR(__xludf.DUMMYFUNCTION("""COMPUTED_VALUE"""),45839)</f>
        <v>45839</v>
      </c>
      <c r="B371" s="7">
        <f ca="1">IFERROR(__xludf.DUMMYFUNCTION("""COMPUTED_VALUE"""),45823)</f>
        <v>45823</v>
      </c>
      <c r="C371" s="1" t="str">
        <f ca="1">IFERROR(__xludf.DUMMYFUNCTION("""COMPUTED_VALUE"""),"Mercado Livre")</f>
        <v>Mercado Livre</v>
      </c>
      <c r="D371" s="2">
        <f ca="1">IFERROR(__xludf.DUMMYFUNCTION("""COMPUTED_VALUE"""),125.93)</f>
        <v>125.93</v>
      </c>
      <c r="E371" s="1" t="str">
        <f ca="1">IFERROR(__xludf.DUMMYFUNCTION("""COMPUTED_VALUE"""),"-")</f>
        <v>-</v>
      </c>
      <c r="F371" s="1" t="str">
        <f ca="1">IFERROR(__xludf.DUMMYFUNCTION("""COMPUTED_VALUE"""),"Mercado Livre")</f>
        <v>Mercado Livre</v>
      </c>
      <c r="G371" s="1" t="str">
        <f ca="1"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6">
        <f ca="1">IFERROR(__xludf.DUMMYFUNCTION("""COMPUTED_VALUE"""),45839)</f>
        <v>45839</v>
      </c>
      <c r="B372" s="7">
        <f ca="1">IFERROR(__xludf.DUMMYFUNCTION("""COMPUTED_VALUE"""),45824)</f>
        <v>45824</v>
      </c>
      <c r="C372" s="1" t="str">
        <f ca="1">IFERROR(__xludf.DUMMYFUNCTION("""COMPUTED_VALUE"""),"Unisant")</f>
        <v>Unisant</v>
      </c>
      <c r="D372" s="2">
        <f ca="1">IFERROR(__xludf.DUMMYFUNCTION("""COMPUTED_VALUE"""),225.53)</f>
        <v>225.53</v>
      </c>
      <c r="E372" s="1" t="str">
        <f ca="1">IFERROR(__xludf.DUMMYFUNCTION("""COMPUTED_VALUE"""),"-")</f>
        <v>-</v>
      </c>
      <c r="F372" s="1" t="str">
        <f ca="1">IFERROR(__xludf.DUMMYFUNCTION("""COMPUTED_VALUE"""),"Unisant")</f>
        <v>Unisant</v>
      </c>
      <c r="G372" s="1" t="str">
        <f ca="1"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6">
        <f ca="1">IFERROR(__xludf.DUMMYFUNCTION("""COMPUTED_VALUE"""),45839)</f>
        <v>45839</v>
      </c>
      <c r="B373" s="7">
        <f ca="1">IFERROR(__xludf.DUMMYFUNCTION("""COMPUTED_VALUE"""),45824)</f>
        <v>45824</v>
      </c>
      <c r="C373" s="1" t="str">
        <f ca="1">IFERROR(__xludf.DUMMYFUNCTION("""COMPUTED_VALUE"""),"Amazon")</f>
        <v>Amazon</v>
      </c>
      <c r="D373" s="2">
        <f ca="1">IFERROR(__xludf.DUMMYFUNCTION("""COMPUTED_VALUE"""),25.08)</f>
        <v>25.08</v>
      </c>
      <c r="E373" s="1" t="str">
        <f ca="1">IFERROR(__xludf.DUMMYFUNCTION("""COMPUTED_VALUE"""),"-")</f>
        <v>-</v>
      </c>
      <c r="F373" s="1" t="str">
        <f ca="1">IFERROR(__xludf.DUMMYFUNCTION("""COMPUTED_VALUE"""),"Amazon")</f>
        <v>Amazon</v>
      </c>
      <c r="G373" s="1" t="str">
        <f ca="1"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6">
        <f ca="1">IFERROR(__xludf.DUMMYFUNCTION("""COMPUTED_VALUE"""),45839)</f>
        <v>45839</v>
      </c>
      <c r="B374" s="7">
        <f ca="1">IFERROR(__xludf.DUMMYFUNCTION("""COMPUTED_VALUE"""),45825)</f>
        <v>45825</v>
      </c>
      <c r="C374" s="1" t="str">
        <f ca="1">IFERROR(__xludf.DUMMYFUNCTION("""COMPUTED_VALUE"""),"Riachuelo Lo Riachuelo")</f>
        <v>Riachuelo Lo Riachuelo</v>
      </c>
      <c r="D374" s="2">
        <f ca="1">IFERROR(__xludf.DUMMYFUNCTION("""COMPUTED_VALUE"""),134.99)</f>
        <v>134.99</v>
      </c>
      <c r="E374" s="1" t="str">
        <f ca="1">IFERROR(__xludf.DUMMYFUNCTION("""COMPUTED_VALUE"""),"-")</f>
        <v>-</v>
      </c>
      <c r="F374" s="1" t="str">
        <f ca="1">IFERROR(__xludf.DUMMYFUNCTION("""COMPUTED_VALUE"""),"Riachuelo Lo Riachuelo")</f>
        <v>Riachuelo Lo Riachuelo</v>
      </c>
      <c r="G374" s="1" t="str">
        <f ca="1"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6">
        <f ca="1">IFERROR(__xludf.DUMMYFUNCTION("""COMPUTED_VALUE"""),45839)</f>
        <v>45839</v>
      </c>
      <c r="B375" s="7">
        <f ca="1">IFERROR(__xludf.DUMMYFUNCTION("""COMPUTED_VALUE"""),45825)</f>
        <v>45825</v>
      </c>
      <c r="C375" s="1" t="str">
        <f ca="1">IFERROR(__xludf.DUMMYFUNCTION("""COMPUTED_VALUE"""),"Amazonmktplc Matellass")</f>
        <v>Amazonmktplc Matellass</v>
      </c>
      <c r="D375" s="2">
        <f ca="1">IFERROR(__xludf.DUMMYFUNCTION("""COMPUTED_VALUE"""),95.44)</f>
        <v>95.44</v>
      </c>
      <c r="E375" s="1" t="str">
        <f ca="1">IFERROR(__xludf.DUMMYFUNCTION("""COMPUTED_VALUE"""),"-")</f>
        <v>-</v>
      </c>
      <c r="F375" s="1" t="str">
        <f ca="1">IFERROR(__xludf.DUMMYFUNCTION("""COMPUTED_VALUE"""),"Amazonmktplc")</f>
        <v>Amazonmktplc</v>
      </c>
      <c r="G375" s="1" t="str">
        <f ca="1"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6">
        <f ca="1">IFERROR(__xludf.DUMMYFUNCTION("""COMPUTED_VALUE"""),45839)</f>
        <v>45839</v>
      </c>
      <c r="B376" s="7">
        <f ca="1">IFERROR(__xludf.DUMMYFUNCTION("""COMPUTED_VALUE"""),45826)</f>
        <v>45826</v>
      </c>
      <c r="C376" s="1" t="str">
        <f ca="1">IFERROR(__xludf.DUMMYFUNCTION("""COMPUTED_VALUE"""),"Elo7")</f>
        <v>Elo7</v>
      </c>
      <c r="D376" s="2">
        <f ca="1">IFERROR(__xludf.DUMMYFUNCTION("""COMPUTED_VALUE"""),63.15)</f>
        <v>63.15</v>
      </c>
      <c r="E376" s="1" t="str">
        <f ca="1">IFERROR(__xludf.DUMMYFUNCTION("""COMPUTED_VALUE"""),"-")</f>
        <v>-</v>
      </c>
      <c r="F376" s="1" t="str">
        <f ca="1">IFERROR(__xludf.DUMMYFUNCTION("""COMPUTED_VALUE"""),"Elo7")</f>
        <v>Elo7</v>
      </c>
      <c r="G376" s="1" t="str">
        <f ca="1"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6">
        <f ca="1">IFERROR(__xludf.DUMMYFUNCTION("""COMPUTED_VALUE"""),45839)</f>
        <v>45839</v>
      </c>
      <c r="B377" s="7">
        <f ca="1">IFERROR(__xludf.DUMMYFUNCTION("""COMPUTED_VALUE"""),45826)</f>
        <v>45826</v>
      </c>
      <c r="C377" s="1" t="str">
        <f ca="1">IFERROR(__xludf.DUMMYFUNCTION("""COMPUTED_VALUE"""),"Drogaria Araujo")</f>
        <v>Drogaria Araujo</v>
      </c>
      <c r="D377" s="2">
        <f ca="1">IFERROR(__xludf.DUMMYFUNCTION("""COMPUTED_VALUE"""),198.56)</f>
        <v>198.56</v>
      </c>
      <c r="E377" s="1" t="str">
        <f ca="1">IFERROR(__xludf.DUMMYFUNCTION("""COMPUTED_VALUE"""),"-")</f>
        <v>-</v>
      </c>
      <c r="F377" s="1" t="str">
        <f ca="1">IFERROR(__xludf.DUMMYFUNCTION("""COMPUTED_VALUE"""),"Drogaria Araujo")</f>
        <v>Drogaria Araujo</v>
      </c>
      <c r="G377" s="1" t="str">
        <f ca="1">IFERROR(__xludf.DUMMYFUNCTION("""COMPUTED_VALUE"""),"Farmácia")</f>
        <v>Farmácia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6">
        <f ca="1">IFERROR(__xludf.DUMMYFUNCTION("""COMPUTED_VALUE"""),45839)</f>
        <v>45839</v>
      </c>
      <c r="B378" s="7">
        <f ca="1">IFERROR(__xludf.DUMMYFUNCTION("""COMPUTED_VALUE"""),45826)</f>
        <v>45826</v>
      </c>
      <c r="C378" s="1" t="str">
        <f ca="1">IFERROR(__xludf.DUMMYFUNCTION("""COMPUTED_VALUE"""),"Drogaria Pacheco")</f>
        <v>Drogaria Pacheco</v>
      </c>
      <c r="D378" s="2">
        <f ca="1">IFERROR(__xludf.DUMMYFUNCTION("""COMPUTED_VALUE"""),26.9)</f>
        <v>26.9</v>
      </c>
      <c r="E378" s="1" t="str">
        <f ca="1">IFERROR(__xludf.DUMMYFUNCTION("""COMPUTED_VALUE"""),"-")</f>
        <v>-</v>
      </c>
      <c r="F378" s="1" t="str">
        <f ca="1">IFERROR(__xludf.DUMMYFUNCTION("""COMPUTED_VALUE"""),"Drogaria Pacheco")</f>
        <v>Drogaria Pacheco</v>
      </c>
      <c r="G378" s="1" t="str">
        <f ca="1">IFERROR(__xludf.DUMMYFUNCTION("""COMPUTED_VALUE"""),"Farmácia")</f>
        <v>Farmácia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6">
        <f ca="1">IFERROR(__xludf.DUMMYFUNCTION("""COMPUTED_VALUE"""),45839)</f>
        <v>45839</v>
      </c>
      <c r="B379" s="7">
        <f ca="1">IFERROR(__xludf.DUMMYFUNCTION("""COMPUTED_VALUE"""),45826)</f>
        <v>45826</v>
      </c>
      <c r="C379" s="1" t="str">
        <f ca="1">IFERROR(__xludf.DUMMYFUNCTION("""COMPUTED_VALUE"""),"Drogaria Araujo")</f>
        <v>Drogaria Araujo</v>
      </c>
      <c r="D379" s="2">
        <f ca="1">IFERROR(__xludf.DUMMYFUNCTION("""COMPUTED_VALUE"""),12.99)</f>
        <v>12.99</v>
      </c>
      <c r="E379" s="1" t="str">
        <f ca="1">IFERROR(__xludf.DUMMYFUNCTION("""COMPUTED_VALUE"""),"-")</f>
        <v>-</v>
      </c>
      <c r="F379" s="1" t="str">
        <f ca="1">IFERROR(__xludf.DUMMYFUNCTION("""COMPUTED_VALUE"""),"Drogaria Araujo")</f>
        <v>Drogaria Araujo</v>
      </c>
      <c r="G379" s="1" t="str">
        <f ca="1">IFERROR(__xludf.DUMMYFUNCTION("""COMPUTED_VALUE"""),"Farmácia")</f>
        <v>Farmácia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6">
        <f ca="1">IFERROR(__xludf.DUMMYFUNCTION("""COMPUTED_VALUE"""),45839)</f>
        <v>45839</v>
      </c>
      <c r="B380" s="7">
        <f ca="1">IFERROR(__xludf.DUMMYFUNCTION("""COMPUTED_VALUE"""),45826)</f>
        <v>45826</v>
      </c>
      <c r="C380" s="1" t="str">
        <f ca="1">IFERROR(__xludf.DUMMYFUNCTION("""COMPUTED_VALUE"""),"Drogaria Araujo")</f>
        <v>Drogaria Araujo</v>
      </c>
      <c r="D380" s="2">
        <f ca="1">IFERROR(__xludf.DUMMYFUNCTION("""COMPUTED_VALUE"""),64.17)</f>
        <v>64.17</v>
      </c>
      <c r="E380" s="1" t="str">
        <f ca="1">IFERROR(__xludf.DUMMYFUNCTION("""COMPUTED_VALUE"""),"-")</f>
        <v>-</v>
      </c>
      <c r="F380" s="1" t="str">
        <f ca="1">IFERROR(__xludf.DUMMYFUNCTION("""COMPUTED_VALUE"""),"Drogaria Araujo")</f>
        <v>Drogaria Araujo</v>
      </c>
      <c r="G380" s="1" t="str">
        <f ca="1">IFERROR(__xludf.DUMMYFUNCTION("""COMPUTED_VALUE"""),"Farmácia")</f>
        <v>Farmácia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6">
        <f ca="1">IFERROR(__xludf.DUMMYFUNCTION("""COMPUTED_VALUE"""),45839)</f>
        <v>45839</v>
      </c>
      <c r="B381" s="7">
        <f ca="1">IFERROR(__xludf.DUMMYFUNCTION("""COMPUTED_VALUE"""),45826)</f>
        <v>45826</v>
      </c>
      <c r="C381" s="1" t="str">
        <f ca="1">IFERROR(__xludf.DUMMYFUNCTION("""COMPUTED_VALUE"""),"Drogaria Araujo")</f>
        <v>Drogaria Araujo</v>
      </c>
      <c r="D381" s="2">
        <f ca="1">IFERROR(__xludf.DUMMYFUNCTION("""COMPUTED_VALUE"""),10.98)</f>
        <v>10.98</v>
      </c>
      <c r="E381" s="1" t="str">
        <f ca="1">IFERROR(__xludf.DUMMYFUNCTION("""COMPUTED_VALUE"""),"-")</f>
        <v>-</v>
      </c>
      <c r="F381" s="1" t="str">
        <f ca="1">IFERROR(__xludf.DUMMYFUNCTION("""COMPUTED_VALUE"""),"Drogaria Araujo")</f>
        <v>Drogaria Araujo</v>
      </c>
      <c r="G381" s="1" t="str">
        <f ca="1">IFERROR(__xludf.DUMMYFUNCTION("""COMPUTED_VALUE"""),"Farmácia")</f>
        <v>Farmácia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6">
        <f ca="1">IFERROR(__xludf.DUMMYFUNCTION("""COMPUTED_VALUE"""),45839)</f>
        <v>45839</v>
      </c>
      <c r="B382" s="7">
        <f ca="1">IFERROR(__xludf.DUMMYFUNCTION("""COMPUTED_VALUE"""),45826)</f>
        <v>45826</v>
      </c>
      <c r="C382" s="1" t="str">
        <f ca="1">IFERROR(__xludf.DUMMYFUNCTION("""COMPUTED_VALUE"""),"Amazon")</f>
        <v>Amazon</v>
      </c>
      <c r="D382" s="2">
        <f ca="1">IFERROR(__xludf.DUMMYFUNCTION("""COMPUTED_VALUE"""),32.36)</f>
        <v>32.36</v>
      </c>
      <c r="E382" s="1" t="str">
        <f ca="1">IFERROR(__xludf.DUMMYFUNCTION("""COMPUTED_VALUE"""),"-")</f>
        <v>-</v>
      </c>
      <c r="F382" s="1" t="str">
        <f ca="1">IFERROR(__xludf.DUMMYFUNCTION("""COMPUTED_VALUE"""),"Amazon")</f>
        <v>Amazon</v>
      </c>
      <c r="G382" s="1" t="str">
        <f ca="1"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6">
        <f ca="1">IFERROR(__xludf.DUMMYFUNCTION("""COMPUTED_VALUE"""),45839)</f>
        <v>45839</v>
      </c>
      <c r="B383" s="7">
        <f ca="1">IFERROR(__xludf.DUMMYFUNCTION("""COMPUTED_VALUE"""),45826)</f>
        <v>45826</v>
      </c>
      <c r="C383" s="1" t="str">
        <f ca="1">IFERROR(__xludf.DUMMYFUNCTION("""COMPUTED_VALUE"""),"Drogaria Pacheco")</f>
        <v>Drogaria Pacheco</v>
      </c>
      <c r="D383" s="2">
        <f ca="1">IFERROR(__xludf.DUMMYFUNCTION("""COMPUTED_VALUE"""),57.98)</f>
        <v>57.98</v>
      </c>
      <c r="E383" s="1" t="str">
        <f ca="1">IFERROR(__xludf.DUMMYFUNCTION("""COMPUTED_VALUE"""),"-")</f>
        <v>-</v>
      </c>
      <c r="F383" s="1" t="str">
        <f ca="1">IFERROR(__xludf.DUMMYFUNCTION("""COMPUTED_VALUE"""),"Drogaria Pacheco")</f>
        <v>Drogaria Pacheco</v>
      </c>
      <c r="G383" s="1" t="str">
        <f ca="1">IFERROR(__xludf.DUMMYFUNCTION("""COMPUTED_VALUE"""),"Farmácia")</f>
        <v>Farmácia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6">
        <f ca="1">IFERROR(__xludf.DUMMYFUNCTION("""COMPUTED_VALUE"""),45839)</f>
        <v>45839</v>
      </c>
      <c r="B384" s="7">
        <f ca="1">IFERROR(__xludf.DUMMYFUNCTION("""COMPUTED_VALUE"""),45829)</f>
        <v>45829</v>
      </c>
      <c r="C384" s="1" t="str">
        <f ca="1">IFERROR(__xludf.DUMMYFUNCTION("""COMPUTED_VALUE"""),"Shopee")</f>
        <v>Shopee</v>
      </c>
      <c r="D384" s="2">
        <f ca="1">IFERROR(__xludf.DUMMYFUNCTION("""COMPUTED_VALUE"""),26.9)</f>
        <v>26.9</v>
      </c>
      <c r="E384" s="1" t="str">
        <f ca="1">IFERROR(__xludf.DUMMYFUNCTION("""COMPUTED_VALUE"""),"-")</f>
        <v>-</v>
      </c>
      <c r="F384" s="1" t="str">
        <f ca="1">IFERROR(__xludf.DUMMYFUNCTION("""COMPUTED_VALUE"""),"Shopee")</f>
        <v>Shopee</v>
      </c>
      <c r="G384" s="1" t="str">
        <f ca="1"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6">
        <f ca="1">IFERROR(__xludf.DUMMYFUNCTION("""COMPUTED_VALUE"""),45839)</f>
        <v>45839</v>
      </c>
      <c r="B385" s="7">
        <f ca="1">IFERROR(__xludf.DUMMYFUNCTION("""COMPUTED_VALUE"""),45829)</f>
        <v>45829</v>
      </c>
      <c r="C385" s="1" t="str">
        <f ca="1">IFERROR(__xludf.DUMMYFUNCTION("""COMPUTED_VALUE"""),"Shopee")</f>
        <v>Shopee</v>
      </c>
      <c r="D385" s="2">
        <f ca="1">IFERROR(__xludf.DUMMYFUNCTION("""COMPUTED_VALUE"""),26.9)</f>
        <v>26.9</v>
      </c>
      <c r="E385" s="1" t="str">
        <f ca="1">IFERROR(__xludf.DUMMYFUNCTION("""COMPUTED_VALUE"""),"-")</f>
        <v>-</v>
      </c>
      <c r="F385" s="1" t="str">
        <f ca="1">IFERROR(__xludf.DUMMYFUNCTION("""COMPUTED_VALUE"""),"Shopee")</f>
        <v>Shopee</v>
      </c>
      <c r="G385" s="1" t="str">
        <f ca="1"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6">
        <f ca="1">IFERROR(__xludf.DUMMYFUNCTION("""COMPUTED_VALUE"""),45839)</f>
        <v>45839</v>
      </c>
      <c r="B386" s="7">
        <f ca="1">IFERROR(__xludf.DUMMYFUNCTION("""COMPUTED_VALUE"""),45829)</f>
        <v>45829</v>
      </c>
      <c r="C386" s="1" t="str">
        <f ca="1">IFERROR(__xludf.DUMMYFUNCTION("""COMPUTED_VALUE"""),"Marisa")</f>
        <v>Marisa</v>
      </c>
      <c r="D386" s="2">
        <f ca="1">IFERROR(__xludf.DUMMYFUNCTION("""COMPUTED_VALUE"""),79.28)</f>
        <v>79.28</v>
      </c>
      <c r="E386" s="1" t="str">
        <f ca="1">IFERROR(__xludf.DUMMYFUNCTION("""COMPUTED_VALUE"""),"-")</f>
        <v>-</v>
      </c>
      <c r="F386" s="1" t="str">
        <f ca="1">IFERROR(__xludf.DUMMYFUNCTION("""COMPUTED_VALUE"""),"Marisa")</f>
        <v>Marisa</v>
      </c>
      <c r="G386" s="1" t="str">
        <f ca="1"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6">
        <f ca="1">IFERROR(__xludf.DUMMYFUNCTION("""COMPUTED_VALUE"""),45839)</f>
        <v>45839</v>
      </c>
      <c r="B387" s="7">
        <f ca="1">IFERROR(__xludf.DUMMYFUNCTION("""COMPUTED_VALUE"""),45829)</f>
        <v>45829</v>
      </c>
      <c r="C387" s="1" t="str">
        <f ca="1">IFERROR(__xludf.DUMMYFUNCTION("""COMPUTED_VALUE"""),"Amazon")</f>
        <v>Amazon</v>
      </c>
      <c r="D387" s="2">
        <f ca="1">IFERROR(__xludf.DUMMYFUNCTION("""COMPUTED_VALUE"""),29.98)</f>
        <v>29.98</v>
      </c>
      <c r="E387" s="1" t="str">
        <f ca="1">IFERROR(__xludf.DUMMYFUNCTION("""COMPUTED_VALUE"""),"-")</f>
        <v>-</v>
      </c>
      <c r="F387" s="1" t="str">
        <f ca="1">IFERROR(__xludf.DUMMYFUNCTION("""COMPUTED_VALUE"""),"Amazon")</f>
        <v>Amazon</v>
      </c>
      <c r="G387" s="1" t="str">
        <f ca="1"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6">
        <f ca="1">IFERROR(__xludf.DUMMYFUNCTION("""COMPUTED_VALUE"""),45839)</f>
        <v>45839</v>
      </c>
      <c r="B388" s="7">
        <f ca="1">IFERROR(__xludf.DUMMYFUNCTION("""COMPUTED_VALUE"""),45830)</f>
        <v>45830</v>
      </c>
      <c r="C388" s="1" t="str">
        <f ca="1">IFERROR(__xludf.DUMMYFUNCTION("""COMPUTED_VALUE"""),"Ebazarco")</f>
        <v>Ebazarco</v>
      </c>
      <c r="D388" s="2">
        <f ca="1">IFERROR(__xludf.DUMMYFUNCTION("""COMPUTED_VALUE"""),44.97)</f>
        <v>44.97</v>
      </c>
      <c r="E388" s="1" t="str">
        <f ca="1">IFERROR(__xludf.DUMMYFUNCTION("""COMPUTED_VALUE"""),"-")</f>
        <v>-</v>
      </c>
      <c r="F388" s="1" t="str">
        <f ca="1">IFERROR(__xludf.DUMMYFUNCTION("""COMPUTED_VALUE"""),"Ebazarco")</f>
        <v>Ebazarco</v>
      </c>
      <c r="G388" s="1" t="str">
        <f ca="1"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6">
        <f ca="1">IFERROR(__xludf.DUMMYFUNCTION("""COMPUTED_VALUE"""),45839)</f>
        <v>45839</v>
      </c>
      <c r="B389" s="7">
        <f ca="1">IFERROR(__xludf.DUMMYFUNCTION("""COMPUTED_VALUE"""),45830)</f>
        <v>45830</v>
      </c>
      <c r="C389" s="1" t="str">
        <f ca="1">IFERROR(__xludf.DUMMYFUNCTION("""COMPUTED_VALUE"""),"Emporiop")</f>
        <v>Emporiop</v>
      </c>
      <c r="D389" s="2">
        <f ca="1">IFERROR(__xludf.DUMMYFUNCTION("""COMPUTED_VALUE"""),29.68)</f>
        <v>29.68</v>
      </c>
      <c r="E389" s="1" t="str">
        <f ca="1">IFERROR(__xludf.DUMMYFUNCTION("""COMPUTED_VALUE"""),"-")</f>
        <v>-</v>
      </c>
      <c r="F389" s="1" t="str">
        <f ca="1">IFERROR(__xludf.DUMMYFUNCTION("""COMPUTED_VALUE"""),"Emporiop")</f>
        <v>Emporiop</v>
      </c>
      <c r="G389" s="1" t="str">
        <f ca="1"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6">
        <f ca="1">IFERROR(__xludf.DUMMYFUNCTION("""COMPUTED_VALUE"""),45839)</f>
        <v>45839</v>
      </c>
      <c r="B390" s="7">
        <f ca="1">IFERROR(__xludf.DUMMYFUNCTION("""COMPUTED_VALUE"""),45830)</f>
        <v>45830</v>
      </c>
      <c r="C390" s="1" t="str">
        <f ca="1">IFERROR(__xludf.DUMMYFUNCTION("""COMPUTED_VALUE"""),"Farmácias Pa 324")</f>
        <v>Farmácias Pa 324</v>
      </c>
      <c r="D390" s="2">
        <f ca="1">IFERROR(__xludf.DUMMYFUNCTION("""COMPUTED_VALUE"""),62.77)</f>
        <v>62.77</v>
      </c>
      <c r="E390" s="1" t="str">
        <f ca="1">IFERROR(__xludf.DUMMYFUNCTION("""COMPUTED_VALUE"""),"-")</f>
        <v>-</v>
      </c>
      <c r="F390" s="1" t="str">
        <f ca="1">IFERROR(__xludf.DUMMYFUNCTION("""COMPUTED_VALUE"""),"Farmácias Pa 324")</f>
        <v>Farmácias Pa 324</v>
      </c>
      <c r="G390" s="1" t="str">
        <f ca="1">IFERROR(__xludf.DUMMYFUNCTION("""COMPUTED_VALUE"""),"Compras")</f>
        <v>Compras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6">
        <f ca="1">IFERROR(__xludf.DUMMYFUNCTION("""COMPUTED_VALUE"""),45839)</f>
        <v>45839</v>
      </c>
      <c r="B391" s="7">
        <f ca="1">IFERROR(__xludf.DUMMYFUNCTION("""COMPUTED_VALUE"""),45831)</f>
        <v>45831</v>
      </c>
      <c r="C391" s="1" t="str">
        <f ca="1">IFERROR(__xludf.DUMMYFUNCTION("""COMPUTED_VALUE"""),"Amazon")</f>
        <v>Amazon</v>
      </c>
      <c r="D391" s="2">
        <f ca="1">IFERROR(__xludf.DUMMYFUNCTION("""COMPUTED_VALUE"""),13.1)</f>
        <v>13.1</v>
      </c>
      <c r="E391" s="1" t="str">
        <f ca="1">IFERROR(__xludf.DUMMYFUNCTION("""COMPUTED_VALUE"""),"-")</f>
        <v>-</v>
      </c>
      <c r="F391" s="1" t="str">
        <f ca="1">IFERROR(__xludf.DUMMYFUNCTION("""COMPUTED_VALUE"""),"Amazon")</f>
        <v>Amazon</v>
      </c>
      <c r="G391" s="1" t="str">
        <f ca="1"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6">
        <f ca="1">IFERROR(__xludf.DUMMYFUNCTION("""COMPUTED_VALUE"""),45839)</f>
        <v>45839</v>
      </c>
      <c r="B392" s="7">
        <f ca="1">IFERROR(__xludf.DUMMYFUNCTION("""COMPUTED_VALUE"""),45832)</f>
        <v>45832</v>
      </c>
      <c r="C392" s="1" t="str">
        <f ca="1">IFERROR(__xludf.DUMMYFUNCTION("""COMPUTED_VALUE"""),"Lumai")</f>
        <v>Lumai</v>
      </c>
      <c r="D392" s="2">
        <f ca="1">IFERROR(__xludf.DUMMYFUNCTION("""COMPUTED_VALUE"""),52.64)</f>
        <v>52.64</v>
      </c>
      <c r="E392" s="1" t="str">
        <f ca="1">IFERROR(__xludf.DUMMYFUNCTION("""COMPUTED_VALUE"""),"-")</f>
        <v>-</v>
      </c>
      <c r="F392" s="1" t="str">
        <f ca="1">IFERROR(__xludf.DUMMYFUNCTION("""COMPUTED_VALUE"""),"Lumai")</f>
        <v>Lumai</v>
      </c>
      <c r="G392" s="1" t="str">
        <f ca="1"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6">
        <f ca="1">IFERROR(__xludf.DUMMYFUNCTION("""COMPUTED_VALUE"""),45839)</f>
        <v>45839</v>
      </c>
      <c r="B393" s="7">
        <f ca="1">IFERROR(__xludf.DUMMYFUNCTION("""COMPUTED_VALUE"""),45833)</f>
        <v>45833</v>
      </c>
      <c r="C393" s="1" t="str">
        <f ca="1">IFERROR(__xludf.DUMMYFUNCTION("""COMPUTED_VALUE"""),"Ri Happy")</f>
        <v>Ri Happy</v>
      </c>
      <c r="D393" s="2">
        <f ca="1">IFERROR(__xludf.DUMMYFUNCTION("""COMPUTED_VALUE"""),45.7)</f>
        <v>45.7</v>
      </c>
      <c r="E393" s="1" t="str">
        <f ca="1">IFERROR(__xludf.DUMMYFUNCTION("""COMPUTED_VALUE"""),"-")</f>
        <v>-</v>
      </c>
      <c r="F393" s="1" t="str">
        <f ca="1">IFERROR(__xludf.DUMMYFUNCTION("""COMPUTED_VALUE"""),"Ri Happy")</f>
        <v>Ri Happy</v>
      </c>
      <c r="G393" s="1" t="str">
        <f ca="1"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6">
        <f ca="1">IFERROR(__xludf.DUMMYFUNCTION("""COMPUTED_VALUE"""),45839)</f>
        <v>45839</v>
      </c>
      <c r="B394" s="7">
        <f ca="1">IFERROR(__xludf.DUMMYFUNCTION("""COMPUTED_VALUE"""),45833)</f>
        <v>45833</v>
      </c>
      <c r="C394" s="1" t="str">
        <f ca="1">IFERROR(__xludf.DUMMYFUNCTION("""COMPUTED_VALUE"""),"Amazon")</f>
        <v>Amazon</v>
      </c>
      <c r="D394" s="2">
        <f ca="1">IFERROR(__xludf.DUMMYFUNCTION("""COMPUTED_VALUE"""),30.58)</f>
        <v>30.58</v>
      </c>
      <c r="E394" s="1" t="str">
        <f ca="1">IFERROR(__xludf.DUMMYFUNCTION("""COMPUTED_VALUE"""),"-")</f>
        <v>-</v>
      </c>
      <c r="F394" s="1" t="str">
        <f ca="1">IFERROR(__xludf.DUMMYFUNCTION("""COMPUTED_VALUE"""),"Amazon")</f>
        <v>Amazon</v>
      </c>
      <c r="G394" s="1" t="str">
        <f ca="1"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6">
        <f ca="1">IFERROR(__xludf.DUMMYFUNCTION("""COMPUTED_VALUE"""),45839)</f>
        <v>45839</v>
      </c>
      <c r="B395" s="7">
        <f ca="1">IFERROR(__xludf.DUMMYFUNCTION("""COMPUTED_VALUE"""),45833)</f>
        <v>45833</v>
      </c>
      <c r="C395" s="1" t="str">
        <f ca="1">IFERROR(__xludf.DUMMYFUNCTION("""COMPUTED_VALUE"""),"Petrobra")</f>
        <v>Petrobra</v>
      </c>
      <c r="D395" s="2">
        <f ca="1">IFERROR(__xludf.DUMMYFUNCTION("""COMPUTED_VALUE"""),95.83)</f>
        <v>95.83</v>
      </c>
      <c r="E395" s="1" t="str">
        <f ca="1">IFERROR(__xludf.DUMMYFUNCTION("""COMPUTED_VALUE"""),"-")</f>
        <v>-</v>
      </c>
      <c r="F395" s="1" t="str">
        <f ca="1">IFERROR(__xludf.DUMMYFUNCTION("""COMPUTED_VALUE"""),"Petrobra")</f>
        <v>Petrobra</v>
      </c>
      <c r="G395" s="1" t="str">
        <f ca="1"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6">
        <f ca="1">IFERROR(__xludf.DUMMYFUNCTION("""COMPUTED_VALUE"""),45839)</f>
        <v>45839</v>
      </c>
      <c r="B396" s="7">
        <f ca="1">IFERROR(__xludf.DUMMYFUNCTION("""COMPUTED_VALUE"""),45834)</f>
        <v>45834</v>
      </c>
      <c r="C396" s="1" t="str">
        <f ca="1">IFERROR(__xludf.DUMMYFUNCTION("""COMPUTED_VALUE"""),"Mercado Pago")</f>
        <v>Mercado Pago</v>
      </c>
      <c r="D396" s="2">
        <f ca="1">IFERROR(__xludf.DUMMYFUNCTION("""COMPUTED_VALUE"""),118.8)</f>
        <v>118.8</v>
      </c>
      <c r="E396" s="1" t="str">
        <f ca="1">IFERROR(__xludf.DUMMYFUNCTION("""COMPUTED_VALUE"""),"-")</f>
        <v>-</v>
      </c>
      <c r="F396" s="1" t="str">
        <f ca="1">IFERROR(__xludf.DUMMYFUNCTION("""COMPUTED_VALUE"""),"Mercado Pago")</f>
        <v>Mercado Pago</v>
      </c>
      <c r="G396" s="1" t="str">
        <f ca="1"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6">
        <f ca="1">IFERROR(__xludf.DUMMYFUNCTION("""COMPUTED_VALUE"""),45839)</f>
        <v>45839</v>
      </c>
      <c r="B397" s="7">
        <f ca="1">IFERROR(__xludf.DUMMYFUNCTION("""COMPUTED_VALUE"""),45834)</f>
        <v>45834</v>
      </c>
      <c r="C397" s="1" t="str">
        <f ca="1">IFERROR(__xludf.DUMMYFUNCTION("""COMPUTED_VALUE"""),"Amazon")</f>
        <v>Amazon</v>
      </c>
      <c r="D397" s="2">
        <f ca="1">IFERROR(__xludf.DUMMYFUNCTION("""COMPUTED_VALUE"""),21.12)</f>
        <v>21.12</v>
      </c>
      <c r="E397" s="1" t="str">
        <f ca="1">IFERROR(__xludf.DUMMYFUNCTION("""COMPUTED_VALUE"""),"-")</f>
        <v>-</v>
      </c>
      <c r="F397" s="1" t="str">
        <f ca="1">IFERROR(__xludf.DUMMYFUNCTION("""COMPUTED_VALUE"""),"Amazon")</f>
        <v>Amazon</v>
      </c>
      <c r="G397" s="1" t="str">
        <f ca="1"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6">
        <f ca="1">IFERROR(__xludf.DUMMYFUNCTION("""COMPUTED_VALUE"""),45839)</f>
        <v>45839</v>
      </c>
      <c r="B398" s="7">
        <f ca="1">IFERROR(__xludf.DUMMYFUNCTION("""COMPUTED_VALUE"""),45835)</f>
        <v>45835</v>
      </c>
      <c r="C398" s="1" t="str">
        <f ca="1">IFERROR(__xludf.DUMMYFUNCTION("""COMPUTED_VALUE"""),"Rdsaude Online")</f>
        <v>Rdsaude Online</v>
      </c>
      <c r="D398" s="2">
        <f ca="1">IFERROR(__xludf.DUMMYFUNCTION("""COMPUTED_VALUE"""),15.99)</f>
        <v>15.99</v>
      </c>
      <c r="E398" s="1" t="str">
        <f ca="1">IFERROR(__xludf.DUMMYFUNCTION("""COMPUTED_VALUE"""),"-")</f>
        <v>-</v>
      </c>
      <c r="F398" s="1" t="str">
        <f ca="1">IFERROR(__xludf.DUMMYFUNCTION("""COMPUTED_VALUE"""),"Rdsaude Online")</f>
        <v>Rdsaude Online</v>
      </c>
      <c r="G398" s="1" t="str">
        <f ca="1"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6">
        <f ca="1">IFERROR(__xludf.DUMMYFUNCTION("""COMPUTED_VALUE"""),45839)</f>
        <v>45839</v>
      </c>
      <c r="B399" s="7">
        <f ca="1">IFERROR(__xludf.DUMMYFUNCTION("""COMPUTED_VALUE"""),45835)</f>
        <v>45835</v>
      </c>
      <c r="C399" s="1" t="str">
        <f ca="1">IFERROR(__xludf.DUMMYFUNCTION("""COMPUTED_VALUE"""),"Drogaria Araujo")</f>
        <v>Drogaria Araujo</v>
      </c>
      <c r="D399" s="2">
        <f ca="1">IFERROR(__xludf.DUMMYFUNCTION("""COMPUTED_VALUE"""),15.99)</f>
        <v>15.99</v>
      </c>
      <c r="E399" s="1" t="str">
        <f ca="1">IFERROR(__xludf.DUMMYFUNCTION("""COMPUTED_VALUE"""),"-")</f>
        <v>-</v>
      </c>
      <c r="F399" s="1" t="str">
        <f ca="1">IFERROR(__xludf.DUMMYFUNCTION("""COMPUTED_VALUE"""),"Drogaria Araujo")</f>
        <v>Drogaria Araujo</v>
      </c>
      <c r="G399" s="1" t="str">
        <f ca="1">IFERROR(__xludf.DUMMYFUNCTION("""COMPUTED_VALUE"""),"Farmácia")</f>
        <v>Farmácia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6">
        <f ca="1">IFERROR(__xludf.DUMMYFUNCTION("""COMPUTED_VALUE"""),45839)</f>
        <v>45839</v>
      </c>
      <c r="B400" s="7">
        <f ca="1">IFERROR(__xludf.DUMMYFUNCTION("""COMPUTED_VALUE"""),45835)</f>
        <v>45835</v>
      </c>
      <c r="C400" s="1" t="str">
        <f ca="1">IFERROR(__xludf.DUMMYFUNCTION("""COMPUTED_VALUE"""),"Mercado Livre (2/2)")</f>
        <v>Mercado Livre (2/2)</v>
      </c>
      <c r="D400" s="2">
        <f ca="1">IFERROR(__xludf.DUMMYFUNCTION("""COMPUTED_VALUE"""),23.79)</f>
        <v>23.79</v>
      </c>
      <c r="E400" s="1" t="str">
        <f ca="1">IFERROR(__xludf.DUMMYFUNCTION("""COMPUTED_VALUE"""),"-")</f>
        <v>-</v>
      </c>
      <c r="F400" s="1" t="str">
        <f ca="1">IFERROR(__xludf.DUMMYFUNCTION("""COMPUTED_VALUE"""),"Mercado Livre")</f>
        <v>Mercado Livre</v>
      </c>
      <c r="G400" s="1" t="str">
        <f ca="1"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6">
        <f ca="1">IFERROR(__xludf.DUMMYFUNCTION("""COMPUTED_VALUE"""),45839)</f>
        <v>45839</v>
      </c>
      <c r="B401" s="7">
        <f ca="1">IFERROR(__xludf.DUMMYFUNCTION("""COMPUTED_VALUE"""),45835)</f>
        <v>45835</v>
      </c>
      <c r="C401" s="1" t="str">
        <f ca="1">IFERROR(__xludf.DUMMYFUNCTION("""COMPUTED_VALUE"""),"Mercado Livre (1/2)")</f>
        <v>Mercado Livre (1/2)</v>
      </c>
      <c r="D401" s="2">
        <f ca="1">IFERROR(__xludf.DUMMYFUNCTION("""COMPUTED_VALUE"""),23.79)</f>
        <v>23.79</v>
      </c>
      <c r="E401" s="1" t="str">
        <f ca="1">IFERROR(__xludf.DUMMYFUNCTION("""COMPUTED_VALUE"""),"-")</f>
        <v>-</v>
      </c>
      <c r="F401" s="1" t="str">
        <f ca="1">IFERROR(__xludf.DUMMYFUNCTION("""COMPUTED_VALUE"""),"Mercado Livre")</f>
        <v>Mercado Livre</v>
      </c>
      <c r="G401" s="1" t="str">
        <f ca="1"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6">
        <f ca="1">IFERROR(__xludf.DUMMYFUNCTION("""COMPUTED_VALUE"""),45839)</f>
        <v>45839</v>
      </c>
      <c r="B402" s="7">
        <f ca="1">IFERROR(__xludf.DUMMYFUNCTION("""COMPUTED_VALUE"""),45835)</f>
        <v>45835</v>
      </c>
      <c r="C402" s="1" t="str">
        <f ca="1">IFERROR(__xludf.DUMMYFUNCTION("""COMPUTED_VALUE"""),"Amazon")</f>
        <v>Amazon</v>
      </c>
      <c r="D402" s="2">
        <f ca="1">IFERROR(__xludf.DUMMYFUNCTION("""COMPUTED_VALUE"""),7.9)</f>
        <v>7.9</v>
      </c>
      <c r="E402" s="1" t="str">
        <f ca="1">IFERROR(__xludf.DUMMYFUNCTION("""COMPUTED_VALUE"""),"-")</f>
        <v>-</v>
      </c>
      <c r="F402" s="1" t="str">
        <f ca="1">IFERROR(__xludf.DUMMYFUNCTION("""COMPUTED_VALUE"""),"Amazon")</f>
        <v>Amazon</v>
      </c>
      <c r="G402" s="1" t="str">
        <f ca="1"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6">
        <f ca="1">IFERROR(__xludf.DUMMYFUNCTION("""COMPUTED_VALUE"""),45839)</f>
        <v>45839</v>
      </c>
      <c r="B403" s="7">
        <f ca="1">IFERROR(__xludf.DUMMYFUNCTION("""COMPUTED_VALUE"""),45835)</f>
        <v>45835</v>
      </c>
      <c r="C403" s="1" t="str">
        <f ca="1">IFERROR(__xludf.DUMMYFUNCTION("""COMPUTED_VALUE"""),"Mercado Livre")</f>
        <v>Mercado Livre</v>
      </c>
      <c r="D403" s="2">
        <f ca="1">IFERROR(__xludf.DUMMYFUNCTION("""COMPUTED_VALUE"""),47.59)</f>
        <v>47.59</v>
      </c>
      <c r="E403" s="1" t="str">
        <f ca="1">IFERROR(__xludf.DUMMYFUNCTION("""COMPUTED_VALUE"""),"-")</f>
        <v>-</v>
      </c>
      <c r="F403" s="1" t="str">
        <f ca="1">IFERROR(__xludf.DUMMYFUNCTION("""COMPUTED_VALUE"""),"Mercado Livre")</f>
        <v>Mercado Livre</v>
      </c>
      <c r="G403" s="1" t="str">
        <f ca="1"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6">
        <f ca="1">IFERROR(__xludf.DUMMYFUNCTION("""COMPUTED_VALUE"""),45839)</f>
        <v>45839</v>
      </c>
      <c r="B404" s="7">
        <f ca="1">IFERROR(__xludf.DUMMYFUNCTION("""COMPUTED_VALUE"""),45836)</f>
        <v>45836</v>
      </c>
      <c r="C404" s="1" t="str">
        <f ca="1">IFERROR(__xludf.DUMMYFUNCTION("""COMPUTED_VALUE"""),"Simple Organic (5/5)")</f>
        <v>Simple Organic (5/5)</v>
      </c>
      <c r="D404" s="2">
        <f ca="1">IFERROR(__xludf.DUMMYFUNCTION("""COMPUTED_VALUE"""),24.12)</f>
        <v>24.12</v>
      </c>
      <c r="E404" s="1" t="str">
        <f ca="1">IFERROR(__xludf.DUMMYFUNCTION("""COMPUTED_VALUE"""),"-")</f>
        <v>-</v>
      </c>
      <c r="F404" s="1" t="str">
        <f ca="1">IFERROR(__xludf.DUMMYFUNCTION("""COMPUTED_VALUE"""),"Simple Organic")</f>
        <v>Simple Organic</v>
      </c>
      <c r="G404" s="1" t="str">
        <f ca="1"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6">
        <f ca="1">IFERROR(__xludf.DUMMYFUNCTION("""COMPUTED_VALUE"""),45839)</f>
        <v>45839</v>
      </c>
      <c r="B405" s="7">
        <f ca="1">IFERROR(__xludf.DUMMYFUNCTION("""COMPUTED_VALUE"""),45836)</f>
        <v>45836</v>
      </c>
      <c r="C405" s="1" t="str">
        <f ca="1">IFERROR(__xludf.DUMMYFUNCTION("""COMPUTED_VALUE"""),"Simple Organic (4/5)")</f>
        <v>Simple Organic (4/5)</v>
      </c>
      <c r="D405" s="2">
        <f ca="1">IFERROR(__xludf.DUMMYFUNCTION("""COMPUTED_VALUE"""),24.12)</f>
        <v>24.12</v>
      </c>
      <c r="E405" s="1" t="str">
        <f ca="1">IFERROR(__xludf.DUMMYFUNCTION("""COMPUTED_VALUE"""),"-")</f>
        <v>-</v>
      </c>
      <c r="F405" s="1" t="str">
        <f ca="1">IFERROR(__xludf.DUMMYFUNCTION("""COMPUTED_VALUE"""),"Simple Organic")</f>
        <v>Simple Organic</v>
      </c>
      <c r="G405" s="1" t="str">
        <f ca="1"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6">
        <f ca="1">IFERROR(__xludf.DUMMYFUNCTION("""COMPUTED_VALUE"""),45839)</f>
        <v>45839</v>
      </c>
      <c r="B406" s="7">
        <f ca="1">IFERROR(__xludf.DUMMYFUNCTION("""COMPUTED_VALUE"""),45836)</f>
        <v>45836</v>
      </c>
      <c r="C406" s="1" t="str">
        <f ca="1">IFERROR(__xludf.DUMMYFUNCTION("""COMPUTED_VALUE"""),"Simple Organic (3/5)")</f>
        <v>Simple Organic (3/5)</v>
      </c>
      <c r="D406" s="2">
        <f ca="1">IFERROR(__xludf.DUMMYFUNCTION("""COMPUTED_VALUE"""),24.12)</f>
        <v>24.12</v>
      </c>
      <c r="E406" s="1" t="str">
        <f ca="1">IFERROR(__xludf.DUMMYFUNCTION("""COMPUTED_VALUE"""),"-")</f>
        <v>-</v>
      </c>
      <c r="F406" s="1" t="str">
        <f ca="1">IFERROR(__xludf.DUMMYFUNCTION("""COMPUTED_VALUE"""),"Simple Organic")</f>
        <v>Simple Organic</v>
      </c>
      <c r="G406" s="1" t="str">
        <f ca="1"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6">
        <f ca="1">IFERROR(__xludf.DUMMYFUNCTION("""COMPUTED_VALUE"""),45839)</f>
        <v>45839</v>
      </c>
      <c r="B407" s="7">
        <f ca="1">IFERROR(__xludf.DUMMYFUNCTION("""COMPUTED_VALUE"""),45836)</f>
        <v>45836</v>
      </c>
      <c r="C407" s="1" t="str">
        <f ca="1">IFERROR(__xludf.DUMMYFUNCTION("""COMPUTED_VALUE"""),"Simple Organic (2/5)")</f>
        <v>Simple Organic (2/5)</v>
      </c>
      <c r="D407" s="2">
        <f ca="1">IFERROR(__xludf.DUMMYFUNCTION("""COMPUTED_VALUE"""),24.12)</f>
        <v>24.12</v>
      </c>
      <c r="E407" s="1" t="str">
        <f ca="1">IFERROR(__xludf.DUMMYFUNCTION("""COMPUTED_VALUE"""),"-")</f>
        <v>-</v>
      </c>
      <c r="F407" s="1" t="str">
        <f ca="1">IFERROR(__xludf.DUMMYFUNCTION("""COMPUTED_VALUE"""),"Simple Organic")</f>
        <v>Simple Organic</v>
      </c>
      <c r="G407" s="1" t="str">
        <f ca="1"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6">
        <f ca="1">IFERROR(__xludf.DUMMYFUNCTION("""COMPUTED_VALUE"""),45839)</f>
        <v>45839</v>
      </c>
      <c r="B408" s="7">
        <f ca="1">IFERROR(__xludf.DUMMYFUNCTION("""COMPUTED_VALUE"""),45836)</f>
        <v>45836</v>
      </c>
      <c r="C408" s="1" t="str">
        <f ca="1">IFERROR(__xludf.DUMMYFUNCTION("""COMPUTED_VALUE"""),"Simple Organic (1/5)")</f>
        <v>Simple Organic (1/5)</v>
      </c>
      <c r="D408" s="2">
        <f ca="1">IFERROR(__xludf.DUMMYFUNCTION("""COMPUTED_VALUE"""),24.12)</f>
        <v>24.12</v>
      </c>
      <c r="E408" s="1" t="str">
        <f ca="1">IFERROR(__xludf.DUMMYFUNCTION("""COMPUTED_VALUE"""),"-")</f>
        <v>-</v>
      </c>
      <c r="F408" s="1" t="str">
        <f ca="1">IFERROR(__xludf.DUMMYFUNCTION("""COMPUTED_VALUE"""),"Simple Organic")</f>
        <v>Simple Organic</v>
      </c>
      <c r="G408" s="1" t="str">
        <f ca="1"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6">
        <f ca="1">IFERROR(__xludf.DUMMYFUNCTION("""COMPUTED_VALUE"""),45839)</f>
        <v>45839</v>
      </c>
      <c r="B409" s="7">
        <f ca="1">IFERROR(__xludf.DUMMYFUNCTION("""COMPUTED_VALUE"""),45836)</f>
        <v>45836</v>
      </c>
      <c r="C409" s="1" t="str">
        <f ca="1">IFERROR(__xludf.DUMMYFUNCTION("""COMPUTED_VALUE"""),"Mercado Livre")</f>
        <v>Mercado Livre</v>
      </c>
      <c r="D409" s="2">
        <f ca="1">IFERROR(__xludf.DUMMYFUNCTION("""COMPUTED_VALUE"""),37.4)</f>
        <v>37.4</v>
      </c>
      <c r="E409" s="1" t="str">
        <f ca="1">IFERROR(__xludf.DUMMYFUNCTION("""COMPUTED_VALUE"""),"-")</f>
        <v>-</v>
      </c>
      <c r="F409" s="1" t="str">
        <f ca="1">IFERROR(__xludf.DUMMYFUNCTION("""COMPUTED_VALUE"""),"Mercado Livre")</f>
        <v>Mercado Livre</v>
      </c>
      <c r="G409" s="1" t="str">
        <f ca="1"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6">
        <f ca="1">IFERROR(__xludf.DUMMYFUNCTION("""COMPUTED_VALUE"""),45839)</f>
        <v>45839</v>
      </c>
      <c r="B410" s="7">
        <f ca="1">IFERROR(__xludf.DUMMYFUNCTION("""COMPUTED_VALUE"""),45836)</f>
        <v>45836</v>
      </c>
      <c r="C410" s="1" t="str">
        <f ca="1">IFERROR(__xludf.DUMMYFUNCTION("""COMPUTED_VALUE"""),"Mercado Livre")</f>
        <v>Mercado Livre</v>
      </c>
      <c r="D410" s="2">
        <f ca="1">IFERROR(__xludf.DUMMYFUNCTION("""COMPUTED_VALUE"""),63.53)</f>
        <v>63.53</v>
      </c>
      <c r="E410" s="1" t="str">
        <f ca="1">IFERROR(__xludf.DUMMYFUNCTION("""COMPUTED_VALUE"""),"-")</f>
        <v>-</v>
      </c>
      <c r="F410" s="1" t="str">
        <f ca="1">IFERROR(__xludf.DUMMYFUNCTION("""COMPUTED_VALUE"""),"Mercado Livre")</f>
        <v>Mercado Livre</v>
      </c>
      <c r="G410" s="1" t="str">
        <f ca="1"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6">
        <f ca="1">IFERROR(__xludf.DUMMYFUNCTION("""COMPUTED_VALUE"""),45839)</f>
        <v>45839</v>
      </c>
      <c r="B411" s="7">
        <f ca="1">IFERROR(__xludf.DUMMYFUNCTION("""COMPUTED_VALUE"""),45837)</f>
        <v>45837</v>
      </c>
      <c r="C411" s="1" t="str">
        <f ca="1">IFERROR(__xludf.DUMMYFUNCTION("""COMPUTED_VALUE"""),"Rdsaude Online (3/3)")</f>
        <v>Rdsaude Online (3/3)</v>
      </c>
      <c r="D411" s="2">
        <f ca="1">IFERROR(__xludf.DUMMYFUNCTION("""COMPUTED_VALUE"""),40.88)</f>
        <v>40.880000000000003</v>
      </c>
      <c r="E411" s="1" t="str">
        <f ca="1">IFERROR(__xludf.DUMMYFUNCTION("""COMPUTED_VALUE"""),"-")</f>
        <v>-</v>
      </c>
      <c r="F411" s="1" t="str">
        <f ca="1">IFERROR(__xludf.DUMMYFUNCTION("""COMPUTED_VALUE"""),"Rdsaude Online")</f>
        <v>Rdsaude Online</v>
      </c>
      <c r="G411" s="1" t="str">
        <f ca="1"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6">
        <f ca="1">IFERROR(__xludf.DUMMYFUNCTION("""COMPUTED_VALUE"""),45839)</f>
        <v>45839</v>
      </c>
      <c r="B412" s="7">
        <f ca="1">IFERROR(__xludf.DUMMYFUNCTION("""COMPUTED_VALUE"""),45837)</f>
        <v>45837</v>
      </c>
      <c r="C412" s="1" t="str">
        <f ca="1">IFERROR(__xludf.DUMMYFUNCTION("""COMPUTED_VALUE"""),"Rdsaude Online (2/3)")</f>
        <v>Rdsaude Online (2/3)</v>
      </c>
      <c r="D412" s="2">
        <f ca="1">IFERROR(__xludf.DUMMYFUNCTION("""COMPUTED_VALUE"""),40.88)</f>
        <v>40.880000000000003</v>
      </c>
      <c r="E412" s="1" t="str">
        <f ca="1">IFERROR(__xludf.DUMMYFUNCTION("""COMPUTED_VALUE"""),"-")</f>
        <v>-</v>
      </c>
      <c r="F412" s="1" t="str">
        <f ca="1">IFERROR(__xludf.DUMMYFUNCTION("""COMPUTED_VALUE"""),"Rdsaude Online")</f>
        <v>Rdsaude Online</v>
      </c>
      <c r="G412" s="1" t="str">
        <f ca="1"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6">
        <f ca="1">IFERROR(__xludf.DUMMYFUNCTION("""COMPUTED_VALUE"""),45839)</f>
        <v>45839</v>
      </c>
      <c r="B413" s="7">
        <f ca="1">IFERROR(__xludf.DUMMYFUNCTION("""COMPUTED_VALUE"""),45837)</f>
        <v>45837</v>
      </c>
      <c r="C413" s="1" t="str">
        <f ca="1">IFERROR(__xludf.DUMMYFUNCTION("""COMPUTED_VALUE"""),"Rdsaude Online (1/3)")</f>
        <v>Rdsaude Online (1/3)</v>
      </c>
      <c r="D413" s="2">
        <f ca="1">IFERROR(__xludf.DUMMYFUNCTION("""COMPUTED_VALUE"""),40.89)</f>
        <v>40.89</v>
      </c>
      <c r="E413" s="1" t="str">
        <f ca="1">IFERROR(__xludf.DUMMYFUNCTION("""COMPUTED_VALUE"""),"-")</f>
        <v>-</v>
      </c>
      <c r="F413" s="1" t="str">
        <f ca="1">IFERROR(__xludf.DUMMYFUNCTION("""COMPUTED_VALUE"""),"Rdsaude Online")</f>
        <v>Rdsaude Online</v>
      </c>
      <c r="G413" s="1" t="str">
        <f ca="1"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6">
        <f ca="1">IFERROR(__xludf.DUMMYFUNCTION("""COMPUTED_VALUE"""),45839)</f>
        <v>45839</v>
      </c>
      <c r="B414" s="7">
        <f ca="1">IFERROR(__xludf.DUMMYFUNCTION("""COMPUTED_VALUE"""),45837)</f>
        <v>45837</v>
      </c>
      <c r="C414" s="1" t="str">
        <f ca="1">IFERROR(__xludf.DUMMYFUNCTION("""COMPUTED_VALUE"""),"Drogaria Pacheco")</f>
        <v>Drogaria Pacheco</v>
      </c>
      <c r="D414" s="2">
        <f ca="1">IFERROR(__xludf.DUMMYFUNCTION("""COMPUTED_VALUE"""),76.79)</f>
        <v>76.790000000000006</v>
      </c>
      <c r="E414" s="1" t="str">
        <f ca="1">IFERROR(__xludf.DUMMYFUNCTION("""COMPUTED_VALUE"""),"-")</f>
        <v>-</v>
      </c>
      <c r="F414" s="1" t="str">
        <f ca="1">IFERROR(__xludf.DUMMYFUNCTION("""COMPUTED_VALUE"""),"Drogaria Pacheco")</f>
        <v>Drogaria Pacheco</v>
      </c>
      <c r="G414" s="1" t="str">
        <f ca="1">IFERROR(__xludf.DUMMYFUNCTION("""COMPUTED_VALUE"""),"Farmácia")</f>
        <v>Farmácia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6">
        <f ca="1">IFERROR(__xludf.DUMMYFUNCTION("""COMPUTED_VALUE"""),45839)</f>
        <v>45839</v>
      </c>
      <c r="B415" s="7">
        <f ca="1">IFERROR(__xludf.DUMMYFUNCTION("""COMPUTED_VALUE"""),45837)</f>
        <v>45837</v>
      </c>
      <c r="C415" s="1" t="str">
        <f ca="1">IFERROR(__xludf.DUMMYFUNCTION("""COMPUTED_VALUE"""),"Shopee")</f>
        <v>Shopee</v>
      </c>
      <c r="D415" s="2">
        <f ca="1">IFERROR(__xludf.DUMMYFUNCTION("""COMPUTED_VALUE"""),34.93)</f>
        <v>34.93</v>
      </c>
      <c r="E415" s="1" t="str">
        <f ca="1">IFERROR(__xludf.DUMMYFUNCTION("""COMPUTED_VALUE"""),"-")</f>
        <v>-</v>
      </c>
      <c r="F415" s="1" t="str">
        <f ca="1">IFERROR(__xludf.DUMMYFUNCTION("""COMPUTED_VALUE"""),"Shopee")</f>
        <v>Shopee</v>
      </c>
      <c r="G415" s="1" t="str">
        <f ca="1"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6">
        <f ca="1">IFERROR(__xludf.DUMMYFUNCTION("""COMPUTED_VALUE"""),45839)</f>
        <v>45839</v>
      </c>
      <c r="B416" s="7">
        <f ca="1">IFERROR(__xludf.DUMMYFUNCTION("""COMPUTED_VALUE"""),45837)</f>
        <v>45837</v>
      </c>
      <c r="C416" s="1" t="str">
        <f ca="1">IFERROR(__xludf.DUMMYFUNCTION("""COMPUTED_VALUE"""),"Shopee")</f>
        <v>Shopee</v>
      </c>
      <c r="D416" s="2">
        <f ca="1">IFERROR(__xludf.DUMMYFUNCTION("""COMPUTED_VALUE"""),24.74)</f>
        <v>24.74</v>
      </c>
      <c r="E416" s="1" t="str">
        <f ca="1">IFERROR(__xludf.DUMMYFUNCTION("""COMPUTED_VALUE"""),"-")</f>
        <v>-</v>
      </c>
      <c r="F416" s="1" t="str">
        <f ca="1">IFERROR(__xludf.DUMMYFUNCTION("""COMPUTED_VALUE"""),"Shopee")</f>
        <v>Shopee</v>
      </c>
      <c r="G416" s="1" t="str">
        <f ca="1"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6">
        <f ca="1">IFERROR(__xludf.DUMMYFUNCTION("""COMPUTED_VALUE"""),45839)</f>
        <v>45839</v>
      </c>
      <c r="B417" s="7">
        <f ca="1">IFERROR(__xludf.DUMMYFUNCTION("""COMPUTED_VALUE"""),45838)</f>
        <v>45838</v>
      </c>
      <c r="C417" s="1" t="str">
        <f ca="1">IFERROR(__xludf.DUMMYFUNCTION("""COMPUTED_VALUE"""),"Drogaria Araujo")</f>
        <v>Drogaria Araujo</v>
      </c>
      <c r="D417" s="2">
        <f ca="1">IFERROR(__xludf.DUMMYFUNCTION("""COMPUTED_VALUE"""),18.99)</f>
        <v>18.989999999999998</v>
      </c>
      <c r="E417" s="1" t="str">
        <f ca="1">IFERROR(__xludf.DUMMYFUNCTION("""COMPUTED_VALUE"""),"-")</f>
        <v>-</v>
      </c>
      <c r="F417" s="1" t="str">
        <f ca="1">IFERROR(__xludf.DUMMYFUNCTION("""COMPUTED_VALUE"""),"Drogaria Araujo")</f>
        <v>Drogaria Araujo</v>
      </c>
      <c r="G417" s="1" t="str">
        <f ca="1">IFERROR(__xludf.DUMMYFUNCTION("""COMPUTED_VALUE"""),"Farmácia")</f>
        <v>Farmácia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6">
        <f ca="1">IFERROR(__xludf.DUMMYFUNCTION("""COMPUTED_VALUE"""),45839)</f>
        <v>45839</v>
      </c>
      <c r="B418" s="7">
        <f ca="1">IFERROR(__xludf.DUMMYFUNCTION("""COMPUTED_VALUE"""),45839)</f>
        <v>45839</v>
      </c>
      <c r="C418" s="1" t="str">
        <f ca="1">IFERROR(__xludf.DUMMYFUNCTION("""COMPUTED_VALUE"""),"Amazon (1/10)")</f>
        <v>Amazon (1/10)</v>
      </c>
      <c r="D418" s="2">
        <f ca="1">IFERROR(__xludf.DUMMYFUNCTION("""COMPUTED_VALUE"""),72.9)</f>
        <v>72.900000000000006</v>
      </c>
      <c r="E418" s="1" t="str">
        <f ca="1">IFERROR(__xludf.DUMMYFUNCTION("""COMPUTED_VALUE"""),"-")</f>
        <v>-</v>
      </c>
      <c r="F418" s="1" t="str">
        <f ca="1">IFERROR(__xludf.DUMMYFUNCTION("""COMPUTED_VALUE"""),"Amazon")</f>
        <v>Amazon</v>
      </c>
      <c r="G418" s="1" t="str">
        <f ca="1"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6">
        <f ca="1">IFERROR(__xludf.DUMMYFUNCTION("""COMPUTED_VALUE"""),45839)</f>
        <v>45839</v>
      </c>
      <c r="B419" s="7">
        <f ca="1">IFERROR(__xludf.DUMMYFUNCTION("""COMPUTED_VALUE"""),45789)</f>
        <v>45789</v>
      </c>
      <c r="C419" s="1" t="str">
        <f ca="1">IFERROR(__xludf.DUMMYFUNCTION("""COMPUTED_VALUE"""),"Mg Bh Savassi Sh (2/2)")</f>
        <v>Mg Bh Savassi Sh (2/2)</v>
      </c>
      <c r="D419" s="2">
        <f ca="1">IFERROR(__xludf.DUMMYFUNCTION("""COMPUTED_VALUE"""),99.99)</f>
        <v>99.99</v>
      </c>
      <c r="E419" s="1" t="str">
        <f ca="1">IFERROR(__xludf.DUMMYFUNCTION("""COMPUTED_VALUE"""),"-")</f>
        <v>-</v>
      </c>
      <c r="F419" s="1" t="str">
        <f ca="1">IFERROR(__xludf.DUMMYFUNCTION("""COMPUTED_VALUE"""),"Mg Bh Savassi Sh")</f>
        <v>Mg Bh Savassi Sh</v>
      </c>
      <c r="G419" s="1" t="str">
        <f ca="1"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6">
        <f ca="1">IFERROR(__xludf.DUMMYFUNCTION("""COMPUTED_VALUE"""),45839)</f>
        <v>45839</v>
      </c>
      <c r="B420" s="7">
        <f ca="1">IFERROR(__xludf.DUMMYFUNCTION("""COMPUTED_VALUE"""),45804)</f>
        <v>45804</v>
      </c>
      <c r="C420" s="1" t="str">
        <f ca="1">IFERROR(__xludf.DUMMYFUNCTION("""COMPUTED_VALUE"""),"Lojaluposport")</f>
        <v>Lojaluposport</v>
      </c>
      <c r="D420" s="2">
        <f ca="1">IFERROR(__xludf.DUMMYFUNCTION("""COMPUTED_VALUE"""),123.8)</f>
        <v>123.8</v>
      </c>
      <c r="E420" s="1" t="str">
        <f ca="1">IFERROR(__xludf.DUMMYFUNCTION("""COMPUTED_VALUE"""),"-")</f>
        <v>-</v>
      </c>
      <c r="F420" s="1" t="str">
        <f ca="1">IFERROR(__xludf.DUMMYFUNCTION("""COMPUTED_VALUE"""),"Lojaluposport")</f>
        <v>Lojaluposport</v>
      </c>
      <c r="G420" s="1" t="str">
        <f ca="1"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6">
        <f ca="1">IFERROR(__xludf.DUMMYFUNCTION("""COMPUTED_VALUE"""),45839)</f>
        <v>45839</v>
      </c>
      <c r="B421" s="7">
        <f ca="1">IFERROR(__xludf.DUMMYFUNCTION("""COMPUTED_VALUE"""),45813)</f>
        <v>45813</v>
      </c>
      <c r="C421" s="1" t="str">
        <f ca="1">IFERROR(__xludf.DUMMYFUNCTION("""COMPUTED_VALUE"""),"Megapark")</f>
        <v>Megapark</v>
      </c>
      <c r="D421" s="2">
        <f ca="1">IFERROR(__xludf.DUMMYFUNCTION("""COMPUTED_VALUE"""),285)</f>
        <v>285</v>
      </c>
      <c r="E421" s="1" t="str">
        <f ca="1">IFERROR(__xludf.DUMMYFUNCTION("""COMPUTED_VALUE"""),"-")</f>
        <v>-</v>
      </c>
      <c r="F421" s="1" t="str">
        <f ca="1">IFERROR(__xludf.DUMMYFUNCTION("""COMPUTED_VALUE"""),"Megapark")</f>
        <v>Megapark</v>
      </c>
      <c r="G421" s="1" t="str">
        <f ca="1"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6">
        <f ca="1">IFERROR(__xludf.DUMMYFUNCTION("""COMPUTED_VALUE"""),45839)</f>
        <v>45839</v>
      </c>
      <c r="B422" s="7">
        <f ca="1">IFERROR(__xludf.DUMMYFUNCTION("""COMPUTED_VALUE"""),45813)</f>
        <v>45813</v>
      </c>
      <c r="C422" s="1" t="str">
        <f ca="1">IFERROR(__xludf.DUMMYFUNCTION("""COMPUTED_VALUE"""),"Avocado")</f>
        <v>Avocado</v>
      </c>
      <c r="D422" s="2">
        <f ca="1">IFERROR(__xludf.DUMMYFUNCTION("""COMPUTED_VALUE"""),31.76)</f>
        <v>31.76</v>
      </c>
      <c r="E422" s="1" t="str">
        <f ca="1">IFERROR(__xludf.DUMMYFUNCTION("""COMPUTED_VALUE"""),"-")</f>
        <v>-</v>
      </c>
      <c r="F422" s="1" t="str">
        <f ca="1">IFERROR(__xludf.DUMMYFUNCTION("""COMPUTED_VALUE"""),"Avocado")</f>
        <v>Avocado</v>
      </c>
      <c r="G422" s="1" t="str">
        <f ca="1"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6">
        <f ca="1">IFERROR(__xludf.DUMMYFUNCTION("""COMPUTED_VALUE"""),45839)</f>
        <v>45839</v>
      </c>
      <c r="B423" s="7">
        <f ca="1">IFERROR(__xludf.DUMMYFUNCTION("""COMPUTED_VALUE"""),45806)</f>
        <v>45806</v>
      </c>
      <c r="C423" s="1" t="str">
        <f ca="1">IFERROR(__xludf.DUMMYFUNCTION("""COMPUTED_VALUE"""),"Est Ristorante")</f>
        <v>Est Ristorante</v>
      </c>
      <c r="D423" s="2">
        <f ca="1">IFERROR(__xludf.DUMMYFUNCTION("""COMPUTED_VALUE"""),70.74)</f>
        <v>70.739999999999995</v>
      </c>
      <c r="E423" s="1" t="str">
        <f ca="1">IFERROR(__xludf.DUMMYFUNCTION("""COMPUTED_VALUE"""),"-")</f>
        <v>-</v>
      </c>
      <c r="F423" s="1" t="str">
        <f ca="1">IFERROR(__xludf.DUMMYFUNCTION("""COMPUTED_VALUE"""),"Est Ristorante")</f>
        <v>Est Ristorante</v>
      </c>
      <c r="G423" s="1" t="str">
        <f ca="1"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6">
        <f ca="1">IFERROR(__xludf.DUMMYFUNCTION("""COMPUTED_VALUE"""),45839)</f>
        <v>45839</v>
      </c>
      <c r="B424" s="7">
        <f ca="1">IFERROR(__xludf.DUMMYFUNCTION("""COMPUTED_VALUE"""),45806)</f>
        <v>45806</v>
      </c>
      <c r="C424" s="1" t="str">
        <f ca="1">IFERROR(__xludf.DUMMYFUNCTION("""COMPUTED_VALUE"""),"Drogaria Araujo")</f>
        <v>Drogaria Araujo</v>
      </c>
      <c r="D424" s="2">
        <f ca="1">IFERROR(__xludf.DUMMYFUNCTION("""COMPUTED_VALUE"""),3.19)</f>
        <v>3.19</v>
      </c>
      <c r="E424" s="1" t="str">
        <f ca="1">IFERROR(__xludf.DUMMYFUNCTION("""COMPUTED_VALUE"""),"-")</f>
        <v>-</v>
      </c>
      <c r="F424" s="1" t="str">
        <f ca="1">IFERROR(__xludf.DUMMYFUNCTION("""COMPUTED_VALUE"""),"Drogaria Araujo")</f>
        <v>Drogaria Araujo</v>
      </c>
      <c r="G424" s="1" t="str">
        <f ca="1">IFERROR(__xludf.DUMMYFUNCTION("""COMPUTED_VALUE"""),"Farmácia")</f>
        <v>Farmácia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6">
        <f ca="1">IFERROR(__xludf.DUMMYFUNCTION("""COMPUTED_VALUE"""),45839)</f>
        <v>45839</v>
      </c>
      <c r="B425" s="7">
        <f ca="1">IFERROR(__xludf.DUMMYFUNCTION("""COMPUTED_VALUE"""),45807)</f>
        <v>45807</v>
      </c>
      <c r="C425" s="1" t="str">
        <f ca="1">IFERROR(__xludf.DUMMYFUNCTION("""COMPUTED_VALUE"""),"Espassogourmet")</f>
        <v>Espassogourmet</v>
      </c>
      <c r="D425" s="2">
        <f ca="1">IFERROR(__xludf.DUMMYFUNCTION("""COMPUTED_VALUE"""),29.9)</f>
        <v>29.9</v>
      </c>
      <c r="E425" s="1" t="str">
        <f ca="1">IFERROR(__xludf.DUMMYFUNCTION("""COMPUTED_VALUE"""),"-")</f>
        <v>-</v>
      </c>
      <c r="F425" s="1" t="str">
        <f ca="1">IFERROR(__xludf.DUMMYFUNCTION("""COMPUTED_VALUE"""),"Espassogourmet")</f>
        <v>Espassogourmet</v>
      </c>
      <c r="G425" s="1" t="str">
        <f ca="1"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6">
        <f ca="1">IFERROR(__xludf.DUMMYFUNCTION("""COMPUTED_VALUE"""),45839)</f>
        <v>45839</v>
      </c>
      <c r="B426" s="7">
        <f ca="1">IFERROR(__xludf.DUMMYFUNCTION("""COMPUTED_VALUE"""),45808)</f>
        <v>45808</v>
      </c>
      <c r="C426" s="1" t="str">
        <f ca="1">IFERROR(__xludf.DUMMYFUNCTION("""COMPUTED_VALUE"""),"My Hair Escovaria Band")</f>
        <v>My Hair Escovaria Band</v>
      </c>
      <c r="D426" s="2">
        <f ca="1">IFERROR(__xludf.DUMMYFUNCTION("""COMPUTED_VALUE"""),37)</f>
        <v>37</v>
      </c>
      <c r="E426" s="1" t="str">
        <f ca="1">IFERROR(__xludf.DUMMYFUNCTION("""COMPUTED_VALUE"""),"-")</f>
        <v>-</v>
      </c>
      <c r="F426" s="1" t="str">
        <f ca="1">IFERROR(__xludf.DUMMYFUNCTION("""COMPUTED_VALUE"""),"My Hair Escovaria Band")</f>
        <v>My Hair Escovaria Band</v>
      </c>
      <c r="G426" s="1" t="str">
        <f ca="1"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6">
        <f ca="1">IFERROR(__xludf.DUMMYFUNCTION("""COMPUTED_VALUE"""),45839)</f>
        <v>45839</v>
      </c>
      <c r="B427" s="7">
        <f ca="1">IFERROR(__xludf.DUMMYFUNCTION("""COMPUTED_VALUE"""),45810)</f>
        <v>45810</v>
      </c>
      <c r="C427" s="1" t="str">
        <f ca="1">IFERROR(__xludf.DUMMYFUNCTION("""COMPUTED_VALUE"""),"Super Nosso")</f>
        <v>Super Nosso</v>
      </c>
      <c r="D427" s="2">
        <f ca="1">IFERROR(__xludf.DUMMYFUNCTION("""COMPUTED_VALUE"""),6.99)</f>
        <v>6.99</v>
      </c>
      <c r="E427" s="1" t="str">
        <f ca="1">IFERROR(__xludf.DUMMYFUNCTION("""COMPUTED_VALUE"""),"-")</f>
        <v>-</v>
      </c>
      <c r="F427" s="1" t="str">
        <f ca="1">IFERROR(__xludf.DUMMYFUNCTION("""COMPUTED_VALUE"""),"Super Nosso")</f>
        <v>Super Nosso</v>
      </c>
      <c r="G427" s="1" t="str">
        <f ca="1"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6">
        <f ca="1">IFERROR(__xludf.DUMMYFUNCTION("""COMPUTED_VALUE"""),45839)</f>
        <v>45839</v>
      </c>
      <c r="B428" s="7">
        <f ca="1">IFERROR(__xludf.DUMMYFUNCTION("""COMPUTED_VALUE"""),45810)</f>
        <v>45810</v>
      </c>
      <c r="C428" s="1" t="str">
        <f ca="1">IFERROR(__xludf.DUMMYFUNCTION("""COMPUTED_VALUE"""),"Supermercado &amp; Padaria")</f>
        <v>Supermercado &amp; Padaria</v>
      </c>
      <c r="D428" s="2">
        <f ca="1">IFERROR(__xludf.DUMMYFUNCTION("""COMPUTED_VALUE"""),19.08)</f>
        <v>19.079999999999998</v>
      </c>
      <c r="E428" s="1" t="str">
        <f ca="1">IFERROR(__xludf.DUMMYFUNCTION("""COMPUTED_VALUE"""),"-")</f>
        <v>-</v>
      </c>
      <c r="F428" s="1" t="str">
        <f ca="1">IFERROR(__xludf.DUMMYFUNCTION("""COMPUTED_VALUE"""),"Supermercado &amp; Padaria")</f>
        <v>Supermercado &amp; Padaria</v>
      </c>
      <c r="G428" s="1" t="str">
        <f ca="1"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6">
        <f ca="1">IFERROR(__xludf.DUMMYFUNCTION("""COMPUTED_VALUE"""),45839)</f>
        <v>45839</v>
      </c>
      <c r="B429" s="7">
        <f ca="1">IFERROR(__xludf.DUMMYFUNCTION("""COMPUTED_VALUE"""),45811)</f>
        <v>45811</v>
      </c>
      <c r="C429" s="1" t="str">
        <f ca="1">IFERROR(__xludf.DUMMYFUNCTION("""COMPUTED_VALUE"""),"Droga Raia")</f>
        <v>Droga Raia</v>
      </c>
      <c r="D429" s="2">
        <f ca="1">IFERROR(__xludf.DUMMYFUNCTION("""COMPUTED_VALUE"""),14.76)</f>
        <v>14.76</v>
      </c>
      <c r="E429" s="1" t="str">
        <f ca="1">IFERROR(__xludf.DUMMYFUNCTION("""COMPUTED_VALUE"""),"-")</f>
        <v>-</v>
      </c>
      <c r="F429" s="1" t="str">
        <f ca="1">IFERROR(__xludf.DUMMYFUNCTION("""COMPUTED_VALUE"""),"Droga Raia")</f>
        <v>Droga Raia</v>
      </c>
      <c r="G429" s="1" t="str">
        <f ca="1">IFERROR(__xludf.DUMMYFUNCTION("""COMPUTED_VALUE"""),"Farmácia")</f>
        <v>Farmácia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6">
        <f ca="1">IFERROR(__xludf.DUMMYFUNCTION("""COMPUTED_VALUE"""),45839)</f>
        <v>45839</v>
      </c>
      <c r="B430" s="7">
        <f ca="1">IFERROR(__xludf.DUMMYFUNCTION("""COMPUTED_VALUE"""),45812)</f>
        <v>45812</v>
      </c>
      <c r="C430" s="1" t="str">
        <f ca="1">IFERROR(__xludf.DUMMYFUNCTION("""COMPUTED_VALUE"""),"Super Nosso")</f>
        <v>Super Nosso</v>
      </c>
      <c r="D430" s="2">
        <f ca="1">IFERROR(__xludf.DUMMYFUNCTION("""COMPUTED_VALUE"""),11.28)</f>
        <v>11.28</v>
      </c>
      <c r="E430" s="1" t="str">
        <f ca="1">IFERROR(__xludf.DUMMYFUNCTION("""COMPUTED_VALUE"""),"-")</f>
        <v>-</v>
      </c>
      <c r="F430" s="1" t="str">
        <f ca="1">IFERROR(__xludf.DUMMYFUNCTION("""COMPUTED_VALUE"""),"Super Nosso")</f>
        <v>Super Nosso</v>
      </c>
      <c r="G430" s="1" t="str">
        <f ca="1"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6">
        <f ca="1">IFERROR(__xludf.DUMMYFUNCTION("""COMPUTED_VALUE"""),45839)</f>
        <v>45839</v>
      </c>
      <c r="B431" s="7">
        <f ca="1">IFERROR(__xludf.DUMMYFUNCTION("""COMPUTED_VALUE"""),45815)</f>
        <v>45815</v>
      </c>
      <c r="C431" s="1" t="str">
        <f ca="1">IFERROR(__xludf.DUMMYFUNCTION("""COMPUTED_VALUE"""),"Sacolao Serra Verde")</f>
        <v>Sacolao Serra Verde</v>
      </c>
      <c r="D431" s="2">
        <f ca="1">IFERROR(__xludf.DUMMYFUNCTION("""COMPUTED_VALUE"""),57)</f>
        <v>57</v>
      </c>
      <c r="E431" s="1" t="str">
        <f ca="1">IFERROR(__xludf.DUMMYFUNCTION("""COMPUTED_VALUE"""),"-")</f>
        <v>-</v>
      </c>
      <c r="F431" s="1" t="str">
        <f ca="1">IFERROR(__xludf.DUMMYFUNCTION("""COMPUTED_VALUE"""),"Sacolao Serra Verde")</f>
        <v>Sacolao Serra Verde</v>
      </c>
      <c r="G431" s="1" t="str">
        <f ca="1"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6">
        <f ca="1">IFERROR(__xludf.DUMMYFUNCTION("""COMPUTED_VALUE"""),45839)</f>
        <v>45839</v>
      </c>
      <c r="B432" s="7">
        <f ca="1">IFERROR(__xludf.DUMMYFUNCTION("""COMPUTED_VALUE"""),45815)</f>
        <v>45815</v>
      </c>
      <c r="C432" s="1" t="str">
        <f ca="1">IFERROR(__xludf.DUMMYFUNCTION("""COMPUTED_VALUE"""),"Maria De Fatima Costa")</f>
        <v>Maria De Fatima Costa</v>
      </c>
      <c r="D432" s="2">
        <f ca="1">IFERROR(__xludf.DUMMYFUNCTION("""COMPUTED_VALUE"""),55)</f>
        <v>55</v>
      </c>
      <c r="E432" s="1" t="str">
        <f ca="1">IFERROR(__xludf.DUMMYFUNCTION("""COMPUTED_VALUE"""),"-")</f>
        <v>-</v>
      </c>
      <c r="F432" s="1" t="str">
        <f ca="1">IFERROR(__xludf.DUMMYFUNCTION("""COMPUTED_VALUE"""),"Maria De Fatima Costa")</f>
        <v>Maria De Fatima Costa</v>
      </c>
      <c r="G432" s="1" t="str">
        <f ca="1"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6">
        <f ca="1">IFERROR(__xludf.DUMMYFUNCTION("""COMPUTED_VALUE"""),45839)</f>
        <v>45839</v>
      </c>
      <c r="B433" s="7">
        <f ca="1">IFERROR(__xludf.DUMMYFUNCTION("""COMPUTED_VALUE"""),45816)</f>
        <v>45816</v>
      </c>
      <c r="C433" s="1" t="str">
        <f ca="1">IFERROR(__xludf.DUMMYFUNCTION("""COMPUTED_VALUE"""),"Oop Café")</f>
        <v>Oop Café</v>
      </c>
      <c r="D433" s="2">
        <f ca="1">IFERROR(__xludf.DUMMYFUNCTION("""COMPUTED_VALUE"""),26.4)</f>
        <v>26.4</v>
      </c>
      <c r="E433" s="1" t="str">
        <f ca="1">IFERROR(__xludf.DUMMYFUNCTION("""COMPUTED_VALUE"""),"-")</f>
        <v>-</v>
      </c>
      <c r="F433" s="1" t="str">
        <f ca="1">IFERROR(__xludf.DUMMYFUNCTION("""COMPUTED_VALUE"""),"Oop Café")</f>
        <v>Oop Café</v>
      </c>
      <c r="G433" s="1" t="str">
        <f ca="1"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6">
        <f ca="1">IFERROR(__xludf.DUMMYFUNCTION("""COMPUTED_VALUE"""),45839)</f>
        <v>45839</v>
      </c>
      <c r="B434" s="7">
        <f ca="1">IFERROR(__xludf.DUMMYFUNCTION("""COMPUTED_VALUE"""),45817)</f>
        <v>45817</v>
      </c>
      <c r="C434" s="1" t="str">
        <f ca="1">IFERROR(__xludf.DUMMYFUNCTION("""COMPUTED_VALUE"""),"Lojas Rede")</f>
        <v>Lojas Rede</v>
      </c>
      <c r="D434" s="2">
        <f ca="1">IFERROR(__xludf.DUMMYFUNCTION("""COMPUTED_VALUE"""),2.99)</f>
        <v>2.99</v>
      </c>
      <c r="E434" s="1" t="str">
        <f ca="1">IFERROR(__xludf.DUMMYFUNCTION("""COMPUTED_VALUE"""),"-")</f>
        <v>-</v>
      </c>
      <c r="F434" s="1" t="str">
        <f ca="1">IFERROR(__xludf.DUMMYFUNCTION("""COMPUTED_VALUE"""),"Lojas Rede")</f>
        <v>Lojas Rede</v>
      </c>
      <c r="G434" s="1" t="str">
        <f ca="1"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6">
        <f ca="1">IFERROR(__xludf.DUMMYFUNCTION("""COMPUTED_VALUE"""),45839)</f>
        <v>45839</v>
      </c>
      <c r="B435" s="7">
        <f ca="1">IFERROR(__xludf.DUMMYFUNCTION("""COMPUTED_VALUE"""),45817)</f>
        <v>45817</v>
      </c>
      <c r="C435" s="1" t="str">
        <f ca="1">IFERROR(__xludf.DUMMYFUNCTION("""COMPUTED_VALUE"""),"Depyl Action")</f>
        <v>Depyl Action</v>
      </c>
      <c r="D435" s="2">
        <f ca="1">IFERROR(__xludf.DUMMYFUNCTION("""COMPUTED_VALUE"""),119)</f>
        <v>119</v>
      </c>
      <c r="E435" s="1" t="str">
        <f ca="1">IFERROR(__xludf.DUMMYFUNCTION("""COMPUTED_VALUE"""),"-")</f>
        <v>-</v>
      </c>
      <c r="F435" s="1" t="str">
        <f ca="1">IFERROR(__xludf.DUMMYFUNCTION("""COMPUTED_VALUE"""),"Depyl Action")</f>
        <v>Depyl Action</v>
      </c>
      <c r="G435" s="1" t="str">
        <f ca="1"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6">
        <f ca="1">IFERROR(__xludf.DUMMYFUNCTION("""COMPUTED_VALUE"""),45839)</f>
        <v>45839</v>
      </c>
      <c r="B436" s="7">
        <f ca="1">IFERROR(__xludf.DUMMYFUNCTION("""COMPUTED_VALUE"""),45818)</f>
        <v>45818</v>
      </c>
      <c r="C436" s="1" t="str">
        <f ca="1">IFERROR(__xludf.DUMMYFUNCTION("""COMPUTED_VALUE"""),"L Amour Restaurante L")</f>
        <v>L Amour Restaurante L</v>
      </c>
      <c r="D436" s="2">
        <f ca="1">IFERROR(__xludf.DUMMYFUNCTION("""COMPUTED_VALUE"""),36.1)</f>
        <v>36.1</v>
      </c>
      <c r="E436" s="1" t="str">
        <f ca="1">IFERROR(__xludf.DUMMYFUNCTION("""COMPUTED_VALUE"""),"-")</f>
        <v>-</v>
      </c>
      <c r="F436" s="1" t="str">
        <f ca="1">IFERROR(__xludf.DUMMYFUNCTION("""COMPUTED_VALUE"""),"L Amour Restaurante L")</f>
        <v>L Amour Restaurante L</v>
      </c>
      <c r="G436" s="1" t="str">
        <f ca="1"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6">
        <f ca="1">IFERROR(__xludf.DUMMYFUNCTION("""COMPUTED_VALUE"""),45839)</f>
        <v>45839</v>
      </c>
      <c r="B437" s="7">
        <f ca="1">IFERROR(__xludf.DUMMYFUNCTION("""COMPUTED_VALUE"""),45832)</f>
        <v>45832</v>
      </c>
      <c r="C437" s="1" t="str">
        <f ca="1">IFERROR(__xludf.DUMMYFUNCTION("""COMPUTED_VALUE"""),"Panif Mendes Sion")</f>
        <v>Panif Mendes Sion</v>
      </c>
      <c r="D437" s="2">
        <f ca="1">IFERROR(__xludf.DUMMYFUNCTION("""COMPUTED_VALUE"""),14.47)</f>
        <v>14.47</v>
      </c>
      <c r="E437" s="1" t="str">
        <f ca="1">IFERROR(__xludf.DUMMYFUNCTION("""COMPUTED_VALUE"""),"-")</f>
        <v>-</v>
      </c>
      <c r="F437" s="1" t="str">
        <f ca="1">IFERROR(__xludf.DUMMYFUNCTION("""COMPUTED_VALUE"""),"Panif Mendes Sion")</f>
        <v>Panif Mendes Sion</v>
      </c>
      <c r="G437" s="1" t="str">
        <f ca="1"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6">
        <f ca="1">IFERROR(__xludf.DUMMYFUNCTION("""COMPUTED_VALUE"""),45870)</f>
        <v>45870</v>
      </c>
      <c r="B438" s="7">
        <f ca="1">IFERROR(__xludf.DUMMYFUNCTION("""COMPUTED_VALUE"""),45765)</f>
        <v>45765</v>
      </c>
      <c r="C438" s="1" t="str">
        <f ca="1">IFERROR(__xludf.DUMMYFUNCTION("""COMPUTED_VALUE"""),"Casas Bahia (4/10)")</f>
        <v>Casas Bahia (4/10)</v>
      </c>
      <c r="D438" s="2">
        <f ca="1">IFERROR(__xludf.DUMMYFUNCTION("""COMPUTED_VALUE"""),361.46)</f>
        <v>361.46</v>
      </c>
      <c r="E438" s="1" t="str">
        <f ca="1">IFERROR(__xludf.DUMMYFUNCTION("""COMPUTED_VALUE"""),"-")</f>
        <v>-</v>
      </c>
      <c r="F438" s="1" t="str">
        <f ca="1">IFERROR(__xludf.DUMMYFUNCTION("""COMPUTED_VALUE"""),"Casas Bahia")</f>
        <v>Casas Bahia</v>
      </c>
      <c r="G438" s="1" t="str">
        <f ca="1"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6">
        <f ca="1">IFERROR(__xludf.DUMMYFUNCTION("""COMPUTED_VALUE"""),45870)</f>
        <v>45870</v>
      </c>
      <c r="B439" s="7">
        <f ca="1">IFERROR(__xludf.DUMMYFUNCTION("""COMPUTED_VALUE"""),45818)</f>
        <v>45818</v>
      </c>
      <c r="C439" s="1" t="str">
        <f ca="1">IFERROR(__xludf.DUMMYFUNCTION("""COMPUTED_VALUE"""),"Crstina Marcia (2/10)")</f>
        <v>Crstina Marcia (2/10)</v>
      </c>
      <c r="D439" s="2">
        <f ca="1">IFERROR(__xludf.DUMMYFUNCTION("""COMPUTED_VALUE"""),696)</f>
        <v>696</v>
      </c>
      <c r="E439" s="1" t="str">
        <f ca="1">IFERROR(__xludf.DUMMYFUNCTION("""COMPUTED_VALUE"""),"-")</f>
        <v>-</v>
      </c>
      <c r="F439" s="1" t="str">
        <f ca="1">IFERROR(__xludf.DUMMYFUNCTION("""COMPUTED_VALUE"""),"Crstina Marcia")</f>
        <v>Crstina Marcia</v>
      </c>
      <c r="G439" s="1" t="str">
        <f ca="1"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6">
        <f ca="1">IFERROR(__xludf.DUMMYFUNCTION("""COMPUTED_VALUE"""),45870)</f>
        <v>45870</v>
      </c>
      <c r="B440" s="7">
        <f ca="1">IFERROR(__xludf.DUMMYFUNCTION("""COMPUTED_VALUE"""),45839)</f>
        <v>45839</v>
      </c>
      <c r="C440" s="1" t="str">
        <f ca="1">IFERROR(__xludf.DUMMYFUNCTION("""COMPUTED_VALUE"""),"Amazon (10/10)")</f>
        <v>Amazon (10/10)</v>
      </c>
      <c r="D440" s="2">
        <f ca="1">IFERROR(__xludf.DUMMYFUNCTION("""COMPUTED_VALUE"""),72.9)</f>
        <v>72.900000000000006</v>
      </c>
      <c r="E440" s="1" t="str">
        <f ca="1">IFERROR(__xludf.DUMMYFUNCTION("""COMPUTED_VALUE"""),"-")</f>
        <v>-</v>
      </c>
      <c r="F440" s="1" t="str">
        <f ca="1">IFERROR(__xludf.DUMMYFUNCTION("""COMPUTED_VALUE"""),"Amazon")</f>
        <v>Amazon</v>
      </c>
      <c r="G440" s="1" t="str">
        <f ca="1"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6">
        <f ca="1">IFERROR(__xludf.DUMMYFUNCTION("""COMPUTED_VALUE"""),45870)</f>
        <v>45870</v>
      </c>
      <c r="B441" s="7">
        <f ca="1">IFERROR(__xludf.DUMMYFUNCTION("""COMPUTED_VALUE"""),45839)</f>
        <v>45839</v>
      </c>
      <c r="C441" s="1" t="str">
        <f ca="1">IFERROR(__xludf.DUMMYFUNCTION("""COMPUTED_VALUE"""),"Amazon (9/10)")</f>
        <v>Amazon (9/10)</v>
      </c>
      <c r="D441" s="2">
        <f ca="1">IFERROR(__xludf.DUMMYFUNCTION("""COMPUTED_VALUE"""),72.9)</f>
        <v>72.900000000000006</v>
      </c>
      <c r="E441" s="1" t="str">
        <f ca="1">IFERROR(__xludf.DUMMYFUNCTION("""COMPUTED_VALUE"""),"-")</f>
        <v>-</v>
      </c>
      <c r="F441" s="1" t="str">
        <f ca="1">IFERROR(__xludf.DUMMYFUNCTION("""COMPUTED_VALUE"""),"Amazon")</f>
        <v>Amazon</v>
      </c>
      <c r="G441" s="1" t="str">
        <f ca="1"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6">
        <f ca="1">IFERROR(__xludf.DUMMYFUNCTION("""COMPUTED_VALUE"""),45870)</f>
        <v>45870</v>
      </c>
      <c r="B442" s="7">
        <f ca="1">IFERROR(__xludf.DUMMYFUNCTION("""COMPUTED_VALUE"""),45839)</f>
        <v>45839</v>
      </c>
      <c r="C442" s="1" t="str">
        <f ca="1">IFERROR(__xludf.DUMMYFUNCTION("""COMPUTED_VALUE"""),"Amazon (8/10)")</f>
        <v>Amazon (8/10)</v>
      </c>
      <c r="D442" s="2">
        <f ca="1">IFERROR(__xludf.DUMMYFUNCTION("""COMPUTED_VALUE"""),72.9)</f>
        <v>72.900000000000006</v>
      </c>
      <c r="E442" s="1" t="str">
        <f ca="1">IFERROR(__xludf.DUMMYFUNCTION("""COMPUTED_VALUE"""),"-")</f>
        <v>-</v>
      </c>
      <c r="F442" s="1" t="str">
        <f ca="1">IFERROR(__xludf.DUMMYFUNCTION("""COMPUTED_VALUE"""),"Amazon")</f>
        <v>Amazon</v>
      </c>
      <c r="G442" s="1" t="str">
        <f ca="1"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6">
        <f ca="1">IFERROR(__xludf.DUMMYFUNCTION("""COMPUTED_VALUE"""),45870)</f>
        <v>45870</v>
      </c>
      <c r="B443" s="7">
        <f ca="1">IFERROR(__xludf.DUMMYFUNCTION("""COMPUTED_VALUE"""),45839)</f>
        <v>45839</v>
      </c>
      <c r="C443" s="1" t="str">
        <f ca="1">IFERROR(__xludf.DUMMYFUNCTION("""COMPUTED_VALUE"""),"Amazon (7/10)")</f>
        <v>Amazon (7/10)</v>
      </c>
      <c r="D443" s="2">
        <f ca="1">IFERROR(__xludf.DUMMYFUNCTION("""COMPUTED_VALUE"""),72.9)</f>
        <v>72.900000000000006</v>
      </c>
      <c r="E443" s="1" t="str">
        <f ca="1">IFERROR(__xludf.DUMMYFUNCTION("""COMPUTED_VALUE"""),"-")</f>
        <v>-</v>
      </c>
      <c r="F443" s="1" t="str">
        <f ca="1">IFERROR(__xludf.DUMMYFUNCTION("""COMPUTED_VALUE"""),"Amazon")</f>
        <v>Amazon</v>
      </c>
      <c r="G443" s="1" t="str">
        <f ca="1"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6">
        <f ca="1">IFERROR(__xludf.DUMMYFUNCTION("""COMPUTED_VALUE"""),45870)</f>
        <v>45870</v>
      </c>
      <c r="B444" s="7">
        <f ca="1">IFERROR(__xludf.DUMMYFUNCTION("""COMPUTED_VALUE"""),45839)</f>
        <v>45839</v>
      </c>
      <c r="C444" s="1" t="str">
        <f ca="1">IFERROR(__xludf.DUMMYFUNCTION("""COMPUTED_VALUE"""),"Amazon (6/10)")</f>
        <v>Amazon (6/10)</v>
      </c>
      <c r="D444" s="2">
        <f ca="1">IFERROR(__xludf.DUMMYFUNCTION("""COMPUTED_VALUE"""),72.9)</f>
        <v>72.900000000000006</v>
      </c>
      <c r="E444" s="1" t="str">
        <f ca="1">IFERROR(__xludf.DUMMYFUNCTION("""COMPUTED_VALUE"""),"-")</f>
        <v>-</v>
      </c>
      <c r="F444" s="1" t="str">
        <f ca="1">IFERROR(__xludf.DUMMYFUNCTION("""COMPUTED_VALUE"""),"Amazon")</f>
        <v>Amazon</v>
      </c>
      <c r="G444" s="1" t="str">
        <f ca="1"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6">
        <f ca="1">IFERROR(__xludf.DUMMYFUNCTION("""COMPUTED_VALUE"""),45870)</f>
        <v>45870</v>
      </c>
      <c r="B445" s="7">
        <f ca="1">IFERROR(__xludf.DUMMYFUNCTION("""COMPUTED_VALUE"""),45839)</f>
        <v>45839</v>
      </c>
      <c r="C445" s="1" t="str">
        <f ca="1">IFERROR(__xludf.DUMMYFUNCTION("""COMPUTED_VALUE"""),"Amazon (5/10)")</f>
        <v>Amazon (5/10)</v>
      </c>
      <c r="D445" s="2">
        <f ca="1">IFERROR(__xludf.DUMMYFUNCTION("""COMPUTED_VALUE"""),72.9)</f>
        <v>72.900000000000006</v>
      </c>
      <c r="E445" s="1" t="str">
        <f ca="1">IFERROR(__xludf.DUMMYFUNCTION("""COMPUTED_VALUE"""),"-")</f>
        <v>-</v>
      </c>
      <c r="F445" s="1" t="str">
        <f ca="1">IFERROR(__xludf.DUMMYFUNCTION("""COMPUTED_VALUE"""),"Amazon")</f>
        <v>Amazon</v>
      </c>
      <c r="G445" s="1" t="str">
        <f ca="1"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6">
        <f ca="1">IFERROR(__xludf.DUMMYFUNCTION("""COMPUTED_VALUE"""),45870)</f>
        <v>45870</v>
      </c>
      <c r="B446" s="7">
        <f ca="1">IFERROR(__xludf.DUMMYFUNCTION("""COMPUTED_VALUE"""),45839)</f>
        <v>45839</v>
      </c>
      <c r="C446" s="1" t="str">
        <f ca="1">IFERROR(__xludf.DUMMYFUNCTION("""COMPUTED_VALUE"""),"Amazon (4/10)")</f>
        <v>Amazon (4/10)</v>
      </c>
      <c r="D446" s="2">
        <f ca="1">IFERROR(__xludf.DUMMYFUNCTION("""COMPUTED_VALUE"""),72.9)</f>
        <v>72.900000000000006</v>
      </c>
      <c r="E446" s="1" t="str">
        <f ca="1">IFERROR(__xludf.DUMMYFUNCTION("""COMPUTED_VALUE"""),"-")</f>
        <v>-</v>
      </c>
      <c r="F446" s="1" t="str">
        <f ca="1">IFERROR(__xludf.DUMMYFUNCTION("""COMPUTED_VALUE"""),"Amazon")</f>
        <v>Amazon</v>
      </c>
      <c r="G446" s="1" t="str">
        <f ca="1"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6">
        <f ca="1">IFERROR(__xludf.DUMMYFUNCTION("""COMPUTED_VALUE"""),45870)</f>
        <v>45870</v>
      </c>
      <c r="B447" s="7">
        <f ca="1">IFERROR(__xludf.DUMMYFUNCTION("""COMPUTED_VALUE"""),45839)</f>
        <v>45839</v>
      </c>
      <c r="C447" s="1" t="str">
        <f ca="1">IFERROR(__xludf.DUMMYFUNCTION("""COMPUTED_VALUE"""),"Amazon (3/10)")</f>
        <v>Amazon (3/10)</v>
      </c>
      <c r="D447" s="2">
        <f ca="1">IFERROR(__xludf.DUMMYFUNCTION("""COMPUTED_VALUE"""),72.9)</f>
        <v>72.900000000000006</v>
      </c>
      <c r="E447" s="1" t="str">
        <f ca="1">IFERROR(__xludf.DUMMYFUNCTION("""COMPUTED_VALUE"""),"-")</f>
        <v>-</v>
      </c>
      <c r="F447" s="1" t="str">
        <f ca="1">IFERROR(__xludf.DUMMYFUNCTION("""COMPUTED_VALUE"""),"Amazon")</f>
        <v>Amazon</v>
      </c>
      <c r="G447" s="1" t="str">
        <f ca="1"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6">
        <f ca="1">IFERROR(__xludf.DUMMYFUNCTION("""COMPUTED_VALUE"""),45870)</f>
        <v>45870</v>
      </c>
      <c r="B448" s="7">
        <f ca="1">IFERROR(__xludf.DUMMYFUNCTION("""COMPUTED_VALUE"""),45839)</f>
        <v>45839</v>
      </c>
      <c r="C448" s="1" t="str">
        <f ca="1">IFERROR(__xludf.DUMMYFUNCTION("""COMPUTED_VALUE"""),"Amazon (2/10)")</f>
        <v>Amazon (2/10)</v>
      </c>
      <c r="D448" s="2">
        <f ca="1">IFERROR(__xludf.DUMMYFUNCTION("""COMPUTED_VALUE"""),72.9)</f>
        <v>72.900000000000006</v>
      </c>
      <c r="E448" s="1" t="str">
        <f ca="1">IFERROR(__xludf.DUMMYFUNCTION("""COMPUTED_VALUE"""),"-")</f>
        <v>-</v>
      </c>
      <c r="F448" s="1" t="str">
        <f ca="1">IFERROR(__xludf.DUMMYFUNCTION("""COMPUTED_VALUE"""),"Amazon")</f>
        <v>Amazon</v>
      </c>
      <c r="G448" s="1" t="str">
        <f ca="1"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6">
        <f ca="1">IFERROR(__xludf.DUMMYFUNCTION("""COMPUTED_VALUE"""),45870)</f>
        <v>45870</v>
      </c>
      <c r="B449" s="7">
        <f ca="1">IFERROR(__xludf.DUMMYFUNCTION("""COMPUTED_VALUE"""),45840)</f>
        <v>45840</v>
      </c>
      <c r="C449" s="1" t="str">
        <f ca="1">IFERROR(__xludf.DUMMYFUNCTION("""COMPUTED_VALUE"""),"Panif Mendes Sion")</f>
        <v>Panif Mendes Sion</v>
      </c>
      <c r="D449" s="2">
        <f ca="1">IFERROR(__xludf.DUMMYFUNCTION("""COMPUTED_VALUE"""),7.59)</f>
        <v>7.59</v>
      </c>
      <c r="E449" s="1" t="str">
        <f ca="1">IFERROR(__xludf.DUMMYFUNCTION("""COMPUTED_VALUE"""),"-")</f>
        <v>-</v>
      </c>
      <c r="F449" s="1" t="str">
        <f ca="1">IFERROR(__xludf.DUMMYFUNCTION("""COMPUTED_VALUE"""),"Panif Mendes Sion")</f>
        <v>Panif Mendes Sion</v>
      </c>
      <c r="G449" s="1" t="str">
        <f ca="1"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6">
        <f ca="1">IFERROR(__xludf.DUMMYFUNCTION("""COMPUTED_VALUE"""),45870)</f>
        <v>45870</v>
      </c>
      <c r="B450" s="7">
        <f ca="1">IFERROR(__xludf.DUMMYFUNCTION("""COMPUTED_VALUE"""),45840)</f>
        <v>45840</v>
      </c>
      <c r="C450" s="1" t="str">
        <f ca="1">IFERROR(__xludf.DUMMYFUNCTION("""COMPUTED_VALUE"""),"Petlove (2/2)")</f>
        <v>Petlove (2/2)</v>
      </c>
      <c r="D450" s="2">
        <f ca="1">IFERROR(__xludf.DUMMYFUNCTION("""COMPUTED_VALUE"""),110.67)</f>
        <v>110.67</v>
      </c>
      <c r="E450" s="1" t="str">
        <f ca="1">IFERROR(__xludf.DUMMYFUNCTION("""COMPUTED_VALUE"""),"-")</f>
        <v>-</v>
      </c>
      <c r="F450" s="1" t="str">
        <f ca="1">IFERROR(__xludf.DUMMYFUNCTION("""COMPUTED_VALUE"""),"Petlove")</f>
        <v>Petlove</v>
      </c>
      <c r="G450" s="1" t="str">
        <f ca="1"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6">
        <f ca="1">IFERROR(__xludf.DUMMYFUNCTION("""COMPUTED_VALUE"""),45870)</f>
        <v>45870</v>
      </c>
      <c r="B451" s="7">
        <f ca="1">IFERROR(__xludf.DUMMYFUNCTION("""COMPUTED_VALUE"""),45840)</f>
        <v>45840</v>
      </c>
      <c r="C451" s="1" t="str">
        <f ca="1">IFERROR(__xludf.DUMMYFUNCTION("""COMPUTED_VALUE"""),"Petlove (1/2)")</f>
        <v>Petlove (1/2)</v>
      </c>
      <c r="D451" s="2">
        <f ca="1">IFERROR(__xludf.DUMMYFUNCTION("""COMPUTED_VALUE"""),110.68)</f>
        <v>110.68</v>
      </c>
      <c r="E451" s="1" t="str">
        <f ca="1">IFERROR(__xludf.DUMMYFUNCTION("""COMPUTED_VALUE"""),"-")</f>
        <v>-</v>
      </c>
      <c r="F451" s="1" t="str">
        <f ca="1">IFERROR(__xludf.DUMMYFUNCTION("""COMPUTED_VALUE"""),"Petlove")</f>
        <v>Petlove</v>
      </c>
      <c r="G451" s="1" t="str">
        <f ca="1"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6">
        <f ca="1">IFERROR(__xludf.DUMMYFUNCTION("""COMPUTED_VALUE"""),45870)</f>
        <v>45870</v>
      </c>
      <c r="B452" s="7">
        <f ca="1">IFERROR(__xludf.DUMMYFUNCTION("""COMPUTED_VALUE"""),45841)</f>
        <v>45841</v>
      </c>
      <c r="C452" s="1" t="str">
        <f ca="1">IFERROR(__xludf.DUMMYFUNCTION("""COMPUTED_VALUE"""),"Efc Decorações")</f>
        <v>Efc Decorações</v>
      </c>
      <c r="D452" s="2">
        <f ca="1">IFERROR(__xludf.DUMMYFUNCTION("""COMPUTED_VALUE"""),1210)</f>
        <v>1210</v>
      </c>
      <c r="E452" s="1" t="str">
        <f ca="1">IFERROR(__xludf.DUMMYFUNCTION("""COMPUTED_VALUE"""),"-")</f>
        <v>-</v>
      </c>
      <c r="F452" s="1" t="str">
        <f ca="1">IFERROR(__xludf.DUMMYFUNCTION("""COMPUTED_VALUE"""),"Efc Decorações")</f>
        <v>Efc Decorações</v>
      </c>
      <c r="G452" s="1" t="str">
        <f ca="1"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6">
        <f ca="1">IFERROR(__xludf.DUMMYFUNCTION("""COMPUTED_VALUE"""),45870)</f>
        <v>45870</v>
      </c>
      <c r="B453" s="7">
        <f ca="1">IFERROR(__xludf.DUMMYFUNCTION("""COMPUTED_VALUE"""),45841)</f>
        <v>45841</v>
      </c>
      <c r="C453" s="1" t="str">
        <f ca="1">IFERROR(__xludf.DUMMYFUNCTION("""COMPUTED_VALUE"""),"Bem Oriente")</f>
        <v>Bem Oriente</v>
      </c>
      <c r="D453" s="2">
        <f ca="1">IFERROR(__xludf.DUMMYFUNCTION("""COMPUTED_VALUE"""),50.94)</f>
        <v>50.94</v>
      </c>
      <c r="E453" s="1" t="str">
        <f ca="1">IFERROR(__xludf.DUMMYFUNCTION("""COMPUTED_VALUE"""),"-")</f>
        <v>-</v>
      </c>
      <c r="F453" s="1" t="str">
        <f ca="1">IFERROR(__xludf.DUMMYFUNCTION("""COMPUTED_VALUE"""),"Bem Oriente")</f>
        <v>Bem Oriente</v>
      </c>
      <c r="G453" s="1" t="str">
        <f ca="1"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6">
        <f ca="1">IFERROR(__xludf.DUMMYFUNCTION("""COMPUTED_VALUE"""),45870)</f>
        <v>45870</v>
      </c>
      <c r="B454" s="7">
        <f ca="1">IFERROR(__xludf.DUMMYFUNCTION("""COMPUTED_VALUE"""),45841)</f>
        <v>45841</v>
      </c>
      <c r="C454" s="1" t="str">
        <f ca="1">IFERROR(__xludf.DUMMYFUNCTION("""COMPUTED_VALUE"""),"Barnabe Emporio")</f>
        <v>Barnabe Emporio</v>
      </c>
      <c r="D454" s="2">
        <f ca="1">IFERROR(__xludf.DUMMYFUNCTION("""COMPUTED_VALUE"""),47.8)</f>
        <v>47.8</v>
      </c>
      <c r="E454" s="1" t="str">
        <f ca="1">IFERROR(__xludf.DUMMYFUNCTION("""COMPUTED_VALUE"""),"-")</f>
        <v>-</v>
      </c>
      <c r="F454" s="1" t="str">
        <f ca="1">IFERROR(__xludf.DUMMYFUNCTION("""COMPUTED_VALUE"""),"Barnabe Emporio")</f>
        <v>Barnabe Emporio</v>
      </c>
      <c r="G454" s="1" t="str">
        <f ca="1"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6">
        <f ca="1">IFERROR(__xludf.DUMMYFUNCTION("""COMPUTED_VALUE"""),45870)</f>
        <v>45870</v>
      </c>
      <c r="B455" s="7">
        <f ca="1">IFERROR(__xludf.DUMMYFUNCTION("""COMPUTED_VALUE"""),45841)</f>
        <v>45841</v>
      </c>
      <c r="C455" s="1" t="str">
        <f ca="1">IFERROR(__xludf.DUMMYFUNCTION("""COMPUTED_VALUE"""),"Bem Hortifruti")</f>
        <v>Bem Hortifruti</v>
      </c>
      <c r="D455" s="2">
        <f ca="1">IFERROR(__xludf.DUMMYFUNCTION("""COMPUTED_VALUE"""),7.44)</f>
        <v>7.44</v>
      </c>
      <c r="E455" s="1" t="str">
        <f ca="1">IFERROR(__xludf.DUMMYFUNCTION("""COMPUTED_VALUE"""),"-")</f>
        <v>-</v>
      </c>
      <c r="F455" s="1" t="str">
        <f ca="1">IFERROR(__xludf.DUMMYFUNCTION("""COMPUTED_VALUE"""),"Bem Hortifruti")</f>
        <v>Bem Hortifruti</v>
      </c>
      <c r="G455" s="1" t="str">
        <f ca="1"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6">
        <f ca="1">IFERROR(__xludf.DUMMYFUNCTION("""COMPUTED_VALUE"""),45870)</f>
        <v>45870</v>
      </c>
      <c r="B456" s="7">
        <f ca="1">IFERROR(__xludf.DUMMYFUNCTION("""COMPUTED_VALUE"""),45841)</f>
        <v>45841</v>
      </c>
      <c r="C456" s="1" t="str">
        <f ca="1">IFERROR(__xludf.DUMMYFUNCTION("""COMPUTED_VALUE"""),"Amazon")</f>
        <v>Amazon</v>
      </c>
      <c r="D456" s="2">
        <f ca="1">IFERROR(__xludf.DUMMYFUNCTION("""COMPUTED_VALUE"""),16.06)</f>
        <v>16.059999999999999</v>
      </c>
      <c r="E456" s="1" t="str">
        <f ca="1">IFERROR(__xludf.DUMMYFUNCTION("""COMPUTED_VALUE"""),"-")</f>
        <v>-</v>
      </c>
      <c r="F456" s="1" t="str">
        <f ca="1">IFERROR(__xludf.DUMMYFUNCTION("""COMPUTED_VALUE"""),"Amazon")</f>
        <v>Amazon</v>
      </c>
      <c r="G456" s="1" t="str">
        <f ca="1"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6">
        <f ca="1">IFERROR(__xludf.DUMMYFUNCTION("""COMPUTED_VALUE"""),45870)</f>
        <v>45870</v>
      </c>
      <c r="B457" s="7">
        <f ca="1">IFERROR(__xludf.DUMMYFUNCTION("""COMPUTED_VALUE"""),45843)</f>
        <v>45843</v>
      </c>
      <c r="C457" s="1" t="str">
        <f ca="1">IFERROR(__xludf.DUMMYFUNCTION("""COMPUTED_VALUE"""),"Vila Aymore")</f>
        <v>Vila Aymore</v>
      </c>
      <c r="D457" s="2">
        <f ca="1">IFERROR(__xludf.DUMMYFUNCTION("""COMPUTED_VALUE"""),210.53)</f>
        <v>210.53</v>
      </c>
      <c r="E457" s="1" t="str">
        <f ca="1">IFERROR(__xludf.DUMMYFUNCTION("""COMPUTED_VALUE"""),"-")</f>
        <v>-</v>
      </c>
      <c r="F457" s="1" t="str">
        <f ca="1">IFERROR(__xludf.DUMMYFUNCTION("""COMPUTED_VALUE"""),"Vila Aymore")</f>
        <v>Vila Aymore</v>
      </c>
      <c r="G457" s="1" t="str">
        <f ca="1"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6">
        <f ca="1">IFERROR(__xludf.DUMMYFUNCTION("""COMPUTED_VALUE"""),45870)</f>
        <v>45870</v>
      </c>
      <c r="B458" s="7">
        <f ca="1">IFERROR(__xludf.DUMMYFUNCTION("""COMPUTED_VALUE"""),45843)</f>
        <v>45843</v>
      </c>
      <c r="C458" s="1" t="str">
        <f ca="1">IFERROR(__xludf.DUMMYFUNCTION("""COMPUTED_VALUE"""),"Shopee")</f>
        <v>Shopee</v>
      </c>
      <c r="D458" s="2">
        <f ca="1">IFERROR(__xludf.DUMMYFUNCTION("""COMPUTED_VALUE"""),42.99)</f>
        <v>42.99</v>
      </c>
      <c r="E458" s="1" t="str">
        <f ca="1">IFERROR(__xludf.DUMMYFUNCTION("""COMPUTED_VALUE"""),"-")</f>
        <v>-</v>
      </c>
      <c r="F458" s="1" t="str">
        <f ca="1">IFERROR(__xludf.DUMMYFUNCTION("""COMPUTED_VALUE"""),"Shopee")</f>
        <v>Shopee</v>
      </c>
      <c r="G458" s="1" t="str">
        <f ca="1"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6">
        <f ca="1">IFERROR(__xludf.DUMMYFUNCTION("""COMPUTED_VALUE"""),45870)</f>
        <v>45870</v>
      </c>
      <c r="B459" s="7">
        <f ca="1">IFERROR(__xludf.DUMMYFUNCTION("""COMPUTED_VALUE"""),45843)</f>
        <v>45843</v>
      </c>
      <c r="C459" s="1" t="str">
        <f ca="1">IFERROR(__xludf.DUMMYFUNCTION("""COMPUTED_VALUE"""),"Sam's Club")</f>
        <v>Sam's Club</v>
      </c>
      <c r="D459" s="2">
        <f ca="1">IFERROR(__xludf.DUMMYFUNCTION("""COMPUTED_VALUE"""),516.33)</f>
        <v>516.33000000000004</v>
      </c>
      <c r="E459" s="1" t="str">
        <f ca="1">IFERROR(__xludf.DUMMYFUNCTION("""COMPUTED_VALUE"""),"-")</f>
        <v>-</v>
      </c>
      <c r="F459" s="1" t="str">
        <f ca="1">IFERROR(__xludf.DUMMYFUNCTION("""COMPUTED_VALUE"""),"Sam's Club")</f>
        <v>Sam's Club</v>
      </c>
      <c r="G459" s="1" t="str">
        <f ca="1"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6">
        <f ca="1">IFERROR(__xludf.DUMMYFUNCTION("""COMPUTED_VALUE"""),45870)</f>
        <v>45870</v>
      </c>
      <c r="B460" s="7">
        <f ca="1">IFERROR(__xludf.DUMMYFUNCTION("""COMPUTED_VALUE"""),45843)</f>
        <v>45843</v>
      </c>
      <c r="C460" s="1" t="str">
        <f ca="1">IFERROR(__xludf.DUMMYFUNCTION("""COMPUTED_VALUE"""),"Amazon")</f>
        <v>Amazon</v>
      </c>
      <c r="D460" s="2">
        <f ca="1">IFERROR(__xludf.DUMMYFUNCTION("""COMPUTED_VALUE"""),4.6)</f>
        <v>4.5999999999999996</v>
      </c>
      <c r="E460" s="1" t="str">
        <f ca="1">IFERROR(__xludf.DUMMYFUNCTION("""COMPUTED_VALUE"""),"-")</f>
        <v>-</v>
      </c>
      <c r="F460" s="1" t="str">
        <f ca="1">IFERROR(__xludf.DUMMYFUNCTION("""COMPUTED_VALUE"""),"Amazon")</f>
        <v>Amazon</v>
      </c>
      <c r="G460" s="1" t="str">
        <f ca="1"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6">
        <f ca="1">IFERROR(__xludf.DUMMYFUNCTION("""COMPUTED_VALUE"""),45870)</f>
        <v>45870</v>
      </c>
      <c r="B461" s="7">
        <f ca="1">IFERROR(__xludf.DUMMYFUNCTION("""COMPUTED_VALUE"""),45843)</f>
        <v>45843</v>
      </c>
      <c r="C461" s="1" t="str">
        <f ca="1">IFERROR(__xludf.DUMMYFUNCTION("""COMPUTED_VALUE"""),"Amazon")</f>
        <v>Amazon</v>
      </c>
      <c r="D461" s="2">
        <f ca="1">IFERROR(__xludf.DUMMYFUNCTION("""COMPUTED_VALUE"""),39.37)</f>
        <v>39.369999999999997</v>
      </c>
      <c r="E461" s="1" t="str">
        <f ca="1">IFERROR(__xludf.DUMMYFUNCTION("""COMPUTED_VALUE"""),"-")</f>
        <v>-</v>
      </c>
      <c r="F461" s="1" t="str">
        <f ca="1">IFERROR(__xludf.DUMMYFUNCTION("""COMPUTED_VALUE"""),"Amazon")</f>
        <v>Amazon</v>
      </c>
      <c r="G461" s="1" t="str">
        <f ca="1"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6">
        <f ca="1">IFERROR(__xludf.DUMMYFUNCTION("""COMPUTED_VALUE"""),45870)</f>
        <v>45870</v>
      </c>
      <c r="B462" s="7">
        <f ca="1">IFERROR(__xludf.DUMMYFUNCTION("""COMPUTED_VALUE"""),45843)</f>
        <v>45843</v>
      </c>
      <c r="C462" s="1" t="str">
        <f ca="1">IFERROR(__xludf.DUMMYFUNCTION("""COMPUTED_VALUE"""),"Amazon")</f>
        <v>Amazon</v>
      </c>
      <c r="D462" s="2">
        <f ca="1">IFERROR(__xludf.DUMMYFUNCTION("""COMPUTED_VALUE"""),36.81)</f>
        <v>36.81</v>
      </c>
      <c r="E462" s="1" t="str">
        <f ca="1">IFERROR(__xludf.DUMMYFUNCTION("""COMPUTED_VALUE"""),"-")</f>
        <v>-</v>
      </c>
      <c r="F462" s="1" t="str">
        <f ca="1">IFERROR(__xludf.DUMMYFUNCTION("""COMPUTED_VALUE"""),"Amazon")</f>
        <v>Amazon</v>
      </c>
      <c r="G462" s="1" t="str">
        <f ca="1"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6">
        <f ca="1">IFERROR(__xludf.DUMMYFUNCTION("""COMPUTED_VALUE"""),45870)</f>
        <v>45870</v>
      </c>
      <c r="B463" s="7">
        <f ca="1">IFERROR(__xludf.DUMMYFUNCTION("""COMPUTED_VALUE"""),45843)</f>
        <v>45843</v>
      </c>
      <c r="C463" s="1" t="str">
        <f ca="1">IFERROR(__xludf.DUMMYFUNCTION("""COMPUTED_VALUE"""),"Amazon")</f>
        <v>Amazon</v>
      </c>
      <c r="D463" s="2">
        <f ca="1">IFERROR(__xludf.DUMMYFUNCTION("""COMPUTED_VALUE"""),36.81)</f>
        <v>36.81</v>
      </c>
      <c r="E463" s="1" t="str">
        <f ca="1">IFERROR(__xludf.DUMMYFUNCTION("""COMPUTED_VALUE"""),"-")</f>
        <v>-</v>
      </c>
      <c r="F463" s="1" t="str">
        <f ca="1">IFERROR(__xludf.DUMMYFUNCTION("""COMPUTED_VALUE"""),"Amazon")</f>
        <v>Amazon</v>
      </c>
      <c r="G463" s="1" t="str">
        <f ca="1"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6">
        <f ca="1">IFERROR(__xludf.DUMMYFUNCTION("""COMPUTED_VALUE"""),45870)</f>
        <v>45870</v>
      </c>
      <c r="B464" s="7">
        <f ca="1">IFERROR(__xludf.DUMMYFUNCTION("""COMPUTED_VALUE"""),45844)</f>
        <v>45844</v>
      </c>
      <c r="C464" s="1" t="str">
        <f ca="1">IFERROR(__xludf.DUMMYFUNCTION("""COMPUTED_VALUE"""),"Panif Mendes Sion")</f>
        <v>Panif Mendes Sion</v>
      </c>
      <c r="D464" s="2">
        <f ca="1">IFERROR(__xludf.DUMMYFUNCTION("""COMPUTED_VALUE"""),9.9)</f>
        <v>9.9</v>
      </c>
      <c r="E464" s="1" t="str">
        <f ca="1">IFERROR(__xludf.DUMMYFUNCTION("""COMPUTED_VALUE"""),"-")</f>
        <v>-</v>
      </c>
      <c r="F464" s="1" t="str">
        <f ca="1">IFERROR(__xludf.DUMMYFUNCTION("""COMPUTED_VALUE"""),"Panif Mendes Sion")</f>
        <v>Panif Mendes Sion</v>
      </c>
      <c r="G464" s="1" t="str">
        <f ca="1"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6">
        <f ca="1">IFERROR(__xludf.DUMMYFUNCTION("""COMPUTED_VALUE"""),45870)</f>
        <v>45870</v>
      </c>
      <c r="B465" s="7">
        <f ca="1">IFERROR(__xludf.DUMMYFUNCTION("""COMPUTED_VALUE"""),45844)</f>
        <v>45844</v>
      </c>
      <c r="C465" s="1" t="str">
        <f ca="1">IFERROR(__xludf.DUMMYFUNCTION("""COMPUTED_VALUE"""),"Amazon")</f>
        <v>Amazon</v>
      </c>
      <c r="D465" s="2">
        <f ca="1">IFERROR(__xludf.DUMMYFUNCTION("""COMPUTED_VALUE"""),32.43)</f>
        <v>32.43</v>
      </c>
      <c r="E465" s="1" t="str">
        <f ca="1">IFERROR(__xludf.DUMMYFUNCTION("""COMPUTED_VALUE"""),"-")</f>
        <v>-</v>
      </c>
      <c r="F465" s="1" t="str">
        <f ca="1">IFERROR(__xludf.DUMMYFUNCTION("""COMPUTED_VALUE"""),"Amazon")</f>
        <v>Amazon</v>
      </c>
      <c r="G465" s="1" t="str">
        <f ca="1"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6">
        <f ca="1">IFERROR(__xludf.DUMMYFUNCTION("""COMPUTED_VALUE"""),45870)</f>
        <v>45870</v>
      </c>
      <c r="B466" s="7">
        <f ca="1">IFERROR(__xludf.DUMMYFUNCTION("""COMPUTED_VALUE"""),45845)</f>
        <v>45845</v>
      </c>
      <c r="C466" s="1" t="str">
        <f ca="1">IFERROR(__xludf.DUMMYFUNCTION("""COMPUTED_VALUE"""),"Supermercado Epa")</f>
        <v>Supermercado Epa</v>
      </c>
      <c r="D466" s="2">
        <f ca="1">IFERROR(__xludf.DUMMYFUNCTION("""COMPUTED_VALUE"""),26.46)</f>
        <v>26.46</v>
      </c>
      <c r="E466" s="1" t="str">
        <f ca="1">IFERROR(__xludf.DUMMYFUNCTION("""COMPUTED_VALUE"""),"-")</f>
        <v>-</v>
      </c>
      <c r="F466" s="1" t="str">
        <f ca="1">IFERROR(__xludf.DUMMYFUNCTION("""COMPUTED_VALUE"""),"Supermercado Epa")</f>
        <v>Supermercado Epa</v>
      </c>
      <c r="G466" s="1" t="str">
        <f ca="1"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6">
        <f ca="1">IFERROR(__xludf.DUMMYFUNCTION("""COMPUTED_VALUE"""),45870)</f>
        <v>45870</v>
      </c>
      <c r="B467" s="7">
        <f ca="1">IFERROR(__xludf.DUMMYFUNCTION("""COMPUTED_VALUE"""),45845)</f>
        <v>45845</v>
      </c>
      <c r="C467" s="1" t="str">
        <f ca="1">IFERROR(__xludf.DUMMYFUNCTION("""COMPUTED_VALUE"""),"Shopee")</f>
        <v>Shopee</v>
      </c>
      <c r="D467" s="2">
        <f ca="1">IFERROR(__xludf.DUMMYFUNCTION("""COMPUTED_VALUE"""),29.5)</f>
        <v>29.5</v>
      </c>
      <c r="E467" s="1" t="str">
        <f ca="1">IFERROR(__xludf.DUMMYFUNCTION("""COMPUTED_VALUE"""),"-")</f>
        <v>-</v>
      </c>
      <c r="F467" s="1" t="str">
        <f ca="1">IFERROR(__xludf.DUMMYFUNCTION("""COMPUTED_VALUE"""),"Shopee")</f>
        <v>Shopee</v>
      </c>
      <c r="G467" s="1" t="str">
        <f ca="1"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6">
        <f ca="1">IFERROR(__xludf.DUMMYFUNCTION("""COMPUTED_VALUE"""),45870)</f>
        <v>45870</v>
      </c>
      <c r="B468" s="7">
        <f ca="1">IFERROR(__xludf.DUMMYFUNCTION("""COMPUTED_VALUE"""),45846)</f>
        <v>45846</v>
      </c>
      <c r="C468" s="1" t="str">
        <f ca="1">IFERROR(__xludf.DUMMYFUNCTION("""COMPUTED_VALUE"""),"Drogaria Araujo")</f>
        <v>Drogaria Araujo</v>
      </c>
      <c r="D468" s="2">
        <f ca="1">IFERROR(__xludf.DUMMYFUNCTION("""COMPUTED_VALUE"""),49.58)</f>
        <v>49.58</v>
      </c>
      <c r="E468" s="1" t="str">
        <f ca="1">IFERROR(__xludf.DUMMYFUNCTION("""COMPUTED_VALUE"""),"-")</f>
        <v>-</v>
      </c>
      <c r="F468" s="1" t="str">
        <f ca="1">IFERROR(__xludf.DUMMYFUNCTION("""COMPUTED_VALUE"""),"Drogaria Araujo")</f>
        <v>Drogaria Araujo</v>
      </c>
      <c r="G468" s="1" t="str">
        <f ca="1">IFERROR(__xludf.DUMMYFUNCTION("""COMPUTED_VALUE"""),"Farmácia")</f>
        <v>Farmácia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6">
        <f ca="1">IFERROR(__xludf.DUMMYFUNCTION("""COMPUTED_VALUE"""),45870)</f>
        <v>45870</v>
      </c>
      <c r="B469" s="7">
        <f ca="1">IFERROR(__xludf.DUMMYFUNCTION("""COMPUTED_VALUE"""),45847)</f>
        <v>45847</v>
      </c>
      <c r="C469" s="1" t="str">
        <f ca="1">IFERROR(__xludf.DUMMYFUNCTION("""COMPUTED_VALUE"""),"Drogaria Araujo")</f>
        <v>Drogaria Araujo</v>
      </c>
      <c r="D469" s="2">
        <f ca="1">IFERROR(__xludf.DUMMYFUNCTION("""COMPUTED_VALUE"""),7.32)</f>
        <v>7.32</v>
      </c>
      <c r="E469" s="1" t="str">
        <f ca="1">IFERROR(__xludf.DUMMYFUNCTION("""COMPUTED_VALUE"""),"-")</f>
        <v>-</v>
      </c>
      <c r="F469" s="1" t="str">
        <f ca="1">IFERROR(__xludf.DUMMYFUNCTION("""COMPUTED_VALUE"""),"Drogaria Araujo")</f>
        <v>Drogaria Araujo</v>
      </c>
      <c r="G469" s="1" t="str">
        <f ca="1">IFERROR(__xludf.DUMMYFUNCTION("""COMPUTED_VALUE"""),"Farmácia")</f>
        <v>Farmácia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6">
        <f ca="1">IFERROR(__xludf.DUMMYFUNCTION("""COMPUTED_VALUE"""),45870)</f>
        <v>45870</v>
      </c>
      <c r="B470" s="7">
        <f ca="1">IFERROR(__xludf.DUMMYFUNCTION("""COMPUTED_VALUE"""),45848)</f>
        <v>45848</v>
      </c>
      <c r="C470" s="1" t="str">
        <f ca="1">IFERROR(__xludf.DUMMYFUNCTION("""COMPUTED_VALUE"""),"Shopee")</f>
        <v>Shopee</v>
      </c>
      <c r="D470" s="2">
        <f ca="1">IFERROR(__xludf.DUMMYFUNCTION("""COMPUTED_VALUE"""),13.29)</f>
        <v>13.29</v>
      </c>
      <c r="E470" s="1" t="str">
        <f ca="1">IFERROR(__xludf.DUMMYFUNCTION("""COMPUTED_VALUE"""),"-")</f>
        <v>-</v>
      </c>
      <c r="F470" s="1" t="str">
        <f ca="1">IFERROR(__xludf.DUMMYFUNCTION("""COMPUTED_VALUE"""),"Shopee")</f>
        <v>Shopee</v>
      </c>
      <c r="G470" s="1" t="str">
        <f ca="1"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6">
        <f ca="1">IFERROR(__xludf.DUMMYFUNCTION("""COMPUTED_VALUE"""),45870)</f>
        <v>45870</v>
      </c>
      <c r="B471" s="7">
        <f ca="1">IFERROR(__xludf.DUMMYFUNCTION("""COMPUTED_VALUE"""),45848)</f>
        <v>45848</v>
      </c>
      <c r="C471" s="1" t="str">
        <f ca="1">IFERROR(__xludf.DUMMYFUNCTION("""COMPUTED_VALUE"""),"Amazon")</f>
        <v>Amazon</v>
      </c>
      <c r="D471" s="2">
        <f ca="1">IFERROR(__xludf.DUMMYFUNCTION("""COMPUTED_VALUE"""),32.36)</f>
        <v>32.36</v>
      </c>
      <c r="E471" s="1" t="str">
        <f ca="1">IFERROR(__xludf.DUMMYFUNCTION("""COMPUTED_VALUE"""),"-")</f>
        <v>-</v>
      </c>
      <c r="F471" s="1" t="str">
        <f ca="1">IFERROR(__xludf.DUMMYFUNCTION("""COMPUTED_VALUE"""),"Amazon")</f>
        <v>Amazon</v>
      </c>
      <c r="G471" s="1" t="str">
        <f ca="1"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6">
        <f ca="1">IFERROR(__xludf.DUMMYFUNCTION("""COMPUTED_VALUE"""),45870)</f>
        <v>45870</v>
      </c>
      <c r="B472" s="7">
        <f ca="1">IFERROR(__xludf.DUMMYFUNCTION("""COMPUTED_VALUE"""),45848)</f>
        <v>45848</v>
      </c>
      <c r="C472" s="1" t="str">
        <f ca="1">IFERROR(__xludf.DUMMYFUNCTION("""COMPUTED_VALUE"""),"Choky Confeitaria")</f>
        <v>Choky Confeitaria</v>
      </c>
      <c r="D472" s="2">
        <f ca="1">IFERROR(__xludf.DUMMYFUNCTION("""COMPUTED_VALUE"""),54)</f>
        <v>54</v>
      </c>
      <c r="E472" s="1" t="str">
        <f ca="1">IFERROR(__xludf.DUMMYFUNCTION("""COMPUTED_VALUE"""),"-")</f>
        <v>-</v>
      </c>
      <c r="F472" s="1" t="str">
        <f ca="1">IFERROR(__xludf.DUMMYFUNCTION("""COMPUTED_VALUE"""),"Choky Confeitaria")</f>
        <v>Choky Confeitaria</v>
      </c>
      <c r="G472" s="1" t="str">
        <f ca="1"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6">
        <f ca="1">IFERROR(__xludf.DUMMYFUNCTION("""COMPUTED_VALUE"""),45870)</f>
        <v>45870</v>
      </c>
      <c r="B473" s="7">
        <f ca="1">IFERROR(__xludf.DUMMYFUNCTION("""COMPUTED_VALUE"""),45848)</f>
        <v>45848</v>
      </c>
      <c r="C473" s="1" t="str">
        <f ca="1">IFERROR(__xludf.DUMMYFUNCTION("""COMPUTED_VALUE"""),"Rizzo Horizonte")</f>
        <v>Rizzo Horizonte</v>
      </c>
      <c r="D473" s="2">
        <f ca="1">IFERROR(__xludf.DUMMYFUNCTION("""COMPUTED_VALUE"""),54.5)</f>
        <v>54.5</v>
      </c>
      <c r="E473" s="1" t="str">
        <f ca="1">IFERROR(__xludf.DUMMYFUNCTION("""COMPUTED_VALUE"""),"-")</f>
        <v>-</v>
      </c>
      <c r="F473" s="1" t="str">
        <f ca="1">IFERROR(__xludf.DUMMYFUNCTION("""COMPUTED_VALUE"""),"Rizzo Horizonte")</f>
        <v>Rizzo Horizonte</v>
      </c>
      <c r="G473" s="1" t="str">
        <f ca="1"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6">
        <f ca="1">IFERROR(__xludf.DUMMYFUNCTION("""COMPUTED_VALUE"""),45870)</f>
        <v>45870</v>
      </c>
      <c r="B474" s="7">
        <f ca="1">IFERROR(__xludf.DUMMYFUNCTION("""COMPUTED_VALUE"""),45848)</f>
        <v>45848</v>
      </c>
      <c r="C474" s="1" t="str">
        <f ca="1">IFERROR(__xludf.DUMMYFUNCTION("""COMPUTED_VALUE"""),"Rizzo Horizonte")</f>
        <v>Rizzo Horizonte</v>
      </c>
      <c r="D474" s="2">
        <f ca="1">IFERROR(__xludf.DUMMYFUNCTION("""COMPUTED_VALUE"""),25.9)</f>
        <v>25.9</v>
      </c>
      <c r="E474" s="1" t="str">
        <f ca="1">IFERROR(__xludf.DUMMYFUNCTION("""COMPUTED_VALUE"""),"-")</f>
        <v>-</v>
      </c>
      <c r="F474" s="1" t="str">
        <f ca="1">IFERROR(__xludf.DUMMYFUNCTION("""COMPUTED_VALUE"""),"Rizzo Horizonte")</f>
        <v>Rizzo Horizonte</v>
      </c>
      <c r="G474" s="1" t="str">
        <f ca="1"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6">
        <f ca="1">IFERROR(__xludf.DUMMYFUNCTION("""COMPUTED_VALUE"""),45870)</f>
        <v>45870</v>
      </c>
      <c r="B475" s="7">
        <f ca="1">IFERROR(__xludf.DUMMYFUNCTION("""COMPUTED_VALUE"""),45848)</f>
        <v>45848</v>
      </c>
      <c r="C475" s="1" t="str">
        <f ca="1">IFERROR(__xludf.DUMMYFUNCTION("""COMPUTED_VALUE"""),"Spotify")</f>
        <v>Spotify</v>
      </c>
      <c r="D475" s="2">
        <f ca="1">IFERROR(__xludf.DUMMYFUNCTION("""COMPUTED_VALUE"""),34.9)</f>
        <v>34.9</v>
      </c>
      <c r="E475" s="1" t="str">
        <f ca="1">IFERROR(__xludf.DUMMYFUNCTION("""COMPUTED_VALUE"""),"-")</f>
        <v>-</v>
      </c>
      <c r="F475" s="1" t="str">
        <f ca="1">IFERROR(__xludf.DUMMYFUNCTION("""COMPUTED_VALUE"""),"Spotify")</f>
        <v>Spotify</v>
      </c>
      <c r="G475" s="1" t="str">
        <f ca="1"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6">
        <f ca="1">IFERROR(__xludf.DUMMYFUNCTION("""COMPUTED_VALUE"""),45870)</f>
        <v>45870</v>
      </c>
      <c r="B476" s="7">
        <f ca="1">IFERROR(__xludf.DUMMYFUNCTION("""COMPUTED_VALUE"""),45848)</f>
        <v>45848</v>
      </c>
      <c r="C476" s="1" t="str">
        <f ca="1">IFERROR(__xludf.DUMMYFUNCTION("""COMPUTED_VALUE"""),"Shopee")</f>
        <v>Shopee</v>
      </c>
      <c r="D476" s="2">
        <f ca="1">IFERROR(__xludf.DUMMYFUNCTION("""COMPUTED_VALUE"""),32.89)</f>
        <v>32.89</v>
      </c>
      <c r="E476" s="1" t="str">
        <f ca="1">IFERROR(__xludf.DUMMYFUNCTION("""COMPUTED_VALUE"""),"-")</f>
        <v>-</v>
      </c>
      <c r="F476" s="1" t="str">
        <f ca="1">IFERROR(__xludf.DUMMYFUNCTION("""COMPUTED_VALUE"""),"Shopee")</f>
        <v>Shopee</v>
      </c>
      <c r="G476" s="1" t="str">
        <f ca="1"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6">
        <f ca="1">IFERROR(__xludf.DUMMYFUNCTION("""COMPUTED_VALUE"""),45870)</f>
        <v>45870</v>
      </c>
      <c r="B477" s="7">
        <f ca="1">IFERROR(__xludf.DUMMYFUNCTION("""COMPUTED_VALUE"""),45849)</f>
        <v>45849</v>
      </c>
      <c r="C477" s="1" t="str">
        <f ca="1">IFERROR(__xludf.DUMMYFUNCTION("""COMPUTED_VALUE"""),"Amazon Digital Br")</f>
        <v>Amazon Digital Br</v>
      </c>
      <c r="D477" s="2">
        <f ca="1">IFERROR(__xludf.DUMMYFUNCTION("""COMPUTED_VALUE"""),17.06)</f>
        <v>17.059999999999999</v>
      </c>
      <c r="E477" s="1" t="str">
        <f ca="1">IFERROR(__xludf.DUMMYFUNCTION("""COMPUTED_VALUE"""),"-")</f>
        <v>-</v>
      </c>
      <c r="F477" s="1" t="str">
        <f ca="1">IFERROR(__xludf.DUMMYFUNCTION("""COMPUTED_VALUE"""),"Amazon Digital Br")</f>
        <v>Amazon Digital Br</v>
      </c>
      <c r="G477" s="1" t="str">
        <f ca="1"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6">
        <f ca="1">IFERROR(__xludf.DUMMYFUNCTION("""COMPUTED_VALUE"""),45870)</f>
        <v>45870</v>
      </c>
      <c r="B478" s="7">
        <f ca="1">IFERROR(__xludf.DUMMYFUNCTION("""COMPUTED_VALUE"""),45850)</f>
        <v>45850</v>
      </c>
      <c r="C478" s="1" t="str">
        <f ca="1">IFERROR(__xludf.DUMMYFUNCTION("""COMPUTED_VALUE"""),"Aml Panificadora")</f>
        <v>Aml Panificadora</v>
      </c>
      <c r="D478" s="2">
        <f ca="1">IFERROR(__xludf.DUMMYFUNCTION("""COMPUTED_VALUE"""),31.75)</f>
        <v>31.75</v>
      </c>
      <c r="E478" s="1" t="str">
        <f ca="1">IFERROR(__xludf.DUMMYFUNCTION("""COMPUTED_VALUE"""),"-")</f>
        <v>-</v>
      </c>
      <c r="F478" s="1" t="str">
        <f ca="1">IFERROR(__xludf.DUMMYFUNCTION("""COMPUTED_VALUE"""),"Aml Panificadora")</f>
        <v>Aml Panificadora</v>
      </c>
      <c r="G478" s="1" t="str">
        <f ca="1"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6">
        <f ca="1">IFERROR(__xludf.DUMMYFUNCTION("""COMPUTED_VALUE"""),45870)</f>
        <v>45870</v>
      </c>
      <c r="B479" s="7">
        <f ca="1">IFERROR(__xludf.DUMMYFUNCTION("""COMPUTED_VALUE"""),45850)</f>
        <v>45850</v>
      </c>
      <c r="C479" s="1" t="str">
        <f ca="1">IFERROR(__xludf.DUMMYFUNCTION("""COMPUTED_VALUE"""),"Amazon")</f>
        <v>Amazon</v>
      </c>
      <c r="D479" s="2">
        <f ca="1">IFERROR(__xludf.DUMMYFUNCTION("""COMPUTED_VALUE"""),21.9)</f>
        <v>21.9</v>
      </c>
      <c r="E479" s="1" t="str">
        <f ca="1">IFERROR(__xludf.DUMMYFUNCTION("""COMPUTED_VALUE"""),"-")</f>
        <v>-</v>
      </c>
      <c r="F479" s="1" t="str">
        <f ca="1">IFERROR(__xludf.DUMMYFUNCTION("""COMPUTED_VALUE"""),"Amazon")</f>
        <v>Amazon</v>
      </c>
      <c r="G479" s="1" t="str">
        <f ca="1"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6">
        <f ca="1">IFERROR(__xludf.DUMMYFUNCTION("""COMPUTED_VALUE"""),45870)</f>
        <v>45870</v>
      </c>
      <c r="B480" s="7">
        <f ca="1">IFERROR(__xludf.DUMMYFUNCTION("""COMPUTED_VALUE"""),45850)</f>
        <v>45850</v>
      </c>
      <c r="C480" s="1" t="str">
        <f ca="1">IFERROR(__xludf.DUMMYFUNCTION("""COMPUTED_VALUE"""),"B1 Sist Ester De Lima")</f>
        <v>B1 Sist Ester De Lima</v>
      </c>
      <c r="D480" s="2">
        <f ca="1">IFERROR(__xludf.DUMMYFUNCTION("""COMPUTED_VALUE"""),279.57)</f>
        <v>279.57</v>
      </c>
      <c r="E480" s="1" t="str">
        <f ca="1">IFERROR(__xludf.DUMMYFUNCTION("""COMPUTED_VALUE"""),"-")</f>
        <v>-</v>
      </c>
      <c r="F480" s="1" t="str">
        <f ca="1">IFERROR(__xludf.DUMMYFUNCTION("""COMPUTED_VALUE"""),"B1 Sist Ester De Lima")</f>
        <v>B1 Sist Ester De Lima</v>
      </c>
      <c r="G480" s="1" t="str">
        <f ca="1"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6">
        <f ca="1">IFERROR(__xludf.DUMMYFUNCTION("""COMPUTED_VALUE"""),45870)</f>
        <v>45870</v>
      </c>
      <c r="B481" s="7">
        <f ca="1">IFERROR(__xludf.DUMMYFUNCTION("""COMPUTED_VALUE"""),45850)</f>
        <v>45850</v>
      </c>
      <c r="C481" s="1" t="str">
        <f ca="1">IFERROR(__xludf.DUMMYFUNCTION("""COMPUTED_VALUE"""),"Supermercado &amp; Padaria")</f>
        <v>Supermercado &amp; Padaria</v>
      </c>
      <c r="D481" s="2">
        <f ca="1">IFERROR(__xludf.DUMMYFUNCTION("""COMPUTED_VALUE"""),197.48)</f>
        <v>197.48</v>
      </c>
      <c r="E481" s="1" t="str">
        <f ca="1">IFERROR(__xludf.DUMMYFUNCTION("""COMPUTED_VALUE"""),"-")</f>
        <v>-</v>
      </c>
      <c r="F481" s="1" t="str">
        <f ca="1">IFERROR(__xludf.DUMMYFUNCTION("""COMPUTED_VALUE"""),"Supermercado &amp; Padaria")</f>
        <v>Supermercado &amp; Padaria</v>
      </c>
      <c r="G481" s="1" t="str">
        <f ca="1"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6">
        <f ca="1">IFERROR(__xludf.DUMMYFUNCTION("""COMPUTED_VALUE"""),45870)</f>
        <v>45870</v>
      </c>
      <c r="B482" s="7">
        <f ca="1">IFERROR(__xludf.DUMMYFUNCTION("""COMPUTED_VALUE"""),45850)</f>
        <v>45850</v>
      </c>
      <c r="C482" s="1" t="str">
        <f ca="1">IFERROR(__xludf.DUMMYFUNCTION("""COMPUTED_VALUE"""),"Barnabe Emporio")</f>
        <v>Barnabe Emporio</v>
      </c>
      <c r="D482" s="2">
        <f ca="1">IFERROR(__xludf.DUMMYFUNCTION("""COMPUTED_VALUE"""),77.7)</f>
        <v>77.7</v>
      </c>
      <c r="E482" s="1" t="str">
        <f ca="1">IFERROR(__xludf.DUMMYFUNCTION("""COMPUTED_VALUE"""),"-")</f>
        <v>-</v>
      </c>
      <c r="F482" s="1" t="str">
        <f ca="1">IFERROR(__xludf.DUMMYFUNCTION("""COMPUTED_VALUE"""),"Barnabe Emporio")</f>
        <v>Barnabe Emporio</v>
      </c>
      <c r="G482" s="1" t="str">
        <f ca="1"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6">
        <f ca="1">IFERROR(__xludf.DUMMYFUNCTION("""COMPUTED_VALUE"""),45870)</f>
        <v>45870</v>
      </c>
      <c r="B483" s="7">
        <f ca="1">IFERROR(__xludf.DUMMYFUNCTION("""COMPUTED_VALUE"""),45850)</f>
        <v>45850</v>
      </c>
      <c r="C483" s="1" t="str">
        <f ca="1">IFERROR(__xludf.DUMMYFUNCTION("""COMPUTED_VALUE"""),"Golden Pet")</f>
        <v>Golden Pet</v>
      </c>
      <c r="D483" s="2">
        <f ca="1">IFERROR(__xludf.DUMMYFUNCTION("""COMPUTED_VALUE"""),68)</f>
        <v>68</v>
      </c>
      <c r="E483" s="1" t="str">
        <f ca="1">IFERROR(__xludf.DUMMYFUNCTION("""COMPUTED_VALUE"""),"-")</f>
        <v>-</v>
      </c>
      <c r="F483" s="1" t="str">
        <f ca="1">IFERROR(__xludf.DUMMYFUNCTION("""COMPUTED_VALUE"""),"Golden Pet")</f>
        <v>Golden Pet</v>
      </c>
      <c r="G483" s="1" t="str">
        <f ca="1"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6">
        <f ca="1">IFERROR(__xludf.DUMMYFUNCTION("""COMPUTED_VALUE"""),45870)</f>
        <v>45870</v>
      </c>
      <c r="B484" s="7">
        <f ca="1">IFERROR(__xludf.DUMMYFUNCTION("""COMPUTED_VALUE"""),45850)</f>
        <v>45850</v>
      </c>
      <c r="C484" s="1" t="str">
        <f ca="1">IFERROR(__xludf.DUMMYFUNCTION("""COMPUTED_VALUE"""),"Amazon")</f>
        <v>Amazon</v>
      </c>
      <c r="D484" s="2">
        <f ca="1">IFERROR(__xludf.DUMMYFUNCTION("""COMPUTED_VALUE"""),104.76)</f>
        <v>104.76</v>
      </c>
      <c r="E484" s="1" t="str">
        <f ca="1">IFERROR(__xludf.DUMMYFUNCTION("""COMPUTED_VALUE"""),"-")</f>
        <v>-</v>
      </c>
      <c r="F484" s="1" t="str">
        <f ca="1">IFERROR(__xludf.DUMMYFUNCTION("""COMPUTED_VALUE"""),"Amazon")</f>
        <v>Amazon</v>
      </c>
      <c r="G484" s="1" t="str">
        <f ca="1"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6">
        <f ca="1">IFERROR(__xludf.DUMMYFUNCTION("""COMPUTED_VALUE"""),45870)</f>
        <v>45870</v>
      </c>
      <c r="B485" s="7">
        <f ca="1">IFERROR(__xludf.DUMMYFUNCTION("""COMPUTED_VALUE"""),45850)</f>
        <v>45850</v>
      </c>
      <c r="C485" s="1" t="str">
        <f ca="1">IFERROR(__xludf.DUMMYFUNCTION("""COMPUTED_VALUE"""),"Amazon")</f>
        <v>Amazon</v>
      </c>
      <c r="D485" s="2">
        <f ca="1">IFERROR(__xludf.DUMMYFUNCTION("""COMPUTED_VALUE"""),99.99)</f>
        <v>99.99</v>
      </c>
      <c r="E485" s="1" t="str">
        <f ca="1">IFERROR(__xludf.DUMMYFUNCTION("""COMPUTED_VALUE"""),"-")</f>
        <v>-</v>
      </c>
      <c r="F485" s="1" t="str">
        <f ca="1">IFERROR(__xludf.DUMMYFUNCTION("""COMPUTED_VALUE"""),"Amazon")</f>
        <v>Amazon</v>
      </c>
      <c r="G485" s="1" t="str">
        <f ca="1"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6">
        <f ca="1">IFERROR(__xludf.DUMMYFUNCTION("""COMPUTED_VALUE"""),45870)</f>
        <v>45870</v>
      </c>
      <c r="B486" s="7">
        <f ca="1">IFERROR(__xludf.DUMMYFUNCTION("""COMPUTED_VALUE"""),45851)</f>
        <v>45851</v>
      </c>
      <c r="C486" s="1" t="str">
        <f ca="1">IFERROR(__xludf.DUMMYFUNCTION("""COMPUTED_VALUE"""),"Amazon")</f>
        <v>Amazon</v>
      </c>
      <c r="D486" s="2">
        <f ca="1">IFERROR(__xludf.DUMMYFUNCTION("""COMPUTED_VALUE"""),22.79)</f>
        <v>22.79</v>
      </c>
      <c r="E486" s="1" t="str">
        <f ca="1">IFERROR(__xludf.DUMMYFUNCTION("""COMPUTED_VALUE"""),"-")</f>
        <v>-</v>
      </c>
      <c r="F486" s="1" t="str">
        <f ca="1">IFERROR(__xludf.DUMMYFUNCTION("""COMPUTED_VALUE"""),"Amazon")</f>
        <v>Amazon</v>
      </c>
      <c r="G486" s="1" t="str">
        <f ca="1"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6">
        <f ca="1">IFERROR(__xludf.DUMMYFUNCTION("""COMPUTED_VALUE"""),45870)</f>
        <v>45870</v>
      </c>
      <c r="B487" s="7">
        <f ca="1">IFERROR(__xludf.DUMMYFUNCTION("""COMPUTED_VALUE"""),45851)</f>
        <v>45851</v>
      </c>
      <c r="C487" s="1" t="str">
        <f ca="1">IFERROR(__xludf.DUMMYFUNCTION("""COMPUTED_VALUE"""),"Letrefarine")</f>
        <v>Letrefarine</v>
      </c>
      <c r="D487" s="2">
        <f ca="1">IFERROR(__xludf.DUMMYFUNCTION("""COMPUTED_VALUE"""),154)</f>
        <v>154</v>
      </c>
      <c r="E487" s="1" t="str">
        <f ca="1">IFERROR(__xludf.DUMMYFUNCTION("""COMPUTED_VALUE"""),"-")</f>
        <v>-</v>
      </c>
      <c r="F487" s="1" t="str">
        <f ca="1">IFERROR(__xludf.DUMMYFUNCTION("""COMPUTED_VALUE"""),"Letrefarine")</f>
        <v>Letrefarine</v>
      </c>
      <c r="G487" s="1" t="str">
        <f ca="1"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6">
        <f ca="1">IFERROR(__xludf.DUMMYFUNCTION("""COMPUTED_VALUE"""),45870)</f>
        <v>45870</v>
      </c>
      <c r="B488" s="7">
        <f ca="1">IFERROR(__xludf.DUMMYFUNCTION("""COMPUTED_VALUE"""),45852)</f>
        <v>45852</v>
      </c>
      <c r="C488" s="1" t="str">
        <f ca="1">IFERROR(__xludf.DUMMYFUNCTION("""COMPUTED_VALUE"""),"Youtube")</f>
        <v>Youtube</v>
      </c>
      <c r="D488" s="2">
        <f ca="1">IFERROR(__xludf.DUMMYFUNCTION("""COMPUTED_VALUE"""),19.99)</f>
        <v>19.989999999999998</v>
      </c>
      <c r="E488" s="1" t="str">
        <f ca="1">IFERROR(__xludf.DUMMYFUNCTION("""COMPUTED_VALUE"""),"-")</f>
        <v>-</v>
      </c>
      <c r="F488" s="1" t="str">
        <f ca="1">IFERROR(__xludf.DUMMYFUNCTION("""COMPUTED_VALUE"""),"Youtube")</f>
        <v>Youtube</v>
      </c>
      <c r="G488" s="1" t="str">
        <f ca="1"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6">
        <f ca="1">IFERROR(__xludf.DUMMYFUNCTION("""COMPUTED_VALUE"""),45870)</f>
        <v>45870</v>
      </c>
      <c r="B489" s="7">
        <f ca="1">IFERROR(__xludf.DUMMYFUNCTION("""COMPUTED_VALUE"""),45852)</f>
        <v>45852</v>
      </c>
      <c r="C489" s="1" t="str">
        <f ca="1">IFERROR(__xludf.DUMMYFUNCTION("""COMPUTED_VALUE"""),"Drogaria Araujo")</f>
        <v>Drogaria Araujo</v>
      </c>
      <c r="D489" s="2">
        <f ca="1">IFERROR(__xludf.DUMMYFUNCTION("""COMPUTED_VALUE"""),115.99)</f>
        <v>115.99</v>
      </c>
      <c r="E489" s="1" t="str">
        <f ca="1">IFERROR(__xludf.DUMMYFUNCTION("""COMPUTED_VALUE"""),"-")</f>
        <v>-</v>
      </c>
      <c r="F489" s="1" t="str">
        <f ca="1">IFERROR(__xludf.DUMMYFUNCTION("""COMPUTED_VALUE"""),"Drogaria Araujo")</f>
        <v>Drogaria Araujo</v>
      </c>
      <c r="G489" s="1" t="str">
        <f ca="1">IFERROR(__xludf.DUMMYFUNCTION("""COMPUTED_VALUE"""),"Farmácia")</f>
        <v>Farmácia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6">
        <f ca="1">IFERROR(__xludf.DUMMYFUNCTION("""COMPUTED_VALUE"""),45870)</f>
        <v>45870</v>
      </c>
      <c r="B490" s="7">
        <f ca="1">IFERROR(__xludf.DUMMYFUNCTION("""COMPUTED_VALUE"""),45852)</f>
        <v>45852</v>
      </c>
      <c r="C490" s="1" t="str">
        <f ca="1">IFERROR(__xludf.DUMMYFUNCTION("""COMPUTED_VALUE"""),"Amazonmktplc Dgmcomerc")</f>
        <v>Amazonmktplc Dgmcomerc</v>
      </c>
      <c r="D490" s="2">
        <f ca="1">IFERROR(__xludf.DUMMYFUNCTION("""COMPUTED_VALUE"""),16.2)</f>
        <v>16.2</v>
      </c>
      <c r="E490" s="1" t="str">
        <f ca="1">IFERROR(__xludf.DUMMYFUNCTION("""COMPUTED_VALUE"""),"-")</f>
        <v>-</v>
      </c>
      <c r="F490" s="1" t="str">
        <f ca="1">IFERROR(__xludf.DUMMYFUNCTION("""COMPUTED_VALUE"""),"Amazonmktplc")</f>
        <v>Amazonmktplc</v>
      </c>
      <c r="G490" s="1" t="str">
        <f ca="1"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6">
        <f ca="1">IFERROR(__xludf.DUMMYFUNCTION("""COMPUTED_VALUE"""),45870)</f>
        <v>45870</v>
      </c>
      <c r="B491" s="7">
        <f ca="1">IFERROR(__xludf.DUMMYFUNCTION("""COMPUTED_VALUE"""),45852)</f>
        <v>45852</v>
      </c>
      <c r="C491" s="1" t="str">
        <f ca="1">IFERROR(__xludf.DUMMYFUNCTION("""COMPUTED_VALUE"""),"Amazon")</f>
        <v>Amazon</v>
      </c>
      <c r="D491" s="2">
        <f ca="1">IFERROR(__xludf.DUMMYFUNCTION("""COMPUTED_VALUE"""),9.9)</f>
        <v>9.9</v>
      </c>
      <c r="E491" s="1" t="str">
        <f ca="1">IFERROR(__xludf.DUMMYFUNCTION("""COMPUTED_VALUE"""),"-")</f>
        <v>-</v>
      </c>
      <c r="F491" s="1" t="str">
        <f ca="1">IFERROR(__xludf.DUMMYFUNCTION("""COMPUTED_VALUE"""),"Amazon")</f>
        <v>Amazon</v>
      </c>
      <c r="G491" s="1" t="str">
        <f ca="1"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6">
        <f ca="1">IFERROR(__xludf.DUMMYFUNCTION("""COMPUTED_VALUE"""),45870)</f>
        <v>45870</v>
      </c>
      <c r="B492" s="7">
        <f ca="1">IFERROR(__xludf.DUMMYFUNCTION("""COMPUTED_VALUE"""),45852)</f>
        <v>45852</v>
      </c>
      <c r="C492" s="1" t="str">
        <f ca="1">IFERROR(__xludf.DUMMYFUNCTION("""COMPUTED_VALUE"""),"Momento Super Nosso")</f>
        <v>Momento Super Nosso</v>
      </c>
      <c r="D492" s="2">
        <f ca="1">IFERROR(__xludf.DUMMYFUNCTION("""COMPUTED_VALUE"""),68.31)</f>
        <v>68.31</v>
      </c>
      <c r="E492" s="1" t="str">
        <f ca="1">IFERROR(__xludf.DUMMYFUNCTION("""COMPUTED_VALUE"""),"-")</f>
        <v>-</v>
      </c>
      <c r="F492" s="1" t="str">
        <f ca="1">IFERROR(__xludf.DUMMYFUNCTION("""COMPUTED_VALUE"""),"Momento Super Nosso")</f>
        <v>Momento Super Nosso</v>
      </c>
      <c r="G492" s="1" t="str">
        <f ca="1"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6">
        <f ca="1">IFERROR(__xludf.DUMMYFUNCTION("""COMPUTED_VALUE"""),45870)</f>
        <v>45870</v>
      </c>
      <c r="B493" s="7">
        <f ca="1">IFERROR(__xludf.DUMMYFUNCTION("""COMPUTED_VALUE"""),45853)</f>
        <v>45853</v>
      </c>
      <c r="C493" s="1" t="str">
        <f ca="1">IFERROR(__xludf.DUMMYFUNCTION("""COMPUTED_VALUE"""),"Amazon")</f>
        <v>Amazon</v>
      </c>
      <c r="D493" s="2">
        <f ca="1">IFERROR(__xludf.DUMMYFUNCTION("""COMPUTED_VALUE"""),82.42)</f>
        <v>82.42</v>
      </c>
      <c r="E493" s="1" t="str">
        <f ca="1">IFERROR(__xludf.DUMMYFUNCTION("""COMPUTED_VALUE"""),"-")</f>
        <v>-</v>
      </c>
      <c r="F493" s="1" t="str">
        <f ca="1">IFERROR(__xludf.DUMMYFUNCTION("""COMPUTED_VALUE"""),"Amazon")</f>
        <v>Amazon</v>
      </c>
      <c r="G493" s="1" t="str">
        <f ca="1"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6">
        <f ca="1">IFERROR(__xludf.DUMMYFUNCTION("""COMPUTED_VALUE"""),45870)</f>
        <v>45870</v>
      </c>
      <c r="B494" s="7">
        <f ca="1">IFERROR(__xludf.DUMMYFUNCTION("""COMPUTED_VALUE"""),45854)</f>
        <v>45854</v>
      </c>
      <c r="C494" s="1" t="str">
        <f ca="1">IFERROR(__xludf.DUMMYFUNCTION("""COMPUTED_VALUE"""),"Panif Mendes Sion")</f>
        <v>Panif Mendes Sion</v>
      </c>
      <c r="D494" s="2">
        <f ca="1">IFERROR(__xludf.DUMMYFUNCTION("""COMPUTED_VALUE"""),3.9)</f>
        <v>3.9</v>
      </c>
      <c r="E494" s="1" t="str">
        <f ca="1">IFERROR(__xludf.DUMMYFUNCTION("""COMPUTED_VALUE"""),"-")</f>
        <v>-</v>
      </c>
      <c r="F494" s="1" t="str">
        <f ca="1">IFERROR(__xludf.DUMMYFUNCTION("""COMPUTED_VALUE"""),"Panif Mendes Sion")</f>
        <v>Panif Mendes Sion</v>
      </c>
      <c r="G494" s="1" t="str">
        <f ca="1"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6">
        <f ca="1">IFERROR(__xludf.DUMMYFUNCTION("""COMPUTED_VALUE"""),45870)</f>
        <v>45870</v>
      </c>
      <c r="B495" s="7">
        <f ca="1">IFERROR(__xludf.DUMMYFUNCTION("""COMPUTED_VALUE"""),45854)</f>
        <v>45854</v>
      </c>
      <c r="C495" s="1" t="str">
        <f ca="1">IFERROR(__xludf.DUMMYFUNCTION("""COMPUTED_VALUE"""),"Mercado Pago")</f>
        <v>Mercado Pago</v>
      </c>
      <c r="D495" s="2">
        <f ca="1">IFERROR(__xludf.DUMMYFUNCTION("""COMPUTED_VALUE"""),334.9)</f>
        <v>334.9</v>
      </c>
      <c r="E495" s="1" t="str">
        <f ca="1">IFERROR(__xludf.DUMMYFUNCTION("""COMPUTED_VALUE"""),"-")</f>
        <v>-</v>
      </c>
      <c r="F495" s="1" t="str">
        <f ca="1">IFERROR(__xludf.DUMMYFUNCTION("""COMPUTED_VALUE"""),"Mercado Pago")</f>
        <v>Mercado Pago</v>
      </c>
      <c r="G495" s="1" t="str">
        <f ca="1"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6">
        <f ca="1">IFERROR(__xludf.DUMMYFUNCTION("""COMPUTED_VALUE"""),45870)</f>
        <v>45870</v>
      </c>
      <c r="B496" s="7">
        <f ca="1">IFERROR(__xludf.DUMMYFUNCTION("""COMPUTED_VALUE"""),45854)</f>
        <v>45854</v>
      </c>
      <c r="C496" s="1" t="str">
        <f ca="1">IFERROR(__xludf.DUMMYFUNCTION("""COMPUTED_VALUE"""),"Amazon")</f>
        <v>Amazon</v>
      </c>
      <c r="D496" s="2">
        <f ca="1">IFERROR(__xludf.DUMMYFUNCTION("""COMPUTED_VALUE"""),40.89)</f>
        <v>40.89</v>
      </c>
      <c r="E496" s="1" t="str">
        <f ca="1">IFERROR(__xludf.DUMMYFUNCTION("""COMPUTED_VALUE"""),"-")</f>
        <v>-</v>
      </c>
      <c r="F496" s="1" t="str">
        <f ca="1">IFERROR(__xludf.DUMMYFUNCTION("""COMPUTED_VALUE"""),"Amazon")</f>
        <v>Amazon</v>
      </c>
      <c r="G496" s="1" t="str">
        <f ca="1"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6">
        <f ca="1">IFERROR(__xludf.DUMMYFUNCTION("""COMPUTED_VALUE"""),45870)</f>
        <v>45870</v>
      </c>
      <c r="B497" s="7">
        <f ca="1">IFERROR(__xludf.DUMMYFUNCTION("""COMPUTED_VALUE"""),45855)</f>
        <v>45855</v>
      </c>
      <c r="C497" s="1" t="str">
        <f ca="1">IFERROR(__xludf.DUMMYFUNCTION("""COMPUTED_VALUE"""),"Panif Mendes Sion")</f>
        <v>Panif Mendes Sion</v>
      </c>
      <c r="D497" s="2">
        <f ca="1">IFERROR(__xludf.DUMMYFUNCTION("""COMPUTED_VALUE"""),18.14)</f>
        <v>18.14</v>
      </c>
      <c r="E497" s="1" t="str">
        <f ca="1">IFERROR(__xludf.DUMMYFUNCTION("""COMPUTED_VALUE"""),"-")</f>
        <v>-</v>
      </c>
      <c r="F497" s="1" t="str">
        <f ca="1">IFERROR(__xludf.DUMMYFUNCTION("""COMPUTED_VALUE"""),"Panif Mendes Sion")</f>
        <v>Panif Mendes Sion</v>
      </c>
      <c r="G497" s="1" t="str">
        <f ca="1"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6">
        <f ca="1">IFERROR(__xludf.DUMMYFUNCTION("""COMPUTED_VALUE"""),45870)</f>
        <v>45870</v>
      </c>
      <c r="B498" s="7">
        <f ca="1">IFERROR(__xludf.DUMMYFUNCTION("""COMPUTED_VALUE"""),45855)</f>
        <v>45855</v>
      </c>
      <c r="C498" s="1" t="str">
        <f ca="1">IFERROR(__xludf.DUMMYFUNCTION("""COMPUTED_VALUE"""),"Drogaria Araujo")</f>
        <v>Drogaria Araujo</v>
      </c>
      <c r="D498" s="2">
        <f ca="1">IFERROR(__xludf.DUMMYFUNCTION("""COMPUTED_VALUE"""),39.99)</f>
        <v>39.99</v>
      </c>
      <c r="E498" s="1" t="str">
        <f ca="1">IFERROR(__xludf.DUMMYFUNCTION("""COMPUTED_VALUE"""),"-")</f>
        <v>-</v>
      </c>
      <c r="F498" s="1" t="str">
        <f ca="1">IFERROR(__xludf.DUMMYFUNCTION("""COMPUTED_VALUE"""),"Drogaria Araujo")</f>
        <v>Drogaria Araujo</v>
      </c>
      <c r="G498" s="1" t="str">
        <f ca="1">IFERROR(__xludf.DUMMYFUNCTION("""COMPUTED_VALUE"""),"Farmácia")</f>
        <v>Farmácia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6">
        <f ca="1">IFERROR(__xludf.DUMMYFUNCTION("""COMPUTED_VALUE"""),45870)</f>
        <v>45870</v>
      </c>
      <c r="B499" s="7">
        <f ca="1">IFERROR(__xludf.DUMMYFUNCTION("""COMPUTED_VALUE"""),45855)</f>
        <v>45855</v>
      </c>
      <c r="C499" s="1" t="str">
        <f ca="1">IFERROR(__xludf.DUMMYFUNCTION("""COMPUTED_VALUE"""),"Amazon")</f>
        <v>Amazon</v>
      </c>
      <c r="D499" s="2">
        <f ca="1">IFERROR(__xludf.DUMMYFUNCTION("""COMPUTED_VALUE"""),39.59)</f>
        <v>39.590000000000003</v>
      </c>
      <c r="E499" s="1" t="str">
        <f ca="1">IFERROR(__xludf.DUMMYFUNCTION("""COMPUTED_VALUE"""),"-")</f>
        <v>-</v>
      </c>
      <c r="F499" s="1" t="str">
        <f ca="1">IFERROR(__xludf.DUMMYFUNCTION("""COMPUTED_VALUE"""),"Amazon")</f>
        <v>Amazon</v>
      </c>
      <c r="G499" s="1" t="str">
        <f ca="1"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6">
        <f ca="1">IFERROR(__xludf.DUMMYFUNCTION("""COMPUTED_VALUE"""),45870)</f>
        <v>45870</v>
      </c>
      <c r="B500" s="7">
        <f ca="1">IFERROR(__xludf.DUMMYFUNCTION("""COMPUTED_VALUE"""),45855)</f>
        <v>45855</v>
      </c>
      <c r="C500" s="1" t="str">
        <f ca="1">IFERROR(__xludf.DUMMYFUNCTION("""COMPUTED_VALUE"""),"Amazon")</f>
        <v>Amazon</v>
      </c>
      <c r="D500" s="2">
        <f ca="1">IFERROR(__xludf.DUMMYFUNCTION("""COMPUTED_VALUE"""),39.59)</f>
        <v>39.590000000000003</v>
      </c>
      <c r="E500" s="1" t="str">
        <f ca="1">IFERROR(__xludf.DUMMYFUNCTION("""COMPUTED_VALUE"""),"-")</f>
        <v>-</v>
      </c>
      <c r="F500" s="1" t="str">
        <f ca="1">IFERROR(__xludf.DUMMYFUNCTION("""COMPUTED_VALUE"""),"Amazon")</f>
        <v>Amazon</v>
      </c>
      <c r="G500" s="1" t="str">
        <f ca="1"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6">
        <f ca="1">IFERROR(__xludf.DUMMYFUNCTION("""COMPUTED_VALUE"""),45870)</f>
        <v>45870</v>
      </c>
      <c r="B501" s="7">
        <f ca="1">IFERROR(__xludf.DUMMYFUNCTION("""COMPUTED_VALUE"""),45855)</f>
        <v>45855</v>
      </c>
      <c r="C501" s="1" t="str">
        <f ca="1">IFERROR(__xludf.DUMMYFUNCTION("""COMPUTED_VALUE"""),"Panif Mendes Sion")</f>
        <v>Panif Mendes Sion</v>
      </c>
      <c r="D501" s="2">
        <f ca="1">IFERROR(__xludf.DUMMYFUNCTION("""COMPUTED_VALUE"""),16.15)</f>
        <v>16.149999999999999</v>
      </c>
      <c r="E501" s="1" t="str">
        <f ca="1">IFERROR(__xludf.DUMMYFUNCTION("""COMPUTED_VALUE"""),"-")</f>
        <v>-</v>
      </c>
      <c r="F501" s="1" t="str">
        <f ca="1">IFERROR(__xludf.DUMMYFUNCTION("""COMPUTED_VALUE"""),"Panif Mendes Sion")</f>
        <v>Panif Mendes Sion</v>
      </c>
      <c r="G501" s="1" t="str">
        <f ca="1"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6">
        <f ca="1">IFERROR(__xludf.DUMMYFUNCTION("""COMPUTED_VALUE"""),45870)</f>
        <v>45870</v>
      </c>
      <c r="B502" s="7">
        <f ca="1">IFERROR(__xludf.DUMMYFUNCTION("""COMPUTED_VALUE"""),45855)</f>
        <v>45855</v>
      </c>
      <c r="C502" s="1" t="str">
        <f ca="1">IFERROR(__xludf.DUMMYFUNCTION("""COMPUTED_VALUE"""),"Boca Do Forno")</f>
        <v>Boca Do Forno</v>
      </c>
      <c r="D502" s="2">
        <f ca="1">IFERROR(__xludf.DUMMYFUNCTION("""COMPUTED_VALUE"""),20)</f>
        <v>20</v>
      </c>
      <c r="E502" s="1" t="str">
        <f ca="1">IFERROR(__xludf.DUMMYFUNCTION("""COMPUTED_VALUE"""),"-")</f>
        <v>-</v>
      </c>
      <c r="F502" s="1" t="str">
        <f ca="1">IFERROR(__xludf.DUMMYFUNCTION("""COMPUTED_VALUE"""),"Boca Do Forno")</f>
        <v>Boca Do Forno</v>
      </c>
      <c r="G502" s="1" t="str">
        <f ca="1"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6">
        <f ca="1">IFERROR(__xludf.DUMMYFUNCTION("""COMPUTED_VALUE"""),45870)</f>
        <v>45870</v>
      </c>
      <c r="B503" s="7">
        <f ca="1">IFERROR(__xludf.DUMMYFUNCTION("""COMPUTED_VALUE"""),45855)</f>
        <v>45855</v>
      </c>
      <c r="C503" s="1" t="str">
        <f ca="1">IFERROR(__xludf.DUMMYFUNCTION("""COMPUTED_VALUE"""),"Panif Mendes Sion")</f>
        <v>Panif Mendes Sion</v>
      </c>
      <c r="D503" s="2">
        <f ca="1">IFERROR(__xludf.DUMMYFUNCTION("""COMPUTED_VALUE"""),8.34)</f>
        <v>8.34</v>
      </c>
      <c r="E503" s="1" t="str">
        <f ca="1">IFERROR(__xludf.DUMMYFUNCTION("""COMPUTED_VALUE"""),"-")</f>
        <v>-</v>
      </c>
      <c r="F503" s="1" t="str">
        <f ca="1">IFERROR(__xludf.DUMMYFUNCTION("""COMPUTED_VALUE"""),"Panif Mendes Sion")</f>
        <v>Panif Mendes Sion</v>
      </c>
      <c r="G503" s="1" t="str">
        <f ca="1"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6">
        <f ca="1">IFERROR(__xludf.DUMMYFUNCTION("""COMPUTED_VALUE"""),45870)</f>
        <v>45870</v>
      </c>
      <c r="B504" s="7">
        <f ca="1">IFERROR(__xludf.DUMMYFUNCTION("""COMPUTED_VALUE"""),45855)</f>
        <v>45855</v>
      </c>
      <c r="C504" s="1" t="str">
        <f ca="1">IFERROR(__xludf.DUMMYFUNCTION("""COMPUTED_VALUE"""),"O Legitimo Rocambole")</f>
        <v>O Legitimo Rocambole</v>
      </c>
      <c r="D504" s="2">
        <f ca="1">IFERROR(__xludf.DUMMYFUNCTION("""COMPUTED_VALUE"""),38)</f>
        <v>38</v>
      </c>
      <c r="E504" s="1" t="str">
        <f ca="1">IFERROR(__xludf.DUMMYFUNCTION("""COMPUTED_VALUE"""),"-")</f>
        <v>-</v>
      </c>
      <c r="F504" s="1" t="str">
        <f ca="1">IFERROR(__xludf.DUMMYFUNCTION("""COMPUTED_VALUE"""),"O Legitimo Rocambole")</f>
        <v>O Legitimo Rocambole</v>
      </c>
      <c r="G504" s="1" t="str">
        <f ca="1"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6">
        <f ca="1">IFERROR(__xludf.DUMMYFUNCTION("""COMPUTED_VALUE"""),45870)</f>
        <v>45870</v>
      </c>
      <c r="B505" s="7">
        <f ca="1">IFERROR(__xludf.DUMMYFUNCTION("""COMPUTED_VALUE"""),45855)</f>
        <v>45855</v>
      </c>
      <c r="C505" s="1" t="str">
        <f ca="1">IFERROR(__xludf.DUMMYFUNCTION("""COMPUTED_VALUE"""),"Dma Distribuidora Sa")</f>
        <v>Dma Distribuidora Sa</v>
      </c>
      <c r="D505" s="2">
        <f ca="1">IFERROR(__xludf.DUMMYFUNCTION("""COMPUTED_VALUE"""),139.19)</f>
        <v>139.19</v>
      </c>
      <c r="E505" s="1" t="str">
        <f ca="1">IFERROR(__xludf.DUMMYFUNCTION("""COMPUTED_VALUE"""),"-")</f>
        <v>-</v>
      </c>
      <c r="F505" s="1" t="str">
        <f ca="1">IFERROR(__xludf.DUMMYFUNCTION("""COMPUTED_VALUE"""),"Dma Distribuidora Sa")</f>
        <v>Dma Distribuidora Sa</v>
      </c>
      <c r="G505" s="1" t="str">
        <f ca="1">IFERROR(__xludf.DUMMYFUNCTION("""COMPUTED_VALUE"""),"Supermercado")</f>
        <v>Supermercado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6">
        <f ca="1">IFERROR(__xludf.DUMMYFUNCTION("""COMPUTED_VALUE"""),45870)</f>
        <v>45870</v>
      </c>
      <c r="B506" s="7">
        <f ca="1">IFERROR(__xludf.DUMMYFUNCTION("""COMPUTED_VALUE"""),45855)</f>
        <v>45855</v>
      </c>
      <c r="C506" s="1" t="str">
        <f ca="1">IFERROR(__xludf.DUMMYFUNCTION("""COMPUTED_VALUE"""),"Super Nosso")</f>
        <v>Super Nosso</v>
      </c>
      <c r="D506" s="2">
        <f ca="1">IFERROR(__xludf.DUMMYFUNCTION("""COMPUTED_VALUE"""),40.96)</f>
        <v>40.96</v>
      </c>
      <c r="E506" s="1" t="str">
        <f ca="1">IFERROR(__xludf.DUMMYFUNCTION("""COMPUTED_VALUE"""),"-")</f>
        <v>-</v>
      </c>
      <c r="F506" s="1" t="str">
        <f ca="1">IFERROR(__xludf.DUMMYFUNCTION("""COMPUTED_VALUE"""),"Super Nosso")</f>
        <v>Super Nosso</v>
      </c>
      <c r="G506" s="1" t="str">
        <f ca="1"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6">
        <f ca="1">IFERROR(__xludf.DUMMYFUNCTION("""COMPUTED_VALUE"""),45870)</f>
        <v>45870</v>
      </c>
      <c r="B507" s="7">
        <f ca="1">IFERROR(__xludf.DUMMYFUNCTION("""COMPUTED_VALUE"""),45856)</f>
        <v>45856</v>
      </c>
      <c r="C507" s="1" t="str">
        <f ca="1">IFERROR(__xludf.DUMMYFUNCTION("""COMPUTED_VALUE"""),"Uber")</f>
        <v>Uber</v>
      </c>
      <c r="D507" s="2">
        <f ca="1">IFERROR(__xludf.DUMMYFUNCTION("""COMPUTED_VALUE"""),9.69)</f>
        <v>9.69</v>
      </c>
      <c r="E507" s="1" t="str">
        <f ca="1">IFERROR(__xludf.DUMMYFUNCTION("""COMPUTED_VALUE"""),"-")</f>
        <v>-</v>
      </c>
      <c r="F507" s="1" t="str">
        <f ca="1">IFERROR(__xludf.DUMMYFUNCTION("""COMPUTED_VALUE"""),"Uber")</f>
        <v>Uber</v>
      </c>
      <c r="G507" s="1" t="str">
        <f ca="1"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6">
        <f ca="1">IFERROR(__xludf.DUMMYFUNCTION("""COMPUTED_VALUE"""),45870)</f>
        <v>45870</v>
      </c>
      <c r="B508" s="7">
        <f ca="1">IFERROR(__xludf.DUMMYFUNCTION("""COMPUTED_VALUE"""),45856)</f>
        <v>45856</v>
      </c>
      <c r="C508" s="1" t="str">
        <f ca="1">IFERROR(__xludf.DUMMYFUNCTION("""COMPUTED_VALUE"""),"B1 Sist Ester De Lima")</f>
        <v>B1 Sist Ester De Lima</v>
      </c>
      <c r="D508" s="2">
        <f ca="1">IFERROR(__xludf.DUMMYFUNCTION("""COMPUTED_VALUE"""),152.42)</f>
        <v>152.41999999999999</v>
      </c>
      <c r="E508" s="1" t="str">
        <f ca="1">IFERROR(__xludf.DUMMYFUNCTION("""COMPUTED_VALUE"""),"-")</f>
        <v>-</v>
      </c>
      <c r="F508" s="1" t="str">
        <f ca="1">IFERROR(__xludf.DUMMYFUNCTION("""COMPUTED_VALUE"""),"B1 Sist Ester De Lima")</f>
        <v>B1 Sist Ester De Lima</v>
      </c>
      <c r="G508" s="1" t="str">
        <f ca="1"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6">
        <f ca="1">IFERROR(__xludf.DUMMYFUNCTION("""COMPUTED_VALUE"""),45870)</f>
        <v>45870</v>
      </c>
      <c r="B509" s="7">
        <f ca="1">IFERROR(__xludf.DUMMYFUNCTION("""COMPUTED_VALUE"""),45856)</f>
        <v>45856</v>
      </c>
      <c r="C509" s="1" t="str">
        <f ca="1">IFERROR(__xludf.DUMMYFUNCTION("""COMPUTED_VALUE"""),"Panif Mendes Sion")</f>
        <v>Panif Mendes Sion</v>
      </c>
      <c r="D509" s="2">
        <f ca="1">IFERROR(__xludf.DUMMYFUNCTION("""COMPUTED_VALUE"""),13.9)</f>
        <v>13.9</v>
      </c>
      <c r="E509" s="1" t="str">
        <f ca="1">IFERROR(__xludf.DUMMYFUNCTION("""COMPUTED_VALUE"""),"-")</f>
        <v>-</v>
      </c>
      <c r="F509" s="1" t="str">
        <f ca="1">IFERROR(__xludf.DUMMYFUNCTION("""COMPUTED_VALUE"""),"Panif Mendes Sion")</f>
        <v>Panif Mendes Sion</v>
      </c>
      <c r="G509" s="1" t="str">
        <f ca="1"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6">
        <f ca="1">IFERROR(__xludf.DUMMYFUNCTION("""COMPUTED_VALUE"""),45870)</f>
        <v>45870</v>
      </c>
      <c r="B510" s="7">
        <f ca="1">IFERROR(__xludf.DUMMYFUNCTION("""COMPUTED_VALUE"""),45856)</f>
        <v>45856</v>
      </c>
      <c r="C510" s="1" t="str">
        <f ca="1">IFERROR(__xludf.DUMMYFUNCTION("""COMPUTED_VALUE"""),"Melimais")</f>
        <v>Melimais</v>
      </c>
      <c r="D510" s="2">
        <f ca="1">IFERROR(__xludf.DUMMYFUNCTION("""COMPUTED_VALUE"""),24.9)</f>
        <v>24.9</v>
      </c>
      <c r="E510" s="1" t="str">
        <f ca="1">IFERROR(__xludf.DUMMYFUNCTION("""COMPUTED_VALUE"""),"-")</f>
        <v>-</v>
      </c>
      <c r="F510" s="1" t="str">
        <f ca="1">IFERROR(__xludf.DUMMYFUNCTION("""COMPUTED_VALUE"""),"Melimais")</f>
        <v>Melimais</v>
      </c>
      <c r="G510" s="1" t="str">
        <f ca="1"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6">
        <f ca="1">IFERROR(__xludf.DUMMYFUNCTION("""COMPUTED_VALUE"""),45870)</f>
        <v>45870</v>
      </c>
      <c r="B511" s="7">
        <f ca="1">IFERROR(__xludf.DUMMYFUNCTION("""COMPUTED_VALUE"""),45857)</f>
        <v>45857</v>
      </c>
      <c r="C511" s="1" t="str">
        <f ca="1">IFERROR(__xludf.DUMMYFUNCTION("""COMPUTED_VALUE"""),"Panif Mendes Sion")</f>
        <v>Panif Mendes Sion</v>
      </c>
      <c r="D511" s="2">
        <f ca="1">IFERROR(__xludf.DUMMYFUNCTION("""COMPUTED_VALUE"""),28.36)</f>
        <v>28.36</v>
      </c>
      <c r="E511" s="1" t="str">
        <f ca="1">IFERROR(__xludf.DUMMYFUNCTION("""COMPUTED_VALUE"""),"-")</f>
        <v>-</v>
      </c>
      <c r="F511" s="1" t="str">
        <f ca="1">IFERROR(__xludf.DUMMYFUNCTION("""COMPUTED_VALUE"""),"Panif Mendes Sion")</f>
        <v>Panif Mendes Sion</v>
      </c>
      <c r="G511" s="1" t="str">
        <f ca="1"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6">
        <f ca="1">IFERROR(__xludf.DUMMYFUNCTION("""COMPUTED_VALUE"""),45870)</f>
        <v>45870</v>
      </c>
      <c r="B512" s="7">
        <f ca="1">IFERROR(__xludf.DUMMYFUNCTION("""COMPUTED_VALUE"""),45857)</f>
        <v>45857</v>
      </c>
      <c r="C512" s="1" t="str">
        <f ca="1">IFERROR(__xludf.DUMMYFUNCTION("""COMPUTED_VALUE"""),"Luana")</f>
        <v>Luana</v>
      </c>
      <c r="D512" s="2">
        <f ca="1">IFERROR(__xludf.DUMMYFUNCTION("""COMPUTED_VALUE"""),29.9)</f>
        <v>29.9</v>
      </c>
      <c r="E512" s="1" t="str">
        <f ca="1">IFERROR(__xludf.DUMMYFUNCTION("""COMPUTED_VALUE"""),"-")</f>
        <v>-</v>
      </c>
      <c r="F512" s="1" t="str">
        <f ca="1">IFERROR(__xludf.DUMMYFUNCTION("""COMPUTED_VALUE"""),"Luana")</f>
        <v>Luana</v>
      </c>
      <c r="G512" s="1" t="str">
        <f ca="1"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6">
        <f ca="1">IFERROR(__xludf.DUMMYFUNCTION("""COMPUTED_VALUE"""),45870)</f>
        <v>45870</v>
      </c>
      <c r="B513" s="7">
        <f ca="1">IFERROR(__xludf.DUMMYFUNCTION("""COMPUTED_VALUE"""),45857)</f>
        <v>45857</v>
      </c>
      <c r="C513" s="1" t="str">
        <f ca="1">IFERROR(__xludf.DUMMYFUNCTION("""COMPUTED_VALUE"""),"Du Pain Mercado")</f>
        <v>Du Pain Mercado</v>
      </c>
      <c r="D513" s="2">
        <f ca="1">IFERROR(__xludf.DUMMYFUNCTION("""COMPUTED_VALUE"""),63)</f>
        <v>63</v>
      </c>
      <c r="E513" s="1" t="str">
        <f ca="1">IFERROR(__xludf.DUMMYFUNCTION("""COMPUTED_VALUE"""),"-")</f>
        <v>-</v>
      </c>
      <c r="F513" s="1" t="str">
        <f ca="1">IFERROR(__xludf.DUMMYFUNCTION("""COMPUTED_VALUE"""),"Du Pain Mercado")</f>
        <v>Du Pain Mercado</v>
      </c>
      <c r="G513" s="1" t="str">
        <f ca="1"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6">
        <f ca="1">IFERROR(__xludf.DUMMYFUNCTION("""COMPUTED_VALUE"""),45870)</f>
        <v>45870</v>
      </c>
      <c r="B514" s="7">
        <f ca="1">IFERROR(__xludf.DUMMYFUNCTION("""COMPUTED_VALUE"""),45857)</f>
        <v>45857</v>
      </c>
      <c r="C514" s="1" t="str">
        <f ca="1">IFERROR(__xludf.DUMMYFUNCTION("""COMPUTED_VALUE"""),"Alexandre Saar")</f>
        <v>Alexandre Saar</v>
      </c>
      <c r="D514" s="2">
        <f ca="1">IFERROR(__xludf.DUMMYFUNCTION("""COMPUTED_VALUE"""),10)</f>
        <v>10</v>
      </c>
      <c r="E514" s="1" t="str">
        <f ca="1">IFERROR(__xludf.DUMMYFUNCTION("""COMPUTED_VALUE"""),"-")</f>
        <v>-</v>
      </c>
      <c r="F514" s="1" t="str">
        <f ca="1">IFERROR(__xludf.DUMMYFUNCTION("""COMPUTED_VALUE"""),"Alexandre Saar")</f>
        <v>Alexandre Saar</v>
      </c>
      <c r="G514" s="1" t="str">
        <f ca="1"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6">
        <f ca="1">IFERROR(__xludf.DUMMYFUNCTION("""COMPUTED_VALUE"""),45870)</f>
        <v>45870</v>
      </c>
      <c r="B515" s="7">
        <f ca="1">IFERROR(__xludf.DUMMYFUNCTION("""COMPUTED_VALUE"""),45857)</f>
        <v>45857</v>
      </c>
      <c r="C515" s="1" t="str">
        <f ca="1">IFERROR(__xludf.DUMMYFUNCTION("""COMPUTED_VALUE"""),"Costa Comercio De Frut")</f>
        <v>Costa Comercio De Frut</v>
      </c>
      <c r="D515" s="2">
        <f ca="1">IFERROR(__xludf.DUMMYFUNCTION("""COMPUTED_VALUE"""),5)</f>
        <v>5</v>
      </c>
      <c r="E515" s="1" t="str">
        <f ca="1">IFERROR(__xludf.DUMMYFUNCTION("""COMPUTED_VALUE"""),"-")</f>
        <v>-</v>
      </c>
      <c r="F515" s="1" t="str">
        <f ca="1">IFERROR(__xludf.DUMMYFUNCTION("""COMPUTED_VALUE"""),"Costa Comercio De Frut")</f>
        <v>Costa Comercio De Frut</v>
      </c>
      <c r="G515" s="1" t="str">
        <f ca="1"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6">
        <f ca="1">IFERROR(__xludf.DUMMYFUNCTION("""COMPUTED_VALUE"""),45870)</f>
        <v>45870</v>
      </c>
      <c r="B516" s="7">
        <f ca="1">IFERROR(__xludf.DUMMYFUNCTION("""COMPUTED_VALUE"""),45857)</f>
        <v>45857</v>
      </c>
      <c r="C516" s="1" t="str">
        <f ca="1">IFERROR(__xludf.DUMMYFUNCTION("""COMPUTED_VALUE"""),"Costa Comercio De Frut")</f>
        <v>Costa Comercio De Frut</v>
      </c>
      <c r="D516" s="2">
        <f ca="1">IFERROR(__xludf.DUMMYFUNCTION("""COMPUTED_VALUE"""),5)</f>
        <v>5</v>
      </c>
      <c r="E516" s="1" t="str">
        <f ca="1">IFERROR(__xludf.DUMMYFUNCTION("""COMPUTED_VALUE"""),"-")</f>
        <v>-</v>
      </c>
      <c r="F516" s="1" t="str">
        <f ca="1">IFERROR(__xludf.DUMMYFUNCTION("""COMPUTED_VALUE"""),"Costa Comercio De Frut")</f>
        <v>Costa Comercio De Frut</v>
      </c>
      <c r="G516" s="1" t="str">
        <f ca="1"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6">
        <f ca="1">IFERROR(__xludf.DUMMYFUNCTION("""COMPUTED_VALUE"""),45870)</f>
        <v>45870</v>
      </c>
      <c r="B517" s="7">
        <f ca="1">IFERROR(__xludf.DUMMYFUNCTION("""COMPUTED_VALUE"""),45857)</f>
        <v>45857</v>
      </c>
      <c r="C517" s="1" t="str">
        <f ca="1">IFERROR(__xludf.DUMMYFUNCTION("""COMPUTED_VALUE"""),"La No Mercado (2/2)")</f>
        <v>La No Mercado (2/2)</v>
      </c>
      <c r="D517" s="2">
        <f ca="1">IFERROR(__xludf.DUMMYFUNCTION("""COMPUTED_VALUE"""),80.87)</f>
        <v>80.87</v>
      </c>
      <c r="E517" s="1" t="str">
        <f ca="1">IFERROR(__xludf.DUMMYFUNCTION("""COMPUTED_VALUE"""),"-")</f>
        <v>-</v>
      </c>
      <c r="F517" s="1" t="str">
        <f ca="1">IFERROR(__xludf.DUMMYFUNCTION("""COMPUTED_VALUE"""),"La No Mercado")</f>
        <v>La No Mercado</v>
      </c>
      <c r="G517" s="1" t="str">
        <f ca="1"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6">
        <f ca="1">IFERROR(__xludf.DUMMYFUNCTION("""COMPUTED_VALUE"""),45870)</f>
        <v>45870</v>
      </c>
      <c r="B518" s="7">
        <f ca="1">IFERROR(__xludf.DUMMYFUNCTION("""COMPUTED_VALUE"""),45857)</f>
        <v>45857</v>
      </c>
      <c r="C518" s="1" t="str">
        <f ca="1">IFERROR(__xludf.DUMMYFUNCTION("""COMPUTED_VALUE"""),"La No Mercado (1/2)")</f>
        <v>La No Mercado (1/2)</v>
      </c>
      <c r="D518" s="2">
        <f ca="1">IFERROR(__xludf.DUMMYFUNCTION("""COMPUTED_VALUE"""),80.88)</f>
        <v>80.88</v>
      </c>
      <c r="E518" s="1" t="str">
        <f ca="1">IFERROR(__xludf.DUMMYFUNCTION("""COMPUTED_VALUE"""),"-")</f>
        <v>-</v>
      </c>
      <c r="F518" s="1" t="str">
        <f ca="1">IFERROR(__xludf.DUMMYFUNCTION("""COMPUTED_VALUE"""),"La No Mercado")</f>
        <v>La No Mercado</v>
      </c>
      <c r="G518" s="1" t="str">
        <f ca="1"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6">
        <f ca="1">IFERROR(__xludf.DUMMYFUNCTION("""COMPUTED_VALUE"""),45870)</f>
        <v>45870</v>
      </c>
      <c r="B519" s="7">
        <f ca="1">IFERROR(__xludf.DUMMYFUNCTION("""COMPUTED_VALUE"""),45857)</f>
        <v>45857</v>
      </c>
      <c r="C519" s="1" t="str">
        <f ca="1">IFERROR(__xludf.DUMMYFUNCTION("""COMPUTED_VALUE"""),"Mercado Central")</f>
        <v>Mercado Central</v>
      </c>
      <c r="D519" s="2">
        <f ca="1">IFERROR(__xludf.DUMMYFUNCTION("""COMPUTED_VALUE"""),20)</f>
        <v>20</v>
      </c>
      <c r="E519" s="1" t="str">
        <f ca="1">IFERROR(__xludf.DUMMYFUNCTION("""COMPUTED_VALUE"""),"-")</f>
        <v>-</v>
      </c>
      <c r="F519" s="1" t="str">
        <f ca="1">IFERROR(__xludf.DUMMYFUNCTION("""COMPUTED_VALUE"""),"Mercado Central")</f>
        <v>Mercado Central</v>
      </c>
      <c r="G519" s="1" t="str">
        <f ca="1"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6">
        <f ca="1">IFERROR(__xludf.DUMMYFUNCTION("""COMPUTED_VALUE"""),45870)</f>
        <v>45870</v>
      </c>
      <c r="B520" s="7">
        <f ca="1">IFERROR(__xludf.DUMMYFUNCTION("""COMPUTED_VALUE"""),45857)</f>
        <v>45857</v>
      </c>
      <c r="C520" s="1" t="str">
        <f ca="1">IFERROR(__xludf.DUMMYFUNCTION("""COMPUTED_VALUE"""),"Zé Delivery")</f>
        <v>Zé Delivery</v>
      </c>
      <c r="D520" s="2">
        <f ca="1">IFERROR(__xludf.DUMMYFUNCTION("""COMPUTED_VALUE"""),68.87)</f>
        <v>68.87</v>
      </c>
      <c r="E520" s="1" t="str">
        <f ca="1">IFERROR(__xludf.DUMMYFUNCTION("""COMPUTED_VALUE"""),"-")</f>
        <v>-</v>
      </c>
      <c r="F520" s="1" t="str">
        <f ca="1">IFERROR(__xludf.DUMMYFUNCTION("""COMPUTED_VALUE"""),"Zé Delivery")</f>
        <v>Zé Delivery</v>
      </c>
      <c r="G520" s="1" t="str">
        <f ca="1"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6">
        <f ca="1">IFERROR(__xludf.DUMMYFUNCTION("""COMPUTED_VALUE"""),45870)</f>
        <v>45870</v>
      </c>
      <c r="B521" s="7">
        <f ca="1">IFERROR(__xludf.DUMMYFUNCTION("""COMPUTED_VALUE"""),45858)</f>
        <v>45858</v>
      </c>
      <c r="C521" s="1" t="str">
        <f ca="1">IFERROR(__xludf.DUMMYFUNCTION("""COMPUTED_VALUE"""),"Comkombi Aguade Coc")</f>
        <v>Comkombi Aguade Coc</v>
      </c>
      <c r="D521" s="2">
        <f ca="1">IFERROR(__xludf.DUMMYFUNCTION("""COMPUTED_VALUE"""),18)</f>
        <v>18</v>
      </c>
      <c r="E521" s="1" t="str">
        <f ca="1">IFERROR(__xludf.DUMMYFUNCTION("""COMPUTED_VALUE"""),"-")</f>
        <v>-</v>
      </c>
      <c r="F521" s="1" t="str">
        <f ca="1">IFERROR(__xludf.DUMMYFUNCTION("""COMPUTED_VALUE"""),"Comkombi Aguade Coc")</f>
        <v>Comkombi Aguade Coc</v>
      </c>
      <c r="G521" s="1" t="str">
        <f ca="1"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6">
        <f ca="1">IFERROR(__xludf.DUMMYFUNCTION("""COMPUTED_VALUE"""),45870)</f>
        <v>45870</v>
      </c>
      <c r="B522" s="7">
        <f ca="1">IFERROR(__xludf.DUMMYFUNCTION("""COMPUTED_VALUE"""),45858)</f>
        <v>45858</v>
      </c>
      <c r="C522" s="1" t="str">
        <f ca="1">IFERROR(__xludf.DUMMYFUNCTION("""COMPUTED_VALUE"""),"Sorveteria Bandeiran")</f>
        <v>Sorveteria Bandeiran</v>
      </c>
      <c r="D522" s="2">
        <f ca="1">IFERROR(__xludf.DUMMYFUNCTION("""COMPUTED_VALUE"""),11.95)</f>
        <v>11.95</v>
      </c>
      <c r="E522" s="1" t="str">
        <f ca="1">IFERROR(__xludf.DUMMYFUNCTION("""COMPUTED_VALUE"""),"-")</f>
        <v>-</v>
      </c>
      <c r="F522" s="1" t="str">
        <f ca="1">IFERROR(__xludf.DUMMYFUNCTION("""COMPUTED_VALUE"""),"Sorveteria Bandeiran")</f>
        <v>Sorveteria Bandeiran</v>
      </c>
      <c r="G522" s="1" t="str">
        <f ca="1"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6">
        <f ca="1">IFERROR(__xludf.DUMMYFUNCTION("""COMPUTED_VALUE"""),45870)</f>
        <v>45870</v>
      </c>
      <c r="B523" s="7">
        <f ca="1">IFERROR(__xludf.DUMMYFUNCTION("""COMPUTED_VALUE"""),45858)</f>
        <v>45858</v>
      </c>
      <c r="C523" s="1" t="str">
        <f ca="1">IFERROR(__xludf.DUMMYFUNCTION("""COMPUTED_VALUE"""),"Comkombi Aguade Coc")</f>
        <v>Comkombi Aguade Coc</v>
      </c>
      <c r="D523" s="2">
        <f ca="1">IFERROR(__xludf.DUMMYFUNCTION("""COMPUTED_VALUE"""),18)</f>
        <v>18</v>
      </c>
      <c r="E523" s="1" t="str">
        <f ca="1">IFERROR(__xludf.DUMMYFUNCTION("""COMPUTED_VALUE"""),"-")</f>
        <v>-</v>
      </c>
      <c r="F523" s="1" t="str">
        <f ca="1">IFERROR(__xludf.DUMMYFUNCTION("""COMPUTED_VALUE"""),"Comkombi Aguade Coc")</f>
        <v>Comkombi Aguade Coc</v>
      </c>
      <c r="G523" s="1" t="str">
        <f ca="1"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6">
        <f ca="1">IFERROR(__xludf.DUMMYFUNCTION("""COMPUTED_VALUE"""),45870)</f>
        <v>45870</v>
      </c>
      <c r="B524" s="7">
        <f ca="1">IFERROR(__xludf.DUMMYFUNCTION("""COMPUTED_VALUE"""),45858)</f>
        <v>45858</v>
      </c>
      <c r="C524" s="1" t="str">
        <f ca="1">IFERROR(__xludf.DUMMYFUNCTION("""COMPUTED_VALUE"""),"Petrobra")</f>
        <v>Petrobra</v>
      </c>
      <c r="D524" s="2">
        <f ca="1">IFERROR(__xludf.DUMMYFUNCTION("""COMPUTED_VALUE"""),222)</f>
        <v>222</v>
      </c>
      <c r="E524" s="1" t="str">
        <f ca="1">IFERROR(__xludf.DUMMYFUNCTION("""COMPUTED_VALUE"""),"-")</f>
        <v>-</v>
      </c>
      <c r="F524" s="1" t="str">
        <f ca="1">IFERROR(__xludf.DUMMYFUNCTION("""COMPUTED_VALUE"""),"Petrobra")</f>
        <v>Petrobra</v>
      </c>
      <c r="G524" s="1" t="str">
        <f ca="1"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6">
        <f ca="1">IFERROR(__xludf.DUMMYFUNCTION("""COMPUTED_VALUE"""),45870)</f>
        <v>45870</v>
      </c>
      <c r="B525" s="7">
        <f ca="1">IFERROR(__xludf.DUMMYFUNCTION("""COMPUTED_VALUE"""),45858)</f>
        <v>45858</v>
      </c>
      <c r="C525" s="1" t="str">
        <f ca="1">IFERROR(__xludf.DUMMYFUNCTION("""COMPUTED_VALUE"""),"Supermercado &amp; Padaria")</f>
        <v>Supermercado &amp; Padaria</v>
      </c>
      <c r="D525" s="2">
        <f ca="1">IFERROR(__xludf.DUMMYFUNCTION("""COMPUTED_VALUE"""),201.72)</f>
        <v>201.72</v>
      </c>
      <c r="E525" s="1" t="str">
        <f ca="1">IFERROR(__xludf.DUMMYFUNCTION("""COMPUTED_VALUE"""),"-")</f>
        <v>-</v>
      </c>
      <c r="F525" s="1" t="str">
        <f ca="1">IFERROR(__xludf.DUMMYFUNCTION("""COMPUTED_VALUE"""),"Supermercado &amp; Padaria")</f>
        <v>Supermercado &amp; Padaria</v>
      </c>
      <c r="G525" s="1" t="str">
        <f ca="1"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6">
        <f ca="1">IFERROR(__xludf.DUMMYFUNCTION("""COMPUTED_VALUE"""),45870)</f>
        <v>45870</v>
      </c>
      <c r="B526" s="7">
        <f ca="1">IFERROR(__xludf.DUMMYFUNCTION("""COMPUTED_VALUE"""),45859)</f>
        <v>45859</v>
      </c>
      <c r="C526" s="1" t="str">
        <f ca="1">IFERROR(__xludf.DUMMYFUNCTION("""COMPUTED_VALUE"""),"Boca Do Forno")</f>
        <v>Boca Do Forno</v>
      </c>
      <c r="D526" s="2">
        <f ca="1">IFERROR(__xludf.DUMMYFUNCTION("""COMPUTED_VALUE"""),27.5)</f>
        <v>27.5</v>
      </c>
      <c r="E526" s="1" t="str">
        <f ca="1">IFERROR(__xludf.DUMMYFUNCTION("""COMPUTED_VALUE"""),"-")</f>
        <v>-</v>
      </c>
      <c r="F526" s="1" t="str">
        <f ca="1">IFERROR(__xludf.DUMMYFUNCTION("""COMPUTED_VALUE"""),"Boca Do Forno")</f>
        <v>Boca Do Forno</v>
      </c>
      <c r="G526" s="1" t="str">
        <f ca="1"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6">
        <f ca="1">IFERROR(__xludf.DUMMYFUNCTION("""COMPUTED_VALUE"""),45870)</f>
        <v>45870</v>
      </c>
      <c r="B527" s="7">
        <f ca="1">IFERROR(__xludf.DUMMYFUNCTION("""COMPUTED_VALUE"""),45860)</f>
        <v>45860</v>
      </c>
      <c r="C527" s="1">
        <f ca="1">IFERROR(__xludf.DUMMYFUNCTION("""COMPUTED_VALUE"""),99)</f>
        <v>99</v>
      </c>
      <c r="D527" s="2">
        <f ca="1">IFERROR(__xludf.DUMMYFUNCTION("""COMPUTED_VALUE"""),8.84)</f>
        <v>8.84</v>
      </c>
      <c r="E527" s="1" t="str">
        <f ca="1">IFERROR(__xludf.DUMMYFUNCTION("""COMPUTED_VALUE"""),"-")</f>
        <v>-</v>
      </c>
      <c r="F527" s="1" t="str">
        <f ca="1">IFERROR(__xludf.DUMMYFUNCTION("""COMPUTED_VALUE"""),"99")</f>
        <v>99</v>
      </c>
      <c r="G527" s="1" t="str">
        <f ca="1"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6">
        <f ca="1">IFERROR(__xludf.DUMMYFUNCTION("""COMPUTED_VALUE"""),45870)</f>
        <v>45870</v>
      </c>
      <c r="B528" s="7">
        <f ca="1">IFERROR(__xludf.DUMMYFUNCTION("""COMPUTED_VALUE"""),45860)</f>
        <v>45860</v>
      </c>
      <c r="C528" s="1" t="str">
        <f ca="1">IFERROR(__xludf.DUMMYFUNCTION("""COMPUTED_VALUE"""),"Gelateria Mfps Mg2")</f>
        <v>Gelateria Mfps Mg2</v>
      </c>
      <c r="D528" s="2">
        <f ca="1">IFERROR(__xludf.DUMMYFUNCTION("""COMPUTED_VALUE"""),49)</f>
        <v>49</v>
      </c>
      <c r="E528" s="1" t="str">
        <f ca="1">IFERROR(__xludf.DUMMYFUNCTION("""COMPUTED_VALUE"""),"-")</f>
        <v>-</v>
      </c>
      <c r="F528" s="1" t="str">
        <f ca="1">IFERROR(__xludf.DUMMYFUNCTION("""COMPUTED_VALUE"""),"Gelateria Mfps Mg2")</f>
        <v>Gelateria Mfps Mg2</v>
      </c>
      <c r="G528" s="1" t="str">
        <f ca="1"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6">
        <f ca="1">IFERROR(__xludf.DUMMYFUNCTION("""COMPUTED_VALUE"""),45870)</f>
        <v>45870</v>
      </c>
      <c r="B529" s="7">
        <f ca="1">IFERROR(__xludf.DUMMYFUNCTION("""COMPUTED_VALUE"""),45860)</f>
        <v>45860</v>
      </c>
      <c r="C529" s="1" t="str">
        <f ca="1">IFERROR(__xludf.DUMMYFUNCTION("""COMPUTED_VALUE"""),"Amazon")</f>
        <v>Amazon</v>
      </c>
      <c r="D529" s="2">
        <f ca="1">IFERROR(__xludf.DUMMYFUNCTION("""COMPUTED_VALUE"""),18.81)</f>
        <v>18.809999999999999</v>
      </c>
      <c r="E529" s="1" t="str">
        <f ca="1">IFERROR(__xludf.DUMMYFUNCTION("""COMPUTED_VALUE"""),"-")</f>
        <v>-</v>
      </c>
      <c r="F529" s="1" t="str">
        <f ca="1">IFERROR(__xludf.DUMMYFUNCTION("""COMPUTED_VALUE"""),"Amazon")</f>
        <v>Amazon</v>
      </c>
      <c r="G529" s="1" t="str">
        <f ca="1"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6">
        <f ca="1">IFERROR(__xludf.DUMMYFUNCTION("""COMPUTED_VALUE"""),45870)</f>
        <v>45870</v>
      </c>
      <c r="B530" s="7">
        <f ca="1">IFERROR(__xludf.DUMMYFUNCTION("""COMPUTED_VALUE"""),45861)</f>
        <v>45861</v>
      </c>
      <c r="C530" s="1" t="str">
        <f ca="1">IFERROR(__xludf.DUMMYFUNCTION("""COMPUTED_VALUE"""),"Dma Distribuidora Sa")</f>
        <v>Dma Distribuidora Sa</v>
      </c>
      <c r="D530" s="2">
        <f ca="1">IFERROR(__xludf.DUMMYFUNCTION("""COMPUTED_VALUE"""),20.28)</f>
        <v>20.28</v>
      </c>
      <c r="E530" s="1" t="str">
        <f ca="1">IFERROR(__xludf.DUMMYFUNCTION("""COMPUTED_VALUE"""),"-")</f>
        <v>-</v>
      </c>
      <c r="F530" s="1" t="str">
        <f ca="1">IFERROR(__xludf.DUMMYFUNCTION("""COMPUTED_VALUE"""),"Dma Distribuidora Sa")</f>
        <v>Dma Distribuidora Sa</v>
      </c>
      <c r="G530" s="1" t="str">
        <f ca="1">IFERROR(__xludf.DUMMYFUNCTION("""COMPUTED_VALUE"""),"Supermercado")</f>
        <v>Supermercado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6">
        <f ca="1">IFERROR(__xludf.DUMMYFUNCTION("""COMPUTED_VALUE"""),45870)</f>
        <v>45870</v>
      </c>
      <c r="B531" s="7">
        <f ca="1">IFERROR(__xludf.DUMMYFUNCTION("""COMPUTED_VALUE"""),45861)</f>
        <v>45861</v>
      </c>
      <c r="C531" s="1" t="str">
        <f ca="1">IFERROR(__xludf.DUMMYFUNCTION("""COMPUTED_VALUE"""),"Uber")</f>
        <v>Uber</v>
      </c>
      <c r="D531" s="2">
        <f ca="1">IFERROR(__xludf.DUMMYFUNCTION("""COMPUTED_VALUE"""),8.97)</f>
        <v>8.9700000000000006</v>
      </c>
      <c r="E531" s="1" t="str">
        <f ca="1">IFERROR(__xludf.DUMMYFUNCTION("""COMPUTED_VALUE"""),"-")</f>
        <v>-</v>
      </c>
      <c r="F531" s="1" t="str">
        <f ca="1">IFERROR(__xludf.DUMMYFUNCTION("""COMPUTED_VALUE"""),"Uber")</f>
        <v>Uber</v>
      </c>
      <c r="G531" s="1" t="str">
        <f ca="1"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6">
        <f ca="1">IFERROR(__xludf.DUMMYFUNCTION("""COMPUTED_VALUE"""),45870)</f>
        <v>45870</v>
      </c>
      <c r="B532" s="7">
        <f ca="1">IFERROR(__xludf.DUMMYFUNCTION("""COMPUTED_VALUE"""),45862)</f>
        <v>45862</v>
      </c>
      <c r="C532" s="1" t="str">
        <f ca="1">IFERROR(__xludf.DUMMYFUNCTION("""COMPUTED_VALUE"""),"Uber")</f>
        <v>Uber</v>
      </c>
      <c r="D532" s="2">
        <f ca="1">IFERROR(__xludf.DUMMYFUNCTION("""COMPUTED_VALUE"""),4.92)</f>
        <v>4.92</v>
      </c>
      <c r="E532" s="1" t="str">
        <f ca="1">IFERROR(__xludf.DUMMYFUNCTION("""COMPUTED_VALUE"""),"-")</f>
        <v>-</v>
      </c>
      <c r="F532" s="1" t="str">
        <f ca="1">IFERROR(__xludf.DUMMYFUNCTION("""COMPUTED_VALUE"""),"Uber")</f>
        <v>Uber</v>
      </c>
      <c r="G532" s="1" t="str">
        <f ca="1"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6">
        <f ca="1">IFERROR(__xludf.DUMMYFUNCTION("""COMPUTED_VALUE"""),45870)</f>
        <v>45870</v>
      </c>
      <c r="B533" s="7">
        <f ca="1">IFERROR(__xludf.DUMMYFUNCTION("""COMPUTED_VALUE"""),45862)</f>
        <v>45862</v>
      </c>
      <c r="C533" s="1" t="str">
        <f ca="1">IFERROR(__xludf.DUMMYFUNCTION("""COMPUTED_VALUE"""),"Drogaria Araujo")</f>
        <v>Drogaria Araujo</v>
      </c>
      <c r="D533" s="2">
        <f ca="1">IFERROR(__xludf.DUMMYFUNCTION("""COMPUTED_VALUE"""),9.19)</f>
        <v>9.19</v>
      </c>
      <c r="E533" s="1" t="str">
        <f ca="1">IFERROR(__xludf.DUMMYFUNCTION("""COMPUTED_VALUE"""),"-")</f>
        <v>-</v>
      </c>
      <c r="F533" s="1" t="str">
        <f ca="1">IFERROR(__xludf.DUMMYFUNCTION("""COMPUTED_VALUE"""),"Drogaria Araujo")</f>
        <v>Drogaria Araujo</v>
      </c>
      <c r="G533" s="1" t="str">
        <f ca="1">IFERROR(__xludf.DUMMYFUNCTION("""COMPUTED_VALUE"""),"Farmácia")</f>
        <v>Farmácia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6">
        <f ca="1">IFERROR(__xludf.DUMMYFUNCTION("""COMPUTED_VALUE"""),45870)</f>
        <v>45870</v>
      </c>
      <c r="B534" s="7">
        <f ca="1">IFERROR(__xludf.DUMMYFUNCTION("""COMPUTED_VALUE"""),45863)</f>
        <v>45863</v>
      </c>
      <c r="C534" s="1" t="str">
        <f ca="1">IFERROR(__xludf.DUMMYFUNCTION("""COMPUTED_VALUE"""),"Nawebuti")</f>
        <v>Nawebuti</v>
      </c>
      <c r="D534" s="2">
        <f ca="1">IFERROR(__xludf.DUMMYFUNCTION("""COMPUTED_VALUE"""),88)</f>
        <v>88</v>
      </c>
      <c r="E534" s="1" t="str">
        <f ca="1">IFERROR(__xludf.DUMMYFUNCTION("""COMPUTED_VALUE"""),"-")</f>
        <v>-</v>
      </c>
      <c r="F534" s="1" t="str">
        <f ca="1">IFERROR(__xludf.DUMMYFUNCTION("""COMPUTED_VALUE"""),"Nawebuti")</f>
        <v>Nawebuti</v>
      </c>
      <c r="G534" s="1" t="str">
        <f ca="1"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6">
        <f ca="1">IFERROR(__xludf.DUMMYFUNCTION("""COMPUTED_VALUE"""),45870)</f>
        <v>45870</v>
      </c>
      <c r="B535" s="7">
        <f ca="1">IFERROR(__xludf.DUMMYFUNCTION("""COMPUTED_VALUE"""),45864)</f>
        <v>45864</v>
      </c>
      <c r="C535" s="1" t="str">
        <f ca="1">IFERROR(__xludf.DUMMYFUNCTION("""COMPUTED_VALUE"""),"Golden Pet")</f>
        <v>Golden Pet</v>
      </c>
      <c r="D535" s="2">
        <f ca="1">IFERROR(__xludf.DUMMYFUNCTION("""COMPUTED_VALUE"""),68)</f>
        <v>68</v>
      </c>
      <c r="E535" s="1" t="str">
        <f ca="1">IFERROR(__xludf.DUMMYFUNCTION("""COMPUTED_VALUE"""),"-")</f>
        <v>-</v>
      </c>
      <c r="F535" s="1" t="str">
        <f ca="1">IFERROR(__xludf.DUMMYFUNCTION("""COMPUTED_VALUE"""),"Golden Pet")</f>
        <v>Golden Pet</v>
      </c>
      <c r="G535" s="1" t="str">
        <f ca="1"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6">
        <f ca="1">IFERROR(__xludf.DUMMYFUNCTION("""COMPUTED_VALUE"""),45870)</f>
        <v>45870</v>
      </c>
      <c r="B536" s="7">
        <f ca="1">IFERROR(__xludf.DUMMYFUNCTION("""COMPUTED_VALUE"""),45864)</f>
        <v>45864</v>
      </c>
      <c r="C536" s="1" t="str">
        <f ca="1">IFERROR(__xludf.DUMMYFUNCTION("""COMPUTED_VALUE"""),"Casa Da Serra")</f>
        <v>Casa Da Serra</v>
      </c>
      <c r="D536" s="2">
        <f ca="1">IFERROR(__xludf.DUMMYFUNCTION("""COMPUTED_VALUE"""),22.95)</f>
        <v>22.95</v>
      </c>
      <c r="E536" s="1" t="str">
        <f ca="1">IFERROR(__xludf.DUMMYFUNCTION("""COMPUTED_VALUE"""),"-")</f>
        <v>-</v>
      </c>
      <c r="F536" s="1" t="str">
        <f ca="1">IFERROR(__xludf.DUMMYFUNCTION("""COMPUTED_VALUE"""),"Casa Da Serra")</f>
        <v>Casa Da Serra</v>
      </c>
      <c r="G536" s="1" t="str">
        <f ca="1"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6">
        <f ca="1">IFERROR(__xludf.DUMMYFUNCTION("""COMPUTED_VALUE"""),45870)</f>
        <v>45870</v>
      </c>
      <c r="B537" s="7">
        <f ca="1">IFERROR(__xludf.DUMMYFUNCTION("""COMPUTED_VALUE"""),45864)</f>
        <v>45864</v>
      </c>
      <c r="C537" s="1" t="str">
        <f ca="1">IFERROR(__xludf.DUMMYFUNCTION("""COMPUTED_VALUE"""),"Dma Distribuidora Sa (3/3)")</f>
        <v>Dma Distribuidora Sa (3/3)</v>
      </c>
      <c r="D537" s="2">
        <f ca="1">IFERROR(__xludf.DUMMYFUNCTION("""COMPUTED_VALUE"""),63.04)</f>
        <v>63.04</v>
      </c>
      <c r="E537" s="1" t="str">
        <f ca="1">IFERROR(__xludf.DUMMYFUNCTION("""COMPUTED_VALUE"""),"-")</f>
        <v>-</v>
      </c>
      <c r="F537" s="1" t="str">
        <f ca="1">IFERROR(__xludf.DUMMYFUNCTION("""COMPUTED_VALUE"""),"Dma Distribuidora Sa")</f>
        <v>Dma Distribuidora Sa</v>
      </c>
      <c r="G537" s="1" t="str">
        <f ca="1">IFERROR(__xludf.DUMMYFUNCTION("""COMPUTED_VALUE"""),"Supermercado")</f>
        <v>Supermercado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6">
        <f ca="1">IFERROR(__xludf.DUMMYFUNCTION("""COMPUTED_VALUE"""),45870)</f>
        <v>45870</v>
      </c>
      <c r="B538" s="7">
        <f ca="1">IFERROR(__xludf.DUMMYFUNCTION("""COMPUTED_VALUE"""),45864)</f>
        <v>45864</v>
      </c>
      <c r="C538" s="1" t="str">
        <f ca="1">IFERROR(__xludf.DUMMYFUNCTION("""COMPUTED_VALUE"""),"Dma Distribuidora Sa (2/3)")</f>
        <v>Dma Distribuidora Sa (2/3)</v>
      </c>
      <c r="D538" s="2">
        <f ca="1">IFERROR(__xludf.DUMMYFUNCTION("""COMPUTED_VALUE"""),63.04)</f>
        <v>63.04</v>
      </c>
      <c r="E538" s="1" t="str">
        <f ca="1">IFERROR(__xludf.DUMMYFUNCTION("""COMPUTED_VALUE"""),"-")</f>
        <v>-</v>
      </c>
      <c r="F538" s="1" t="str">
        <f ca="1">IFERROR(__xludf.DUMMYFUNCTION("""COMPUTED_VALUE"""),"Dma Distribuidora Sa")</f>
        <v>Dma Distribuidora Sa</v>
      </c>
      <c r="G538" s="1" t="str">
        <f ca="1">IFERROR(__xludf.DUMMYFUNCTION("""COMPUTED_VALUE"""),"Supermercado")</f>
        <v>Supermercado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6">
        <f ca="1">IFERROR(__xludf.DUMMYFUNCTION("""COMPUTED_VALUE"""),45870)</f>
        <v>45870</v>
      </c>
      <c r="B539" s="7">
        <f ca="1">IFERROR(__xludf.DUMMYFUNCTION("""COMPUTED_VALUE"""),45864)</f>
        <v>45864</v>
      </c>
      <c r="C539" s="1" t="str">
        <f ca="1">IFERROR(__xludf.DUMMYFUNCTION("""COMPUTED_VALUE"""),"Dma Distribuidora Sa (1/3)")</f>
        <v>Dma Distribuidora Sa (1/3)</v>
      </c>
      <c r="D539" s="2">
        <f ca="1">IFERROR(__xludf.DUMMYFUNCTION("""COMPUTED_VALUE"""),63.06)</f>
        <v>63.06</v>
      </c>
      <c r="E539" s="1" t="str">
        <f ca="1">IFERROR(__xludf.DUMMYFUNCTION("""COMPUTED_VALUE"""),"-")</f>
        <v>-</v>
      </c>
      <c r="F539" s="1" t="str">
        <f ca="1">IFERROR(__xludf.DUMMYFUNCTION("""COMPUTED_VALUE"""),"Dma Distribuidora Sa")</f>
        <v>Dma Distribuidora Sa</v>
      </c>
      <c r="G539" s="1" t="str">
        <f ca="1">IFERROR(__xludf.DUMMYFUNCTION("""COMPUTED_VALUE"""),"Supermercado")</f>
        <v>Supermercado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6">
        <f ca="1">IFERROR(__xludf.DUMMYFUNCTION("""COMPUTED_VALUE"""),45870)</f>
        <v>45870</v>
      </c>
      <c r="B540" s="7">
        <f ca="1">IFERROR(__xludf.DUMMYFUNCTION("""COMPUTED_VALUE"""),45864)</f>
        <v>45864</v>
      </c>
      <c r="C540" s="1" t="str">
        <f ca="1">IFERROR(__xludf.DUMMYFUNCTION("""COMPUTED_VALUE"""),"Farmácias Pa 324 (5/5)")</f>
        <v>Farmácias Pa 324 (5/5)</v>
      </c>
      <c r="D540" s="2">
        <f ca="1">IFERROR(__xludf.DUMMYFUNCTION("""COMPUTED_VALUE"""),50.89)</f>
        <v>50.89</v>
      </c>
      <c r="E540" s="1" t="str">
        <f ca="1">IFERROR(__xludf.DUMMYFUNCTION("""COMPUTED_VALUE"""),"-")</f>
        <v>-</v>
      </c>
      <c r="F540" s="1" t="str">
        <f ca="1">IFERROR(__xludf.DUMMYFUNCTION("""COMPUTED_VALUE"""),"Farmácias Pa 324")</f>
        <v>Farmácias Pa 324</v>
      </c>
      <c r="G540" s="1" t="str">
        <f ca="1">IFERROR(__xludf.DUMMYFUNCTION("""COMPUTED_VALUE"""),"Compras")</f>
        <v>Compras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6">
        <f ca="1">IFERROR(__xludf.DUMMYFUNCTION("""COMPUTED_VALUE"""),45870)</f>
        <v>45870</v>
      </c>
      <c r="B541" s="7">
        <f ca="1">IFERROR(__xludf.DUMMYFUNCTION("""COMPUTED_VALUE"""),45864)</f>
        <v>45864</v>
      </c>
      <c r="C541" s="1" t="str">
        <f ca="1">IFERROR(__xludf.DUMMYFUNCTION("""COMPUTED_VALUE"""),"Farmácias Pa 324 (4/5)")</f>
        <v>Farmácias Pa 324 (4/5)</v>
      </c>
      <c r="D541" s="2">
        <f ca="1">IFERROR(__xludf.DUMMYFUNCTION("""COMPUTED_VALUE"""),50.89)</f>
        <v>50.89</v>
      </c>
      <c r="E541" s="1" t="str">
        <f ca="1">IFERROR(__xludf.DUMMYFUNCTION("""COMPUTED_VALUE"""),"-")</f>
        <v>-</v>
      </c>
      <c r="F541" s="1" t="str">
        <f ca="1">IFERROR(__xludf.DUMMYFUNCTION("""COMPUTED_VALUE"""),"Farmácias Pa 324")</f>
        <v>Farmácias Pa 324</v>
      </c>
      <c r="G541" s="1" t="str">
        <f ca="1">IFERROR(__xludf.DUMMYFUNCTION("""COMPUTED_VALUE"""),"Compras")</f>
        <v>Compras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6">
        <f ca="1">IFERROR(__xludf.DUMMYFUNCTION("""COMPUTED_VALUE"""),45870)</f>
        <v>45870</v>
      </c>
      <c r="B542" s="7">
        <f ca="1">IFERROR(__xludf.DUMMYFUNCTION("""COMPUTED_VALUE"""),45864)</f>
        <v>45864</v>
      </c>
      <c r="C542" s="1" t="str">
        <f ca="1">IFERROR(__xludf.DUMMYFUNCTION("""COMPUTED_VALUE"""),"Farmácias Pa 324 (3/5)")</f>
        <v>Farmácias Pa 324 (3/5)</v>
      </c>
      <c r="D542" s="2">
        <f ca="1">IFERROR(__xludf.DUMMYFUNCTION("""COMPUTED_VALUE"""),50.89)</f>
        <v>50.89</v>
      </c>
      <c r="E542" s="1" t="str">
        <f ca="1">IFERROR(__xludf.DUMMYFUNCTION("""COMPUTED_VALUE"""),"-")</f>
        <v>-</v>
      </c>
      <c r="F542" s="1" t="str">
        <f ca="1">IFERROR(__xludf.DUMMYFUNCTION("""COMPUTED_VALUE"""),"Farmácias Pa 324")</f>
        <v>Farmácias Pa 324</v>
      </c>
      <c r="G542" s="1" t="str">
        <f ca="1">IFERROR(__xludf.DUMMYFUNCTION("""COMPUTED_VALUE"""),"Compras")</f>
        <v>Compras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6">
        <f ca="1">IFERROR(__xludf.DUMMYFUNCTION("""COMPUTED_VALUE"""),45870)</f>
        <v>45870</v>
      </c>
      <c r="B543" s="7">
        <f ca="1">IFERROR(__xludf.DUMMYFUNCTION("""COMPUTED_VALUE"""),45864)</f>
        <v>45864</v>
      </c>
      <c r="C543" s="1" t="str">
        <f ca="1">IFERROR(__xludf.DUMMYFUNCTION("""COMPUTED_VALUE"""),"Farmácias Pa 324 (2/5)")</f>
        <v>Farmácias Pa 324 (2/5)</v>
      </c>
      <c r="D543" s="2">
        <f ca="1">IFERROR(__xludf.DUMMYFUNCTION("""COMPUTED_VALUE"""),50.89)</f>
        <v>50.89</v>
      </c>
      <c r="E543" s="1" t="str">
        <f ca="1">IFERROR(__xludf.DUMMYFUNCTION("""COMPUTED_VALUE"""),"-")</f>
        <v>-</v>
      </c>
      <c r="F543" s="1" t="str">
        <f ca="1">IFERROR(__xludf.DUMMYFUNCTION("""COMPUTED_VALUE"""),"Farmácias Pa 324")</f>
        <v>Farmácias Pa 324</v>
      </c>
      <c r="G543" s="1" t="str">
        <f ca="1">IFERROR(__xludf.DUMMYFUNCTION("""COMPUTED_VALUE"""),"Compras")</f>
        <v>Compras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6">
        <f ca="1">IFERROR(__xludf.DUMMYFUNCTION("""COMPUTED_VALUE"""),45870)</f>
        <v>45870</v>
      </c>
      <c r="B544" s="7">
        <f ca="1">IFERROR(__xludf.DUMMYFUNCTION("""COMPUTED_VALUE"""),45864)</f>
        <v>45864</v>
      </c>
      <c r="C544" s="1" t="str">
        <f ca="1">IFERROR(__xludf.DUMMYFUNCTION("""COMPUTED_VALUE"""),"Farmácias Pa 324 (1/5)")</f>
        <v>Farmácias Pa 324 (1/5)</v>
      </c>
      <c r="D544" s="2">
        <f ca="1">IFERROR(__xludf.DUMMYFUNCTION("""COMPUTED_VALUE"""),50.91)</f>
        <v>50.91</v>
      </c>
      <c r="E544" s="1" t="str">
        <f ca="1">IFERROR(__xludf.DUMMYFUNCTION("""COMPUTED_VALUE"""),"-")</f>
        <v>-</v>
      </c>
      <c r="F544" s="1" t="str">
        <f ca="1">IFERROR(__xludf.DUMMYFUNCTION("""COMPUTED_VALUE"""),"Farmácias Pa 324")</f>
        <v>Farmácias Pa 324</v>
      </c>
      <c r="G544" s="1" t="str">
        <f ca="1">IFERROR(__xludf.DUMMYFUNCTION("""COMPUTED_VALUE"""),"Compras")</f>
        <v>Compras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6">
        <f ca="1">IFERROR(__xludf.DUMMYFUNCTION("""COMPUTED_VALUE"""),45870)</f>
        <v>45870</v>
      </c>
      <c r="B545" s="7">
        <f ca="1">IFERROR(__xludf.DUMMYFUNCTION("""COMPUTED_VALUE"""),45864)</f>
        <v>45864</v>
      </c>
      <c r="C545" s="1" t="str">
        <f ca="1">IFERROR(__xludf.DUMMYFUNCTION("""COMPUTED_VALUE"""),"Farmácias Pa")</f>
        <v>Farmácias Pa</v>
      </c>
      <c r="D545" s="2">
        <f ca="1">IFERROR(__xludf.DUMMYFUNCTION("""COMPUTED_VALUE"""),65.99)</f>
        <v>65.989999999999995</v>
      </c>
      <c r="E545" s="1" t="str">
        <f ca="1">IFERROR(__xludf.DUMMYFUNCTION("""COMPUTED_VALUE"""),"-")</f>
        <v>-</v>
      </c>
      <c r="F545" s="1" t="str">
        <f ca="1">IFERROR(__xludf.DUMMYFUNCTION("""COMPUTED_VALUE"""),"Farmácias Pa")</f>
        <v>Farmácias Pa</v>
      </c>
      <c r="G545" s="1" t="str">
        <f ca="1">IFERROR(__xludf.DUMMYFUNCTION("""COMPUTED_VALUE"""),"Farmácia")</f>
        <v>Farmácia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6">
        <f ca="1">IFERROR(__xludf.DUMMYFUNCTION("""COMPUTED_VALUE"""),45870)</f>
        <v>45870</v>
      </c>
      <c r="B546" s="7">
        <f ca="1">IFERROR(__xludf.DUMMYFUNCTION("""COMPUTED_VALUE"""),45864)</f>
        <v>45864</v>
      </c>
      <c r="C546" s="1" t="str">
        <f ca="1">IFERROR(__xludf.DUMMYFUNCTION("""COMPUTED_VALUE"""),"Panif Mendes Sion")</f>
        <v>Panif Mendes Sion</v>
      </c>
      <c r="D546" s="2">
        <f ca="1">IFERROR(__xludf.DUMMYFUNCTION("""COMPUTED_VALUE"""),9.2)</f>
        <v>9.1999999999999993</v>
      </c>
      <c r="E546" s="1" t="str">
        <f ca="1">IFERROR(__xludf.DUMMYFUNCTION("""COMPUTED_VALUE"""),"-")</f>
        <v>-</v>
      </c>
      <c r="F546" s="1" t="str">
        <f ca="1">IFERROR(__xludf.DUMMYFUNCTION("""COMPUTED_VALUE"""),"Panif Mendes Sion")</f>
        <v>Panif Mendes Sion</v>
      </c>
      <c r="G546" s="1" t="str">
        <f ca="1"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6">
        <f ca="1">IFERROR(__xludf.DUMMYFUNCTION("""COMPUTED_VALUE"""),45870)</f>
        <v>45870</v>
      </c>
      <c r="B547" s="7">
        <f ca="1">IFERROR(__xludf.DUMMYFUNCTION("""COMPUTED_VALUE"""),45865)</f>
        <v>45865</v>
      </c>
      <c r="C547" s="1" t="str">
        <f ca="1">IFERROR(__xludf.DUMMYFUNCTION("""COMPUTED_VALUE"""),"Amazon")</f>
        <v>Amazon</v>
      </c>
      <c r="D547" s="2">
        <f ca="1">IFERROR(__xludf.DUMMYFUNCTION("""COMPUTED_VALUE"""),4.17)</f>
        <v>4.17</v>
      </c>
      <c r="E547" s="1" t="str">
        <f ca="1">IFERROR(__xludf.DUMMYFUNCTION("""COMPUTED_VALUE"""),"-")</f>
        <v>-</v>
      </c>
      <c r="F547" s="1" t="str">
        <f ca="1">IFERROR(__xludf.DUMMYFUNCTION("""COMPUTED_VALUE"""),"Amazon")</f>
        <v>Amazon</v>
      </c>
      <c r="G547" s="1" t="str">
        <f ca="1"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6">
        <f ca="1">IFERROR(__xludf.DUMMYFUNCTION("""COMPUTED_VALUE"""),45870)</f>
        <v>45870</v>
      </c>
      <c r="B548" s="7">
        <f ca="1">IFERROR(__xludf.DUMMYFUNCTION("""COMPUTED_VALUE"""),45865)</f>
        <v>45865</v>
      </c>
      <c r="C548" s="1" t="str">
        <f ca="1">IFERROR(__xludf.DUMMYFUNCTION("""COMPUTED_VALUE"""),"Amazon")</f>
        <v>Amazon</v>
      </c>
      <c r="D548" s="2">
        <f ca="1">IFERROR(__xludf.DUMMYFUNCTION("""COMPUTED_VALUE"""),21.36)</f>
        <v>21.36</v>
      </c>
      <c r="E548" s="1" t="str">
        <f ca="1">IFERROR(__xludf.DUMMYFUNCTION("""COMPUTED_VALUE"""),"-")</f>
        <v>-</v>
      </c>
      <c r="F548" s="1" t="str">
        <f ca="1">IFERROR(__xludf.DUMMYFUNCTION("""COMPUTED_VALUE"""),"Amazon")</f>
        <v>Amazon</v>
      </c>
      <c r="G548" s="1" t="str">
        <f ca="1"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6">
        <f ca="1">IFERROR(__xludf.DUMMYFUNCTION("""COMPUTED_VALUE"""),45870)</f>
        <v>45870</v>
      </c>
      <c r="B549" s="7">
        <f ca="1">IFERROR(__xludf.DUMMYFUNCTION("""COMPUTED_VALUE"""),45865)</f>
        <v>45865</v>
      </c>
      <c r="C549" s="1" t="str">
        <f ca="1">IFERROR(__xludf.DUMMYFUNCTION("""COMPUTED_VALUE"""),"Pague Menos")</f>
        <v>Pague Menos</v>
      </c>
      <c r="D549" s="2">
        <f ca="1">IFERROR(__xludf.DUMMYFUNCTION("""COMPUTED_VALUE"""),16.2)</f>
        <v>16.2</v>
      </c>
      <c r="E549" s="1" t="str">
        <f ca="1">IFERROR(__xludf.DUMMYFUNCTION("""COMPUTED_VALUE"""),"-")</f>
        <v>-</v>
      </c>
      <c r="F549" s="1" t="str">
        <f ca="1">IFERROR(__xludf.DUMMYFUNCTION("""COMPUTED_VALUE"""),"Pague Menos")</f>
        <v>Pague Menos</v>
      </c>
      <c r="G549" s="1" t="str">
        <f ca="1"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6">
        <f ca="1">IFERROR(__xludf.DUMMYFUNCTION("""COMPUTED_VALUE"""),45870)</f>
        <v>45870</v>
      </c>
      <c r="B550" s="7">
        <f ca="1">IFERROR(__xludf.DUMMYFUNCTION("""COMPUTED_VALUE"""),45865)</f>
        <v>45865</v>
      </c>
      <c r="C550" s="1" t="str">
        <f ca="1">IFERROR(__xludf.DUMMYFUNCTION("""COMPUTED_VALUE"""),"Quiosque De Coco Jk")</f>
        <v>Quiosque De Coco Jk</v>
      </c>
      <c r="D550" s="2">
        <f ca="1">IFERROR(__xludf.DUMMYFUNCTION("""COMPUTED_VALUE"""),10)</f>
        <v>10</v>
      </c>
      <c r="E550" s="1" t="str">
        <f ca="1">IFERROR(__xludf.DUMMYFUNCTION("""COMPUTED_VALUE"""),"-")</f>
        <v>-</v>
      </c>
      <c r="F550" s="1" t="str">
        <f ca="1">IFERROR(__xludf.DUMMYFUNCTION("""COMPUTED_VALUE"""),"Quiosque De Coco Jk")</f>
        <v>Quiosque De Coco Jk</v>
      </c>
      <c r="G550" s="1" t="str">
        <f ca="1"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6">
        <f ca="1">IFERROR(__xludf.DUMMYFUNCTION("""COMPUTED_VALUE"""),45870)</f>
        <v>45870</v>
      </c>
      <c r="B551" s="7">
        <f ca="1">IFERROR(__xludf.DUMMYFUNCTION("""COMPUTED_VALUE"""),45866)</f>
        <v>45866</v>
      </c>
      <c r="C551" s="1" t="str">
        <f ca="1">IFERROR(__xludf.DUMMYFUNCTION("""COMPUTED_VALUE"""),"Amazon")</f>
        <v>Amazon</v>
      </c>
      <c r="D551" s="2">
        <f ca="1">IFERROR(__xludf.DUMMYFUNCTION("""COMPUTED_VALUE"""),38.9)</f>
        <v>38.9</v>
      </c>
      <c r="E551" s="1" t="str">
        <f ca="1">IFERROR(__xludf.DUMMYFUNCTION("""COMPUTED_VALUE"""),"-")</f>
        <v>-</v>
      </c>
      <c r="F551" s="1" t="str">
        <f ca="1">IFERROR(__xludf.DUMMYFUNCTION("""COMPUTED_VALUE"""),"Amazon")</f>
        <v>Amazon</v>
      </c>
      <c r="G551" s="1" t="str">
        <f ca="1"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6">
        <f ca="1">IFERROR(__xludf.DUMMYFUNCTION("""COMPUTED_VALUE"""),45870)</f>
        <v>45870</v>
      </c>
      <c r="B552" s="7">
        <f ca="1">IFERROR(__xludf.DUMMYFUNCTION("""COMPUTED_VALUE"""),45867)</f>
        <v>45867</v>
      </c>
      <c r="C552" s="1" t="str">
        <f ca="1">IFERROR(__xludf.DUMMYFUNCTION("""COMPUTED_VALUE"""),"Drogaria Araujo")</f>
        <v>Drogaria Araujo</v>
      </c>
      <c r="D552" s="2">
        <f ca="1">IFERROR(__xludf.DUMMYFUNCTION("""COMPUTED_VALUE"""),55.59)</f>
        <v>55.59</v>
      </c>
      <c r="E552" s="1" t="str">
        <f ca="1">IFERROR(__xludf.DUMMYFUNCTION("""COMPUTED_VALUE"""),"-")</f>
        <v>-</v>
      </c>
      <c r="F552" s="1" t="str">
        <f ca="1">IFERROR(__xludf.DUMMYFUNCTION("""COMPUTED_VALUE"""),"Drogaria Araujo")</f>
        <v>Drogaria Araujo</v>
      </c>
      <c r="G552" s="1" t="str">
        <f ca="1">IFERROR(__xludf.DUMMYFUNCTION("""COMPUTED_VALUE"""),"Farmácia")</f>
        <v>Farmácia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6">
        <f ca="1">IFERROR(__xludf.DUMMYFUNCTION("""COMPUTED_VALUE"""),45870)</f>
        <v>45870</v>
      </c>
      <c r="B553" s="7">
        <f ca="1">IFERROR(__xludf.DUMMYFUNCTION("""COMPUTED_VALUE"""),45867)</f>
        <v>45867</v>
      </c>
      <c r="C553" s="1" t="str">
        <f ca="1">IFERROR(__xludf.DUMMYFUNCTION("""COMPUTED_VALUE"""),"Shopee")</f>
        <v>Shopee</v>
      </c>
      <c r="D553" s="2">
        <f ca="1">IFERROR(__xludf.DUMMYFUNCTION("""COMPUTED_VALUE"""),85.58)</f>
        <v>85.58</v>
      </c>
      <c r="E553" s="1" t="str">
        <f ca="1">IFERROR(__xludf.DUMMYFUNCTION("""COMPUTED_VALUE"""),"-")</f>
        <v>-</v>
      </c>
      <c r="F553" s="1" t="str">
        <f ca="1">IFERROR(__xludf.DUMMYFUNCTION("""COMPUTED_VALUE"""),"Shopee")</f>
        <v>Shopee</v>
      </c>
      <c r="G553" s="1" t="str">
        <f ca="1"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6">
        <f ca="1">IFERROR(__xludf.DUMMYFUNCTION("""COMPUTED_VALUE"""),45870)</f>
        <v>45870</v>
      </c>
      <c r="B554" s="7">
        <f ca="1">IFERROR(__xludf.DUMMYFUNCTION("""COMPUTED_VALUE"""),45867)</f>
        <v>45867</v>
      </c>
      <c r="C554" s="1" t="str">
        <f ca="1">IFERROR(__xludf.DUMMYFUNCTION("""COMPUTED_VALUE"""),"Drogaria Araujo")</f>
        <v>Drogaria Araujo</v>
      </c>
      <c r="D554" s="2">
        <f ca="1">IFERROR(__xludf.DUMMYFUNCTION("""COMPUTED_VALUE"""),18.44)</f>
        <v>18.440000000000001</v>
      </c>
      <c r="E554" s="1" t="str">
        <f ca="1">IFERROR(__xludf.DUMMYFUNCTION("""COMPUTED_VALUE"""),"-")</f>
        <v>-</v>
      </c>
      <c r="F554" s="1" t="str">
        <f ca="1">IFERROR(__xludf.DUMMYFUNCTION("""COMPUTED_VALUE"""),"Drogaria Araujo")</f>
        <v>Drogaria Araujo</v>
      </c>
      <c r="G554" s="1" t="str">
        <f ca="1">IFERROR(__xludf.DUMMYFUNCTION("""COMPUTED_VALUE"""),"Farmácia")</f>
        <v>Farmácia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6">
        <f ca="1">IFERROR(__xludf.DUMMYFUNCTION("""COMPUTED_VALUE"""),45870)</f>
        <v>45870</v>
      </c>
      <c r="B555" s="7">
        <f ca="1">IFERROR(__xludf.DUMMYFUNCTION("""COMPUTED_VALUE"""),45868)</f>
        <v>45868</v>
      </c>
      <c r="C555" s="1" t="str">
        <f ca="1">IFERROR(__xludf.DUMMYFUNCTION("""COMPUTED_VALUE"""),"Drogaria Pacheco (1/3)")</f>
        <v>Drogaria Pacheco (1/3)</v>
      </c>
      <c r="D555" s="2">
        <f ca="1">IFERROR(__xludf.DUMMYFUNCTION("""COMPUTED_VALUE"""),83.41)</f>
        <v>83.41</v>
      </c>
      <c r="E555" s="1" t="str">
        <f ca="1">IFERROR(__xludf.DUMMYFUNCTION("""COMPUTED_VALUE"""),"-")</f>
        <v>-</v>
      </c>
      <c r="F555" s="1" t="str">
        <f ca="1">IFERROR(__xludf.DUMMYFUNCTION("""COMPUTED_VALUE"""),"Drogaria Pacheco")</f>
        <v>Drogaria Pacheco</v>
      </c>
      <c r="G555" s="1" t="str">
        <f ca="1">IFERROR(__xludf.DUMMYFUNCTION("""COMPUTED_VALUE"""),"Farmácia")</f>
        <v>Farmácia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6">
        <f ca="1">IFERROR(__xludf.DUMMYFUNCTION("""COMPUTED_VALUE"""),45870)</f>
        <v>45870</v>
      </c>
      <c r="B556" s="7">
        <f ca="1">IFERROR(__xludf.DUMMYFUNCTION("""COMPUTED_VALUE"""),45868)</f>
        <v>45868</v>
      </c>
      <c r="C556" s="1" t="str">
        <f ca="1">IFERROR(__xludf.DUMMYFUNCTION("""COMPUTED_VALUE"""),"Amazon")</f>
        <v>Amazon</v>
      </c>
      <c r="D556" s="2">
        <f ca="1">IFERROR(__xludf.DUMMYFUNCTION("""COMPUTED_VALUE"""),16.88)</f>
        <v>16.88</v>
      </c>
      <c r="E556" s="1" t="str">
        <f ca="1">IFERROR(__xludf.DUMMYFUNCTION("""COMPUTED_VALUE"""),"-")</f>
        <v>-</v>
      </c>
      <c r="F556" s="1" t="str">
        <f ca="1">IFERROR(__xludf.DUMMYFUNCTION("""COMPUTED_VALUE"""),"Amazon")</f>
        <v>Amazon</v>
      </c>
      <c r="G556" s="1" t="str">
        <f ca="1"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6">
        <f ca="1">IFERROR(__xludf.DUMMYFUNCTION("""COMPUTED_VALUE"""),45870)</f>
        <v>45870</v>
      </c>
      <c r="B557" s="7">
        <f ca="1">IFERROR(__xludf.DUMMYFUNCTION("""COMPUTED_VALUE"""),45868)</f>
        <v>45868</v>
      </c>
      <c r="C557" s="1" t="str">
        <f ca="1">IFERROR(__xludf.DUMMYFUNCTION("""COMPUTED_VALUE"""),"Sorveteria Arm")</f>
        <v>Sorveteria Arm</v>
      </c>
      <c r="D557" s="2">
        <f ca="1">IFERROR(__xludf.DUMMYFUNCTION("""COMPUTED_VALUE"""),16.13)</f>
        <v>16.13</v>
      </c>
      <c r="E557" s="1" t="str">
        <f ca="1">IFERROR(__xludf.DUMMYFUNCTION("""COMPUTED_VALUE"""),"-")</f>
        <v>-</v>
      </c>
      <c r="F557" s="1" t="str">
        <f ca="1">IFERROR(__xludf.DUMMYFUNCTION("""COMPUTED_VALUE"""),"Sorveteria Arm")</f>
        <v>Sorveteria Arm</v>
      </c>
      <c r="G557" s="1" t="str">
        <f ca="1"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6">
        <f ca="1">IFERROR(__xludf.DUMMYFUNCTION("""COMPUTED_VALUE"""),45870)</f>
        <v>45870</v>
      </c>
      <c r="B558" s="7">
        <f ca="1">IFERROR(__xludf.DUMMYFUNCTION("""COMPUTED_VALUE"""),45868)</f>
        <v>45868</v>
      </c>
      <c r="C558" s="1" t="str">
        <f ca="1">IFERROR(__xludf.DUMMYFUNCTION("""COMPUTED_VALUE"""),"Petz")</f>
        <v>Petz</v>
      </c>
      <c r="D558" s="2">
        <f ca="1">IFERROR(__xludf.DUMMYFUNCTION("""COMPUTED_VALUE"""),11.99)</f>
        <v>11.99</v>
      </c>
      <c r="E558" s="1" t="str">
        <f ca="1">IFERROR(__xludf.DUMMYFUNCTION("""COMPUTED_VALUE"""),"-")</f>
        <v>-</v>
      </c>
      <c r="F558" s="1" t="str">
        <f ca="1">IFERROR(__xludf.DUMMYFUNCTION("""COMPUTED_VALUE"""),"Petz")</f>
        <v>Petz</v>
      </c>
      <c r="G558" s="1" t="str">
        <f ca="1"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6">
        <f ca="1">IFERROR(__xludf.DUMMYFUNCTION("""COMPUTED_VALUE"""),45870)</f>
        <v>45870</v>
      </c>
      <c r="B559" s="7">
        <f ca="1">IFERROR(__xludf.DUMMYFUNCTION("""COMPUTED_VALUE"""),45869)</f>
        <v>45869</v>
      </c>
      <c r="C559" s="1" t="str">
        <f ca="1">IFERROR(__xludf.DUMMYFUNCTION("""COMPUTED_VALUE"""),"Uber")</f>
        <v>Uber</v>
      </c>
      <c r="D559" s="2">
        <f ca="1">IFERROR(__xludf.DUMMYFUNCTION("""COMPUTED_VALUE"""),8.93)</f>
        <v>8.93</v>
      </c>
      <c r="E559" s="1" t="str">
        <f ca="1">IFERROR(__xludf.DUMMYFUNCTION("""COMPUTED_VALUE"""),"-")</f>
        <v>-</v>
      </c>
      <c r="F559" s="1" t="str">
        <f ca="1">IFERROR(__xludf.DUMMYFUNCTION("""COMPUTED_VALUE"""),"Uber")</f>
        <v>Uber</v>
      </c>
      <c r="G559" s="1" t="str">
        <f ca="1"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6">
        <f ca="1">IFERROR(__xludf.DUMMYFUNCTION("""COMPUTED_VALUE"""),45870)</f>
        <v>45870</v>
      </c>
      <c r="B560" s="7">
        <f ca="1">IFERROR(__xludf.DUMMYFUNCTION("""COMPUTED_VALUE"""),45869)</f>
        <v>45869</v>
      </c>
      <c r="C560" s="1" t="str">
        <f ca="1">IFERROR(__xludf.DUMMYFUNCTION("""COMPUTED_VALUE"""),"Momento Super Nosso")</f>
        <v>Momento Super Nosso</v>
      </c>
      <c r="D560" s="2">
        <f ca="1">IFERROR(__xludf.DUMMYFUNCTION("""COMPUTED_VALUE"""),56.45)</f>
        <v>56.45</v>
      </c>
      <c r="E560" s="1" t="str">
        <f ca="1">IFERROR(__xludf.DUMMYFUNCTION("""COMPUTED_VALUE"""),"-")</f>
        <v>-</v>
      </c>
      <c r="F560" s="1" t="str">
        <f ca="1">IFERROR(__xludf.DUMMYFUNCTION("""COMPUTED_VALUE"""),"Momento Super Nosso")</f>
        <v>Momento Super Nosso</v>
      </c>
      <c r="G560" s="1" t="str">
        <f ca="1"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6">
        <f ca="1">IFERROR(__xludf.DUMMYFUNCTION("""COMPUTED_VALUE"""),45870)</f>
        <v>45870</v>
      </c>
      <c r="B561" s="7">
        <f ca="1">IFERROR(__xludf.DUMMYFUNCTION("""COMPUTED_VALUE"""),45870)</f>
        <v>45870</v>
      </c>
      <c r="C561" s="1">
        <f ca="1">IFERROR(__xludf.DUMMYFUNCTION("""COMPUTED_VALUE"""),99)</f>
        <v>99</v>
      </c>
      <c r="D561" s="2">
        <f ca="1">IFERROR(__xludf.DUMMYFUNCTION("""COMPUTED_VALUE"""),10.4)</f>
        <v>10.4</v>
      </c>
      <c r="E561" s="1" t="str">
        <f ca="1">IFERROR(__xludf.DUMMYFUNCTION("""COMPUTED_VALUE"""),"-")</f>
        <v>-</v>
      </c>
      <c r="F561" s="1" t="str">
        <f ca="1">IFERROR(__xludf.DUMMYFUNCTION("""COMPUTED_VALUE"""),"99")</f>
        <v>99</v>
      </c>
      <c r="G561" s="1" t="str">
        <f ca="1"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6">
        <f ca="1">IFERROR(__xludf.DUMMYFUNCTION("""COMPUTED_VALUE"""),45870)</f>
        <v>45870</v>
      </c>
      <c r="B562" s="7">
        <f ca="1">IFERROR(__xludf.DUMMYFUNCTION("""COMPUTED_VALUE"""),45870)</f>
        <v>45870</v>
      </c>
      <c r="C562" s="1" t="str">
        <f ca="1">IFERROR(__xludf.DUMMYFUNCTION("""COMPUTED_VALUE"""),"Panif Mendes Sion")</f>
        <v>Panif Mendes Sion</v>
      </c>
      <c r="D562" s="2">
        <f ca="1">IFERROR(__xludf.DUMMYFUNCTION("""COMPUTED_VALUE"""),15.28)</f>
        <v>15.28</v>
      </c>
      <c r="E562" s="1" t="str">
        <f ca="1">IFERROR(__xludf.DUMMYFUNCTION("""COMPUTED_VALUE"""),"-")</f>
        <v>-</v>
      </c>
      <c r="F562" s="1" t="str">
        <f ca="1">IFERROR(__xludf.DUMMYFUNCTION("""COMPUTED_VALUE"""),"Panif Mendes Sion")</f>
        <v>Panif Mendes Sion</v>
      </c>
      <c r="G562" s="1" t="str">
        <f ca="1"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6">
        <f ca="1">IFERROR(__xludf.DUMMYFUNCTION("""COMPUTED_VALUE"""),45870)</f>
        <v>45870</v>
      </c>
      <c r="B563" s="7">
        <f ca="1">IFERROR(__xludf.DUMMYFUNCTION("""COMPUTED_VALUE"""),45870)</f>
        <v>45870</v>
      </c>
      <c r="C563" s="1" t="str">
        <f ca="1">IFERROR(__xludf.DUMMYFUNCTION("""COMPUTED_VALUE"""),"Drogaria Araujo")</f>
        <v>Drogaria Araujo</v>
      </c>
      <c r="D563" s="2">
        <f ca="1">IFERROR(__xludf.DUMMYFUNCTION("""COMPUTED_VALUE"""),14.67)</f>
        <v>14.67</v>
      </c>
      <c r="E563" s="1" t="str">
        <f ca="1">IFERROR(__xludf.DUMMYFUNCTION("""COMPUTED_VALUE"""),"-")</f>
        <v>-</v>
      </c>
      <c r="F563" s="1" t="str">
        <f ca="1">IFERROR(__xludf.DUMMYFUNCTION("""COMPUTED_VALUE"""),"Drogaria Araujo")</f>
        <v>Drogaria Araujo</v>
      </c>
      <c r="G563" s="1" t="str">
        <f ca="1">IFERROR(__xludf.DUMMYFUNCTION("""COMPUTED_VALUE"""),"Farmácia")</f>
        <v>Farmácia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6">
        <f ca="1">IFERROR(__xludf.DUMMYFUNCTION("""COMPUTED_VALUE"""),45870)</f>
        <v>45870</v>
      </c>
      <c r="B564" s="7">
        <f ca="1">IFERROR(__xludf.DUMMYFUNCTION("""COMPUTED_VALUE"""),45829)</f>
        <v>45829</v>
      </c>
      <c r="C564" s="1" t="str">
        <f ca="1">IFERROR(__xludf.DUMMYFUNCTION("""COMPUTED_VALUE"""),"Cancelamento - Shopee")</f>
        <v>Cancelamento - Shopee</v>
      </c>
      <c r="D564" s="2">
        <f ca="1">IFERROR(__xludf.DUMMYFUNCTION("""COMPUTED_VALUE"""),-32.89)</f>
        <v>-32.89</v>
      </c>
      <c r="E564" s="1" t="str">
        <f ca="1">IFERROR(__xludf.DUMMYFUNCTION("""COMPUTED_VALUE"""),"-")</f>
        <v>-</v>
      </c>
      <c r="F564" s="1" t="str">
        <f ca="1">IFERROR(__xludf.DUMMYFUNCTION("""COMPUTED_VALUE"""),"Cancelamento - Shopee")</f>
        <v>Cancelamento - Shopee</v>
      </c>
      <c r="G564" s="1" t="str">
        <f ca="1"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6">
        <f ca="1">IFERROR(__xludf.DUMMYFUNCTION("""COMPUTED_VALUE"""),45870)</f>
        <v>45870</v>
      </c>
      <c r="B565" s="7">
        <f ca="1">IFERROR(__xludf.DUMMYFUNCTION("""COMPUTED_VALUE"""),45829)</f>
        <v>45829</v>
      </c>
      <c r="C565" s="1" t="str">
        <f ca="1">IFERROR(__xludf.DUMMYFUNCTION("""COMPUTED_VALUE"""),"Cancelamento - Shopee")</f>
        <v>Cancelamento - Shopee</v>
      </c>
      <c r="D565" s="2">
        <f ca="1">IFERROR(__xludf.DUMMYFUNCTION("""COMPUTED_VALUE"""),-32.89)</f>
        <v>-32.89</v>
      </c>
      <c r="E565" s="1" t="str">
        <f ca="1">IFERROR(__xludf.DUMMYFUNCTION("""COMPUTED_VALUE"""),"-")</f>
        <v>-</v>
      </c>
      <c r="F565" s="1" t="str">
        <f ca="1">IFERROR(__xludf.DUMMYFUNCTION("""COMPUTED_VALUE"""),"Cancelamento - Shopee")</f>
        <v>Cancelamento - Shopee</v>
      </c>
      <c r="G565" s="1" t="str">
        <f ca="1"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6">
        <f ca="1">IFERROR(__xludf.DUMMYFUNCTION("""COMPUTED_VALUE"""),45870)</f>
        <v>45870</v>
      </c>
      <c r="B566" s="7">
        <f ca="1">IFERROR(__xludf.DUMMYFUNCTION("""COMPUTED_VALUE"""),45837)</f>
        <v>45837</v>
      </c>
      <c r="C566" s="1" t="str">
        <f ca="1">IFERROR(__xludf.DUMMYFUNCTION("""COMPUTED_VALUE"""),"Cancelamento - Shopee")</f>
        <v>Cancelamento - Shopee</v>
      </c>
      <c r="D566" s="2">
        <f ca="1">IFERROR(__xludf.DUMMYFUNCTION("""COMPUTED_VALUE"""),-24.74)</f>
        <v>-24.74</v>
      </c>
      <c r="E566" s="1" t="str">
        <f ca="1">IFERROR(__xludf.DUMMYFUNCTION("""COMPUTED_VALUE"""),"-")</f>
        <v>-</v>
      </c>
      <c r="F566" s="1" t="str">
        <f ca="1">IFERROR(__xludf.DUMMYFUNCTION("""COMPUTED_VALUE"""),"Cancelamento - Shopee")</f>
        <v>Cancelamento - Shopee</v>
      </c>
      <c r="G566" s="1" t="str">
        <f ca="1"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6">
        <f ca="1">IFERROR(__xludf.DUMMYFUNCTION("""COMPUTED_VALUE"""),45870)</f>
        <v>45870</v>
      </c>
      <c r="B567" s="7">
        <f ca="1">IFERROR(__xludf.DUMMYFUNCTION("""COMPUTED_VALUE"""),45868)</f>
        <v>45868</v>
      </c>
      <c r="C567" s="1" t="str">
        <f ca="1">IFERROR(__xludf.DUMMYFUNCTION("""COMPUTED_VALUE"""),"Desconto Na Parcela 5 De 5 Farmácias Pa 324")</f>
        <v>Desconto Na Parcela 5 De 5 Farmácias Pa 324</v>
      </c>
      <c r="D567" s="2">
        <f ca="1">IFERROR(__xludf.DUMMYFUNCTION("""COMPUTED_VALUE"""),-0.75)</f>
        <v>-0.75</v>
      </c>
      <c r="E567" s="1" t="str">
        <f ca="1">IFERROR(__xludf.DUMMYFUNCTION("""COMPUTED_VALUE"""),"-")</f>
        <v>-</v>
      </c>
      <c r="F567" s="1" t="str">
        <f ca="1">IFERROR(__xludf.DUMMYFUNCTION("""COMPUTED_VALUE"""),"Desconto Na Parcela 5 De 5 Farmácias Pa 324")</f>
        <v>Desconto Na Parcela 5 De 5 Farmácias Pa 324</v>
      </c>
      <c r="G567" s="1" t="str">
        <f ca="1"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6">
        <f ca="1">IFERROR(__xludf.DUMMYFUNCTION("""COMPUTED_VALUE"""),45870)</f>
        <v>45870</v>
      </c>
      <c r="B568" s="7">
        <f ca="1">IFERROR(__xludf.DUMMYFUNCTION("""COMPUTED_VALUE"""),45868)</f>
        <v>45868</v>
      </c>
      <c r="C568" s="1" t="str">
        <f ca="1">IFERROR(__xludf.DUMMYFUNCTION("""COMPUTED_VALUE"""),"Desconto Na Parcela 3 De 5 Farmácias Pa 324")</f>
        <v>Desconto Na Parcela 3 De 5 Farmácias Pa 324</v>
      </c>
      <c r="D568" s="2">
        <f ca="1">IFERROR(__xludf.DUMMYFUNCTION("""COMPUTED_VALUE"""),-0.38)</f>
        <v>-0.38</v>
      </c>
      <c r="E568" s="1" t="str">
        <f ca="1">IFERROR(__xludf.DUMMYFUNCTION("""COMPUTED_VALUE"""),"-")</f>
        <v>-</v>
      </c>
      <c r="F568" s="1" t="str">
        <f ca="1">IFERROR(__xludf.DUMMYFUNCTION("""COMPUTED_VALUE"""),"Desconto Na Parcela 3 De 5 Farmácias Pa 324")</f>
        <v>Desconto Na Parcela 3 De 5 Farmácias Pa 324</v>
      </c>
      <c r="G568" s="1" t="str">
        <f ca="1"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6">
        <f ca="1">IFERROR(__xludf.DUMMYFUNCTION("""COMPUTED_VALUE"""),45870)</f>
        <v>45870</v>
      </c>
      <c r="B569" s="7">
        <f ca="1">IFERROR(__xludf.DUMMYFUNCTION("""COMPUTED_VALUE"""),45868)</f>
        <v>45868</v>
      </c>
      <c r="C569" s="1" t="str">
        <f ca="1">IFERROR(__xludf.DUMMYFUNCTION("""COMPUTED_VALUE"""),"Desconto Na Parcela 3 De 3 Dma Distribuidora Sa")</f>
        <v>Desconto Na Parcela 3 De 3 Dma Distribuidora Sa</v>
      </c>
      <c r="D569" s="2">
        <f ca="1">IFERROR(__xludf.DUMMYFUNCTION("""COMPUTED_VALUE"""),-0.47)</f>
        <v>-0.47</v>
      </c>
      <c r="E569" s="1" t="str">
        <f ca="1">IFERROR(__xludf.DUMMYFUNCTION("""COMPUTED_VALUE"""),"-")</f>
        <v>-</v>
      </c>
      <c r="F569" s="1" t="str">
        <f ca="1">IFERROR(__xludf.DUMMYFUNCTION("""COMPUTED_VALUE"""),"Desconto Na Parcela 3 De 3 Dma Distribuidora Sa")</f>
        <v>Desconto Na Parcela 3 De 3 Dma Distribuidora Sa</v>
      </c>
      <c r="G569" s="1" t="str">
        <f ca="1"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6">
        <f ca="1">IFERROR(__xludf.DUMMYFUNCTION("""COMPUTED_VALUE"""),45870)</f>
        <v>45870</v>
      </c>
      <c r="B570" s="7">
        <f ca="1">IFERROR(__xludf.DUMMYFUNCTION("""COMPUTED_VALUE"""),45868)</f>
        <v>45868</v>
      </c>
      <c r="C570" s="1" t="str">
        <f ca="1">IFERROR(__xludf.DUMMYFUNCTION("""COMPUTED_VALUE"""),"Desconto Na Parcela 4 De 5 Farmácias Pa 324")</f>
        <v>Desconto Na Parcela 4 De 5 Farmácias Pa 324</v>
      </c>
      <c r="D570" s="2">
        <f ca="1">IFERROR(__xludf.DUMMYFUNCTION("""COMPUTED_VALUE"""),-0.57)</f>
        <v>-0.56999999999999995</v>
      </c>
      <c r="E570" s="1" t="str">
        <f ca="1">IFERROR(__xludf.DUMMYFUNCTION("""COMPUTED_VALUE"""),"-")</f>
        <v>-</v>
      </c>
      <c r="F570" s="1" t="str">
        <f ca="1">IFERROR(__xludf.DUMMYFUNCTION("""COMPUTED_VALUE"""),"Desconto Na Parcela 4 De 5 Farmácias Pa 324")</f>
        <v>Desconto Na Parcela 4 De 5 Farmácias Pa 324</v>
      </c>
      <c r="G570" s="1" t="str">
        <f ca="1"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6">
        <f ca="1">IFERROR(__xludf.DUMMYFUNCTION("""COMPUTED_VALUE"""),45870)</f>
        <v>45870</v>
      </c>
      <c r="B571" s="7">
        <f ca="1">IFERROR(__xludf.DUMMYFUNCTION("""COMPUTED_VALUE"""),45868)</f>
        <v>45868</v>
      </c>
      <c r="C571" s="1" t="str">
        <f ca="1">IFERROR(__xludf.DUMMYFUNCTION("""COMPUTED_VALUE"""),"Desconto Na Parcela 2 De 5 Farmácias Pa 324")</f>
        <v>Desconto Na Parcela 2 De 5 Farmácias Pa 324</v>
      </c>
      <c r="D571" s="2">
        <f ca="1">IFERROR(__xludf.DUMMYFUNCTION("""COMPUTED_VALUE"""),-0.19)</f>
        <v>-0.19</v>
      </c>
      <c r="E571" s="1" t="str">
        <f ca="1">IFERROR(__xludf.DUMMYFUNCTION("""COMPUTED_VALUE"""),"-")</f>
        <v>-</v>
      </c>
      <c r="F571" s="1" t="str">
        <f ca="1">IFERROR(__xludf.DUMMYFUNCTION("""COMPUTED_VALUE"""),"Desconto Na Parcela 2 De 5 Farmácias Pa 324")</f>
        <v>Desconto Na Parcela 2 De 5 Farmácias Pa 324</v>
      </c>
      <c r="G571" s="1" t="str">
        <f ca="1"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6">
        <f ca="1">IFERROR(__xludf.DUMMYFUNCTION("""COMPUTED_VALUE"""),45870)</f>
        <v>45870</v>
      </c>
      <c r="B572" s="7">
        <f ca="1">IFERROR(__xludf.DUMMYFUNCTION("""COMPUTED_VALUE"""),45868)</f>
        <v>45868</v>
      </c>
      <c r="C572" s="1" t="str">
        <f ca="1">IFERROR(__xludf.DUMMYFUNCTION("""COMPUTED_VALUE"""),"Desconto Na Parcela 2 De 3 Dma Distribuidora Sa")</f>
        <v>Desconto Na Parcela 2 De 3 Dma Distribuidora Sa</v>
      </c>
      <c r="D572" s="2">
        <f ca="1">IFERROR(__xludf.DUMMYFUNCTION("""COMPUTED_VALUE"""),-0.24)</f>
        <v>-0.24</v>
      </c>
      <c r="E572" s="1" t="str">
        <f ca="1">IFERROR(__xludf.DUMMYFUNCTION("""COMPUTED_VALUE"""),"-")</f>
        <v>-</v>
      </c>
      <c r="F572" s="1" t="str">
        <f ca="1">IFERROR(__xludf.DUMMYFUNCTION("""COMPUTED_VALUE"""),"Desconto Na Parcela 2 De 3 Dma Distribuidora Sa")</f>
        <v>Desconto Na Parcela 2 De 3 Dma Distribuidora Sa</v>
      </c>
      <c r="G572" s="1" t="str">
        <f ca="1"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6">
        <f ca="1">IFERROR(__xludf.DUMMYFUNCTION("""COMPUTED_VALUE"""),45870)</f>
        <v>45870</v>
      </c>
      <c r="B573" s="7">
        <f ca="1">IFERROR(__xludf.DUMMYFUNCTION("""COMPUTED_VALUE"""),45868)</f>
        <v>45868</v>
      </c>
      <c r="C573" s="1" t="str">
        <f ca="1">IFERROR(__xludf.DUMMYFUNCTION("""COMPUTED_VALUE"""),"Desconto Na Parcela 2 De 2 La No Mercado")</f>
        <v>Desconto Na Parcela 2 De 2 La No Mercado</v>
      </c>
      <c r="D573" s="2">
        <f ca="1">IFERROR(__xludf.DUMMYFUNCTION("""COMPUTED_VALUE"""),-0.3)</f>
        <v>-0.3</v>
      </c>
      <c r="E573" s="1" t="str">
        <f ca="1">IFERROR(__xludf.DUMMYFUNCTION("""COMPUTED_VALUE"""),"-")</f>
        <v>-</v>
      </c>
      <c r="F573" s="1" t="str">
        <f ca="1">IFERROR(__xludf.DUMMYFUNCTION("""COMPUTED_VALUE"""),"Desconto Na Parcela 2 De 2 La No Mercado")</f>
        <v>Desconto Na Parcela 2 De 2 La No Mercado</v>
      </c>
      <c r="G573" s="1" t="str">
        <f ca="1"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6">
        <f ca="1">IFERROR(__xludf.DUMMYFUNCTION("""COMPUTED_VALUE"""),45870)</f>
        <v>45870</v>
      </c>
      <c r="B574" s="7">
        <f ca="1">IFERROR(__xludf.DUMMYFUNCTION("""COMPUTED_VALUE"""),45868)</f>
        <v>45868</v>
      </c>
      <c r="C574" s="1" t="str">
        <f ca="1">IFERROR(__xludf.DUMMYFUNCTION("""COMPUTED_VALUE"""),"Desconto Na Parcela 2 De 2 Pet Loveorder 1031697")</f>
        <v>Desconto Na Parcela 2 De 2 Pet Loveorder 1031697</v>
      </c>
      <c r="D574" s="2">
        <f ca="1">IFERROR(__xludf.DUMMYFUNCTION("""COMPUTED_VALUE"""),-0.42)</f>
        <v>-0.42</v>
      </c>
      <c r="E574" s="1" t="str">
        <f ca="1">IFERROR(__xludf.DUMMYFUNCTION("""COMPUTED_VALUE"""),"-")</f>
        <v>-</v>
      </c>
      <c r="F574" s="1" t="str">
        <f ca="1">IFERROR(__xludf.DUMMYFUNCTION("""COMPUTED_VALUE"""),"Desconto Na Parcela 2 De 2 Pet Loveorder 1031697")</f>
        <v>Desconto Na Parcela 2 De 2 Pet Loveorder 1031697</v>
      </c>
      <c r="G574" s="1" t="str">
        <f ca="1"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6">
        <f ca="1">IFERROR(__xludf.DUMMYFUNCTION("""COMPUTED_VALUE"""),45870)</f>
        <v>45870</v>
      </c>
      <c r="B575" s="7">
        <f ca="1">IFERROR(__xludf.DUMMYFUNCTION("""COMPUTED_VALUE"""),45868)</f>
        <v>45868</v>
      </c>
      <c r="C575" s="1" t="str">
        <f ca="1">IFERROR(__xludf.DUMMYFUNCTION("""COMPUTED_VALUE"""),"Desconto Na Parcela 10 De 10 Amazonmktplc Planetaim")</f>
        <v>Desconto Na Parcela 10 De 10 Amazonmktplc Planetaim</v>
      </c>
      <c r="D575" s="2">
        <f ca="1">IFERROR(__xludf.DUMMYFUNCTION("""COMPUTED_VALUE"""),-2.12)</f>
        <v>-2.12</v>
      </c>
      <c r="E575" s="1" t="str">
        <f ca="1">IFERROR(__xludf.DUMMYFUNCTION("""COMPUTED_VALUE"""),"-")</f>
        <v>-</v>
      </c>
      <c r="F575" s="1" t="str">
        <f ca="1">IFERROR(__xludf.DUMMYFUNCTION("""COMPUTED_VALUE"""),"Amazonmktplc")</f>
        <v>Amazonmktplc</v>
      </c>
      <c r="G575" s="1" t="str">
        <f ca="1"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6">
        <f ca="1">IFERROR(__xludf.DUMMYFUNCTION("""COMPUTED_VALUE"""),45870)</f>
        <v>45870</v>
      </c>
      <c r="B576" s="7">
        <f ca="1">IFERROR(__xludf.DUMMYFUNCTION("""COMPUTED_VALUE"""),45868)</f>
        <v>45868</v>
      </c>
      <c r="C576" s="1" t="str">
        <f ca="1">IFERROR(__xludf.DUMMYFUNCTION("""COMPUTED_VALUE"""),"Desconto Na Parcela 8 De 10 Amazonmktplc Planetaim")</f>
        <v>Desconto Na Parcela 8 De 10 Amazonmktplc Planetaim</v>
      </c>
      <c r="D576" s="2">
        <f ca="1">IFERROR(__xludf.DUMMYFUNCTION("""COMPUTED_VALUE"""),-1.61)</f>
        <v>-1.61</v>
      </c>
      <c r="E576" s="1" t="str">
        <f ca="1">IFERROR(__xludf.DUMMYFUNCTION("""COMPUTED_VALUE"""),"-")</f>
        <v>-</v>
      </c>
      <c r="F576" s="1" t="str">
        <f ca="1">IFERROR(__xludf.DUMMYFUNCTION("""COMPUTED_VALUE"""),"Amazonmktplc")</f>
        <v>Amazonmktplc</v>
      </c>
      <c r="G576" s="1" t="str">
        <f ca="1"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6">
        <f ca="1">IFERROR(__xludf.DUMMYFUNCTION("""COMPUTED_VALUE"""),45870)</f>
        <v>45870</v>
      </c>
      <c r="B577" s="7">
        <f ca="1">IFERROR(__xludf.DUMMYFUNCTION("""COMPUTED_VALUE"""),45868)</f>
        <v>45868</v>
      </c>
      <c r="C577" s="1" t="str">
        <f ca="1">IFERROR(__xludf.DUMMYFUNCTION("""COMPUTED_VALUE"""),"Desconto Na Parcela 9 De 10 Amazonmktplc Planetaim")</f>
        <v>Desconto Na Parcela 9 De 10 Amazonmktplc Planetaim</v>
      </c>
      <c r="D577" s="2">
        <f ca="1">IFERROR(__xludf.DUMMYFUNCTION("""COMPUTED_VALUE"""),-1.85)</f>
        <v>-1.85</v>
      </c>
      <c r="E577" s="1" t="str">
        <f ca="1">IFERROR(__xludf.DUMMYFUNCTION("""COMPUTED_VALUE"""),"-")</f>
        <v>-</v>
      </c>
      <c r="F577" s="1" t="str">
        <f ca="1">IFERROR(__xludf.DUMMYFUNCTION("""COMPUTED_VALUE"""),"Amazonmktplc")</f>
        <v>Amazonmktplc</v>
      </c>
      <c r="G577" s="1" t="str">
        <f ca="1"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6">
        <f ca="1">IFERROR(__xludf.DUMMYFUNCTION("""COMPUTED_VALUE"""),45870)</f>
        <v>45870</v>
      </c>
      <c r="B578" s="7">
        <f ca="1">IFERROR(__xludf.DUMMYFUNCTION("""COMPUTED_VALUE"""),45868)</f>
        <v>45868</v>
      </c>
      <c r="C578" s="1" t="str">
        <f ca="1">IFERROR(__xludf.DUMMYFUNCTION("""COMPUTED_VALUE"""),"Desconto Na Parcela 5 De 10 Amazonmktplc Planetaim")</f>
        <v>Desconto Na Parcela 5 De 10 Amazonmktplc Planetaim</v>
      </c>
      <c r="D578" s="2">
        <f ca="1">IFERROR(__xludf.DUMMYFUNCTION("""COMPUTED_VALUE"""),-0.81)</f>
        <v>-0.81</v>
      </c>
      <c r="E578" s="1" t="str">
        <f ca="1">IFERROR(__xludf.DUMMYFUNCTION("""COMPUTED_VALUE"""),"-")</f>
        <v>-</v>
      </c>
      <c r="F578" s="1" t="str">
        <f ca="1">IFERROR(__xludf.DUMMYFUNCTION("""COMPUTED_VALUE"""),"Amazonmktplc")</f>
        <v>Amazonmktplc</v>
      </c>
      <c r="G578" s="1" t="str">
        <f ca="1"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6">
        <f ca="1">IFERROR(__xludf.DUMMYFUNCTION("""COMPUTED_VALUE"""),45870)</f>
        <v>45870</v>
      </c>
      <c r="B579" s="7">
        <f ca="1">IFERROR(__xludf.DUMMYFUNCTION("""COMPUTED_VALUE"""),45868)</f>
        <v>45868</v>
      </c>
      <c r="C579" s="1" t="str">
        <f ca="1">IFERROR(__xludf.DUMMYFUNCTION("""COMPUTED_VALUE"""),"Desconto Na Parcela 6 De 10 Amazonmktplc Planetaim")</f>
        <v>Desconto Na Parcela 6 De 10 Amazonmktplc Planetaim</v>
      </c>
      <c r="D579" s="2">
        <f ca="1">IFERROR(__xludf.DUMMYFUNCTION("""COMPUTED_VALUE"""),-1.07)</f>
        <v>-1.07</v>
      </c>
      <c r="E579" s="1" t="str">
        <f ca="1">IFERROR(__xludf.DUMMYFUNCTION("""COMPUTED_VALUE"""),"-")</f>
        <v>-</v>
      </c>
      <c r="F579" s="1" t="str">
        <f ca="1">IFERROR(__xludf.DUMMYFUNCTION("""COMPUTED_VALUE"""),"Amazonmktplc")</f>
        <v>Amazonmktplc</v>
      </c>
      <c r="G579" s="1" t="str">
        <f ca="1"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6">
        <f ca="1">IFERROR(__xludf.DUMMYFUNCTION("""COMPUTED_VALUE"""),45870)</f>
        <v>45870</v>
      </c>
      <c r="B580" s="7">
        <f ca="1">IFERROR(__xludf.DUMMYFUNCTION("""COMPUTED_VALUE"""),45868)</f>
        <v>45868</v>
      </c>
      <c r="C580" s="1" t="str">
        <f ca="1">IFERROR(__xludf.DUMMYFUNCTION("""COMPUTED_VALUE"""),"Desconto Na Parcela 7 De 10 Amazonmktplc Planetaim")</f>
        <v>Desconto Na Parcela 7 De 10 Amazonmktplc Planetaim</v>
      </c>
      <c r="D580" s="2">
        <f ca="1">IFERROR(__xludf.DUMMYFUNCTION("""COMPUTED_VALUE"""),-1.34)</f>
        <v>-1.34</v>
      </c>
      <c r="E580" s="1" t="str">
        <f ca="1">IFERROR(__xludf.DUMMYFUNCTION("""COMPUTED_VALUE"""),"-")</f>
        <v>-</v>
      </c>
      <c r="F580" s="1" t="str">
        <f ca="1">IFERROR(__xludf.DUMMYFUNCTION("""COMPUTED_VALUE"""),"Amazonmktplc")</f>
        <v>Amazonmktplc</v>
      </c>
      <c r="G580" s="1" t="str">
        <f ca="1"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6">
        <f ca="1">IFERROR(__xludf.DUMMYFUNCTION("""COMPUTED_VALUE"""),45870)</f>
        <v>45870</v>
      </c>
      <c r="B581" s="7">
        <f ca="1">IFERROR(__xludf.DUMMYFUNCTION("""COMPUTED_VALUE"""),45868)</f>
        <v>45868</v>
      </c>
      <c r="C581" s="1" t="str">
        <f ca="1">IFERROR(__xludf.DUMMYFUNCTION("""COMPUTED_VALUE"""),"Desconto Na Parcela 3 De 10 Amazonmktplc Planetaim")</f>
        <v>Desconto Na Parcela 3 De 10 Amazonmktplc Planetaim</v>
      </c>
      <c r="D581" s="2">
        <f ca="1">IFERROR(__xludf.DUMMYFUNCTION("""COMPUTED_VALUE"""),-0.27)</f>
        <v>-0.27</v>
      </c>
      <c r="E581" s="1" t="str">
        <f ca="1">IFERROR(__xludf.DUMMYFUNCTION("""COMPUTED_VALUE"""),"-")</f>
        <v>-</v>
      </c>
      <c r="F581" s="1" t="str">
        <f ca="1">IFERROR(__xludf.DUMMYFUNCTION("""COMPUTED_VALUE"""),"Amazonmktplc")</f>
        <v>Amazonmktplc</v>
      </c>
      <c r="G581" s="1" t="str">
        <f ca="1"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6">
        <f ca="1">IFERROR(__xludf.DUMMYFUNCTION("""COMPUTED_VALUE"""),45870)</f>
        <v>45870</v>
      </c>
      <c r="B582" s="7">
        <f ca="1">IFERROR(__xludf.DUMMYFUNCTION("""COMPUTED_VALUE"""),45868)</f>
        <v>45868</v>
      </c>
      <c r="C582" s="1" t="str">
        <f ca="1">IFERROR(__xludf.DUMMYFUNCTION("""COMPUTED_VALUE"""),"Desconto Na Parcela 4 De 10 Amazonmktplc Planetaim")</f>
        <v>Desconto Na Parcela 4 De 10 Amazonmktplc Planetaim</v>
      </c>
      <c r="D582" s="2">
        <f ca="1">IFERROR(__xludf.DUMMYFUNCTION("""COMPUTED_VALUE"""),-0.54)</f>
        <v>-0.54</v>
      </c>
      <c r="E582" s="1" t="str">
        <f ca="1">IFERROR(__xludf.DUMMYFUNCTION("""COMPUTED_VALUE"""),"-")</f>
        <v>-</v>
      </c>
      <c r="F582" s="1" t="str">
        <f ca="1">IFERROR(__xludf.DUMMYFUNCTION("""COMPUTED_VALUE"""),"Amazonmktplc")</f>
        <v>Amazonmktplc</v>
      </c>
      <c r="G582" s="1" t="str">
        <f ca="1"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6">
        <f ca="1">IFERROR(__xludf.DUMMYFUNCTION("""COMPUTED_VALUE"""),45901)</f>
        <v>45901</v>
      </c>
      <c r="B583" s="7" t="str">
        <f ca="1">IFERROR(__xludf.DUMMYFUNCTION("""COMPUTED_VALUE"""),"26/07/25")</f>
        <v>26/07/25</v>
      </c>
      <c r="C583" s="1" t="str">
        <f ca="1">IFERROR(__xludf.DUMMYFUNCTION("""COMPUTED_VALUE"""),"Cancelamento - Farmácias Pa")</f>
        <v>Cancelamento - Farmácias Pa</v>
      </c>
      <c r="D583" s="2">
        <f ca="1">IFERROR(__xludf.DUMMYFUNCTION("""COMPUTED_VALUE"""),-65.99)</f>
        <v>-65.989999999999995</v>
      </c>
      <c r="E583" s="1" t="str">
        <f ca="1">IFERROR(__xludf.DUMMYFUNCTION("""COMPUTED_VALUE"""),"-")</f>
        <v>-</v>
      </c>
      <c r="F583" s="1" t="str">
        <f ca="1">IFERROR(__xludf.DUMMYFUNCTION("""COMPUTED_VALUE"""),"Cancelamento - Farmácias Pa")</f>
        <v>Cancelamento - Farmácias Pa</v>
      </c>
      <c r="G583" s="1" t="str">
        <f ca="1"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6">
        <f ca="1">IFERROR(__xludf.DUMMYFUNCTION("""COMPUTED_VALUE"""),45901)</f>
        <v>45901</v>
      </c>
      <c r="B584" s="7">
        <f ca="1">IFERROR(__xludf.DUMMYFUNCTION("""COMPUTED_VALUE"""),45938)</f>
        <v>45938</v>
      </c>
      <c r="C584" s="1" t="str">
        <f ca="1">IFERROR(__xludf.DUMMYFUNCTION("""COMPUTED_VALUE"""),"Desconto Na Parcela 2 De 2 Drogaria Araaraujo")</f>
        <v>Desconto Na Parcela 2 De 2 Drogaria Araaraujo</v>
      </c>
      <c r="D584" s="2">
        <f ca="1">IFERROR(__xludf.DUMMYFUNCTION("""COMPUTED_VALUE"""),-0.3)</f>
        <v>-0.3</v>
      </c>
      <c r="E584" s="1" t="str">
        <f ca="1">IFERROR(__xludf.DUMMYFUNCTION("""COMPUTED_VALUE"""),"-")</f>
        <v>-</v>
      </c>
      <c r="F584" s="1" t="str">
        <f ca="1">IFERROR(__xludf.DUMMYFUNCTION("""COMPUTED_VALUE"""),"Desconto Na Parcela 2 De 2 Drogaria Araaraujo")</f>
        <v>Desconto Na Parcela 2 De 2 Drogaria Araaraujo</v>
      </c>
      <c r="G584" s="1" t="str">
        <f ca="1"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6">
        <f ca="1">IFERROR(__xludf.DUMMYFUNCTION("""COMPUTED_VALUE"""),45901)</f>
        <v>45901</v>
      </c>
      <c r="B585" s="7">
        <f ca="1">IFERROR(__xludf.DUMMYFUNCTION("""COMPUTED_VALUE"""),45938)</f>
        <v>45938</v>
      </c>
      <c r="C585" s="1" t="str">
        <f ca="1">IFERROR(__xludf.DUMMYFUNCTION("""COMPUTED_VALUE"""),"Desconto Na Parcela 2 De 2 Milon Patio Savassi")</f>
        <v>Desconto Na Parcela 2 De 2 Milon Patio Savassi</v>
      </c>
      <c r="D585" s="2">
        <f ca="1">IFERROR(__xludf.DUMMYFUNCTION("""COMPUTED_VALUE"""),-0.25)</f>
        <v>-0.25</v>
      </c>
      <c r="E585" s="1" t="str">
        <f ca="1">IFERROR(__xludf.DUMMYFUNCTION("""COMPUTED_VALUE"""),"-")</f>
        <v>-</v>
      </c>
      <c r="F585" s="1" t="str">
        <f ca="1">IFERROR(__xludf.DUMMYFUNCTION("""COMPUTED_VALUE"""),"Desconto Na Parcela 2 De 2 Milon Patio Savassi")</f>
        <v>Desconto Na Parcela 2 De 2 Milon Patio Savassi</v>
      </c>
      <c r="G585" s="1" t="str">
        <f ca="1"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6">
        <f ca="1">IFERROR(__xludf.DUMMYFUNCTION("""COMPUTED_VALUE"""),45901)</f>
        <v>45901</v>
      </c>
      <c r="B586" s="7">
        <f ca="1">IFERROR(__xludf.DUMMYFUNCTION("""COMPUTED_VALUE"""),45938)</f>
        <v>45938</v>
      </c>
      <c r="C586" s="1" t="str">
        <f ca="1">IFERROR(__xludf.DUMMYFUNCTION("""COMPUTED_VALUE"""),"Desconto Na Parcela 2 De 2 Shopee")</f>
        <v>Desconto Na Parcela 2 De 2 Shopee</v>
      </c>
      <c r="D586" s="2">
        <f ca="1">IFERROR(__xludf.DUMMYFUNCTION("""COMPUTED_VALUE"""),-0.27)</f>
        <v>-0.27</v>
      </c>
      <c r="E586" s="1" t="str">
        <f ca="1">IFERROR(__xludf.DUMMYFUNCTION("""COMPUTED_VALUE"""),"-")</f>
        <v>-</v>
      </c>
      <c r="F586" s="1" t="str">
        <f ca="1">IFERROR(__xludf.DUMMYFUNCTION("""COMPUTED_VALUE"""),"Desconto Na Parcela 2 De 2 Shopee")</f>
        <v>Desconto Na Parcela 2 De 2 Shopee</v>
      </c>
      <c r="G586" s="1" t="str">
        <f ca="1"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6">
        <f ca="1">IFERROR(__xludf.DUMMYFUNCTION("""COMPUTED_VALUE"""),45901)</f>
        <v>45901</v>
      </c>
      <c r="B587" s="7">
        <f ca="1">IFERROR(__xludf.DUMMYFUNCTION("""COMPUTED_VALUE"""),45938)</f>
        <v>45938</v>
      </c>
      <c r="C587" s="1" t="str">
        <f ca="1">IFERROR(__xludf.DUMMYFUNCTION("""COMPUTED_VALUE"""),"Desconto Na Parcela 3 De 3 Drogarias Pacheco")</f>
        <v>Desconto Na Parcela 3 De 3 Drogarias Pacheco</v>
      </c>
      <c r="D587" s="2">
        <f ca="1">IFERROR(__xludf.DUMMYFUNCTION("""COMPUTED_VALUE"""),-0.3)</f>
        <v>-0.3</v>
      </c>
      <c r="E587" s="1" t="str">
        <f ca="1">IFERROR(__xludf.DUMMYFUNCTION("""COMPUTED_VALUE"""),"-")</f>
        <v>-</v>
      </c>
      <c r="F587" s="1" t="str">
        <f ca="1">IFERROR(__xludf.DUMMYFUNCTION("""COMPUTED_VALUE"""),"Desconto Na Parcela 3 De 3 Drogarias Pacheco")</f>
        <v>Desconto Na Parcela 3 De 3 Drogarias Pacheco</v>
      </c>
      <c r="G587" s="1" t="str">
        <f ca="1"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6">
        <f ca="1">IFERROR(__xludf.DUMMYFUNCTION("""COMPUTED_VALUE"""),45901)</f>
        <v>45901</v>
      </c>
      <c r="B588" s="7" t="str">
        <f ca="1">IFERROR(__xludf.DUMMYFUNCTION("""COMPUTED_VALUE"""),"16/08/25")</f>
        <v>16/08/25</v>
      </c>
      <c r="C588" s="1" t="str">
        <f ca="1">IFERROR(__xludf.DUMMYFUNCTION("""COMPUTED_VALUE"""),"Cancelamento - Amazon")</f>
        <v>Cancelamento - Amazon</v>
      </c>
      <c r="D588" s="2">
        <f ca="1">IFERROR(__xludf.DUMMYFUNCTION("""COMPUTED_VALUE"""),-0.22)</f>
        <v>-0.22</v>
      </c>
      <c r="E588" s="1" t="str">
        <f ca="1">IFERROR(__xludf.DUMMYFUNCTION("""COMPUTED_VALUE"""),"-")</f>
        <v>-</v>
      </c>
      <c r="F588" s="1" t="str">
        <f ca="1">IFERROR(__xludf.DUMMYFUNCTION("""COMPUTED_VALUE"""),"Cancelamento - Amazon")</f>
        <v>Cancelamento - Amazon</v>
      </c>
      <c r="G588" s="1" t="str">
        <f ca="1"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6">
        <f ca="1">IFERROR(__xludf.DUMMYFUNCTION("""COMPUTED_VALUE"""),45901)</f>
        <v>45901</v>
      </c>
      <c r="B589" s="7" t="str">
        <f ca="1">IFERROR(__xludf.DUMMYFUNCTION("""COMPUTED_VALUE"""),"27/08/25")</f>
        <v>27/08/25</v>
      </c>
      <c r="C589" s="1" t="str">
        <f ca="1">IFERROR(__xludf.DUMMYFUNCTION("""COMPUTED_VALUE"""),"Cancelamento - Shopee")</f>
        <v>Cancelamento - Shopee</v>
      </c>
      <c r="D589" s="2">
        <f ca="1">IFERROR(__xludf.DUMMYFUNCTION("""COMPUTED_VALUE"""),-14.62)</f>
        <v>-14.62</v>
      </c>
      <c r="E589" s="1" t="str">
        <f ca="1">IFERROR(__xludf.DUMMYFUNCTION("""COMPUTED_VALUE"""),"-")</f>
        <v>-</v>
      </c>
      <c r="F589" s="1" t="str">
        <f ca="1">IFERROR(__xludf.DUMMYFUNCTION("""COMPUTED_VALUE"""),"Cancelamento - Shopee")</f>
        <v>Cancelamento - Shopee</v>
      </c>
      <c r="G589" s="1" t="str">
        <f ca="1"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6">
        <f ca="1">IFERROR(__xludf.DUMMYFUNCTION("""COMPUTED_VALUE"""),45901)</f>
        <v>45901</v>
      </c>
      <c r="B590" s="7">
        <f ca="1">IFERROR(__xludf.DUMMYFUNCTION("""COMPUTED_VALUE"""),45697)</f>
        <v>45697</v>
      </c>
      <c r="C590" s="1" t="str">
        <f ca="1">IFERROR(__xludf.DUMMYFUNCTION("""COMPUTED_VALUE"""),"Cancelamento - Amazonmktplc Gffcompan")</f>
        <v>Cancelamento - Amazonmktplc Gffcompan</v>
      </c>
      <c r="D590" s="2">
        <f ca="1">IFERROR(__xludf.DUMMYFUNCTION("""COMPUTED_VALUE"""),-39.9)</f>
        <v>-39.9</v>
      </c>
      <c r="E590" s="1" t="str">
        <f ca="1">IFERROR(__xludf.DUMMYFUNCTION("""COMPUTED_VALUE"""),"-")</f>
        <v>-</v>
      </c>
      <c r="F590" s="1" t="str">
        <f ca="1">IFERROR(__xludf.DUMMYFUNCTION("""COMPUTED_VALUE"""),"Amazonmktplc")</f>
        <v>Amazonmktplc</v>
      </c>
      <c r="G590" s="1" t="str">
        <f ca="1"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6">
        <f ca="1">IFERROR(__xludf.DUMMYFUNCTION("""COMPUTED_VALUE"""),45901)</f>
        <v>45901</v>
      </c>
      <c r="B591" s="7" t="str">
        <f ca="1">IFERROR(__xludf.DUMMYFUNCTION("""COMPUTED_VALUE"""),"18/04/25")</f>
        <v>18/04/25</v>
      </c>
      <c r="C591" s="1" t="str">
        <f ca="1">IFERROR(__xludf.DUMMYFUNCTION("""COMPUTED_VALUE"""),"Casas Bahia (5/10)")</f>
        <v>Casas Bahia (5/10)</v>
      </c>
      <c r="D591" s="2">
        <f ca="1">IFERROR(__xludf.DUMMYFUNCTION("""COMPUTED_VALUE"""),361.46)</f>
        <v>361.46</v>
      </c>
      <c r="E591" s="1" t="str">
        <f ca="1">IFERROR(__xludf.DUMMYFUNCTION("""COMPUTED_VALUE"""),"-")</f>
        <v>-</v>
      </c>
      <c r="F591" s="1" t="str">
        <f ca="1">IFERROR(__xludf.DUMMYFUNCTION("""COMPUTED_VALUE"""),"Casas Bahia")</f>
        <v>Casas Bahia</v>
      </c>
      <c r="G591" s="1" t="str">
        <f ca="1"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6">
        <f ca="1">IFERROR(__xludf.DUMMYFUNCTION("""COMPUTED_VALUE"""),45901)</f>
        <v>45901</v>
      </c>
      <c r="B592" s="7">
        <f ca="1">IFERROR(__xludf.DUMMYFUNCTION("""COMPUTED_VALUE"""),45936)</f>
        <v>45936</v>
      </c>
      <c r="C592" s="1" t="str">
        <f ca="1">IFERROR(__xludf.DUMMYFUNCTION("""COMPUTED_VALUE"""),"Crstina Marcia (3/10)")</f>
        <v>Crstina Marcia (3/10)</v>
      </c>
      <c r="D592" s="2">
        <f ca="1">IFERROR(__xludf.DUMMYFUNCTION("""COMPUTED_VALUE"""),696)</f>
        <v>696</v>
      </c>
      <c r="E592" s="1" t="str">
        <f ca="1">IFERROR(__xludf.DUMMYFUNCTION("""COMPUTED_VALUE"""),"-")</f>
        <v>-</v>
      </c>
      <c r="F592" s="1" t="str">
        <f ca="1">IFERROR(__xludf.DUMMYFUNCTION("""COMPUTED_VALUE"""),"Crstina Marcia")</f>
        <v>Crstina Marcia</v>
      </c>
      <c r="G592" s="1" t="str">
        <f ca="1"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6">
        <f ca="1">IFERROR(__xludf.DUMMYFUNCTION("""COMPUTED_VALUE"""),45901)</f>
        <v>45901</v>
      </c>
      <c r="B593" s="7" t="str">
        <f ca="1">IFERROR(__xludf.DUMMYFUNCTION("""COMPUTED_VALUE"""),"30/07/25")</f>
        <v>30/07/25</v>
      </c>
      <c r="C593" s="1" t="str">
        <f ca="1">IFERROR(__xludf.DUMMYFUNCTION("""COMPUTED_VALUE"""),"Drogaria Pacheco (3/3)")</f>
        <v>Drogaria Pacheco (3/3)</v>
      </c>
      <c r="D593" s="2">
        <f ca="1">IFERROR(__xludf.DUMMYFUNCTION("""COMPUTED_VALUE"""),83.39)</f>
        <v>83.39</v>
      </c>
      <c r="E593" s="1" t="str">
        <f ca="1">IFERROR(__xludf.DUMMYFUNCTION("""COMPUTED_VALUE"""),"-")</f>
        <v>-</v>
      </c>
      <c r="F593" s="1" t="str">
        <f ca="1">IFERROR(__xludf.DUMMYFUNCTION("""COMPUTED_VALUE"""),"Drogaria Pacheco")</f>
        <v>Drogaria Pacheco</v>
      </c>
      <c r="G593" s="1" t="str">
        <f ca="1">IFERROR(__xludf.DUMMYFUNCTION("""COMPUTED_VALUE"""),"Farmácia")</f>
        <v>Farmácia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6">
        <f ca="1">IFERROR(__xludf.DUMMYFUNCTION("""COMPUTED_VALUE"""),45901)</f>
        <v>45901</v>
      </c>
      <c r="B594" s="7" t="str">
        <f ca="1">IFERROR(__xludf.DUMMYFUNCTION("""COMPUTED_VALUE"""),"30/07/25")</f>
        <v>30/07/25</v>
      </c>
      <c r="C594" s="1" t="str">
        <f ca="1">IFERROR(__xludf.DUMMYFUNCTION("""COMPUTED_VALUE"""),"Drogaria Pacheco (2/3)")</f>
        <v>Drogaria Pacheco (2/3)</v>
      </c>
      <c r="D594" s="2">
        <f ca="1">IFERROR(__xludf.DUMMYFUNCTION("""COMPUTED_VALUE"""),83.39)</f>
        <v>83.39</v>
      </c>
      <c r="E594" s="1" t="str">
        <f ca="1">IFERROR(__xludf.DUMMYFUNCTION("""COMPUTED_VALUE"""),"-")</f>
        <v>-</v>
      </c>
      <c r="F594" s="1" t="str">
        <f ca="1">IFERROR(__xludf.DUMMYFUNCTION("""COMPUTED_VALUE"""),"Drogaria Pacheco")</f>
        <v>Drogaria Pacheco</v>
      </c>
      <c r="G594" s="1" t="str">
        <f ca="1">IFERROR(__xludf.DUMMYFUNCTION("""COMPUTED_VALUE"""),"Farmácia")</f>
        <v>Farmácia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6">
        <f ca="1">IFERROR(__xludf.DUMMYFUNCTION("""COMPUTED_VALUE"""),45901)</f>
        <v>45901</v>
      </c>
      <c r="B595" s="7">
        <f ca="1">IFERROR(__xludf.DUMMYFUNCTION("""COMPUTED_VALUE"""),45696)</f>
        <v>45696</v>
      </c>
      <c r="C595" s="1">
        <f ca="1">IFERROR(__xludf.DUMMYFUNCTION("""COMPUTED_VALUE"""),99)</f>
        <v>99</v>
      </c>
      <c r="D595" s="2">
        <f ca="1">IFERROR(__xludf.DUMMYFUNCTION("""COMPUTED_VALUE"""),16.87)</f>
        <v>16.87</v>
      </c>
      <c r="E595" s="1" t="str">
        <f ca="1">IFERROR(__xludf.DUMMYFUNCTION("""COMPUTED_VALUE"""),"-")</f>
        <v>-</v>
      </c>
      <c r="F595" s="1" t="str">
        <f ca="1">IFERROR(__xludf.DUMMYFUNCTION("""COMPUTED_VALUE"""),"99")</f>
        <v>99</v>
      </c>
      <c r="G595" s="1" t="str">
        <f ca="1"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6">
        <f ca="1">IFERROR(__xludf.DUMMYFUNCTION("""COMPUTED_VALUE"""),45901)</f>
        <v>45901</v>
      </c>
      <c r="B596" s="7">
        <f ca="1">IFERROR(__xludf.DUMMYFUNCTION("""COMPUTED_VALUE"""),45696)</f>
        <v>45696</v>
      </c>
      <c r="C596" s="1" t="str">
        <f ca="1">IFERROR(__xludf.DUMMYFUNCTION("""COMPUTED_VALUE"""),"27.120.447 Helia Alve")</f>
        <v>27.120.447 Helia Alve</v>
      </c>
      <c r="D596" s="2">
        <f ca="1">IFERROR(__xludf.DUMMYFUNCTION("""COMPUTED_VALUE"""),180)</f>
        <v>180</v>
      </c>
      <c r="E596" s="1" t="str">
        <f ca="1">IFERROR(__xludf.DUMMYFUNCTION("""COMPUTED_VALUE"""),"-")</f>
        <v>-</v>
      </c>
      <c r="F596" s="1" t="str">
        <f ca="1">IFERROR(__xludf.DUMMYFUNCTION("""COMPUTED_VALUE"""),"27.120.447 Helia Alve")</f>
        <v>27.120.447 Helia Alve</v>
      </c>
      <c r="G596" s="1" t="str">
        <f ca="1"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6">
        <f ca="1">IFERROR(__xludf.DUMMYFUNCTION("""COMPUTED_VALUE"""),45901)</f>
        <v>45901</v>
      </c>
      <c r="B597" s="7">
        <f ca="1">IFERROR(__xludf.DUMMYFUNCTION("""COMPUTED_VALUE"""),45696)</f>
        <v>45696</v>
      </c>
      <c r="C597" s="1">
        <f ca="1">IFERROR(__xludf.DUMMYFUNCTION("""COMPUTED_VALUE"""),99)</f>
        <v>99</v>
      </c>
      <c r="D597" s="2">
        <f ca="1">IFERROR(__xludf.DUMMYFUNCTION("""COMPUTED_VALUE"""),25.7)</f>
        <v>25.7</v>
      </c>
      <c r="E597" s="1" t="str">
        <f ca="1">IFERROR(__xludf.DUMMYFUNCTION("""COMPUTED_VALUE"""),"-")</f>
        <v>-</v>
      </c>
      <c r="F597" s="1" t="str">
        <f ca="1">IFERROR(__xludf.DUMMYFUNCTION("""COMPUTED_VALUE"""),"99")</f>
        <v>99</v>
      </c>
      <c r="G597" s="1" t="str">
        <f ca="1"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6">
        <f ca="1">IFERROR(__xludf.DUMMYFUNCTION("""COMPUTED_VALUE"""),45901)</f>
        <v>45901</v>
      </c>
      <c r="B598" s="7">
        <f ca="1">IFERROR(__xludf.DUMMYFUNCTION("""COMPUTED_VALUE"""),45696)</f>
        <v>45696</v>
      </c>
      <c r="C598" s="1" t="str">
        <f ca="1">IFERROR(__xludf.DUMMYFUNCTION("""COMPUTED_VALUE"""),"Unisant Matriculaead")</f>
        <v>Unisant Matriculaead</v>
      </c>
      <c r="D598" s="2">
        <f ca="1">IFERROR(__xludf.DUMMYFUNCTION("""COMPUTED_VALUE"""),197.43)</f>
        <v>197.43</v>
      </c>
      <c r="E598" s="1" t="str">
        <f ca="1">IFERROR(__xludf.DUMMYFUNCTION("""COMPUTED_VALUE"""),"-")</f>
        <v>-</v>
      </c>
      <c r="F598" s="1" t="str">
        <f ca="1">IFERROR(__xludf.DUMMYFUNCTION("""COMPUTED_VALUE"""),"Unisant Matriculaead")</f>
        <v>Unisant Matriculaead</v>
      </c>
      <c r="G598" s="1" t="str">
        <f ca="1"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6">
        <f ca="1">IFERROR(__xludf.DUMMYFUNCTION("""COMPUTED_VALUE"""),45901)</f>
        <v>45901</v>
      </c>
      <c r="B599" s="7">
        <f ca="1">IFERROR(__xludf.DUMMYFUNCTION("""COMPUTED_VALUE"""),45696)</f>
        <v>45696</v>
      </c>
      <c r="C599" s="1" t="str">
        <f ca="1">IFERROR(__xludf.DUMMYFUNCTION("""COMPUTED_VALUE"""),"Microsoft")</f>
        <v>Microsoft</v>
      </c>
      <c r="D599" s="2">
        <f ca="1">IFERROR(__xludf.DUMMYFUNCTION("""COMPUTED_VALUE"""),32.41)</f>
        <v>32.409999999999997</v>
      </c>
      <c r="E599" s="1" t="str">
        <f ca="1">IFERROR(__xludf.DUMMYFUNCTION("""COMPUTED_VALUE"""),"-")</f>
        <v>-</v>
      </c>
      <c r="F599" s="1" t="str">
        <f ca="1">IFERROR(__xludf.DUMMYFUNCTION("""COMPUTED_VALUE"""),"Microsoft")</f>
        <v>Microsoft</v>
      </c>
      <c r="G599" s="1" t="str">
        <f ca="1"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6">
        <f ca="1">IFERROR(__xludf.DUMMYFUNCTION("""COMPUTED_VALUE"""),45901)</f>
        <v>45901</v>
      </c>
      <c r="B600" s="7">
        <f ca="1">IFERROR(__xludf.DUMMYFUNCTION("""COMPUTED_VALUE"""),45696)</f>
        <v>45696</v>
      </c>
      <c r="C600" s="1" t="str">
        <f ca="1">IFERROR(__xludf.DUMMYFUNCTION("""COMPUTED_VALUE"""),"Microsoft")</f>
        <v>Microsoft</v>
      </c>
      <c r="D600" s="2">
        <f ca="1">IFERROR(__xludf.DUMMYFUNCTION("""COMPUTED_VALUE"""),28.27)</f>
        <v>28.27</v>
      </c>
      <c r="E600" s="1" t="str">
        <f ca="1">IFERROR(__xludf.DUMMYFUNCTION("""COMPUTED_VALUE"""),"-")</f>
        <v>-</v>
      </c>
      <c r="F600" s="1" t="str">
        <f ca="1">IFERROR(__xludf.DUMMYFUNCTION("""COMPUTED_VALUE"""),"Microsoft")</f>
        <v>Microsoft</v>
      </c>
      <c r="G600" s="1" t="str">
        <f ca="1"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6">
        <f ca="1">IFERROR(__xludf.DUMMYFUNCTION("""COMPUTED_VALUE"""),45901)</f>
        <v>45901</v>
      </c>
      <c r="B601" s="7">
        <f ca="1">IFERROR(__xludf.DUMMYFUNCTION("""COMPUTED_VALUE"""),45696)</f>
        <v>45696</v>
      </c>
      <c r="C601" s="1" t="str">
        <f ca="1">IFERROR(__xludf.DUMMYFUNCTION("""COMPUTED_VALUE"""),"Shpstecnologia")</f>
        <v>Shpstecnologia</v>
      </c>
      <c r="D601" s="2">
        <f ca="1">IFERROR(__xludf.DUMMYFUNCTION("""COMPUTED_VALUE"""),52.9)</f>
        <v>52.9</v>
      </c>
      <c r="E601" s="1" t="str">
        <f ca="1">IFERROR(__xludf.DUMMYFUNCTION("""COMPUTED_VALUE"""),"-")</f>
        <v>-</v>
      </c>
      <c r="F601" s="1" t="str">
        <f ca="1">IFERROR(__xludf.DUMMYFUNCTION("""COMPUTED_VALUE"""),"Shpstecnologia")</f>
        <v>Shpstecnologia</v>
      </c>
      <c r="G601" s="1" t="str">
        <f ca="1"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6">
        <f ca="1">IFERROR(__xludf.DUMMYFUNCTION("""COMPUTED_VALUE"""),45901)</f>
        <v>45901</v>
      </c>
      <c r="B602" s="7">
        <f ca="1">IFERROR(__xludf.DUMMYFUNCTION("""COMPUTED_VALUE"""),45696)</f>
        <v>45696</v>
      </c>
      <c r="C602" s="1" t="str">
        <f ca="1">IFERROR(__xludf.DUMMYFUNCTION("""COMPUTED_VALUE"""),"Shopee (2/2)")</f>
        <v>Shopee (2/2)</v>
      </c>
      <c r="D602" s="2">
        <f ca="1">IFERROR(__xludf.DUMMYFUNCTION("""COMPUTED_VALUE"""),73)</f>
        <v>73</v>
      </c>
      <c r="E602" s="1" t="str">
        <f ca="1">IFERROR(__xludf.DUMMYFUNCTION("""COMPUTED_VALUE"""),"-")</f>
        <v>-</v>
      </c>
      <c r="F602" s="1" t="str">
        <f ca="1">IFERROR(__xludf.DUMMYFUNCTION("""COMPUTED_VALUE"""),"Shopee")</f>
        <v>Shopee</v>
      </c>
      <c r="G602" s="1" t="str">
        <f ca="1"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6">
        <f ca="1">IFERROR(__xludf.DUMMYFUNCTION("""COMPUTED_VALUE"""),45901)</f>
        <v>45901</v>
      </c>
      <c r="B603" s="7">
        <f ca="1">IFERROR(__xludf.DUMMYFUNCTION("""COMPUTED_VALUE"""),45696)</f>
        <v>45696</v>
      </c>
      <c r="C603" s="1" t="str">
        <f ca="1">IFERROR(__xludf.DUMMYFUNCTION("""COMPUTED_VALUE"""),"Shopee (1/2)")</f>
        <v>Shopee (1/2)</v>
      </c>
      <c r="D603" s="2">
        <f ca="1">IFERROR(__xludf.DUMMYFUNCTION("""COMPUTED_VALUE"""),73.01)</f>
        <v>73.010000000000005</v>
      </c>
      <c r="E603" s="1" t="str">
        <f ca="1">IFERROR(__xludf.DUMMYFUNCTION("""COMPUTED_VALUE"""),"-")</f>
        <v>-</v>
      </c>
      <c r="F603" s="1" t="str">
        <f ca="1">IFERROR(__xludf.DUMMYFUNCTION("""COMPUTED_VALUE"""),"Shopee")</f>
        <v>Shopee</v>
      </c>
      <c r="G603" s="1" t="str">
        <f ca="1"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6">
        <f ca="1">IFERROR(__xludf.DUMMYFUNCTION("""COMPUTED_VALUE"""),45901)</f>
        <v>45901</v>
      </c>
      <c r="B604" s="7">
        <f ca="1">IFERROR(__xludf.DUMMYFUNCTION("""COMPUTED_VALUE"""),45724)</f>
        <v>45724</v>
      </c>
      <c r="C604" s="1" t="str">
        <f ca="1">IFERROR(__xludf.DUMMYFUNCTION("""COMPUTED_VALUE"""),"Panif Mendes Sion")</f>
        <v>Panif Mendes Sion</v>
      </c>
      <c r="D604" s="2">
        <f ca="1">IFERROR(__xludf.DUMMYFUNCTION("""COMPUTED_VALUE"""),17.97)</f>
        <v>17.97</v>
      </c>
      <c r="E604" s="1" t="str">
        <f ca="1">IFERROR(__xludf.DUMMYFUNCTION("""COMPUTED_VALUE"""),"-")</f>
        <v>-</v>
      </c>
      <c r="F604" s="1" t="str">
        <f ca="1">IFERROR(__xludf.DUMMYFUNCTION("""COMPUTED_VALUE"""),"Panif Mendes Sion")</f>
        <v>Panif Mendes Sion</v>
      </c>
      <c r="G604" s="1" t="str">
        <f ca="1"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6">
        <f ca="1">IFERROR(__xludf.DUMMYFUNCTION("""COMPUTED_VALUE"""),45901)</f>
        <v>45901</v>
      </c>
      <c r="B605" s="7">
        <f ca="1">IFERROR(__xludf.DUMMYFUNCTION("""COMPUTED_VALUE"""),45724)</f>
        <v>45724</v>
      </c>
      <c r="C605" s="1" t="str">
        <f ca="1">IFERROR(__xludf.DUMMYFUNCTION("""COMPUTED_VALUE"""),"Smoothies")</f>
        <v>Smoothies</v>
      </c>
      <c r="D605" s="2">
        <f ca="1">IFERROR(__xludf.DUMMYFUNCTION("""COMPUTED_VALUE"""),27.99)</f>
        <v>27.99</v>
      </c>
      <c r="E605" s="1" t="str">
        <f ca="1">IFERROR(__xludf.DUMMYFUNCTION("""COMPUTED_VALUE"""),"-")</f>
        <v>-</v>
      </c>
      <c r="F605" s="1" t="str">
        <f ca="1">IFERROR(__xludf.DUMMYFUNCTION("""COMPUTED_VALUE"""),"Smoothies")</f>
        <v>Smoothies</v>
      </c>
      <c r="G605" s="1" t="str">
        <f ca="1"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6">
        <f ca="1">IFERROR(__xludf.DUMMYFUNCTION("""COMPUTED_VALUE"""),45901)</f>
        <v>45901</v>
      </c>
      <c r="B606" s="7">
        <f ca="1">IFERROR(__xludf.DUMMYFUNCTION("""COMPUTED_VALUE"""),45724)</f>
        <v>45724</v>
      </c>
      <c r="C606" s="1" t="str">
        <f ca="1">IFERROR(__xludf.DUMMYFUNCTION("""COMPUTED_VALUE"""),"Super Nosso")</f>
        <v>Super Nosso</v>
      </c>
      <c r="D606" s="2">
        <f ca="1">IFERROR(__xludf.DUMMYFUNCTION("""COMPUTED_VALUE"""),113.63)</f>
        <v>113.63</v>
      </c>
      <c r="E606" s="1" t="str">
        <f ca="1">IFERROR(__xludf.DUMMYFUNCTION("""COMPUTED_VALUE"""),"-")</f>
        <v>-</v>
      </c>
      <c r="F606" s="1" t="str">
        <f ca="1">IFERROR(__xludf.DUMMYFUNCTION("""COMPUTED_VALUE"""),"Super Nosso")</f>
        <v>Super Nosso</v>
      </c>
      <c r="G606" s="1" t="str">
        <f ca="1"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6">
        <f ca="1">IFERROR(__xludf.DUMMYFUNCTION("""COMPUTED_VALUE"""),45901)</f>
        <v>45901</v>
      </c>
      <c r="B607" s="7">
        <f ca="1">IFERROR(__xludf.DUMMYFUNCTION("""COMPUTED_VALUE"""),45724)</f>
        <v>45724</v>
      </c>
      <c r="C607" s="1" t="str">
        <f ca="1">IFERROR(__xludf.DUMMYFUNCTION("""COMPUTED_VALUE"""),"Drogaria Araujo")</f>
        <v>Drogaria Araujo</v>
      </c>
      <c r="D607" s="2">
        <f ca="1">IFERROR(__xludf.DUMMYFUNCTION("""COMPUTED_VALUE"""),18.99)</f>
        <v>18.989999999999998</v>
      </c>
      <c r="E607" s="1" t="str">
        <f ca="1">IFERROR(__xludf.DUMMYFUNCTION("""COMPUTED_VALUE"""),"-")</f>
        <v>-</v>
      </c>
      <c r="F607" s="1" t="str">
        <f ca="1">IFERROR(__xludf.DUMMYFUNCTION("""COMPUTED_VALUE"""),"Drogaria Araujo")</f>
        <v>Drogaria Araujo</v>
      </c>
      <c r="G607" s="1" t="str">
        <f ca="1">IFERROR(__xludf.DUMMYFUNCTION("""COMPUTED_VALUE"""),"Farmácia")</f>
        <v>Farmácia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6">
        <f ca="1">IFERROR(__xludf.DUMMYFUNCTION("""COMPUTED_VALUE"""),45901)</f>
        <v>45901</v>
      </c>
      <c r="B608" s="7">
        <f ca="1">IFERROR(__xludf.DUMMYFUNCTION("""COMPUTED_VALUE"""),45755)</f>
        <v>45755</v>
      </c>
      <c r="C608" s="1" t="str">
        <f ca="1">IFERROR(__xludf.DUMMYFUNCTION("""COMPUTED_VALUE"""),"Amazon")</f>
        <v>Amazon</v>
      </c>
      <c r="D608" s="2">
        <f ca="1">IFERROR(__xludf.DUMMYFUNCTION("""COMPUTED_VALUE"""),24.99)</f>
        <v>24.99</v>
      </c>
      <c r="E608" s="1" t="str">
        <f ca="1">IFERROR(__xludf.DUMMYFUNCTION("""COMPUTED_VALUE"""),"-")</f>
        <v>-</v>
      </c>
      <c r="F608" s="1" t="str">
        <f ca="1">IFERROR(__xludf.DUMMYFUNCTION("""COMPUTED_VALUE"""),"Amazon")</f>
        <v>Amazon</v>
      </c>
      <c r="G608" s="1" t="str">
        <f ca="1"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6">
        <f ca="1">IFERROR(__xludf.DUMMYFUNCTION("""COMPUTED_VALUE"""),45901)</f>
        <v>45901</v>
      </c>
      <c r="B609" s="7">
        <f ca="1">IFERROR(__xludf.DUMMYFUNCTION("""COMPUTED_VALUE"""),45785)</f>
        <v>45785</v>
      </c>
      <c r="C609" s="1" t="str">
        <f ca="1">IFERROR(__xludf.DUMMYFUNCTION("""COMPUTED_VALUE"""),"Drogaria Pacheco")</f>
        <v>Drogaria Pacheco</v>
      </c>
      <c r="D609" s="2">
        <f ca="1">IFERROR(__xludf.DUMMYFUNCTION("""COMPUTED_VALUE"""),18.99)</f>
        <v>18.989999999999998</v>
      </c>
      <c r="E609" s="1" t="str">
        <f ca="1">IFERROR(__xludf.DUMMYFUNCTION("""COMPUTED_VALUE"""),"-")</f>
        <v>-</v>
      </c>
      <c r="F609" s="1" t="str">
        <f ca="1">IFERROR(__xludf.DUMMYFUNCTION("""COMPUTED_VALUE"""),"Drogaria Pacheco")</f>
        <v>Drogaria Pacheco</v>
      </c>
      <c r="G609" s="1" t="str">
        <f ca="1">IFERROR(__xludf.DUMMYFUNCTION("""COMPUTED_VALUE"""),"Farmácia")</f>
        <v>Farmácia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6">
        <f ca="1">IFERROR(__xludf.DUMMYFUNCTION("""COMPUTED_VALUE"""),45901)</f>
        <v>45901</v>
      </c>
      <c r="B610" s="7">
        <f ca="1">IFERROR(__xludf.DUMMYFUNCTION("""COMPUTED_VALUE"""),45785)</f>
        <v>45785</v>
      </c>
      <c r="C610" s="1" t="str">
        <f ca="1">IFERROR(__xludf.DUMMYFUNCTION("""COMPUTED_VALUE"""),"Mercado Livre")</f>
        <v>Mercado Livre</v>
      </c>
      <c r="D610" s="2">
        <f ca="1">IFERROR(__xludf.DUMMYFUNCTION("""COMPUTED_VALUE"""),46.24)</f>
        <v>46.24</v>
      </c>
      <c r="E610" s="1" t="str">
        <f ca="1">IFERROR(__xludf.DUMMYFUNCTION("""COMPUTED_VALUE"""),"-")</f>
        <v>-</v>
      </c>
      <c r="F610" s="1" t="str">
        <f ca="1">IFERROR(__xludf.DUMMYFUNCTION("""COMPUTED_VALUE"""),"Mercado Livre")</f>
        <v>Mercado Livre</v>
      </c>
      <c r="G610" s="1" t="str">
        <f ca="1"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6">
        <f ca="1">IFERROR(__xludf.DUMMYFUNCTION("""COMPUTED_VALUE"""),45901)</f>
        <v>45901</v>
      </c>
      <c r="B611" s="7">
        <f ca="1">IFERROR(__xludf.DUMMYFUNCTION("""COMPUTED_VALUE"""),45785)</f>
        <v>45785</v>
      </c>
      <c r="C611" s="1" t="str">
        <f ca="1">IFERROR(__xludf.DUMMYFUNCTION("""COMPUTED_VALUE"""),"Pacheco Barbearia")</f>
        <v>Pacheco Barbearia</v>
      </c>
      <c r="D611" s="2">
        <f ca="1">IFERROR(__xludf.DUMMYFUNCTION("""COMPUTED_VALUE"""),75)</f>
        <v>75</v>
      </c>
      <c r="E611" s="1" t="str">
        <f ca="1">IFERROR(__xludf.DUMMYFUNCTION("""COMPUTED_VALUE"""),"-")</f>
        <v>-</v>
      </c>
      <c r="F611" s="1" t="str">
        <f ca="1">IFERROR(__xludf.DUMMYFUNCTION("""COMPUTED_VALUE"""),"Pacheco Barbearia")</f>
        <v>Pacheco Barbearia</v>
      </c>
      <c r="G611" s="1" t="str">
        <f ca="1"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6">
        <f ca="1">IFERROR(__xludf.DUMMYFUNCTION("""COMPUTED_VALUE"""),45901)</f>
        <v>45901</v>
      </c>
      <c r="B612" s="7">
        <f ca="1">IFERROR(__xludf.DUMMYFUNCTION("""COMPUTED_VALUE"""),45785)</f>
        <v>45785</v>
      </c>
      <c r="C612" s="1" t="str">
        <f ca="1">IFERROR(__xludf.DUMMYFUNCTION("""COMPUTED_VALUE"""),"Amazon")</f>
        <v>Amazon</v>
      </c>
      <c r="D612" s="2">
        <f ca="1">IFERROR(__xludf.DUMMYFUNCTION("""COMPUTED_VALUE"""),25.9)</f>
        <v>25.9</v>
      </c>
      <c r="E612" s="1" t="str">
        <f ca="1">IFERROR(__xludf.DUMMYFUNCTION("""COMPUTED_VALUE"""),"-")</f>
        <v>-</v>
      </c>
      <c r="F612" s="1" t="str">
        <f ca="1">IFERROR(__xludf.DUMMYFUNCTION("""COMPUTED_VALUE"""),"Amazon")</f>
        <v>Amazon</v>
      </c>
      <c r="G612" s="1" t="str">
        <f ca="1"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6">
        <f ca="1">IFERROR(__xludf.DUMMYFUNCTION("""COMPUTED_VALUE"""),45901)</f>
        <v>45901</v>
      </c>
      <c r="B613" s="7">
        <f ca="1">IFERROR(__xludf.DUMMYFUNCTION("""COMPUTED_VALUE"""),45816)</f>
        <v>45816</v>
      </c>
      <c r="C613" s="1" t="str">
        <f ca="1">IFERROR(__xludf.DUMMYFUNCTION("""COMPUTED_VALUE"""),"Supermercado &amp; Padaria")</f>
        <v>Supermercado &amp; Padaria</v>
      </c>
      <c r="D613" s="2">
        <f ca="1">IFERROR(__xludf.DUMMYFUNCTION("""COMPUTED_VALUE"""),173.92)</f>
        <v>173.92</v>
      </c>
      <c r="E613" s="1" t="str">
        <f ca="1">IFERROR(__xludf.DUMMYFUNCTION("""COMPUTED_VALUE"""),"-")</f>
        <v>-</v>
      </c>
      <c r="F613" s="1" t="str">
        <f ca="1">IFERROR(__xludf.DUMMYFUNCTION("""COMPUTED_VALUE"""),"Supermercado &amp; Padaria")</f>
        <v>Supermercado &amp; Padaria</v>
      </c>
      <c r="G613" s="1" t="str">
        <f ca="1"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6">
        <f ca="1">IFERROR(__xludf.DUMMYFUNCTION("""COMPUTED_VALUE"""),45901)</f>
        <v>45901</v>
      </c>
      <c r="B614" s="7">
        <f ca="1">IFERROR(__xludf.DUMMYFUNCTION("""COMPUTED_VALUE"""),45816)</f>
        <v>45816</v>
      </c>
      <c r="C614" s="1" t="str">
        <f ca="1">IFERROR(__xludf.DUMMYFUNCTION("""COMPUTED_VALUE"""),"Barnabe Emporio")</f>
        <v>Barnabe Emporio</v>
      </c>
      <c r="D614" s="2">
        <f ca="1">IFERROR(__xludf.DUMMYFUNCTION("""COMPUTED_VALUE"""),50.8)</f>
        <v>50.8</v>
      </c>
      <c r="E614" s="1" t="str">
        <f ca="1">IFERROR(__xludf.DUMMYFUNCTION("""COMPUTED_VALUE"""),"-")</f>
        <v>-</v>
      </c>
      <c r="F614" s="1" t="str">
        <f ca="1">IFERROR(__xludf.DUMMYFUNCTION("""COMPUTED_VALUE"""),"Barnabe Emporio")</f>
        <v>Barnabe Emporio</v>
      </c>
      <c r="G614" s="1" t="str">
        <f ca="1"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6">
        <f ca="1">IFERROR(__xludf.DUMMYFUNCTION("""COMPUTED_VALUE"""),45901)</f>
        <v>45901</v>
      </c>
      <c r="B615" s="7">
        <f ca="1">IFERROR(__xludf.DUMMYFUNCTION("""COMPUTED_VALUE"""),45846)</f>
        <v>45846</v>
      </c>
      <c r="C615" s="1" t="str">
        <f ca="1">IFERROR(__xludf.DUMMYFUNCTION("""COMPUTED_VALUE"""),"Uber")</f>
        <v>Uber</v>
      </c>
      <c r="D615" s="2">
        <f ca="1">IFERROR(__xludf.DUMMYFUNCTION("""COMPUTED_VALUE"""),8.9)</f>
        <v>8.9</v>
      </c>
      <c r="E615" s="1" t="str">
        <f ca="1">IFERROR(__xludf.DUMMYFUNCTION("""COMPUTED_VALUE"""),"-")</f>
        <v>-</v>
      </c>
      <c r="F615" s="1" t="str">
        <f ca="1">IFERROR(__xludf.DUMMYFUNCTION("""COMPUTED_VALUE"""),"Uber")</f>
        <v>Uber</v>
      </c>
      <c r="G615" s="1" t="str">
        <f ca="1"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6">
        <f ca="1">IFERROR(__xludf.DUMMYFUNCTION("""COMPUTED_VALUE"""),45901)</f>
        <v>45901</v>
      </c>
      <c r="B616" s="7">
        <f ca="1">IFERROR(__xludf.DUMMYFUNCTION("""COMPUTED_VALUE"""),45846)</f>
        <v>45846</v>
      </c>
      <c r="C616" s="1">
        <f ca="1">IFERROR(__xludf.DUMMYFUNCTION("""COMPUTED_VALUE"""),99)</f>
        <v>99</v>
      </c>
      <c r="D616" s="2">
        <f ca="1">IFERROR(__xludf.DUMMYFUNCTION("""COMPUTED_VALUE"""),19.5)</f>
        <v>19.5</v>
      </c>
      <c r="E616" s="1" t="str">
        <f ca="1">IFERROR(__xludf.DUMMYFUNCTION("""COMPUTED_VALUE"""),"-")</f>
        <v>-</v>
      </c>
      <c r="F616" s="1" t="str">
        <f ca="1">IFERROR(__xludf.DUMMYFUNCTION("""COMPUTED_VALUE"""),"99")</f>
        <v>99</v>
      </c>
      <c r="G616" s="1" t="str">
        <f ca="1"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6">
        <f ca="1">IFERROR(__xludf.DUMMYFUNCTION("""COMPUTED_VALUE"""),45901)</f>
        <v>45901</v>
      </c>
      <c r="B617" s="7">
        <f ca="1">IFERROR(__xludf.DUMMYFUNCTION("""COMPUTED_VALUE"""),45846)</f>
        <v>45846</v>
      </c>
      <c r="C617" s="1">
        <f ca="1">IFERROR(__xludf.DUMMYFUNCTION("""COMPUTED_VALUE"""),99)</f>
        <v>99</v>
      </c>
      <c r="D617" s="2">
        <f ca="1">IFERROR(__xludf.DUMMYFUNCTION("""COMPUTED_VALUE"""),23.4)</f>
        <v>23.4</v>
      </c>
      <c r="E617" s="1" t="str">
        <f ca="1">IFERROR(__xludf.DUMMYFUNCTION("""COMPUTED_VALUE"""),"-")</f>
        <v>-</v>
      </c>
      <c r="F617" s="1" t="str">
        <f ca="1">IFERROR(__xludf.DUMMYFUNCTION("""COMPUTED_VALUE"""),"99")</f>
        <v>99</v>
      </c>
      <c r="G617" s="1" t="str">
        <f ca="1"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6">
        <f ca="1">IFERROR(__xludf.DUMMYFUNCTION("""COMPUTED_VALUE"""),45901)</f>
        <v>45901</v>
      </c>
      <c r="B618" s="7">
        <f ca="1">IFERROR(__xludf.DUMMYFUNCTION("""COMPUTED_VALUE"""),45877)</f>
        <v>45877</v>
      </c>
      <c r="C618" s="1" t="str">
        <f ca="1">IFERROR(__xludf.DUMMYFUNCTION("""COMPUTED_VALUE"""),"Uber")</f>
        <v>Uber</v>
      </c>
      <c r="D618" s="2">
        <f ca="1">IFERROR(__xludf.DUMMYFUNCTION("""COMPUTED_VALUE"""),13.99)</f>
        <v>13.99</v>
      </c>
      <c r="E618" s="1" t="str">
        <f ca="1">IFERROR(__xludf.DUMMYFUNCTION("""COMPUTED_VALUE"""),"-")</f>
        <v>-</v>
      </c>
      <c r="F618" s="1" t="str">
        <f ca="1">IFERROR(__xludf.DUMMYFUNCTION("""COMPUTED_VALUE"""),"Uber")</f>
        <v>Uber</v>
      </c>
      <c r="G618" s="1" t="str">
        <f ca="1"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6">
        <f ca="1">IFERROR(__xludf.DUMMYFUNCTION("""COMPUTED_VALUE"""),45901)</f>
        <v>45901</v>
      </c>
      <c r="B619" s="7">
        <f ca="1">IFERROR(__xludf.DUMMYFUNCTION("""COMPUTED_VALUE"""),45877)</f>
        <v>45877</v>
      </c>
      <c r="C619" s="1" t="str">
        <f ca="1">IFERROR(__xludf.DUMMYFUNCTION("""COMPUTED_VALUE"""),"Track&amp;field (1/5)")</f>
        <v>Track&amp;field (1/5)</v>
      </c>
      <c r="D619" s="2">
        <f ca="1">IFERROR(__xludf.DUMMYFUNCTION("""COMPUTED_VALUE"""),267.78)</f>
        <v>267.77999999999997</v>
      </c>
      <c r="E619" s="1" t="str">
        <f ca="1">IFERROR(__xludf.DUMMYFUNCTION("""COMPUTED_VALUE"""),"-")</f>
        <v>-</v>
      </c>
      <c r="F619" s="1" t="str">
        <f ca="1">IFERROR(__xludf.DUMMYFUNCTION("""COMPUTED_VALUE"""),"Track&amp;field")</f>
        <v>Track&amp;field</v>
      </c>
      <c r="G619" s="1" t="str">
        <f ca="1"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6">
        <f ca="1">IFERROR(__xludf.DUMMYFUNCTION("""COMPUTED_VALUE"""),45901)</f>
        <v>45901</v>
      </c>
      <c r="B620" s="7">
        <f ca="1">IFERROR(__xludf.DUMMYFUNCTION("""COMPUTED_VALUE"""),45877)</f>
        <v>45877</v>
      </c>
      <c r="C620" s="1" t="str">
        <f ca="1">IFERROR(__xludf.DUMMYFUNCTION("""COMPUTED_VALUE"""),"Milon Patio Savassi (2/2)")</f>
        <v>Milon Patio Savassi (2/2)</v>
      </c>
      <c r="D620" s="2">
        <f ca="1">IFERROR(__xludf.DUMMYFUNCTION("""COMPUTED_VALUE"""),67.45)</f>
        <v>67.45</v>
      </c>
      <c r="E620" s="1" t="str">
        <f ca="1">IFERROR(__xludf.DUMMYFUNCTION("""COMPUTED_VALUE"""),"-")</f>
        <v>-</v>
      </c>
      <c r="F620" s="1" t="str">
        <f ca="1">IFERROR(__xludf.DUMMYFUNCTION("""COMPUTED_VALUE"""),"Milon Patio Savassi")</f>
        <v>Milon Patio Savassi</v>
      </c>
      <c r="G620" s="1" t="str">
        <f ca="1"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6">
        <f ca="1">IFERROR(__xludf.DUMMYFUNCTION("""COMPUTED_VALUE"""),45901)</f>
        <v>45901</v>
      </c>
      <c r="B621" s="7">
        <f ca="1">IFERROR(__xludf.DUMMYFUNCTION("""COMPUTED_VALUE"""),45877)</f>
        <v>45877</v>
      </c>
      <c r="C621" s="1" t="str">
        <f ca="1">IFERROR(__xludf.DUMMYFUNCTION("""COMPUTED_VALUE"""),"Milon Patio Savassi (1/2)")</f>
        <v>Milon Patio Savassi (1/2)</v>
      </c>
      <c r="D621" s="2">
        <f ca="1">IFERROR(__xludf.DUMMYFUNCTION("""COMPUTED_VALUE"""),67.45)</f>
        <v>67.45</v>
      </c>
      <c r="E621" s="1" t="str">
        <f ca="1">IFERROR(__xludf.DUMMYFUNCTION("""COMPUTED_VALUE"""),"-")</f>
        <v>-</v>
      </c>
      <c r="F621" s="1" t="str">
        <f ca="1">IFERROR(__xludf.DUMMYFUNCTION("""COMPUTED_VALUE"""),"Milon Patio Savassi")</f>
        <v>Milon Patio Savassi</v>
      </c>
      <c r="G621" s="1" t="str">
        <f ca="1"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6">
        <f ca="1">IFERROR(__xludf.DUMMYFUNCTION("""COMPUTED_VALUE"""),45901)</f>
        <v>45901</v>
      </c>
      <c r="B622" s="7">
        <f ca="1">IFERROR(__xludf.DUMMYFUNCTION("""COMPUTED_VALUE"""),45908)</f>
        <v>45908</v>
      </c>
      <c r="C622" s="1" t="str">
        <f ca="1">IFERROR(__xludf.DUMMYFUNCTION("""COMPUTED_VALUE"""),"Golden Pet")</f>
        <v>Golden Pet</v>
      </c>
      <c r="D622" s="2">
        <f ca="1">IFERROR(__xludf.DUMMYFUNCTION("""COMPUTED_VALUE"""),68)</f>
        <v>68</v>
      </c>
      <c r="E622" s="1" t="str">
        <f ca="1">IFERROR(__xludf.DUMMYFUNCTION("""COMPUTED_VALUE"""),"-")</f>
        <v>-</v>
      </c>
      <c r="F622" s="1" t="str">
        <f ca="1">IFERROR(__xludf.DUMMYFUNCTION("""COMPUTED_VALUE"""),"Golden Pet")</f>
        <v>Golden Pet</v>
      </c>
      <c r="G622" s="1" t="str">
        <f ca="1"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6">
        <f ca="1">IFERROR(__xludf.DUMMYFUNCTION("""COMPUTED_VALUE"""),45901)</f>
        <v>45901</v>
      </c>
      <c r="B623" s="7">
        <f ca="1">IFERROR(__xludf.DUMMYFUNCTION("""COMPUTED_VALUE"""),45908)</f>
        <v>45908</v>
      </c>
      <c r="C623" s="1" t="str">
        <f ca="1">IFERROR(__xludf.DUMMYFUNCTION("""COMPUTED_VALUE"""),"Super Nosso")</f>
        <v>Super Nosso</v>
      </c>
      <c r="D623" s="2">
        <f ca="1">IFERROR(__xludf.DUMMYFUNCTION("""COMPUTED_VALUE"""),171.96)</f>
        <v>171.96</v>
      </c>
      <c r="E623" s="1" t="str">
        <f ca="1">IFERROR(__xludf.DUMMYFUNCTION("""COMPUTED_VALUE"""),"-")</f>
        <v>-</v>
      </c>
      <c r="F623" s="1" t="str">
        <f ca="1">IFERROR(__xludf.DUMMYFUNCTION("""COMPUTED_VALUE"""),"Super Nosso")</f>
        <v>Super Nosso</v>
      </c>
      <c r="G623" s="1" t="str">
        <f ca="1"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6">
        <f ca="1">IFERROR(__xludf.DUMMYFUNCTION("""COMPUTED_VALUE"""),45901)</f>
        <v>45901</v>
      </c>
      <c r="B624" s="7">
        <f ca="1">IFERROR(__xludf.DUMMYFUNCTION("""COMPUTED_VALUE"""),45908)</f>
        <v>45908</v>
      </c>
      <c r="C624" s="1" t="str">
        <f ca="1">IFERROR(__xludf.DUMMYFUNCTION("""COMPUTED_VALUE"""),"Bem Oriente")</f>
        <v>Bem Oriente</v>
      </c>
      <c r="D624" s="2">
        <f ca="1">IFERROR(__xludf.DUMMYFUNCTION("""COMPUTED_VALUE"""),9.99)</f>
        <v>9.99</v>
      </c>
      <c r="E624" s="1" t="str">
        <f ca="1">IFERROR(__xludf.DUMMYFUNCTION("""COMPUTED_VALUE"""),"-")</f>
        <v>-</v>
      </c>
      <c r="F624" s="1" t="str">
        <f ca="1">IFERROR(__xludf.DUMMYFUNCTION("""COMPUTED_VALUE"""),"Bem Oriente")</f>
        <v>Bem Oriente</v>
      </c>
      <c r="G624" s="1" t="str">
        <f ca="1"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6">
        <f ca="1">IFERROR(__xludf.DUMMYFUNCTION("""COMPUTED_VALUE"""),45901)</f>
        <v>45901</v>
      </c>
      <c r="B625" s="7">
        <f ca="1">IFERROR(__xludf.DUMMYFUNCTION("""COMPUTED_VALUE"""),45908)</f>
        <v>45908</v>
      </c>
      <c r="C625" s="1" t="str">
        <f ca="1">IFERROR(__xludf.DUMMYFUNCTION("""COMPUTED_VALUE"""),"Sion 1001 Festas")</f>
        <v>Sion 1001 Festas</v>
      </c>
      <c r="D625" s="2">
        <f ca="1">IFERROR(__xludf.DUMMYFUNCTION("""COMPUTED_VALUE"""),20)</f>
        <v>20</v>
      </c>
      <c r="E625" s="1" t="str">
        <f ca="1">IFERROR(__xludf.DUMMYFUNCTION("""COMPUTED_VALUE"""),"-")</f>
        <v>-</v>
      </c>
      <c r="F625" s="1" t="str">
        <f ca="1">IFERROR(__xludf.DUMMYFUNCTION("""COMPUTED_VALUE"""),"Sion 1001 Festas")</f>
        <v>Sion 1001 Festas</v>
      </c>
      <c r="G625" s="1" t="str">
        <f ca="1"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6">
        <f ca="1">IFERROR(__xludf.DUMMYFUNCTION("""COMPUTED_VALUE"""),45901)</f>
        <v>45901</v>
      </c>
      <c r="B626" s="7">
        <f ca="1">IFERROR(__xludf.DUMMYFUNCTION("""COMPUTED_VALUE"""),45908)</f>
        <v>45908</v>
      </c>
      <c r="C626" s="1" t="str">
        <f ca="1">IFERROR(__xludf.DUMMYFUNCTION("""COMPUTED_VALUE"""),"Cobasi")</f>
        <v>Cobasi</v>
      </c>
      <c r="D626" s="2">
        <f ca="1">IFERROR(__xludf.DUMMYFUNCTION("""COMPUTED_VALUE"""),145.5)</f>
        <v>145.5</v>
      </c>
      <c r="E626" s="1" t="str">
        <f ca="1">IFERROR(__xludf.DUMMYFUNCTION("""COMPUTED_VALUE"""),"-")</f>
        <v>-</v>
      </c>
      <c r="F626" s="1" t="str">
        <f ca="1">IFERROR(__xludf.DUMMYFUNCTION("""COMPUTED_VALUE"""),"Cobasi")</f>
        <v>Cobasi</v>
      </c>
      <c r="G626" s="1" t="str">
        <f ca="1"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6">
        <f ca="1">IFERROR(__xludf.DUMMYFUNCTION("""COMPUTED_VALUE"""),45901)</f>
        <v>45901</v>
      </c>
      <c r="B627" s="7">
        <f ca="1">IFERROR(__xludf.DUMMYFUNCTION("""COMPUTED_VALUE"""),45908)</f>
        <v>45908</v>
      </c>
      <c r="C627" s="1" t="str">
        <f ca="1">IFERROR(__xludf.DUMMYFUNCTION("""COMPUTED_VALUE"""),"Fany Bombons")</f>
        <v>Fany Bombons</v>
      </c>
      <c r="D627" s="2">
        <f ca="1">IFERROR(__xludf.DUMMYFUNCTION("""COMPUTED_VALUE"""),65)</f>
        <v>65</v>
      </c>
      <c r="E627" s="1" t="str">
        <f ca="1">IFERROR(__xludf.DUMMYFUNCTION("""COMPUTED_VALUE"""),"-")</f>
        <v>-</v>
      </c>
      <c r="F627" s="1" t="str">
        <f ca="1">IFERROR(__xludf.DUMMYFUNCTION("""COMPUTED_VALUE"""),"Fany Bombons")</f>
        <v>Fany Bombons</v>
      </c>
      <c r="G627" s="1" t="str">
        <f ca="1"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6">
        <f ca="1">IFERROR(__xludf.DUMMYFUNCTION("""COMPUTED_VALUE"""),45901)</f>
        <v>45901</v>
      </c>
      <c r="B628" s="7">
        <f ca="1">IFERROR(__xludf.DUMMYFUNCTION("""COMPUTED_VALUE"""),45908)</f>
        <v>45908</v>
      </c>
      <c r="C628" s="1" t="str">
        <f ca="1">IFERROR(__xludf.DUMMYFUNCTION("""COMPUTED_VALUE"""),"Drogaria Ara Araujo (2/2)")</f>
        <v>Drogaria Ara Araujo (2/2)</v>
      </c>
      <c r="D628" s="2">
        <f ca="1">IFERROR(__xludf.DUMMYFUNCTION("""COMPUTED_VALUE"""),83.49)</f>
        <v>83.49</v>
      </c>
      <c r="E628" s="1" t="str">
        <f ca="1">IFERROR(__xludf.DUMMYFUNCTION("""COMPUTED_VALUE"""),"-")</f>
        <v>-</v>
      </c>
      <c r="F628" s="1" t="str">
        <f ca="1">IFERROR(__xludf.DUMMYFUNCTION("""COMPUTED_VALUE"""),"Drogaria Ara Araujo")</f>
        <v>Drogaria Ara Araujo</v>
      </c>
      <c r="G628" s="1" t="str">
        <f ca="1">IFERROR(__xludf.DUMMYFUNCTION("""COMPUTED_VALUE"""),"Farmácia")</f>
        <v>Farmácia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6">
        <f ca="1">IFERROR(__xludf.DUMMYFUNCTION("""COMPUTED_VALUE"""),45901)</f>
        <v>45901</v>
      </c>
      <c r="B629" s="7">
        <f ca="1">IFERROR(__xludf.DUMMYFUNCTION("""COMPUTED_VALUE"""),45908)</f>
        <v>45908</v>
      </c>
      <c r="C629" s="1" t="str">
        <f ca="1">IFERROR(__xludf.DUMMYFUNCTION("""COMPUTED_VALUE"""),"Drogaria Ara Araujo (1/2)")</f>
        <v>Drogaria Ara Araujo (1/2)</v>
      </c>
      <c r="D629" s="2">
        <f ca="1">IFERROR(__xludf.DUMMYFUNCTION("""COMPUTED_VALUE"""),83.49)</f>
        <v>83.49</v>
      </c>
      <c r="E629" s="1" t="str">
        <f ca="1">IFERROR(__xludf.DUMMYFUNCTION("""COMPUTED_VALUE"""),"-")</f>
        <v>-</v>
      </c>
      <c r="F629" s="1" t="str">
        <f ca="1">IFERROR(__xludf.DUMMYFUNCTION("""COMPUTED_VALUE"""),"Drogaria Ara Araujo")</f>
        <v>Drogaria Ara Araujo</v>
      </c>
      <c r="G629" s="1" t="str">
        <f ca="1">IFERROR(__xludf.DUMMYFUNCTION("""COMPUTED_VALUE"""),"Farmácia")</f>
        <v>Farmácia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6">
        <f ca="1">IFERROR(__xludf.DUMMYFUNCTION("""COMPUTED_VALUE"""),45901)</f>
        <v>45901</v>
      </c>
      <c r="B630" s="7">
        <f ca="1">IFERROR(__xludf.DUMMYFUNCTION("""COMPUTED_VALUE"""),45908)</f>
        <v>45908</v>
      </c>
      <c r="C630" s="1" t="str">
        <f ca="1">IFERROR(__xludf.DUMMYFUNCTION("""COMPUTED_VALUE"""),"Panif Mendes Sion")</f>
        <v>Panif Mendes Sion</v>
      </c>
      <c r="D630" s="2">
        <f ca="1">IFERROR(__xludf.DUMMYFUNCTION("""COMPUTED_VALUE"""),19.35)</f>
        <v>19.350000000000001</v>
      </c>
      <c r="E630" s="1" t="str">
        <f ca="1">IFERROR(__xludf.DUMMYFUNCTION("""COMPUTED_VALUE"""),"-")</f>
        <v>-</v>
      </c>
      <c r="F630" s="1" t="str">
        <f ca="1">IFERROR(__xludf.DUMMYFUNCTION("""COMPUTED_VALUE"""),"Panif Mendes Sion")</f>
        <v>Panif Mendes Sion</v>
      </c>
      <c r="G630" s="1" t="str">
        <f ca="1"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6">
        <f ca="1">IFERROR(__xludf.DUMMYFUNCTION("""COMPUTED_VALUE"""),45901)</f>
        <v>45901</v>
      </c>
      <c r="B631" s="7">
        <f ca="1">IFERROR(__xludf.DUMMYFUNCTION("""COMPUTED_VALUE"""),45908)</f>
        <v>45908</v>
      </c>
      <c r="C631" s="1" t="str">
        <f ca="1">IFERROR(__xludf.DUMMYFUNCTION("""COMPUTED_VALUE"""),"Supermercado &amp; Padaria")</f>
        <v>Supermercado &amp; Padaria</v>
      </c>
      <c r="D631" s="2">
        <f ca="1">IFERROR(__xludf.DUMMYFUNCTION("""COMPUTED_VALUE"""),145.54)</f>
        <v>145.54</v>
      </c>
      <c r="E631" s="1" t="str">
        <f ca="1">IFERROR(__xludf.DUMMYFUNCTION("""COMPUTED_VALUE"""),"-")</f>
        <v>-</v>
      </c>
      <c r="F631" s="1" t="str">
        <f ca="1">IFERROR(__xludf.DUMMYFUNCTION("""COMPUTED_VALUE"""),"Supermercado &amp; Padaria")</f>
        <v>Supermercado &amp; Padaria</v>
      </c>
      <c r="G631" s="1" t="str">
        <f ca="1"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6">
        <f ca="1">IFERROR(__xludf.DUMMYFUNCTION("""COMPUTED_VALUE"""),45901)</f>
        <v>45901</v>
      </c>
      <c r="B632" s="7">
        <f ca="1">IFERROR(__xludf.DUMMYFUNCTION("""COMPUTED_VALUE"""),45908)</f>
        <v>45908</v>
      </c>
      <c r="C632" s="1" t="str">
        <f ca="1">IFERROR(__xludf.DUMMYFUNCTION("""COMPUTED_VALUE"""),"Supermercado &amp; Padaria")</f>
        <v>Supermercado &amp; Padaria</v>
      </c>
      <c r="D632" s="2">
        <f ca="1">IFERROR(__xludf.DUMMYFUNCTION("""COMPUTED_VALUE"""),69.98)</f>
        <v>69.98</v>
      </c>
      <c r="E632" s="1" t="str">
        <f ca="1">IFERROR(__xludf.DUMMYFUNCTION("""COMPUTED_VALUE"""),"-")</f>
        <v>-</v>
      </c>
      <c r="F632" s="1" t="str">
        <f ca="1">IFERROR(__xludf.DUMMYFUNCTION("""COMPUTED_VALUE"""),"Supermercado &amp; Padaria")</f>
        <v>Supermercado &amp; Padaria</v>
      </c>
      <c r="G632" s="1" t="str">
        <f ca="1"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6">
        <f ca="1">IFERROR(__xludf.DUMMYFUNCTION("""COMPUTED_VALUE"""),45901)</f>
        <v>45901</v>
      </c>
      <c r="B633" s="7">
        <f ca="1">IFERROR(__xludf.DUMMYFUNCTION("""COMPUTED_VALUE"""),45938)</f>
        <v>45938</v>
      </c>
      <c r="C633" s="1" t="str">
        <f ca="1">IFERROR(__xludf.DUMMYFUNCTION("""COMPUTED_VALUE"""),"Bem Hortifruti")</f>
        <v>Bem Hortifruti</v>
      </c>
      <c r="D633" s="2">
        <f ca="1">IFERROR(__xludf.DUMMYFUNCTION("""COMPUTED_VALUE"""),9.99)</f>
        <v>9.99</v>
      </c>
      <c r="E633" s="1" t="str">
        <f ca="1">IFERROR(__xludf.DUMMYFUNCTION("""COMPUTED_VALUE"""),"-")</f>
        <v>-</v>
      </c>
      <c r="F633" s="1" t="str">
        <f ca="1">IFERROR(__xludf.DUMMYFUNCTION("""COMPUTED_VALUE"""),"Bem Hortifruti")</f>
        <v>Bem Hortifruti</v>
      </c>
      <c r="G633" s="1" t="str">
        <f ca="1"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6">
        <f ca="1">IFERROR(__xludf.DUMMYFUNCTION("""COMPUTED_VALUE"""),45901)</f>
        <v>45901</v>
      </c>
      <c r="B634" s="7">
        <f ca="1">IFERROR(__xludf.DUMMYFUNCTION("""COMPUTED_VALUE"""),45938)</f>
        <v>45938</v>
      </c>
      <c r="C634" s="1" t="str">
        <f ca="1">IFERROR(__xludf.DUMMYFUNCTION("""COMPUTED_VALUE"""),"Smoothies")</f>
        <v>Smoothies</v>
      </c>
      <c r="D634" s="2">
        <f ca="1">IFERROR(__xludf.DUMMYFUNCTION("""COMPUTED_VALUE"""),35.99)</f>
        <v>35.99</v>
      </c>
      <c r="E634" s="1" t="str">
        <f ca="1">IFERROR(__xludf.DUMMYFUNCTION("""COMPUTED_VALUE"""),"-")</f>
        <v>-</v>
      </c>
      <c r="F634" s="1" t="str">
        <f ca="1">IFERROR(__xludf.DUMMYFUNCTION("""COMPUTED_VALUE"""),"Smoothies")</f>
        <v>Smoothies</v>
      </c>
      <c r="G634" s="1" t="str">
        <f ca="1"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6">
        <f ca="1">IFERROR(__xludf.DUMMYFUNCTION("""COMPUTED_VALUE"""),45901)</f>
        <v>45901</v>
      </c>
      <c r="B635" s="7">
        <f ca="1">IFERROR(__xludf.DUMMYFUNCTION("""COMPUTED_VALUE"""),45938)</f>
        <v>45938</v>
      </c>
      <c r="C635" s="1" t="str">
        <f ca="1">IFERROR(__xludf.DUMMYFUNCTION("""COMPUTED_VALUE"""),"Spotify")</f>
        <v>Spotify</v>
      </c>
      <c r="D635" s="2">
        <f ca="1">IFERROR(__xludf.DUMMYFUNCTION("""COMPUTED_VALUE"""),34.9)</f>
        <v>34.9</v>
      </c>
      <c r="E635" s="1" t="str">
        <f ca="1">IFERROR(__xludf.DUMMYFUNCTION("""COMPUTED_VALUE"""),"-")</f>
        <v>-</v>
      </c>
      <c r="F635" s="1" t="str">
        <f ca="1">IFERROR(__xludf.DUMMYFUNCTION("""COMPUTED_VALUE"""),"Spotify")</f>
        <v>Spotify</v>
      </c>
      <c r="G635" s="1" t="str">
        <f ca="1"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6">
        <f ca="1">IFERROR(__xludf.DUMMYFUNCTION("""COMPUTED_VALUE"""),45901)</f>
        <v>45901</v>
      </c>
      <c r="B636" s="7">
        <f ca="1">IFERROR(__xludf.DUMMYFUNCTION("""COMPUTED_VALUE"""),45999)</f>
        <v>45999</v>
      </c>
      <c r="C636" s="1" t="str">
        <f ca="1">IFERROR(__xludf.DUMMYFUNCTION("""COMPUTED_VALUE"""),"Amazon")</f>
        <v>Amazon</v>
      </c>
      <c r="D636" s="2">
        <f ca="1">IFERROR(__xludf.DUMMYFUNCTION("""COMPUTED_VALUE"""),9.99)</f>
        <v>9.99</v>
      </c>
      <c r="E636" s="1" t="str">
        <f ca="1">IFERROR(__xludf.DUMMYFUNCTION("""COMPUTED_VALUE"""),"-")</f>
        <v>-</v>
      </c>
      <c r="F636" s="1" t="str">
        <f ca="1">IFERROR(__xludf.DUMMYFUNCTION("""COMPUTED_VALUE"""),"Amazon")</f>
        <v>Amazon</v>
      </c>
      <c r="G636" s="1" t="str">
        <f ca="1"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6">
        <f ca="1">IFERROR(__xludf.DUMMYFUNCTION("""COMPUTED_VALUE"""),45901)</f>
        <v>45901</v>
      </c>
      <c r="B637" s="7">
        <f ca="1">IFERROR(__xludf.DUMMYFUNCTION("""COMPUTED_VALUE"""),45999)</f>
        <v>45999</v>
      </c>
      <c r="C637" s="1" t="str">
        <f ca="1">IFERROR(__xludf.DUMMYFUNCTION("""COMPUTED_VALUE"""),"Amazon")</f>
        <v>Amazon</v>
      </c>
      <c r="D637" s="2">
        <f ca="1">IFERROR(__xludf.DUMMYFUNCTION("""COMPUTED_VALUE"""),64.71)</f>
        <v>64.709999999999994</v>
      </c>
      <c r="E637" s="1" t="str">
        <f ca="1">IFERROR(__xludf.DUMMYFUNCTION("""COMPUTED_VALUE"""),"-")</f>
        <v>-</v>
      </c>
      <c r="F637" s="1" t="str">
        <f ca="1">IFERROR(__xludf.DUMMYFUNCTION("""COMPUTED_VALUE"""),"Amazon")</f>
        <v>Amazon</v>
      </c>
      <c r="G637" s="1" t="str">
        <f ca="1"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6">
        <f ca="1">IFERROR(__xludf.DUMMYFUNCTION("""COMPUTED_VALUE"""),45901)</f>
        <v>45901</v>
      </c>
      <c r="B638" s="7" t="str">
        <f ca="1">IFERROR(__xludf.DUMMYFUNCTION("""COMPUTED_VALUE"""),"13/08/25")</f>
        <v>13/08/25</v>
      </c>
      <c r="C638" s="1" t="str">
        <f ca="1">IFERROR(__xludf.DUMMYFUNCTION("""COMPUTED_VALUE"""),"Petrobrasprem")</f>
        <v>Petrobrasprem</v>
      </c>
      <c r="D638" s="2">
        <f ca="1">IFERROR(__xludf.DUMMYFUNCTION("""COMPUTED_VALUE"""),254.31)</f>
        <v>254.31</v>
      </c>
      <c r="E638" s="1" t="str">
        <f ca="1">IFERROR(__xludf.DUMMYFUNCTION("""COMPUTED_VALUE"""),"-")</f>
        <v>-</v>
      </c>
      <c r="F638" s="1" t="str">
        <f ca="1">IFERROR(__xludf.DUMMYFUNCTION("""COMPUTED_VALUE"""),"Petrobrasprem")</f>
        <v>Petrobrasprem</v>
      </c>
      <c r="G638" s="1" t="str">
        <f ca="1"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6">
        <f ca="1">IFERROR(__xludf.DUMMYFUNCTION("""COMPUTED_VALUE"""),45901)</f>
        <v>45901</v>
      </c>
      <c r="B639" s="7" t="str">
        <f ca="1">IFERROR(__xludf.DUMMYFUNCTION("""COMPUTED_VALUE"""),"13/08/25")</f>
        <v>13/08/25</v>
      </c>
      <c r="C639" s="1" t="str">
        <f ca="1">IFERROR(__xludf.DUMMYFUNCTION("""COMPUTED_VALUE"""),"Shopee")</f>
        <v>Shopee</v>
      </c>
      <c r="D639" s="2">
        <f ca="1">IFERROR(__xludf.DUMMYFUNCTION("""COMPUTED_VALUE"""),33.02)</f>
        <v>33.020000000000003</v>
      </c>
      <c r="E639" s="1" t="str">
        <f ca="1">IFERROR(__xludf.DUMMYFUNCTION("""COMPUTED_VALUE"""),"-")</f>
        <v>-</v>
      </c>
      <c r="F639" s="1" t="str">
        <f ca="1">IFERROR(__xludf.DUMMYFUNCTION("""COMPUTED_VALUE"""),"Shopee")</f>
        <v>Shopee</v>
      </c>
      <c r="G639" s="1" t="str">
        <f ca="1"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6">
        <f ca="1">IFERROR(__xludf.DUMMYFUNCTION("""COMPUTED_VALUE"""),45901)</f>
        <v>45901</v>
      </c>
      <c r="B640" s="7" t="str">
        <f ca="1">IFERROR(__xludf.DUMMYFUNCTION("""COMPUTED_VALUE"""),"13/08/25")</f>
        <v>13/08/25</v>
      </c>
      <c r="C640" s="1" t="str">
        <f ca="1">IFERROR(__xludf.DUMMYFUNCTION("""COMPUTED_VALUE"""),"One")</f>
        <v>One</v>
      </c>
      <c r="D640" s="2">
        <f ca="1">IFERROR(__xludf.DUMMYFUNCTION("""COMPUTED_VALUE"""),99.99)</f>
        <v>99.99</v>
      </c>
      <c r="E640" s="1" t="str">
        <f ca="1">IFERROR(__xludf.DUMMYFUNCTION("""COMPUTED_VALUE"""),"-")</f>
        <v>-</v>
      </c>
      <c r="F640" s="1" t="str">
        <f ca="1">IFERROR(__xludf.DUMMYFUNCTION("""COMPUTED_VALUE"""),"One")</f>
        <v>One</v>
      </c>
      <c r="G640" s="1" t="str">
        <f ca="1"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6">
        <f ca="1">IFERROR(__xludf.DUMMYFUNCTION("""COMPUTED_VALUE"""),45901)</f>
        <v>45901</v>
      </c>
      <c r="B641" s="7" t="str">
        <f ca="1">IFERROR(__xludf.DUMMYFUNCTION("""COMPUTED_VALUE"""),"13/08/25")</f>
        <v>13/08/25</v>
      </c>
      <c r="C641" s="1" t="str">
        <f ca="1">IFERROR(__xludf.DUMMYFUNCTION("""COMPUTED_VALUE"""),"Imunizar (1/6)")</f>
        <v>Imunizar (1/6)</v>
      </c>
      <c r="D641" s="2">
        <f ca="1">IFERROR(__xludf.DUMMYFUNCTION("""COMPUTED_VALUE"""),1350)</f>
        <v>1350</v>
      </c>
      <c r="E641" s="1" t="str">
        <f ca="1">IFERROR(__xludf.DUMMYFUNCTION("""COMPUTED_VALUE"""),"-")</f>
        <v>-</v>
      </c>
      <c r="F641" s="1" t="str">
        <f ca="1">IFERROR(__xludf.DUMMYFUNCTION("""COMPUTED_VALUE"""),"Imunizar")</f>
        <v>Imunizar</v>
      </c>
      <c r="G641" s="1" t="str">
        <f ca="1"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6">
        <f ca="1">IFERROR(__xludf.DUMMYFUNCTION("""COMPUTED_VALUE"""),45901)</f>
        <v>45901</v>
      </c>
      <c r="B642" s="7" t="str">
        <f ca="1">IFERROR(__xludf.DUMMYFUNCTION("""COMPUTED_VALUE"""),"13/08/25")</f>
        <v>13/08/25</v>
      </c>
      <c r="C642" s="1" t="str">
        <f ca="1">IFERROR(__xludf.DUMMYFUNCTION("""COMPUTED_VALUE"""),"Drogaria Araujo")</f>
        <v>Drogaria Araujo</v>
      </c>
      <c r="D642" s="2">
        <f ca="1">IFERROR(__xludf.DUMMYFUNCTION("""COMPUTED_VALUE"""),12.99)</f>
        <v>12.99</v>
      </c>
      <c r="E642" s="1" t="str">
        <f ca="1">IFERROR(__xludf.DUMMYFUNCTION("""COMPUTED_VALUE"""),"-")</f>
        <v>-</v>
      </c>
      <c r="F642" s="1" t="str">
        <f ca="1">IFERROR(__xludf.DUMMYFUNCTION("""COMPUTED_VALUE"""),"Drogaria Araujo")</f>
        <v>Drogaria Araujo</v>
      </c>
      <c r="G642" s="1" t="str">
        <f ca="1">IFERROR(__xludf.DUMMYFUNCTION("""COMPUTED_VALUE"""),"Farmácia")</f>
        <v>Farmácia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6">
        <f ca="1">IFERROR(__xludf.DUMMYFUNCTION("""COMPUTED_VALUE"""),45901)</f>
        <v>45901</v>
      </c>
      <c r="B643" s="7" t="str">
        <f ca="1">IFERROR(__xludf.DUMMYFUNCTION("""COMPUTED_VALUE"""),"14/08/25")</f>
        <v>14/08/25</v>
      </c>
      <c r="C643" s="1" t="str">
        <f ca="1">IFERROR(__xludf.DUMMYFUNCTION("""COMPUTED_VALUE"""),"Youtube")</f>
        <v>Youtube</v>
      </c>
      <c r="D643" s="2">
        <f ca="1">IFERROR(__xludf.DUMMYFUNCTION("""COMPUTED_VALUE"""),19.99)</f>
        <v>19.989999999999998</v>
      </c>
      <c r="E643" s="1" t="str">
        <f ca="1">IFERROR(__xludf.DUMMYFUNCTION("""COMPUTED_VALUE"""),"-")</f>
        <v>-</v>
      </c>
      <c r="F643" s="1" t="str">
        <f ca="1">IFERROR(__xludf.DUMMYFUNCTION("""COMPUTED_VALUE"""),"Youtube")</f>
        <v>Youtube</v>
      </c>
      <c r="G643" s="1" t="str">
        <f ca="1"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6">
        <f ca="1">IFERROR(__xludf.DUMMYFUNCTION("""COMPUTED_VALUE"""),45901)</f>
        <v>45901</v>
      </c>
      <c r="B644" s="7" t="str">
        <f ca="1">IFERROR(__xludf.DUMMYFUNCTION("""COMPUTED_VALUE"""),"14/08/25")</f>
        <v>14/08/25</v>
      </c>
      <c r="C644" s="1" t="str">
        <f ca="1">IFERROR(__xludf.DUMMYFUNCTION("""COMPUTED_VALUE"""),"Amazon Digital Br")</f>
        <v>Amazon Digital Br</v>
      </c>
      <c r="D644" s="2">
        <f ca="1">IFERROR(__xludf.DUMMYFUNCTION("""COMPUTED_VALUE"""),29.11)</f>
        <v>29.11</v>
      </c>
      <c r="E644" s="1" t="str">
        <f ca="1">IFERROR(__xludf.DUMMYFUNCTION("""COMPUTED_VALUE"""),"-")</f>
        <v>-</v>
      </c>
      <c r="F644" s="1" t="str">
        <f ca="1">IFERROR(__xludf.DUMMYFUNCTION("""COMPUTED_VALUE"""),"Amazon Digital Br")</f>
        <v>Amazon Digital Br</v>
      </c>
      <c r="G644" s="1" t="str">
        <f ca="1"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6">
        <f ca="1">IFERROR(__xludf.DUMMYFUNCTION("""COMPUTED_VALUE"""),45901)</f>
        <v>45901</v>
      </c>
      <c r="B645" s="7" t="str">
        <f ca="1">IFERROR(__xludf.DUMMYFUNCTION("""COMPUTED_VALUE"""),"14/08/25")</f>
        <v>14/08/25</v>
      </c>
      <c r="C645" s="1" t="str">
        <f ca="1">IFERROR(__xludf.DUMMYFUNCTION("""COMPUTED_VALUE"""),"Uber")</f>
        <v>Uber</v>
      </c>
      <c r="D645" s="2">
        <f ca="1">IFERROR(__xludf.DUMMYFUNCTION("""COMPUTED_VALUE"""),8.96)</f>
        <v>8.9600000000000009</v>
      </c>
      <c r="E645" s="1" t="str">
        <f ca="1">IFERROR(__xludf.DUMMYFUNCTION("""COMPUTED_VALUE"""),"-")</f>
        <v>-</v>
      </c>
      <c r="F645" s="1" t="str">
        <f ca="1">IFERROR(__xludf.DUMMYFUNCTION("""COMPUTED_VALUE"""),"Uber")</f>
        <v>Uber</v>
      </c>
      <c r="G645" s="1" t="str">
        <f ca="1"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6">
        <f ca="1">IFERROR(__xludf.DUMMYFUNCTION("""COMPUTED_VALUE"""),45901)</f>
        <v>45901</v>
      </c>
      <c r="B646" s="7" t="str">
        <f ca="1">IFERROR(__xludf.DUMMYFUNCTION("""COMPUTED_VALUE"""),"14/08/25")</f>
        <v>14/08/25</v>
      </c>
      <c r="C646" s="1" t="str">
        <f ca="1">IFERROR(__xludf.DUMMYFUNCTION("""COMPUTED_VALUE"""),"Amazon Digital Br")</f>
        <v>Amazon Digital Br</v>
      </c>
      <c r="D646" s="2">
        <f ca="1">IFERROR(__xludf.DUMMYFUNCTION("""COMPUTED_VALUE"""),40.61)</f>
        <v>40.61</v>
      </c>
      <c r="E646" s="1" t="str">
        <f ca="1">IFERROR(__xludf.DUMMYFUNCTION("""COMPUTED_VALUE"""),"-")</f>
        <v>-</v>
      </c>
      <c r="F646" s="1" t="str">
        <f ca="1">IFERROR(__xludf.DUMMYFUNCTION("""COMPUTED_VALUE"""),"Amazon Digital Br")</f>
        <v>Amazon Digital Br</v>
      </c>
      <c r="G646" s="1" t="str">
        <f ca="1"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6">
        <f ca="1">IFERROR(__xludf.DUMMYFUNCTION("""COMPUTED_VALUE"""),45901)</f>
        <v>45901</v>
      </c>
      <c r="B647" s="7" t="str">
        <f ca="1">IFERROR(__xludf.DUMMYFUNCTION("""COMPUTED_VALUE"""),"15/08/25")</f>
        <v>15/08/25</v>
      </c>
      <c r="C647" s="1" t="str">
        <f ca="1">IFERROR(__xludf.DUMMYFUNCTION("""COMPUTED_VALUE"""),"Supermercado &amp; Padaria")</f>
        <v>Supermercado &amp; Padaria</v>
      </c>
      <c r="D647" s="2">
        <f ca="1">IFERROR(__xludf.DUMMYFUNCTION("""COMPUTED_VALUE"""),153)</f>
        <v>153</v>
      </c>
      <c r="E647" s="1" t="str">
        <f ca="1">IFERROR(__xludf.DUMMYFUNCTION("""COMPUTED_VALUE"""),"-")</f>
        <v>-</v>
      </c>
      <c r="F647" s="1" t="str">
        <f ca="1">IFERROR(__xludf.DUMMYFUNCTION("""COMPUTED_VALUE"""),"Supermercado &amp; Padaria")</f>
        <v>Supermercado &amp; Padaria</v>
      </c>
      <c r="G647" s="1" t="str">
        <f ca="1"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6">
        <f ca="1">IFERROR(__xludf.DUMMYFUNCTION("""COMPUTED_VALUE"""),45901)</f>
        <v>45901</v>
      </c>
      <c r="B648" s="7" t="str">
        <f ca="1">IFERROR(__xludf.DUMMYFUNCTION("""COMPUTED_VALUE"""),"15/08/25")</f>
        <v>15/08/25</v>
      </c>
      <c r="C648" s="1" t="str">
        <f ca="1">IFERROR(__xludf.DUMMYFUNCTION("""COMPUTED_VALUE"""),"Panif Mendes Sion")</f>
        <v>Panif Mendes Sion</v>
      </c>
      <c r="D648" s="2">
        <f ca="1">IFERROR(__xludf.DUMMYFUNCTION("""COMPUTED_VALUE"""),32.35)</f>
        <v>32.35</v>
      </c>
      <c r="E648" s="1" t="str">
        <f ca="1">IFERROR(__xludf.DUMMYFUNCTION("""COMPUTED_VALUE"""),"-")</f>
        <v>-</v>
      </c>
      <c r="F648" s="1" t="str">
        <f ca="1">IFERROR(__xludf.DUMMYFUNCTION("""COMPUTED_VALUE"""),"Panif Mendes Sion")</f>
        <v>Panif Mendes Sion</v>
      </c>
      <c r="G648" s="1" t="str">
        <f ca="1"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6">
        <f ca="1">IFERROR(__xludf.DUMMYFUNCTION("""COMPUTED_VALUE"""),45901)</f>
        <v>45901</v>
      </c>
      <c r="B649" s="7" t="str">
        <f ca="1">IFERROR(__xludf.DUMMYFUNCTION("""COMPUTED_VALUE"""),"16/08/25")</f>
        <v>16/08/25</v>
      </c>
      <c r="C649" s="1" t="str">
        <f ca="1">IFERROR(__xludf.DUMMYFUNCTION("""COMPUTED_VALUE"""),"Shopee")</f>
        <v>Shopee</v>
      </c>
      <c r="D649" s="2">
        <f ca="1">IFERROR(__xludf.DUMMYFUNCTION("""COMPUTED_VALUE"""),24)</f>
        <v>24</v>
      </c>
      <c r="E649" s="1" t="str">
        <f ca="1">IFERROR(__xludf.DUMMYFUNCTION("""COMPUTED_VALUE"""),"-")</f>
        <v>-</v>
      </c>
      <c r="F649" s="1" t="str">
        <f ca="1">IFERROR(__xludf.DUMMYFUNCTION("""COMPUTED_VALUE"""),"Shopee")</f>
        <v>Shopee</v>
      </c>
      <c r="G649" s="1" t="str">
        <f ca="1"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6">
        <f ca="1">IFERROR(__xludf.DUMMYFUNCTION("""COMPUTED_VALUE"""),45901)</f>
        <v>45901</v>
      </c>
      <c r="B650" s="7" t="str">
        <f ca="1">IFERROR(__xludf.DUMMYFUNCTION("""COMPUTED_VALUE"""),"17/08/25")</f>
        <v>17/08/25</v>
      </c>
      <c r="C650" s="1" t="str">
        <f ca="1">IFERROR(__xludf.DUMMYFUNCTION("""COMPUTED_VALUE"""),"Smoothies")</f>
        <v>Smoothies</v>
      </c>
      <c r="D650" s="2">
        <f ca="1">IFERROR(__xludf.DUMMYFUNCTION("""COMPUTED_VALUE"""),35.99)</f>
        <v>35.99</v>
      </c>
      <c r="E650" s="1" t="str">
        <f ca="1">IFERROR(__xludf.DUMMYFUNCTION("""COMPUTED_VALUE"""),"-")</f>
        <v>-</v>
      </c>
      <c r="F650" s="1" t="str">
        <f ca="1">IFERROR(__xludf.DUMMYFUNCTION("""COMPUTED_VALUE"""),"Smoothies")</f>
        <v>Smoothies</v>
      </c>
      <c r="G650" s="1" t="str">
        <f ca="1"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6">
        <f ca="1">IFERROR(__xludf.DUMMYFUNCTION("""COMPUTED_VALUE"""),45901)</f>
        <v>45901</v>
      </c>
      <c r="B651" s="7" t="str">
        <f ca="1">IFERROR(__xludf.DUMMYFUNCTION("""COMPUTED_VALUE"""),"17/08/25")</f>
        <v>17/08/25</v>
      </c>
      <c r="C651" s="1" t="str">
        <f ca="1">IFERROR(__xludf.DUMMYFUNCTION("""COMPUTED_VALUE"""),"Bem Hortifruti")</f>
        <v>Bem Hortifruti</v>
      </c>
      <c r="D651" s="2">
        <f ca="1">IFERROR(__xludf.DUMMYFUNCTION("""COMPUTED_VALUE"""),9.99)</f>
        <v>9.99</v>
      </c>
      <c r="E651" s="1" t="str">
        <f ca="1">IFERROR(__xludf.DUMMYFUNCTION("""COMPUTED_VALUE"""),"-")</f>
        <v>-</v>
      </c>
      <c r="F651" s="1" t="str">
        <f ca="1">IFERROR(__xludf.DUMMYFUNCTION("""COMPUTED_VALUE"""),"Bem Hortifruti")</f>
        <v>Bem Hortifruti</v>
      </c>
      <c r="G651" s="1" t="str">
        <f ca="1"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6">
        <f ca="1">IFERROR(__xludf.DUMMYFUNCTION("""COMPUTED_VALUE"""),45901)</f>
        <v>45901</v>
      </c>
      <c r="B652" s="7" t="str">
        <f ca="1">IFERROR(__xludf.DUMMYFUNCTION("""COMPUTED_VALUE"""),"17/08/25")</f>
        <v>17/08/25</v>
      </c>
      <c r="C652" s="1" t="str">
        <f ca="1">IFERROR(__xludf.DUMMYFUNCTION("""COMPUTED_VALUE"""),"Rei Dos Biscoitos Ltda")</f>
        <v>Rei Dos Biscoitos Ltda</v>
      </c>
      <c r="D652" s="2">
        <f ca="1">IFERROR(__xludf.DUMMYFUNCTION("""COMPUTED_VALUE"""),17)</f>
        <v>17</v>
      </c>
      <c r="E652" s="1" t="str">
        <f ca="1">IFERROR(__xludf.DUMMYFUNCTION("""COMPUTED_VALUE"""),"-")</f>
        <v>-</v>
      </c>
      <c r="F652" s="1" t="str">
        <f ca="1">IFERROR(__xludf.DUMMYFUNCTION("""COMPUTED_VALUE"""),"Rei Dos Biscoitos Ltda")</f>
        <v>Rei Dos Biscoitos Ltda</v>
      </c>
      <c r="G652" s="1" t="str">
        <f ca="1"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6">
        <f ca="1">IFERROR(__xludf.DUMMYFUNCTION("""COMPUTED_VALUE"""),45901)</f>
        <v>45901</v>
      </c>
      <c r="B653" s="7" t="str">
        <f ca="1">IFERROR(__xludf.DUMMYFUNCTION("""COMPUTED_VALUE"""),"17/08/25")</f>
        <v>17/08/25</v>
      </c>
      <c r="C653" s="1" t="str">
        <f ca="1">IFERROR(__xludf.DUMMYFUNCTION("""COMPUTED_VALUE"""),"Gleice")</f>
        <v>Gleice</v>
      </c>
      <c r="D653" s="2">
        <f ca="1">IFERROR(__xludf.DUMMYFUNCTION("""COMPUTED_VALUE"""),29.9)</f>
        <v>29.9</v>
      </c>
      <c r="E653" s="1" t="str">
        <f ca="1">IFERROR(__xludf.DUMMYFUNCTION("""COMPUTED_VALUE"""),"-")</f>
        <v>-</v>
      </c>
      <c r="F653" s="1" t="str">
        <f ca="1">IFERROR(__xludf.DUMMYFUNCTION("""COMPUTED_VALUE"""),"Gleice")</f>
        <v>Gleice</v>
      </c>
      <c r="G653" s="1" t="str">
        <f ca="1"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6">
        <f ca="1">IFERROR(__xludf.DUMMYFUNCTION("""COMPUTED_VALUE"""),45901)</f>
        <v>45901</v>
      </c>
      <c r="B654" s="7" t="str">
        <f ca="1">IFERROR(__xludf.DUMMYFUNCTION("""COMPUTED_VALUE"""),"17/08/25")</f>
        <v>17/08/25</v>
      </c>
      <c r="C654" s="1" t="str">
        <f ca="1">IFERROR(__xludf.DUMMYFUNCTION("""COMPUTED_VALUE"""),"Du Pain Mercado")</f>
        <v>Du Pain Mercado</v>
      </c>
      <c r="D654" s="2">
        <f ca="1">IFERROR(__xludf.DUMMYFUNCTION("""COMPUTED_VALUE"""),38)</f>
        <v>38</v>
      </c>
      <c r="E654" s="1" t="str">
        <f ca="1">IFERROR(__xludf.DUMMYFUNCTION("""COMPUTED_VALUE"""),"-")</f>
        <v>-</v>
      </c>
      <c r="F654" s="1" t="str">
        <f ca="1">IFERROR(__xludf.DUMMYFUNCTION("""COMPUTED_VALUE"""),"Du Pain Mercado")</f>
        <v>Du Pain Mercado</v>
      </c>
      <c r="G654" s="1" t="str">
        <f ca="1"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6">
        <f ca="1">IFERROR(__xludf.DUMMYFUNCTION("""COMPUTED_VALUE"""),45901)</f>
        <v>45901</v>
      </c>
      <c r="B655" s="7" t="str">
        <f ca="1">IFERROR(__xludf.DUMMYFUNCTION("""COMPUTED_VALUE"""),"17/08/25")</f>
        <v>17/08/25</v>
      </c>
      <c r="C655" s="1" t="str">
        <f ca="1">IFERROR(__xludf.DUMMYFUNCTION("""COMPUTED_VALUE"""),"Queijaria Mineira Uai")</f>
        <v>Queijaria Mineira Uai</v>
      </c>
      <c r="D655" s="2">
        <f ca="1">IFERROR(__xludf.DUMMYFUNCTION("""COMPUTED_VALUE"""),26.95)</f>
        <v>26.95</v>
      </c>
      <c r="E655" s="1" t="str">
        <f ca="1">IFERROR(__xludf.DUMMYFUNCTION("""COMPUTED_VALUE"""),"-")</f>
        <v>-</v>
      </c>
      <c r="F655" s="1" t="str">
        <f ca="1">IFERROR(__xludf.DUMMYFUNCTION("""COMPUTED_VALUE"""),"Queijaria Mineira Uai")</f>
        <v>Queijaria Mineira Uai</v>
      </c>
      <c r="G655" s="1" t="str">
        <f ca="1"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6">
        <f ca="1">IFERROR(__xludf.DUMMYFUNCTION("""COMPUTED_VALUE"""),45901)</f>
        <v>45901</v>
      </c>
      <c r="B656" s="7" t="str">
        <f ca="1">IFERROR(__xludf.DUMMYFUNCTION("""COMPUTED_VALUE"""),"17/08/25")</f>
        <v>17/08/25</v>
      </c>
      <c r="C656" s="1" t="str">
        <f ca="1">IFERROR(__xludf.DUMMYFUNCTION("""COMPUTED_VALUE"""),"Mercado Central")</f>
        <v>Mercado Central</v>
      </c>
      <c r="D656" s="2">
        <f ca="1">IFERROR(__xludf.DUMMYFUNCTION("""COMPUTED_VALUE"""),8)</f>
        <v>8</v>
      </c>
      <c r="E656" s="1" t="str">
        <f ca="1">IFERROR(__xludf.DUMMYFUNCTION("""COMPUTED_VALUE"""),"-")</f>
        <v>-</v>
      </c>
      <c r="F656" s="1" t="str">
        <f ca="1">IFERROR(__xludf.DUMMYFUNCTION("""COMPUTED_VALUE"""),"Mercado Central")</f>
        <v>Mercado Central</v>
      </c>
      <c r="G656" s="1" t="str">
        <f ca="1"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6">
        <f ca="1">IFERROR(__xludf.DUMMYFUNCTION("""COMPUTED_VALUE"""),45901)</f>
        <v>45901</v>
      </c>
      <c r="B657" s="7" t="str">
        <f ca="1">IFERROR(__xludf.DUMMYFUNCTION("""COMPUTED_VALUE"""),"17/08/25")</f>
        <v>17/08/25</v>
      </c>
      <c r="C657" s="1" t="str">
        <f ca="1">IFERROR(__xludf.DUMMYFUNCTION("""COMPUTED_VALUE"""),"O Bhar")</f>
        <v>O Bhar</v>
      </c>
      <c r="D657" s="2">
        <f ca="1">IFERROR(__xludf.DUMMYFUNCTION("""COMPUTED_VALUE"""),56.5)</f>
        <v>56.5</v>
      </c>
      <c r="E657" s="1" t="str">
        <f ca="1">IFERROR(__xludf.DUMMYFUNCTION("""COMPUTED_VALUE"""),"-")</f>
        <v>-</v>
      </c>
      <c r="F657" s="1" t="str">
        <f ca="1">IFERROR(__xludf.DUMMYFUNCTION("""COMPUTED_VALUE"""),"O Bhar")</f>
        <v>O Bhar</v>
      </c>
      <c r="G657" s="1" t="str">
        <f ca="1"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6">
        <f ca="1">IFERROR(__xludf.DUMMYFUNCTION("""COMPUTED_VALUE"""),45901)</f>
        <v>45901</v>
      </c>
      <c r="B658" s="7" t="str">
        <f ca="1">IFERROR(__xludf.DUMMYFUNCTION("""COMPUTED_VALUE"""),"17/08/25")</f>
        <v>17/08/25</v>
      </c>
      <c r="C658" s="1" t="str">
        <f ca="1">IFERROR(__xludf.DUMMYFUNCTION("""COMPUTED_VALUE"""),"Melimais")</f>
        <v>Melimais</v>
      </c>
      <c r="D658" s="2">
        <f ca="1">IFERROR(__xludf.DUMMYFUNCTION("""COMPUTED_VALUE"""),24.9)</f>
        <v>24.9</v>
      </c>
      <c r="E658" s="1" t="str">
        <f ca="1">IFERROR(__xludf.DUMMYFUNCTION("""COMPUTED_VALUE"""),"-")</f>
        <v>-</v>
      </c>
      <c r="F658" s="1" t="str">
        <f ca="1">IFERROR(__xludf.DUMMYFUNCTION("""COMPUTED_VALUE"""),"Melimais")</f>
        <v>Melimais</v>
      </c>
      <c r="G658" s="1" t="str">
        <f ca="1"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6">
        <f ca="1">IFERROR(__xludf.DUMMYFUNCTION("""COMPUTED_VALUE"""),45901)</f>
        <v>45901</v>
      </c>
      <c r="B659" s="7" t="str">
        <f ca="1">IFERROR(__xludf.DUMMYFUNCTION("""COMPUTED_VALUE"""),"18/08/25")</f>
        <v>18/08/25</v>
      </c>
      <c r="C659" s="1">
        <f ca="1">IFERROR(__xludf.DUMMYFUNCTION("""COMPUTED_VALUE"""),99)</f>
        <v>99</v>
      </c>
      <c r="D659" s="2">
        <f ca="1">IFERROR(__xludf.DUMMYFUNCTION("""COMPUTED_VALUE"""),8.4)</f>
        <v>8.4</v>
      </c>
      <c r="E659" s="1" t="str">
        <f ca="1">IFERROR(__xludf.DUMMYFUNCTION("""COMPUTED_VALUE"""),"-")</f>
        <v>-</v>
      </c>
      <c r="F659" s="1" t="str">
        <f ca="1">IFERROR(__xludf.DUMMYFUNCTION("""COMPUTED_VALUE"""),"99")</f>
        <v>99</v>
      </c>
      <c r="G659" s="1" t="str">
        <f ca="1"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6">
        <f ca="1">IFERROR(__xludf.DUMMYFUNCTION("""COMPUTED_VALUE"""),45901)</f>
        <v>45901</v>
      </c>
      <c r="B660" s="7" t="str">
        <f ca="1">IFERROR(__xludf.DUMMYFUNCTION("""COMPUTED_VALUE"""),"19/08/25")</f>
        <v>19/08/25</v>
      </c>
      <c r="C660" s="1" t="str">
        <f ca="1">IFERROR(__xludf.DUMMYFUNCTION("""COMPUTED_VALUE"""),"Amazon")</f>
        <v>Amazon</v>
      </c>
      <c r="D660" s="2">
        <f ca="1">IFERROR(__xludf.DUMMYFUNCTION("""COMPUTED_VALUE"""),60.74)</f>
        <v>60.74</v>
      </c>
      <c r="E660" s="1" t="str">
        <f ca="1">IFERROR(__xludf.DUMMYFUNCTION("""COMPUTED_VALUE"""),"-")</f>
        <v>-</v>
      </c>
      <c r="F660" s="1" t="str">
        <f ca="1">IFERROR(__xludf.DUMMYFUNCTION("""COMPUTED_VALUE"""),"Amazon")</f>
        <v>Amazon</v>
      </c>
      <c r="G660" s="1" t="str">
        <f ca="1"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6">
        <f ca="1">IFERROR(__xludf.DUMMYFUNCTION("""COMPUTED_VALUE"""),45901)</f>
        <v>45901</v>
      </c>
      <c r="B661" s="7" t="str">
        <f ca="1">IFERROR(__xludf.DUMMYFUNCTION("""COMPUTED_VALUE"""),"19/08/25")</f>
        <v>19/08/25</v>
      </c>
      <c r="C661" s="1" t="str">
        <f ca="1">IFERROR(__xludf.DUMMYFUNCTION("""COMPUTED_VALUE"""),"Shopee")</f>
        <v>Shopee</v>
      </c>
      <c r="D661" s="2">
        <f ca="1">IFERROR(__xludf.DUMMYFUNCTION("""COMPUTED_VALUE"""),19.85)</f>
        <v>19.850000000000001</v>
      </c>
      <c r="E661" s="1" t="str">
        <f ca="1">IFERROR(__xludf.DUMMYFUNCTION("""COMPUTED_VALUE"""),"-")</f>
        <v>-</v>
      </c>
      <c r="F661" s="1" t="str">
        <f ca="1">IFERROR(__xludf.DUMMYFUNCTION("""COMPUTED_VALUE"""),"Shopee")</f>
        <v>Shopee</v>
      </c>
      <c r="G661" s="1" t="str">
        <f ca="1"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6">
        <f ca="1">IFERROR(__xludf.DUMMYFUNCTION("""COMPUTED_VALUE"""),45901)</f>
        <v>45901</v>
      </c>
      <c r="B662" s="7" t="str">
        <f ca="1">IFERROR(__xludf.DUMMYFUNCTION("""COMPUTED_VALUE"""),"20/08/25")</f>
        <v>20/08/25</v>
      </c>
      <c r="C662" s="1" t="str">
        <f ca="1">IFERROR(__xludf.DUMMYFUNCTION("""COMPUTED_VALUE"""),"Shopee (1/3)")</f>
        <v>Shopee (1/3)</v>
      </c>
      <c r="D662" s="2">
        <f ca="1">IFERROR(__xludf.DUMMYFUNCTION("""COMPUTED_VALUE"""),75.21)</f>
        <v>75.209999999999994</v>
      </c>
      <c r="E662" s="1" t="str">
        <f ca="1">IFERROR(__xludf.DUMMYFUNCTION("""COMPUTED_VALUE"""),"-")</f>
        <v>-</v>
      </c>
      <c r="F662" s="1" t="str">
        <f ca="1">IFERROR(__xludf.DUMMYFUNCTION("""COMPUTED_VALUE"""),"Shopee")</f>
        <v>Shopee</v>
      </c>
      <c r="G662" s="1" t="str">
        <f ca="1"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6">
        <f ca="1">IFERROR(__xludf.DUMMYFUNCTION("""COMPUTED_VALUE"""),45901)</f>
        <v>45901</v>
      </c>
      <c r="B663" s="7" t="str">
        <f ca="1">IFERROR(__xludf.DUMMYFUNCTION("""COMPUTED_VALUE"""),"20/08/25")</f>
        <v>20/08/25</v>
      </c>
      <c r="C663" s="1" t="str">
        <f ca="1">IFERROR(__xludf.DUMMYFUNCTION("""COMPUTED_VALUE"""),"Panif Mendes Sion")</f>
        <v>Panif Mendes Sion</v>
      </c>
      <c r="D663" s="2">
        <f ca="1">IFERROR(__xludf.DUMMYFUNCTION("""COMPUTED_VALUE"""),5.49)</f>
        <v>5.49</v>
      </c>
      <c r="E663" s="1" t="str">
        <f ca="1">IFERROR(__xludf.DUMMYFUNCTION("""COMPUTED_VALUE"""),"-")</f>
        <v>-</v>
      </c>
      <c r="F663" s="1" t="str">
        <f ca="1">IFERROR(__xludf.DUMMYFUNCTION("""COMPUTED_VALUE"""),"Panif Mendes Sion")</f>
        <v>Panif Mendes Sion</v>
      </c>
      <c r="G663" s="1" t="str">
        <f ca="1"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6">
        <f ca="1">IFERROR(__xludf.DUMMYFUNCTION("""COMPUTED_VALUE"""),45901)</f>
        <v>45901</v>
      </c>
      <c r="B664" s="7" t="str">
        <f ca="1">IFERROR(__xludf.DUMMYFUNCTION("""COMPUTED_VALUE"""),"20/08/25")</f>
        <v>20/08/25</v>
      </c>
      <c r="C664" s="1" t="str">
        <f ca="1">IFERROR(__xludf.DUMMYFUNCTION("""COMPUTED_VALUE"""),"Amazon")</f>
        <v>Amazon</v>
      </c>
      <c r="D664" s="2">
        <f ca="1">IFERROR(__xludf.DUMMYFUNCTION("""COMPUTED_VALUE"""),32.36)</f>
        <v>32.36</v>
      </c>
      <c r="E664" s="1" t="str">
        <f ca="1">IFERROR(__xludf.DUMMYFUNCTION("""COMPUTED_VALUE"""),"-")</f>
        <v>-</v>
      </c>
      <c r="F664" s="1" t="str">
        <f ca="1">IFERROR(__xludf.DUMMYFUNCTION("""COMPUTED_VALUE"""),"Amazon")</f>
        <v>Amazon</v>
      </c>
      <c r="G664" s="1" t="str">
        <f ca="1"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6">
        <f ca="1">IFERROR(__xludf.DUMMYFUNCTION("""COMPUTED_VALUE"""),45901)</f>
        <v>45901</v>
      </c>
      <c r="B665" s="7" t="str">
        <f ca="1">IFERROR(__xludf.DUMMYFUNCTION("""COMPUTED_VALUE"""),"20/08/25")</f>
        <v>20/08/25</v>
      </c>
      <c r="C665" s="1" t="str">
        <f ca="1">IFERROR(__xludf.DUMMYFUNCTION("""COMPUTED_VALUE"""),"Casa De Casa De Carne")</f>
        <v>Casa De Casa De Carne</v>
      </c>
      <c r="D665" s="2">
        <f ca="1">IFERROR(__xludf.DUMMYFUNCTION("""COMPUTED_VALUE"""),100.64)</f>
        <v>100.64</v>
      </c>
      <c r="E665" s="1" t="str">
        <f ca="1">IFERROR(__xludf.DUMMYFUNCTION("""COMPUTED_VALUE"""),"-")</f>
        <v>-</v>
      </c>
      <c r="F665" s="1" t="str">
        <f ca="1">IFERROR(__xludf.DUMMYFUNCTION("""COMPUTED_VALUE"""),"Casa De Casa De Carne")</f>
        <v>Casa De Casa De Carne</v>
      </c>
      <c r="G665" s="1" t="str">
        <f ca="1"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6">
        <f ca="1">IFERROR(__xludf.DUMMYFUNCTION("""COMPUTED_VALUE"""),45901)</f>
        <v>45901</v>
      </c>
      <c r="B666" s="7" t="str">
        <f ca="1">IFERROR(__xludf.DUMMYFUNCTION("""COMPUTED_VALUE"""),"20/08/25")</f>
        <v>20/08/25</v>
      </c>
      <c r="C666" s="1" t="str">
        <f ca="1">IFERROR(__xludf.DUMMYFUNCTION("""COMPUTED_VALUE"""),"Super Nosso")</f>
        <v>Super Nosso</v>
      </c>
      <c r="D666" s="2">
        <f ca="1">IFERROR(__xludf.DUMMYFUNCTION("""COMPUTED_VALUE"""),283.6)</f>
        <v>283.60000000000002</v>
      </c>
      <c r="E666" s="1" t="str">
        <f ca="1">IFERROR(__xludf.DUMMYFUNCTION("""COMPUTED_VALUE"""),"-")</f>
        <v>-</v>
      </c>
      <c r="F666" s="1" t="str">
        <f ca="1">IFERROR(__xludf.DUMMYFUNCTION("""COMPUTED_VALUE"""),"Super Nosso")</f>
        <v>Super Nosso</v>
      </c>
      <c r="G666" s="1" t="str">
        <f ca="1"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6">
        <f ca="1">IFERROR(__xludf.DUMMYFUNCTION("""COMPUTED_VALUE"""),45901)</f>
        <v>45901</v>
      </c>
      <c r="B667" s="7" t="str">
        <f ca="1">IFERROR(__xludf.DUMMYFUNCTION("""COMPUTED_VALUE"""),"20/08/25")</f>
        <v>20/08/25</v>
      </c>
      <c r="C667" s="1" t="str">
        <f ca="1">IFERROR(__xludf.DUMMYFUNCTION("""COMPUTED_VALUE"""),"Drogaria Araujo")</f>
        <v>Drogaria Araujo</v>
      </c>
      <c r="D667" s="2">
        <f ca="1">IFERROR(__xludf.DUMMYFUNCTION("""COMPUTED_VALUE"""),7.89)</f>
        <v>7.89</v>
      </c>
      <c r="E667" s="1" t="str">
        <f ca="1">IFERROR(__xludf.DUMMYFUNCTION("""COMPUTED_VALUE"""),"-")</f>
        <v>-</v>
      </c>
      <c r="F667" s="1" t="str">
        <f ca="1">IFERROR(__xludf.DUMMYFUNCTION("""COMPUTED_VALUE"""),"Drogaria Araujo")</f>
        <v>Drogaria Araujo</v>
      </c>
      <c r="G667" s="1" t="str">
        <f ca="1">IFERROR(__xludf.DUMMYFUNCTION("""COMPUTED_VALUE"""),"Farmácia")</f>
        <v>Farmácia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6">
        <f ca="1">IFERROR(__xludf.DUMMYFUNCTION("""COMPUTED_VALUE"""),45901)</f>
        <v>45901</v>
      </c>
      <c r="B668" s="7" t="str">
        <f ca="1">IFERROR(__xludf.DUMMYFUNCTION("""COMPUTED_VALUE"""),"21/08/25")</f>
        <v>21/08/25</v>
      </c>
      <c r="C668" s="1" t="str">
        <f ca="1">IFERROR(__xludf.DUMMYFUNCTION("""COMPUTED_VALUE"""),"Amazon")</f>
        <v>Amazon</v>
      </c>
      <c r="D668" s="2">
        <f ca="1">IFERROR(__xludf.DUMMYFUNCTION("""COMPUTED_VALUE"""),32.36)</f>
        <v>32.36</v>
      </c>
      <c r="E668" s="1" t="str">
        <f ca="1">IFERROR(__xludf.DUMMYFUNCTION("""COMPUTED_VALUE"""),"-")</f>
        <v>-</v>
      </c>
      <c r="F668" s="1" t="str">
        <f ca="1">IFERROR(__xludf.DUMMYFUNCTION("""COMPUTED_VALUE"""),"Amazon")</f>
        <v>Amazon</v>
      </c>
      <c r="G668" s="1" t="str">
        <f ca="1"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6">
        <f ca="1">IFERROR(__xludf.DUMMYFUNCTION("""COMPUTED_VALUE"""),45901)</f>
        <v>45901</v>
      </c>
      <c r="B669" s="7" t="str">
        <f ca="1">IFERROR(__xludf.DUMMYFUNCTION("""COMPUTED_VALUE"""),"23/08/25")</f>
        <v>23/08/25</v>
      </c>
      <c r="C669" s="1" t="str">
        <f ca="1">IFERROR(__xludf.DUMMYFUNCTION("""COMPUTED_VALUE"""),"Golden Pet")</f>
        <v>Golden Pet</v>
      </c>
      <c r="D669" s="2">
        <f ca="1">IFERROR(__xludf.DUMMYFUNCTION("""COMPUTED_VALUE"""),132)</f>
        <v>132</v>
      </c>
      <c r="E669" s="1" t="str">
        <f ca="1">IFERROR(__xludf.DUMMYFUNCTION("""COMPUTED_VALUE"""),"-")</f>
        <v>-</v>
      </c>
      <c r="F669" s="1" t="str">
        <f ca="1">IFERROR(__xludf.DUMMYFUNCTION("""COMPUTED_VALUE"""),"Golden Pet")</f>
        <v>Golden Pet</v>
      </c>
      <c r="G669" s="1" t="str">
        <f ca="1"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6">
        <f ca="1">IFERROR(__xludf.DUMMYFUNCTION("""COMPUTED_VALUE"""),45901)</f>
        <v>45901</v>
      </c>
      <c r="B670" s="7" t="str">
        <f ca="1">IFERROR(__xludf.DUMMYFUNCTION("""COMPUTED_VALUE"""),"24/08/25")</f>
        <v>24/08/25</v>
      </c>
      <c r="C670" s="1" t="str">
        <f ca="1">IFERROR(__xludf.DUMMYFUNCTION("""COMPUTED_VALUE"""),"Drogaria Araujo")</f>
        <v>Drogaria Araujo</v>
      </c>
      <c r="D670" s="2">
        <f ca="1">IFERROR(__xludf.DUMMYFUNCTION("""COMPUTED_VALUE"""),44.9)</f>
        <v>44.9</v>
      </c>
      <c r="E670" s="1" t="str">
        <f ca="1">IFERROR(__xludf.DUMMYFUNCTION("""COMPUTED_VALUE"""),"-")</f>
        <v>-</v>
      </c>
      <c r="F670" s="1" t="str">
        <f ca="1">IFERROR(__xludf.DUMMYFUNCTION("""COMPUTED_VALUE"""),"Drogaria Araujo")</f>
        <v>Drogaria Araujo</v>
      </c>
      <c r="G670" s="1" t="str">
        <f ca="1">IFERROR(__xludf.DUMMYFUNCTION("""COMPUTED_VALUE"""),"Farmácia")</f>
        <v>Farmácia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6">
        <f ca="1">IFERROR(__xludf.DUMMYFUNCTION("""COMPUTED_VALUE"""),45901)</f>
        <v>45901</v>
      </c>
      <c r="B671" s="7" t="str">
        <f ca="1">IFERROR(__xludf.DUMMYFUNCTION("""COMPUTED_VALUE"""),"24/08/25")</f>
        <v>24/08/25</v>
      </c>
      <c r="C671" s="1" t="str">
        <f ca="1">IFERROR(__xludf.DUMMYFUNCTION("""COMPUTED_VALUE"""),"Panif Mendes Sion")</f>
        <v>Panif Mendes Sion</v>
      </c>
      <c r="D671" s="2">
        <f ca="1">IFERROR(__xludf.DUMMYFUNCTION("""COMPUTED_VALUE"""),3.4)</f>
        <v>3.4</v>
      </c>
      <c r="E671" s="1" t="str">
        <f ca="1">IFERROR(__xludf.DUMMYFUNCTION("""COMPUTED_VALUE"""),"-")</f>
        <v>-</v>
      </c>
      <c r="F671" s="1" t="str">
        <f ca="1">IFERROR(__xludf.DUMMYFUNCTION("""COMPUTED_VALUE"""),"Panif Mendes Sion")</f>
        <v>Panif Mendes Sion</v>
      </c>
      <c r="G671" s="1" t="str">
        <f ca="1"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6">
        <f ca="1">IFERROR(__xludf.DUMMYFUNCTION("""COMPUTED_VALUE"""),45901)</f>
        <v>45901</v>
      </c>
      <c r="B672" s="7" t="str">
        <f ca="1">IFERROR(__xludf.DUMMYFUNCTION("""COMPUTED_VALUE"""),"24/08/25")</f>
        <v>24/08/25</v>
      </c>
      <c r="C672" s="1" t="str">
        <f ca="1">IFERROR(__xludf.DUMMYFUNCTION("""COMPUTED_VALUE"""),"Smoothies")</f>
        <v>Smoothies</v>
      </c>
      <c r="D672" s="2">
        <f ca="1">IFERROR(__xludf.DUMMYFUNCTION("""COMPUTED_VALUE"""),24.99)</f>
        <v>24.99</v>
      </c>
      <c r="E672" s="1" t="str">
        <f ca="1">IFERROR(__xludf.DUMMYFUNCTION("""COMPUTED_VALUE"""),"-")</f>
        <v>-</v>
      </c>
      <c r="F672" s="1" t="str">
        <f ca="1">IFERROR(__xludf.DUMMYFUNCTION("""COMPUTED_VALUE"""),"Smoothies")</f>
        <v>Smoothies</v>
      </c>
      <c r="G672" s="1" t="str">
        <f ca="1"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6">
        <f ca="1">IFERROR(__xludf.DUMMYFUNCTION("""COMPUTED_VALUE"""),45901)</f>
        <v>45901</v>
      </c>
      <c r="B673" s="7" t="str">
        <f ca="1">IFERROR(__xludf.DUMMYFUNCTION("""COMPUTED_VALUE"""),"24/08/25")</f>
        <v>24/08/25</v>
      </c>
      <c r="C673" s="1" t="str">
        <f ca="1">IFERROR(__xludf.DUMMYFUNCTION("""COMPUTED_VALUE"""),"Bem Hortifruti")</f>
        <v>Bem Hortifruti</v>
      </c>
      <c r="D673" s="2">
        <f ca="1">IFERROR(__xludf.DUMMYFUNCTION("""COMPUTED_VALUE"""),9.99)</f>
        <v>9.99</v>
      </c>
      <c r="E673" s="1" t="str">
        <f ca="1">IFERROR(__xludf.DUMMYFUNCTION("""COMPUTED_VALUE"""),"-")</f>
        <v>-</v>
      </c>
      <c r="F673" s="1" t="str">
        <f ca="1">IFERROR(__xludf.DUMMYFUNCTION("""COMPUTED_VALUE"""),"Bem Hortifruti")</f>
        <v>Bem Hortifruti</v>
      </c>
      <c r="G673" s="1" t="str">
        <f ca="1"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6">
        <f ca="1">IFERROR(__xludf.DUMMYFUNCTION("""COMPUTED_VALUE"""),45901)</f>
        <v>45901</v>
      </c>
      <c r="B674" s="7" t="str">
        <f ca="1">IFERROR(__xludf.DUMMYFUNCTION("""COMPUTED_VALUE"""),"24/08/25")</f>
        <v>24/08/25</v>
      </c>
      <c r="C674" s="1" t="str">
        <f ca="1">IFERROR(__xludf.DUMMYFUNCTION("""COMPUTED_VALUE"""),"Shopee")</f>
        <v>Shopee</v>
      </c>
      <c r="D674" s="2">
        <f ca="1">IFERROR(__xludf.DUMMYFUNCTION("""COMPUTED_VALUE"""),10.99)</f>
        <v>10.99</v>
      </c>
      <c r="E674" s="1" t="str">
        <f ca="1">IFERROR(__xludf.DUMMYFUNCTION("""COMPUTED_VALUE"""),"-")</f>
        <v>-</v>
      </c>
      <c r="F674" s="1" t="str">
        <f ca="1">IFERROR(__xludf.DUMMYFUNCTION("""COMPUTED_VALUE"""),"Shopee")</f>
        <v>Shopee</v>
      </c>
      <c r="G674" s="1" t="str">
        <f ca="1"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6">
        <f ca="1">IFERROR(__xludf.DUMMYFUNCTION("""COMPUTED_VALUE"""),45901)</f>
        <v>45901</v>
      </c>
      <c r="B675" s="7" t="str">
        <f ca="1">IFERROR(__xludf.DUMMYFUNCTION("""COMPUTED_VALUE"""),"24/08/25")</f>
        <v>24/08/25</v>
      </c>
      <c r="C675" s="1" t="str">
        <f ca="1">IFERROR(__xludf.DUMMYFUNCTION("""COMPUTED_VALUE"""),"Amazonmktplc Mercadome")</f>
        <v>Amazonmktplc Mercadome</v>
      </c>
      <c r="D675" s="2">
        <f ca="1">IFERROR(__xludf.DUMMYFUNCTION("""COMPUTED_VALUE"""),12.78)</f>
        <v>12.78</v>
      </c>
      <c r="E675" s="1" t="str">
        <f ca="1">IFERROR(__xludf.DUMMYFUNCTION("""COMPUTED_VALUE"""),"-")</f>
        <v>-</v>
      </c>
      <c r="F675" s="1" t="str">
        <f ca="1">IFERROR(__xludf.DUMMYFUNCTION("""COMPUTED_VALUE"""),"Amazonmktplc")</f>
        <v>Amazonmktplc</v>
      </c>
      <c r="G675" s="1" t="str">
        <f ca="1"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6">
        <f ca="1">IFERROR(__xludf.DUMMYFUNCTION("""COMPUTED_VALUE"""),45901)</f>
        <v>45901</v>
      </c>
      <c r="B676" s="7" t="str">
        <f ca="1">IFERROR(__xludf.DUMMYFUNCTION("""COMPUTED_VALUE"""),"25/08/25")</f>
        <v>25/08/25</v>
      </c>
      <c r="C676" s="1" t="str">
        <f ca="1">IFERROR(__xludf.DUMMYFUNCTION("""COMPUTED_VALUE"""),"Uber")</f>
        <v>Uber</v>
      </c>
      <c r="D676" s="2">
        <f ca="1">IFERROR(__xludf.DUMMYFUNCTION("""COMPUTED_VALUE"""),99.93)</f>
        <v>99.93</v>
      </c>
      <c r="E676" s="1" t="str">
        <f ca="1">IFERROR(__xludf.DUMMYFUNCTION("""COMPUTED_VALUE"""),"-")</f>
        <v>-</v>
      </c>
      <c r="F676" s="1" t="str">
        <f ca="1">IFERROR(__xludf.DUMMYFUNCTION("""COMPUTED_VALUE"""),"Uber")</f>
        <v>Uber</v>
      </c>
      <c r="G676" s="1" t="str">
        <f ca="1"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6">
        <f ca="1">IFERROR(__xludf.DUMMYFUNCTION("""COMPUTED_VALUE"""),45901)</f>
        <v>45901</v>
      </c>
      <c r="B677" s="7" t="str">
        <f ca="1">IFERROR(__xludf.DUMMYFUNCTION("""COMPUTED_VALUE"""),"25/08/25")</f>
        <v>25/08/25</v>
      </c>
      <c r="C677" s="1" t="str">
        <f ca="1">IFERROR(__xludf.DUMMYFUNCTION("""COMPUTED_VALUE"""),"Gelato Artesanal Parai")</f>
        <v>Gelato Artesanal Parai</v>
      </c>
      <c r="D677" s="2">
        <f ca="1">IFERROR(__xludf.DUMMYFUNCTION("""COMPUTED_VALUE"""),9.5)</f>
        <v>9.5</v>
      </c>
      <c r="E677" s="1" t="str">
        <f ca="1">IFERROR(__xludf.DUMMYFUNCTION("""COMPUTED_VALUE"""),"-")</f>
        <v>-</v>
      </c>
      <c r="F677" s="1" t="str">
        <f ca="1">IFERROR(__xludf.DUMMYFUNCTION("""COMPUTED_VALUE"""),"Gelato Artesanal Parai")</f>
        <v>Gelato Artesanal Parai</v>
      </c>
      <c r="G677" s="1" t="str">
        <f ca="1"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6">
        <f ca="1">IFERROR(__xludf.DUMMYFUNCTION("""COMPUTED_VALUE"""),45901)</f>
        <v>45901</v>
      </c>
      <c r="B678" s="7" t="str">
        <f ca="1">IFERROR(__xludf.DUMMYFUNCTION("""COMPUTED_VALUE"""),"25/08/25")</f>
        <v>25/08/25</v>
      </c>
      <c r="C678" s="1" t="str">
        <f ca="1">IFERROR(__xludf.DUMMYFUNCTION("""COMPUTED_VALUE"""),"Mi Garba")</f>
        <v>Mi Garba</v>
      </c>
      <c r="D678" s="2">
        <f ca="1">IFERROR(__xludf.DUMMYFUNCTION("""COMPUTED_VALUE"""),46)</f>
        <v>46</v>
      </c>
      <c r="E678" s="1" t="str">
        <f ca="1">IFERROR(__xludf.DUMMYFUNCTION("""COMPUTED_VALUE"""),"-")</f>
        <v>-</v>
      </c>
      <c r="F678" s="1" t="str">
        <f ca="1">IFERROR(__xludf.DUMMYFUNCTION("""COMPUTED_VALUE"""),"Mi Garba")</f>
        <v>Mi Garba</v>
      </c>
      <c r="G678" s="1" t="str">
        <f ca="1"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6">
        <f ca="1">IFERROR(__xludf.DUMMYFUNCTION("""COMPUTED_VALUE"""),45901)</f>
        <v>45901</v>
      </c>
      <c r="B679" s="7" t="str">
        <f ca="1">IFERROR(__xludf.DUMMYFUNCTION("""COMPUTED_VALUE"""),"25/08/25")</f>
        <v>25/08/25</v>
      </c>
      <c r="C679" s="1" t="str">
        <f ca="1">IFERROR(__xludf.DUMMYFUNCTION("""COMPUTED_VALUE"""),"Bem Hortifruti")</f>
        <v>Bem Hortifruti</v>
      </c>
      <c r="D679" s="2">
        <f ca="1">IFERROR(__xludf.DUMMYFUNCTION("""COMPUTED_VALUE"""),9.99)</f>
        <v>9.99</v>
      </c>
      <c r="E679" s="1" t="str">
        <f ca="1">IFERROR(__xludf.DUMMYFUNCTION("""COMPUTED_VALUE"""),"-")</f>
        <v>-</v>
      </c>
      <c r="F679" s="1" t="str">
        <f ca="1">IFERROR(__xludf.DUMMYFUNCTION("""COMPUTED_VALUE"""),"Bem Hortifruti")</f>
        <v>Bem Hortifruti</v>
      </c>
      <c r="G679" s="1" t="str">
        <f ca="1"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6">
        <f ca="1">IFERROR(__xludf.DUMMYFUNCTION("""COMPUTED_VALUE"""),45901)</f>
        <v>45901</v>
      </c>
      <c r="B680" s="7" t="str">
        <f ca="1">IFERROR(__xludf.DUMMYFUNCTION("""COMPUTED_VALUE"""),"25/08/25")</f>
        <v>25/08/25</v>
      </c>
      <c r="C680" s="1" t="str">
        <f ca="1">IFERROR(__xludf.DUMMYFUNCTION("""COMPUTED_VALUE"""),"Amazon")</f>
        <v>Amazon</v>
      </c>
      <c r="D680" s="2">
        <f ca="1">IFERROR(__xludf.DUMMYFUNCTION("""COMPUTED_VALUE"""),43.6)</f>
        <v>43.6</v>
      </c>
      <c r="E680" s="1" t="str">
        <f ca="1">IFERROR(__xludf.DUMMYFUNCTION("""COMPUTED_VALUE"""),"-")</f>
        <v>-</v>
      </c>
      <c r="F680" s="1" t="str">
        <f ca="1">IFERROR(__xludf.DUMMYFUNCTION("""COMPUTED_VALUE"""),"Amazon")</f>
        <v>Amazon</v>
      </c>
      <c r="G680" s="1" t="str">
        <f ca="1"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6">
        <f ca="1">IFERROR(__xludf.DUMMYFUNCTION("""COMPUTED_VALUE"""),45901)</f>
        <v>45901</v>
      </c>
      <c r="B681" s="7" t="str">
        <f ca="1">IFERROR(__xludf.DUMMYFUNCTION("""COMPUTED_VALUE"""),"25/08/25")</f>
        <v>25/08/25</v>
      </c>
      <c r="C681" s="1" t="str">
        <f ca="1">IFERROR(__xludf.DUMMYFUNCTION("""COMPUTED_VALUE"""),"Uber")</f>
        <v>Uber</v>
      </c>
      <c r="D681" s="2">
        <f ca="1">IFERROR(__xludf.DUMMYFUNCTION("""COMPUTED_VALUE"""),11.03)</f>
        <v>11.03</v>
      </c>
      <c r="E681" s="1" t="str">
        <f ca="1">IFERROR(__xludf.DUMMYFUNCTION("""COMPUTED_VALUE"""),"-")</f>
        <v>-</v>
      </c>
      <c r="F681" s="1" t="str">
        <f ca="1">IFERROR(__xludf.DUMMYFUNCTION("""COMPUTED_VALUE"""),"Uber")</f>
        <v>Uber</v>
      </c>
      <c r="G681" s="1" t="str">
        <f ca="1"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6">
        <f ca="1">IFERROR(__xludf.DUMMYFUNCTION("""COMPUTED_VALUE"""),45901)</f>
        <v>45901</v>
      </c>
      <c r="B682" s="7" t="str">
        <f ca="1">IFERROR(__xludf.DUMMYFUNCTION("""COMPUTED_VALUE"""),"26/08/25")</f>
        <v>26/08/25</v>
      </c>
      <c r="C682" s="1" t="str">
        <f ca="1">IFERROR(__xludf.DUMMYFUNCTION("""COMPUTED_VALUE"""),"Uber")</f>
        <v>Uber</v>
      </c>
      <c r="D682" s="2">
        <f ca="1">IFERROR(__xludf.DUMMYFUNCTION("""COMPUTED_VALUE"""),21.84)</f>
        <v>21.84</v>
      </c>
      <c r="E682" s="1" t="str">
        <f ca="1">IFERROR(__xludf.DUMMYFUNCTION("""COMPUTED_VALUE"""),"-")</f>
        <v>-</v>
      </c>
      <c r="F682" s="1" t="str">
        <f ca="1">IFERROR(__xludf.DUMMYFUNCTION("""COMPUTED_VALUE"""),"Uber")</f>
        <v>Uber</v>
      </c>
      <c r="G682" s="1" t="str">
        <f ca="1"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6">
        <f ca="1">IFERROR(__xludf.DUMMYFUNCTION("""COMPUTED_VALUE"""),45901)</f>
        <v>45901</v>
      </c>
      <c r="B683" s="7" t="str">
        <f ca="1">IFERROR(__xludf.DUMMYFUNCTION("""COMPUTED_VALUE"""),"26/08/25")</f>
        <v>26/08/25</v>
      </c>
      <c r="C683" s="1" t="str">
        <f ca="1">IFERROR(__xludf.DUMMYFUNCTION("""COMPUTED_VALUE"""),"Shopee")</f>
        <v>Shopee</v>
      </c>
      <c r="D683" s="2">
        <f ca="1">IFERROR(__xludf.DUMMYFUNCTION("""COMPUTED_VALUE"""),12.95)</f>
        <v>12.95</v>
      </c>
      <c r="E683" s="1" t="str">
        <f ca="1">IFERROR(__xludf.DUMMYFUNCTION("""COMPUTED_VALUE"""),"-")</f>
        <v>-</v>
      </c>
      <c r="F683" s="1" t="str">
        <f ca="1">IFERROR(__xludf.DUMMYFUNCTION("""COMPUTED_VALUE"""),"Shopee")</f>
        <v>Shopee</v>
      </c>
      <c r="G683" s="1" t="str">
        <f ca="1"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6">
        <f ca="1">IFERROR(__xludf.DUMMYFUNCTION("""COMPUTED_VALUE"""),45901)</f>
        <v>45901</v>
      </c>
      <c r="B684" s="7" t="str">
        <f ca="1">IFERROR(__xludf.DUMMYFUNCTION("""COMPUTED_VALUE"""),"26/08/25")</f>
        <v>26/08/25</v>
      </c>
      <c r="C684" s="1" t="str">
        <f ca="1">IFERROR(__xludf.DUMMYFUNCTION("""COMPUTED_VALUE"""),"Uber")</f>
        <v>Uber</v>
      </c>
      <c r="D684" s="2">
        <f ca="1">IFERROR(__xludf.DUMMYFUNCTION("""COMPUTED_VALUE"""),43.99)</f>
        <v>43.99</v>
      </c>
      <c r="E684" s="1" t="str">
        <f ca="1">IFERROR(__xludf.DUMMYFUNCTION("""COMPUTED_VALUE"""),"-")</f>
        <v>-</v>
      </c>
      <c r="F684" s="1" t="str">
        <f ca="1">IFERROR(__xludf.DUMMYFUNCTION("""COMPUTED_VALUE"""),"Uber")</f>
        <v>Uber</v>
      </c>
      <c r="G684" s="1" t="str">
        <f ca="1"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6">
        <f ca="1">IFERROR(__xludf.DUMMYFUNCTION("""COMPUTED_VALUE"""),45901)</f>
        <v>45901</v>
      </c>
      <c r="B685" s="7" t="str">
        <f ca="1">IFERROR(__xludf.DUMMYFUNCTION("""COMPUTED_VALUE"""),"27/08/25")</f>
        <v>27/08/25</v>
      </c>
      <c r="C685" s="1" t="str">
        <f ca="1">IFERROR(__xludf.DUMMYFUNCTION("""COMPUTED_VALUE"""),"Drogaria Ara Araujo")</f>
        <v>Drogaria Ara Araujo</v>
      </c>
      <c r="D685" s="2">
        <f ca="1">IFERROR(__xludf.DUMMYFUNCTION("""COMPUTED_VALUE"""),13.59)</f>
        <v>13.59</v>
      </c>
      <c r="E685" s="1" t="str">
        <f ca="1">IFERROR(__xludf.DUMMYFUNCTION("""COMPUTED_VALUE"""),"-")</f>
        <v>-</v>
      </c>
      <c r="F685" s="1" t="str">
        <f ca="1">IFERROR(__xludf.DUMMYFUNCTION("""COMPUTED_VALUE"""),"Drogaria Ara Araujo")</f>
        <v>Drogaria Ara Araujo</v>
      </c>
      <c r="G685" s="1" t="str">
        <f ca="1">IFERROR(__xludf.DUMMYFUNCTION("""COMPUTED_VALUE"""),"Farmácia")</f>
        <v>Farmácia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6">
        <f ca="1">IFERROR(__xludf.DUMMYFUNCTION("""COMPUTED_VALUE"""),45901)</f>
        <v>45901</v>
      </c>
      <c r="B686" s="7" t="str">
        <f ca="1">IFERROR(__xludf.DUMMYFUNCTION("""COMPUTED_VALUE"""),"27/08/25")</f>
        <v>27/08/25</v>
      </c>
      <c r="C686" s="1" t="str">
        <f ca="1">IFERROR(__xludf.DUMMYFUNCTION("""COMPUTED_VALUE"""),"Hakkopan")</f>
        <v>Hakkopan</v>
      </c>
      <c r="D686" s="2">
        <f ca="1">IFERROR(__xludf.DUMMYFUNCTION("""COMPUTED_VALUE"""),105)</f>
        <v>105</v>
      </c>
      <c r="E686" s="1" t="str">
        <f ca="1">IFERROR(__xludf.DUMMYFUNCTION("""COMPUTED_VALUE"""),"-")</f>
        <v>-</v>
      </c>
      <c r="F686" s="1" t="str">
        <f ca="1">IFERROR(__xludf.DUMMYFUNCTION("""COMPUTED_VALUE"""),"Hakkopan")</f>
        <v>Hakkopan</v>
      </c>
      <c r="G686" s="1" t="str">
        <f ca="1"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6">
        <f ca="1">IFERROR(__xludf.DUMMYFUNCTION("""COMPUTED_VALUE"""),45901)</f>
        <v>45901</v>
      </c>
      <c r="B687" s="7" t="str">
        <f ca="1">IFERROR(__xludf.DUMMYFUNCTION("""COMPUTED_VALUE"""),"27/08/25")</f>
        <v>27/08/25</v>
      </c>
      <c r="C687" s="1" t="str">
        <f ca="1">IFERROR(__xludf.DUMMYFUNCTION("""COMPUTED_VALUE"""),"Amazon")</f>
        <v>Amazon</v>
      </c>
      <c r="D687" s="2">
        <f ca="1">IFERROR(__xludf.DUMMYFUNCTION("""COMPUTED_VALUE"""),26.5)</f>
        <v>26.5</v>
      </c>
      <c r="E687" s="1" t="str">
        <f ca="1">IFERROR(__xludf.DUMMYFUNCTION("""COMPUTED_VALUE"""),"-")</f>
        <v>-</v>
      </c>
      <c r="F687" s="1" t="str">
        <f ca="1">IFERROR(__xludf.DUMMYFUNCTION("""COMPUTED_VALUE"""),"Amazon")</f>
        <v>Amazon</v>
      </c>
      <c r="G687" s="1" t="str">
        <f ca="1"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6">
        <f ca="1">IFERROR(__xludf.DUMMYFUNCTION("""COMPUTED_VALUE"""),45901)</f>
        <v>45901</v>
      </c>
      <c r="B688" s="7" t="str">
        <f ca="1">IFERROR(__xludf.DUMMYFUNCTION("""COMPUTED_VALUE"""),"27/08/25")</f>
        <v>27/08/25</v>
      </c>
      <c r="C688" s="1" t="str">
        <f ca="1">IFERROR(__xludf.DUMMYFUNCTION("""COMPUTED_VALUE"""),"Uber")</f>
        <v>Uber</v>
      </c>
      <c r="D688" s="2">
        <f ca="1">IFERROR(__xludf.DUMMYFUNCTION("""COMPUTED_VALUE"""),96.93)</f>
        <v>96.93</v>
      </c>
      <c r="E688" s="1" t="str">
        <f ca="1">IFERROR(__xludf.DUMMYFUNCTION("""COMPUTED_VALUE"""),"-")</f>
        <v>-</v>
      </c>
      <c r="F688" s="1" t="str">
        <f ca="1">IFERROR(__xludf.DUMMYFUNCTION("""COMPUTED_VALUE"""),"Uber")</f>
        <v>Uber</v>
      </c>
      <c r="G688" s="1" t="str">
        <f ca="1"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6">
        <f ca="1">IFERROR(__xludf.DUMMYFUNCTION("""COMPUTED_VALUE"""),45901)</f>
        <v>45901</v>
      </c>
      <c r="B689" s="7" t="str">
        <f ca="1">IFERROR(__xludf.DUMMYFUNCTION("""COMPUTED_VALUE"""),"28/08/25")</f>
        <v>28/08/25</v>
      </c>
      <c r="C689" s="1" t="str">
        <f ca="1">IFERROR(__xludf.DUMMYFUNCTION("""COMPUTED_VALUE"""),"Uber")</f>
        <v>Uber</v>
      </c>
      <c r="D689" s="2">
        <f ca="1">IFERROR(__xludf.DUMMYFUNCTION("""COMPUTED_VALUE"""),92.91)</f>
        <v>92.91</v>
      </c>
      <c r="E689" s="1" t="str">
        <f ca="1">IFERROR(__xludf.DUMMYFUNCTION("""COMPUTED_VALUE"""),"-")</f>
        <v>-</v>
      </c>
      <c r="F689" s="1" t="str">
        <f ca="1">IFERROR(__xludf.DUMMYFUNCTION("""COMPUTED_VALUE"""),"Uber")</f>
        <v>Uber</v>
      </c>
      <c r="G689" s="1" t="str">
        <f ca="1"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6">
        <f ca="1">IFERROR(__xludf.DUMMYFUNCTION("""COMPUTED_VALUE"""),45901)</f>
        <v>45901</v>
      </c>
      <c r="B690" s="7" t="str">
        <f ca="1">IFERROR(__xludf.DUMMYFUNCTION("""COMPUTED_VALUE"""),"28/08/25")</f>
        <v>28/08/25</v>
      </c>
      <c r="C690" s="1" t="str">
        <f ca="1">IFERROR(__xludf.DUMMYFUNCTION("""COMPUTED_VALUE"""),"Uber")</f>
        <v>Uber</v>
      </c>
      <c r="D690" s="2">
        <f ca="1">IFERROR(__xludf.DUMMYFUNCTION("""COMPUTED_VALUE"""),8.53)</f>
        <v>8.5299999999999994</v>
      </c>
      <c r="E690" s="1" t="str">
        <f ca="1">IFERROR(__xludf.DUMMYFUNCTION("""COMPUTED_VALUE"""),"-")</f>
        <v>-</v>
      </c>
      <c r="F690" s="1" t="str">
        <f ca="1">IFERROR(__xludf.DUMMYFUNCTION("""COMPUTED_VALUE"""),"Uber")</f>
        <v>Uber</v>
      </c>
      <c r="G690" s="1" t="str">
        <f ca="1"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6">
        <f ca="1">IFERROR(__xludf.DUMMYFUNCTION("""COMPUTED_VALUE"""),45901)</f>
        <v>45901</v>
      </c>
      <c r="B691" s="7" t="str">
        <f ca="1">IFERROR(__xludf.DUMMYFUNCTION("""COMPUTED_VALUE"""),"28/08/25")</f>
        <v>28/08/25</v>
      </c>
      <c r="C691" s="1" t="str">
        <f ca="1">IFERROR(__xludf.DUMMYFUNCTION("""COMPUTED_VALUE"""),"Amazon")</f>
        <v>Amazon</v>
      </c>
      <c r="D691" s="2">
        <f ca="1">IFERROR(__xludf.DUMMYFUNCTION("""COMPUTED_VALUE"""),35.24)</f>
        <v>35.24</v>
      </c>
      <c r="E691" s="1" t="str">
        <f ca="1">IFERROR(__xludf.DUMMYFUNCTION("""COMPUTED_VALUE"""),"-")</f>
        <v>-</v>
      </c>
      <c r="F691" s="1" t="str">
        <f ca="1">IFERROR(__xludf.DUMMYFUNCTION("""COMPUTED_VALUE"""),"Amazon")</f>
        <v>Amazon</v>
      </c>
      <c r="G691" s="1" t="str">
        <f ca="1"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6">
        <f ca="1">IFERROR(__xludf.DUMMYFUNCTION("""COMPUTED_VALUE"""),45901)</f>
        <v>45901</v>
      </c>
      <c r="B692" s="7" t="str">
        <f ca="1">IFERROR(__xludf.DUMMYFUNCTION("""COMPUTED_VALUE"""),"29/08/25")</f>
        <v>29/08/25</v>
      </c>
      <c r="C692" s="1" t="str">
        <f ca="1">IFERROR(__xludf.DUMMYFUNCTION("""COMPUTED_VALUE"""),"Amazonmktplc Gffcompan")</f>
        <v>Amazonmktplc Gffcompan</v>
      </c>
      <c r="D692" s="2">
        <f ca="1">IFERROR(__xludf.DUMMYFUNCTION("""COMPUTED_VALUE"""),79.8)</f>
        <v>79.8</v>
      </c>
      <c r="E692" s="1" t="str">
        <f ca="1">IFERROR(__xludf.DUMMYFUNCTION("""COMPUTED_VALUE"""),"-")</f>
        <v>-</v>
      </c>
      <c r="F692" s="1" t="str">
        <f ca="1">IFERROR(__xludf.DUMMYFUNCTION("""COMPUTED_VALUE"""),"Amazonmktplc")</f>
        <v>Amazonmktplc</v>
      </c>
      <c r="G692" s="1" t="str">
        <f ca="1"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6">
        <f ca="1">IFERROR(__xludf.DUMMYFUNCTION("""COMPUTED_VALUE"""),45901)</f>
        <v>45901</v>
      </c>
      <c r="B693" s="7" t="str">
        <f ca="1">IFERROR(__xludf.DUMMYFUNCTION("""COMPUTED_VALUE"""),"29/08/25")</f>
        <v>29/08/25</v>
      </c>
      <c r="C693" s="1" t="str">
        <f ca="1">IFERROR(__xludf.DUMMYFUNCTION("""COMPUTED_VALUE"""),"Mercado Livre (1/4)")</f>
        <v>Mercado Livre (1/4)</v>
      </c>
      <c r="D693" s="2">
        <f ca="1">IFERROR(__xludf.DUMMYFUNCTION("""COMPUTED_VALUE"""),4.89)</f>
        <v>4.8899999999999997</v>
      </c>
      <c r="E693" s="1" t="str">
        <f ca="1">IFERROR(__xludf.DUMMYFUNCTION("""COMPUTED_VALUE"""),"-")</f>
        <v>-</v>
      </c>
      <c r="F693" s="1" t="str">
        <f ca="1">IFERROR(__xludf.DUMMYFUNCTION("""COMPUTED_VALUE"""),"Mercado Livre")</f>
        <v>Mercado Livre</v>
      </c>
      <c r="G693" s="1" t="str">
        <f ca="1"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6">
        <f ca="1">IFERROR(__xludf.DUMMYFUNCTION("""COMPUTED_VALUE"""),45901)</f>
        <v>45901</v>
      </c>
      <c r="B694" s="7" t="str">
        <f ca="1">IFERROR(__xludf.DUMMYFUNCTION("""COMPUTED_VALUE"""),"29/08/25")</f>
        <v>29/08/25</v>
      </c>
      <c r="C694" s="1" t="str">
        <f ca="1">IFERROR(__xludf.DUMMYFUNCTION("""COMPUTED_VALUE"""),"Uber")</f>
        <v>Uber</v>
      </c>
      <c r="D694" s="2">
        <f ca="1">IFERROR(__xludf.DUMMYFUNCTION("""COMPUTED_VALUE"""),14.17)</f>
        <v>14.17</v>
      </c>
      <c r="E694" s="1" t="str">
        <f ca="1">IFERROR(__xludf.DUMMYFUNCTION("""COMPUTED_VALUE"""),"-")</f>
        <v>-</v>
      </c>
      <c r="F694" s="1" t="str">
        <f ca="1">IFERROR(__xludf.DUMMYFUNCTION("""COMPUTED_VALUE"""),"Uber")</f>
        <v>Uber</v>
      </c>
      <c r="G694" s="1" t="str">
        <f ca="1"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6">
        <f ca="1">IFERROR(__xludf.DUMMYFUNCTION("""COMPUTED_VALUE"""),45901)</f>
        <v>45901</v>
      </c>
      <c r="B695" s="7" t="str">
        <f ca="1">IFERROR(__xludf.DUMMYFUNCTION("""COMPUTED_VALUE"""),"29/08/25")</f>
        <v>29/08/25</v>
      </c>
      <c r="C695" s="1" t="str">
        <f ca="1">IFERROR(__xludf.DUMMYFUNCTION("""COMPUTED_VALUE"""),"Uber")</f>
        <v>Uber</v>
      </c>
      <c r="D695" s="2">
        <f ca="1">IFERROR(__xludf.DUMMYFUNCTION("""COMPUTED_VALUE"""),14.2)</f>
        <v>14.2</v>
      </c>
      <c r="E695" s="1" t="str">
        <f ca="1">IFERROR(__xludf.DUMMYFUNCTION("""COMPUTED_VALUE"""),"-")</f>
        <v>-</v>
      </c>
      <c r="F695" s="1" t="str">
        <f ca="1">IFERROR(__xludf.DUMMYFUNCTION("""COMPUTED_VALUE"""),"Uber")</f>
        <v>Uber</v>
      </c>
      <c r="G695" s="1" t="str">
        <f ca="1"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6">
        <f ca="1">IFERROR(__xludf.DUMMYFUNCTION("""COMPUTED_VALUE"""),45901)</f>
        <v>45901</v>
      </c>
      <c r="B696" s="7" t="str">
        <f ca="1">IFERROR(__xludf.DUMMYFUNCTION("""COMPUTED_VALUE"""),"29/08/25")</f>
        <v>29/08/25</v>
      </c>
      <c r="C696" s="1" t="str">
        <f ca="1">IFERROR(__xludf.DUMMYFUNCTION("""COMPUTED_VALUE"""),"Joao Das Frutas")</f>
        <v>Joao Das Frutas</v>
      </c>
      <c r="D696" s="2">
        <f ca="1">IFERROR(__xludf.DUMMYFUNCTION("""COMPUTED_VALUE"""),20)</f>
        <v>20</v>
      </c>
      <c r="E696" s="1" t="str">
        <f ca="1">IFERROR(__xludf.DUMMYFUNCTION("""COMPUTED_VALUE"""),"-")</f>
        <v>-</v>
      </c>
      <c r="F696" s="1" t="str">
        <f ca="1">IFERROR(__xludf.DUMMYFUNCTION("""COMPUTED_VALUE"""),"Joao Das Frutas")</f>
        <v>Joao Das Frutas</v>
      </c>
      <c r="G696" s="1" t="str">
        <f ca="1"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6">
        <f ca="1">IFERROR(__xludf.DUMMYFUNCTION("""COMPUTED_VALUE"""),45901)</f>
        <v>45901</v>
      </c>
      <c r="B697" s="7" t="str">
        <f ca="1">IFERROR(__xludf.DUMMYFUNCTION("""COMPUTED_VALUE"""),"30/08/25")</f>
        <v>30/08/25</v>
      </c>
      <c r="C697" s="1" t="str">
        <f ca="1">IFERROR(__xludf.DUMMYFUNCTION("""COMPUTED_VALUE"""),"Marcus Vinicius")</f>
        <v>Marcus Vinicius</v>
      </c>
      <c r="D697" s="2">
        <f ca="1">IFERROR(__xludf.DUMMYFUNCTION("""COMPUTED_VALUE"""),164.9)</f>
        <v>164.9</v>
      </c>
      <c r="E697" s="1" t="str">
        <f ca="1">IFERROR(__xludf.DUMMYFUNCTION("""COMPUTED_VALUE"""),"-")</f>
        <v>-</v>
      </c>
      <c r="F697" s="1" t="str">
        <f ca="1">IFERROR(__xludf.DUMMYFUNCTION("""COMPUTED_VALUE"""),"Marcus Vinicius")</f>
        <v>Marcus Vinicius</v>
      </c>
      <c r="G697" s="1" t="str">
        <f ca="1"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6">
        <f ca="1">IFERROR(__xludf.DUMMYFUNCTION("""COMPUTED_VALUE"""),45901)</f>
        <v>45901</v>
      </c>
      <c r="B698" s="7" t="str">
        <f ca="1">IFERROR(__xludf.DUMMYFUNCTION("""COMPUTED_VALUE"""),"30/08/25")</f>
        <v>30/08/25</v>
      </c>
      <c r="C698" s="1" t="str">
        <f ca="1">IFERROR(__xludf.DUMMYFUNCTION("""COMPUTED_VALUE"""),"Empório Fazenda Velh")</f>
        <v>Empório Fazenda Velh</v>
      </c>
      <c r="D698" s="2">
        <f ca="1">IFERROR(__xludf.DUMMYFUNCTION("""COMPUTED_VALUE"""),64.5)</f>
        <v>64.5</v>
      </c>
      <c r="E698" s="1" t="str">
        <f ca="1">IFERROR(__xludf.DUMMYFUNCTION("""COMPUTED_VALUE"""),"-")</f>
        <v>-</v>
      </c>
      <c r="F698" s="1" t="str">
        <f ca="1">IFERROR(__xludf.DUMMYFUNCTION("""COMPUTED_VALUE"""),"Empório Fazenda Velh")</f>
        <v>Empório Fazenda Velh</v>
      </c>
      <c r="G698" s="1" t="str">
        <f ca="1"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6">
        <f ca="1">IFERROR(__xludf.DUMMYFUNCTION("""COMPUTED_VALUE"""),45901)</f>
        <v>45901</v>
      </c>
      <c r="B699" s="7" t="str">
        <f ca="1">IFERROR(__xludf.DUMMYFUNCTION("""COMPUTED_VALUE"""),"30/08/25")</f>
        <v>30/08/25</v>
      </c>
      <c r="C699" s="1" t="str">
        <f ca="1">IFERROR(__xludf.DUMMYFUNCTION("""COMPUTED_VALUE"""),"Posto Volkssete Iii")</f>
        <v>Posto Volkssete Iii</v>
      </c>
      <c r="D699" s="2">
        <f ca="1">IFERROR(__xludf.DUMMYFUNCTION("""COMPUTED_VALUE"""),217.17)</f>
        <v>217.17</v>
      </c>
      <c r="E699" s="1" t="str">
        <f ca="1">IFERROR(__xludf.DUMMYFUNCTION("""COMPUTED_VALUE"""),"-")</f>
        <v>-</v>
      </c>
      <c r="F699" s="1" t="str">
        <f ca="1">IFERROR(__xludf.DUMMYFUNCTION("""COMPUTED_VALUE"""),"Posto Volkssete Iii")</f>
        <v>Posto Volkssete Iii</v>
      </c>
      <c r="G699" s="1" t="str">
        <f ca="1"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6">
        <f ca="1">IFERROR(__xludf.DUMMYFUNCTION("""COMPUTED_VALUE"""),45901)</f>
        <v>45901</v>
      </c>
      <c r="B700" s="7" t="str">
        <f ca="1">IFERROR(__xludf.DUMMYFUNCTION("""COMPUTED_VALUE"""),"30/08/25")</f>
        <v>30/08/25</v>
      </c>
      <c r="C700" s="1" t="str">
        <f ca="1">IFERROR(__xludf.DUMMYFUNCTION("""COMPUTED_VALUE"""),"Concessionaria Da Rodo")</f>
        <v>Concessionaria Da Rodo</v>
      </c>
      <c r="D700" s="2">
        <f ca="1">IFERROR(__xludf.DUMMYFUNCTION("""COMPUTED_VALUE"""),15.5)</f>
        <v>15.5</v>
      </c>
      <c r="E700" s="1" t="str">
        <f ca="1">IFERROR(__xludf.DUMMYFUNCTION("""COMPUTED_VALUE"""),"-")</f>
        <v>-</v>
      </c>
      <c r="F700" s="1" t="str">
        <f ca="1">IFERROR(__xludf.DUMMYFUNCTION("""COMPUTED_VALUE"""),"Concessionaria Da Rodo")</f>
        <v>Concessionaria Da Rodo</v>
      </c>
      <c r="G700" s="1" t="str">
        <f ca="1"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6">
        <f ca="1">IFERROR(__xludf.DUMMYFUNCTION("""COMPUTED_VALUE"""),45901)</f>
        <v>45901</v>
      </c>
      <c r="B701" s="7" t="str">
        <f ca="1">IFERROR(__xludf.DUMMYFUNCTION("""COMPUTED_VALUE"""),"30/08/25")</f>
        <v>30/08/25</v>
      </c>
      <c r="C701" s="1" t="str">
        <f ca="1">IFERROR(__xludf.DUMMYFUNCTION("""COMPUTED_VALUE"""),"Track&amp;field")</f>
        <v>Track&amp;field</v>
      </c>
      <c r="D701" s="2">
        <f ca="1">IFERROR(__xludf.DUMMYFUNCTION("""COMPUTED_VALUE"""),20)</f>
        <v>20</v>
      </c>
      <c r="E701" s="1" t="str">
        <f ca="1">IFERROR(__xludf.DUMMYFUNCTION("""COMPUTED_VALUE"""),"-")</f>
        <v>-</v>
      </c>
      <c r="F701" s="1" t="str">
        <f ca="1">IFERROR(__xludf.DUMMYFUNCTION("""COMPUTED_VALUE"""),"Track&amp;field")</f>
        <v>Track&amp;field</v>
      </c>
      <c r="G701" s="1" t="str">
        <f ca="1"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6">
        <f ca="1">IFERROR(__xludf.DUMMYFUNCTION("""COMPUTED_VALUE"""),45901)</f>
        <v>45901</v>
      </c>
      <c r="B702" s="7" t="str">
        <f ca="1">IFERROR(__xludf.DUMMYFUNCTION("""COMPUTED_VALUE"""),"31/08/25")</f>
        <v>31/08/25</v>
      </c>
      <c r="C702" s="1" t="str">
        <f ca="1">IFERROR(__xludf.DUMMYFUNCTION("""COMPUTED_VALUE"""),"Bonissima Mangabeira")</f>
        <v>Bonissima Mangabeira</v>
      </c>
      <c r="D702" s="2">
        <f ca="1">IFERROR(__xludf.DUMMYFUNCTION("""COMPUTED_VALUE"""),12.04)</f>
        <v>12.04</v>
      </c>
      <c r="E702" s="1" t="str">
        <f ca="1">IFERROR(__xludf.DUMMYFUNCTION("""COMPUTED_VALUE"""),"-")</f>
        <v>-</v>
      </c>
      <c r="F702" s="1" t="str">
        <f ca="1">IFERROR(__xludf.DUMMYFUNCTION("""COMPUTED_VALUE"""),"Bonissima Mangabeira")</f>
        <v>Bonissima Mangabeira</v>
      </c>
      <c r="G702" s="1" t="str">
        <f ca="1"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6">
        <f ca="1">IFERROR(__xludf.DUMMYFUNCTION("""COMPUTED_VALUE"""),45901)</f>
        <v>45901</v>
      </c>
      <c r="B703" s="7" t="str">
        <f ca="1">IFERROR(__xludf.DUMMYFUNCTION("""COMPUTED_VALUE"""),"31/08/25")</f>
        <v>31/08/25</v>
      </c>
      <c r="C703" s="1" t="str">
        <f ca="1">IFERROR(__xludf.DUMMYFUNCTION("""COMPUTED_VALUE"""),"Drogaria Araujo")</f>
        <v>Drogaria Araujo</v>
      </c>
      <c r="D703" s="2">
        <f ca="1">IFERROR(__xludf.DUMMYFUNCTION("""COMPUTED_VALUE"""),23.74)</f>
        <v>23.74</v>
      </c>
      <c r="E703" s="1" t="str">
        <f ca="1">IFERROR(__xludf.DUMMYFUNCTION("""COMPUTED_VALUE"""),"-")</f>
        <v>-</v>
      </c>
      <c r="F703" s="1" t="str">
        <f ca="1">IFERROR(__xludf.DUMMYFUNCTION("""COMPUTED_VALUE"""),"Drogaria Araujo")</f>
        <v>Drogaria Araujo</v>
      </c>
      <c r="G703" s="1" t="str">
        <f ca="1">IFERROR(__xludf.DUMMYFUNCTION("""COMPUTED_VALUE"""),"Farmácia")</f>
        <v>Farmácia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6">
        <f ca="1">IFERROR(__xludf.DUMMYFUNCTION("""COMPUTED_VALUE"""),45901)</f>
        <v>45901</v>
      </c>
      <c r="B704" s="7" t="str">
        <f ca="1">IFERROR(__xludf.DUMMYFUNCTION("""COMPUTED_VALUE"""),"31/08/25")</f>
        <v>31/08/25</v>
      </c>
      <c r="C704" s="1" t="str">
        <f ca="1">IFERROR(__xludf.DUMMYFUNCTION("""COMPUTED_VALUE"""),"Bem Hortifruti")</f>
        <v>Bem Hortifruti</v>
      </c>
      <c r="D704" s="2">
        <f ca="1">IFERROR(__xludf.DUMMYFUNCTION("""COMPUTED_VALUE"""),14.99)</f>
        <v>14.99</v>
      </c>
      <c r="E704" s="1" t="str">
        <f ca="1">IFERROR(__xludf.DUMMYFUNCTION("""COMPUTED_VALUE"""),"-")</f>
        <v>-</v>
      </c>
      <c r="F704" s="1" t="str">
        <f ca="1">IFERROR(__xludf.DUMMYFUNCTION("""COMPUTED_VALUE"""),"Bem Hortifruti")</f>
        <v>Bem Hortifruti</v>
      </c>
      <c r="G704" s="1" t="str">
        <f ca="1"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6">
        <f ca="1">IFERROR(__xludf.DUMMYFUNCTION("""COMPUTED_VALUE"""),45901)</f>
        <v>45901</v>
      </c>
      <c r="B705" s="7" t="str">
        <f ca="1">IFERROR(__xludf.DUMMYFUNCTION("""COMPUTED_VALUE"""),"31/08/25")</f>
        <v>31/08/25</v>
      </c>
      <c r="C705" s="1" t="str">
        <f ca="1">IFERROR(__xludf.DUMMYFUNCTION("""COMPUTED_VALUE"""),"Petlove")</f>
        <v>Petlove</v>
      </c>
      <c r="D705" s="2">
        <f ca="1">IFERROR(__xludf.DUMMYFUNCTION("""COMPUTED_VALUE"""),41.93)</f>
        <v>41.93</v>
      </c>
      <c r="E705" s="1" t="str">
        <f ca="1">IFERROR(__xludf.DUMMYFUNCTION("""COMPUTED_VALUE"""),"-")</f>
        <v>-</v>
      </c>
      <c r="F705" s="1" t="str">
        <f ca="1">IFERROR(__xludf.DUMMYFUNCTION("""COMPUTED_VALUE"""),"Petlove")</f>
        <v>Petlove</v>
      </c>
      <c r="G705" s="1" t="str">
        <f ca="1"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6">
        <f ca="1">IFERROR(__xludf.DUMMYFUNCTION("""COMPUTED_VALUE"""),45901)</f>
        <v>45901</v>
      </c>
      <c r="B706" s="7">
        <f ca="1">IFERROR(__xludf.DUMMYFUNCTION("""COMPUTED_VALUE"""),45666)</f>
        <v>45666</v>
      </c>
      <c r="C706" s="1" t="str">
        <f ca="1">IFERROR(__xludf.DUMMYFUNCTION("""COMPUTED_VALUE"""),"Drogaria Ara Araujo")</f>
        <v>Drogaria Ara Araujo</v>
      </c>
      <c r="D706" s="2">
        <f ca="1">IFERROR(__xludf.DUMMYFUNCTION("""COMPUTED_VALUE"""),19.99)</f>
        <v>19.989999999999998</v>
      </c>
      <c r="E706" s="1" t="str">
        <f ca="1">IFERROR(__xludf.DUMMYFUNCTION("""COMPUTED_VALUE"""),"-")</f>
        <v>-</v>
      </c>
      <c r="F706" s="1" t="str">
        <f ca="1">IFERROR(__xludf.DUMMYFUNCTION("""COMPUTED_VALUE"""),"Drogaria Ara Araujo")</f>
        <v>Drogaria Ara Araujo</v>
      </c>
      <c r="G706" s="1" t="str">
        <f ca="1">IFERROR(__xludf.DUMMYFUNCTION("""COMPUTED_VALUE"""),"Farmácia")</f>
        <v>Farmácia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6">
        <f ca="1">IFERROR(__xludf.DUMMYFUNCTION("""COMPUTED_VALUE"""),45901)</f>
        <v>45901</v>
      </c>
      <c r="B707" s="7">
        <f ca="1">IFERROR(__xludf.DUMMYFUNCTION("""COMPUTED_VALUE"""),45666)</f>
        <v>45666</v>
      </c>
      <c r="C707" s="1" t="str">
        <f ca="1">IFERROR(__xludf.DUMMYFUNCTION("""COMPUTED_VALUE"""),"Uber")</f>
        <v>Uber</v>
      </c>
      <c r="D707" s="2">
        <f ca="1">IFERROR(__xludf.DUMMYFUNCTION("""COMPUTED_VALUE"""),12.93)</f>
        <v>12.93</v>
      </c>
      <c r="E707" s="1" t="str">
        <f ca="1">IFERROR(__xludf.DUMMYFUNCTION("""COMPUTED_VALUE"""),"-")</f>
        <v>-</v>
      </c>
      <c r="F707" s="1" t="str">
        <f ca="1">IFERROR(__xludf.DUMMYFUNCTION("""COMPUTED_VALUE"""),"Uber")</f>
        <v>Uber</v>
      </c>
      <c r="G707" s="1" t="str">
        <f ca="1"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6">
        <f ca="1">IFERROR(__xludf.DUMMYFUNCTION("""COMPUTED_VALUE"""),45901)</f>
        <v>45901</v>
      </c>
      <c r="B708" s="7">
        <f ca="1">IFERROR(__xludf.DUMMYFUNCTION("""COMPUTED_VALUE"""),45666)</f>
        <v>45666</v>
      </c>
      <c r="C708" s="1">
        <f ca="1">IFERROR(__xludf.DUMMYFUNCTION("""COMPUTED_VALUE"""),99)</f>
        <v>99</v>
      </c>
      <c r="D708" s="2">
        <f ca="1">IFERROR(__xludf.DUMMYFUNCTION("""COMPUTED_VALUE"""),4)</f>
        <v>4</v>
      </c>
      <c r="E708" s="1" t="str">
        <f ca="1">IFERROR(__xludf.DUMMYFUNCTION("""COMPUTED_VALUE"""),"-")</f>
        <v>-</v>
      </c>
      <c r="F708" s="1" t="str">
        <f ca="1">IFERROR(__xludf.DUMMYFUNCTION("""COMPUTED_VALUE"""),"99")</f>
        <v>99</v>
      </c>
      <c r="G708" s="1" t="str">
        <f ca="1"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6">
        <f ca="1">IFERROR(__xludf.DUMMYFUNCTION("""COMPUTED_VALUE"""),45901)</f>
        <v>45901</v>
      </c>
      <c r="B709" s="7">
        <f ca="1">IFERROR(__xludf.DUMMYFUNCTION("""COMPUTED_VALUE"""),45697)</f>
        <v>45697</v>
      </c>
      <c r="C709" s="1" t="str">
        <f ca="1">IFERROR(__xludf.DUMMYFUNCTION("""COMPUTED_VALUE"""),"Mercado Livre")</f>
        <v>Mercado Livre</v>
      </c>
      <c r="D709" s="2">
        <f ca="1">IFERROR(__xludf.DUMMYFUNCTION("""COMPUTED_VALUE"""),39.52)</f>
        <v>39.520000000000003</v>
      </c>
      <c r="E709" s="1" t="str">
        <f ca="1">IFERROR(__xludf.DUMMYFUNCTION("""COMPUTED_VALUE"""),"-")</f>
        <v>-</v>
      </c>
      <c r="F709" s="1" t="str">
        <f ca="1">IFERROR(__xludf.DUMMYFUNCTION("""COMPUTED_VALUE"""),"Mercado Livre")</f>
        <v>Mercado Livre</v>
      </c>
      <c r="G709" s="1" t="str">
        <f ca="1"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6">
        <f ca="1">IFERROR(__xludf.DUMMYFUNCTION("""COMPUTED_VALUE"""),45901)</f>
        <v>45901</v>
      </c>
      <c r="B710" s="7">
        <f ca="1">IFERROR(__xludf.DUMMYFUNCTION("""COMPUTED_VALUE"""),45697)</f>
        <v>45697</v>
      </c>
      <c r="C710" s="1" t="str">
        <f ca="1">IFERROR(__xludf.DUMMYFUNCTION("""COMPUTED_VALUE"""),"Shopee")</f>
        <v>Shopee</v>
      </c>
      <c r="D710" s="2">
        <f ca="1">IFERROR(__xludf.DUMMYFUNCTION("""COMPUTED_VALUE"""),14.99)</f>
        <v>14.99</v>
      </c>
      <c r="E710" s="1" t="str">
        <f ca="1">IFERROR(__xludf.DUMMYFUNCTION("""COMPUTED_VALUE"""),"-")</f>
        <v>-</v>
      </c>
      <c r="F710" s="1" t="str">
        <f ca="1">IFERROR(__xludf.DUMMYFUNCTION("""COMPUTED_VALUE"""),"Shopee")</f>
        <v>Shopee</v>
      </c>
      <c r="G710" s="1" t="str">
        <f ca="1"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6">
        <f ca="1">IFERROR(__xludf.DUMMYFUNCTION("""COMPUTED_VALUE"""),45931)</f>
        <v>45931</v>
      </c>
      <c r="B711" s="1" t="str">
        <f ca="1">IFERROR(__xludf.DUMMYFUNCTION("""COMPUTED_VALUE"""),"-")</f>
        <v>-</v>
      </c>
      <c r="C711" s="1" t="str">
        <f ca="1">IFERROR(__xludf.DUMMYFUNCTION("""COMPUTED_VALUE"""),"Desconto Na Parcela 2 De 2 Dma Distribuidora Sa")</f>
        <v>Desconto Na Parcela 2 De 2 Dma Distribuidora Sa</v>
      </c>
      <c r="D711" s="2">
        <f ca="1">IFERROR(__xludf.DUMMYFUNCTION("""COMPUTED_VALUE"""),-0.09)</f>
        <v>-0.09</v>
      </c>
      <c r="E711" s="1" t="str">
        <f ca="1">IFERROR(__xludf.DUMMYFUNCTION("""COMPUTED_VALUE"""),"-")</f>
        <v>-</v>
      </c>
      <c r="F711" s="1" t="str">
        <f ca="1">IFERROR(__xludf.DUMMYFUNCTION("""COMPUTED_VALUE"""),"Desconto Na Parcela 2 De 2 Dma Distribuidora Sa")</f>
        <v>Desconto Na Parcela 2 De 2 Dma Distribuidora Sa</v>
      </c>
      <c r="G711" s="1" t="str">
        <f ca="1">IFERROR(__xludf.DUMMYFUNCTION("""COMPUTED_VALUE"""),"-")</f>
        <v>-</v>
      </c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6">
        <f ca="1">IFERROR(__xludf.DUMMYFUNCTION("""COMPUTED_VALUE"""),45931)</f>
        <v>45931</v>
      </c>
      <c r="B712" s="1" t="str">
        <f ca="1">IFERROR(__xludf.DUMMYFUNCTION("""COMPUTED_VALUE"""),"-")</f>
        <v>-</v>
      </c>
      <c r="C712" s="1" t="str">
        <f ca="1">IFERROR(__xludf.DUMMYFUNCTION("""COMPUTED_VALUE"""),"Cancelamento - Amazon")</f>
        <v>Cancelamento - Amazon</v>
      </c>
      <c r="D712" s="2">
        <f ca="1">IFERROR(__xludf.DUMMYFUNCTION("""COMPUTED_VALUE"""),-13.72)</f>
        <v>-13.72</v>
      </c>
      <c r="E712" s="1" t="str">
        <f ca="1">IFERROR(__xludf.DUMMYFUNCTION("""COMPUTED_VALUE"""),"-")</f>
        <v>-</v>
      </c>
      <c r="F712" s="1" t="str">
        <f ca="1">IFERROR(__xludf.DUMMYFUNCTION("""COMPUTED_VALUE"""),"Cancelamento - Amazon")</f>
        <v>Cancelamento - Amazon</v>
      </c>
      <c r="G712" s="1" t="str">
        <f ca="1">IFERROR(__xludf.DUMMYFUNCTION("""COMPUTED_VALUE"""),"-")</f>
        <v>-</v>
      </c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6">
        <f ca="1">IFERROR(__xludf.DUMMYFUNCTION("""COMPUTED_VALUE"""),45931)</f>
        <v>45931</v>
      </c>
      <c r="B713" s="1" t="str">
        <f ca="1">IFERROR(__xludf.DUMMYFUNCTION("""COMPUTED_VALUE"""),"-")</f>
        <v>-</v>
      </c>
      <c r="C713" s="1" t="str">
        <f ca="1">IFERROR(__xludf.DUMMYFUNCTION("""COMPUTED_VALUE"""),"Desconto Na Parcela 2 De 2 Super Nosso")</f>
        <v>Desconto Na Parcela 2 De 2 Super Nosso</v>
      </c>
      <c r="D713" s="2">
        <f ca="1">IFERROR(__xludf.DUMMYFUNCTION("""COMPUTED_VALUE"""),-0.79)</f>
        <v>-0.79</v>
      </c>
      <c r="E713" s="1" t="str">
        <f ca="1">IFERROR(__xludf.DUMMYFUNCTION("""COMPUTED_VALUE"""),"-")</f>
        <v>-</v>
      </c>
      <c r="F713" s="1" t="str">
        <f ca="1">IFERROR(__xludf.DUMMYFUNCTION("""COMPUTED_VALUE"""),"Desconto Na Parcela 2 De 2 Super Nosso")</f>
        <v>Desconto Na Parcela 2 De 2 Super Nosso</v>
      </c>
      <c r="G713" s="1" t="str">
        <f ca="1">IFERROR(__xludf.DUMMYFUNCTION("""COMPUTED_VALUE"""),"-")</f>
        <v>-</v>
      </c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6">
        <f ca="1">IFERROR(__xludf.DUMMYFUNCTION("""COMPUTED_VALUE"""),45931)</f>
        <v>45931</v>
      </c>
      <c r="B714" s="1" t="str">
        <f ca="1">IFERROR(__xludf.DUMMYFUNCTION("""COMPUTED_VALUE"""),"-")</f>
        <v>-</v>
      </c>
      <c r="C714" s="1" t="str">
        <f ca="1">IFERROR(__xludf.DUMMYFUNCTION("""COMPUTED_VALUE"""),"Desconto Na Parcela 4 De 4 Mercado Livre")</f>
        <v>Desconto Na Parcela 4 De 4 Mercado Livre</v>
      </c>
      <c r="D714" s="2">
        <f ca="1">IFERROR(__xludf.DUMMYFUNCTION("""COMPUTED_VALUE"""),-0.04)</f>
        <v>-0.04</v>
      </c>
      <c r="E714" s="1" t="str">
        <f ca="1">IFERROR(__xludf.DUMMYFUNCTION("""COMPUTED_VALUE"""),"-")</f>
        <v>-</v>
      </c>
      <c r="F714" s="1" t="str">
        <f ca="1">IFERROR(__xludf.DUMMYFUNCTION("""COMPUTED_VALUE"""),"Desconto Na Parcela 4 De 4 Mercado Livre")</f>
        <v>Desconto Na Parcela 4 De 4 Mercado Livre</v>
      </c>
      <c r="G714" s="1" t="str">
        <f ca="1">IFERROR(__xludf.DUMMYFUNCTION("""COMPUTED_VALUE"""),"-")</f>
        <v>-</v>
      </c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6">
        <f ca="1">IFERROR(__xludf.DUMMYFUNCTION("""COMPUTED_VALUE"""),45931)</f>
        <v>45931</v>
      </c>
      <c r="B715" s="1" t="str">
        <f ca="1">IFERROR(__xludf.DUMMYFUNCTION("""COMPUTED_VALUE"""),"-")</f>
        <v>-</v>
      </c>
      <c r="C715" s="1" t="str">
        <f ca="1">IFERROR(__xludf.DUMMYFUNCTION("""COMPUTED_VALUE"""),"Desconto Na Parcela 3 De 4 Mercado Livre")</f>
        <v>Desconto Na Parcela 3 De 4 Mercado Livre</v>
      </c>
      <c r="D715" s="2">
        <f ca="1">IFERROR(__xludf.DUMMYFUNCTION("""COMPUTED_VALUE"""),-0.02)</f>
        <v>-0.02</v>
      </c>
      <c r="E715" s="1" t="str">
        <f ca="1">IFERROR(__xludf.DUMMYFUNCTION("""COMPUTED_VALUE"""),"-")</f>
        <v>-</v>
      </c>
      <c r="F715" s="1" t="str">
        <f ca="1">IFERROR(__xludf.DUMMYFUNCTION("""COMPUTED_VALUE"""),"Desconto Na Parcela 3 De 4 Mercado Livre")</f>
        <v>Desconto Na Parcela 3 De 4 Mercado Livre</v>
      </c>
      <c r="G715" s="1" t="str">
        <f ca="1">IFERROR(__xludf.DUMMYFUNCTION("""COMPUTED_VALUE"""),"-")</f>
        <v>-</v>
      </c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6">
        <f ca="1">IFERROR(__xludf.DUMMYFUNCTION("""COMPUTED_VALUE"""),45931)</f>
        <v>45931</v>
      </c>
      <c r="B716" s="1" t="str">
        <f ca="1">IFERROR(__xludf.DUMMYFUNCTION("""COMPUTED_VALUE"""),"-")</f>
        <v>-</v>
      </c>
      <c r="C716" s="1" t="str">
        <f ca="1">IFERROR(__xludf.DUMMYFUNCTION("""COMPUTED_VALUE"""),"Desconto Na Parcela 3 De 3 Shopee Rivirlavarieda")</f>
        <v>Desconto Na Parcela 3 De 3 Shopee Rivirlavarieda</v>
      </c>
      <c r="D716" s="2">
        <f ca="1">IFERROR(__xludf.DUMMYFUNCTION("""COMPUTED_VALUE"""),-0.28)</f>
        <v>-0.28000000000000003</v>
      </c>
      <c r="E716" s="1" t="str">
        <f ca="1">IFERROR(__xludf.DUMMYFUNCTION("""COMPUTED_VALUE"""),"-")</f>
        <v>-</v>
      </c>
      <c r="F716" s="1" t="str">
        <f ca="1">IFERROR(__xludf.DUMMYFUNCTION("""COMPUTED_VALUE"""),"Desconto Na Parcela 3 De 3 Shopee Rivirlavarieda")</f>
        <v>Desconto Na Parcela 3 De 3 Shopee Rivirlavarieda</v>
      </c>
      <c r="G716" s="1" t="str">
        <f ca="1">IFERROR(__xludf.DUMMYFUNCTION("""COMPUTED_VALUE"""),"-")</f>
        <v>-</v>
      </c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6">
        <f ca="1">IFERROR(__xludf.DUMMYFUNCTION("""COMPUTED_VALUE"""),45931)</f>
        <v>45931</v>
      </c>
      <c r="B717" s="1" t="str">
        <f ca="1">IFERROR(__xludf.DUMMYFUNCTION("""COMPUTED_VALUE"""),"-")</f>
        <v>-</v>
      </c>
      <c r="C717" s="1" t="str">
        <f ca="1">IFERROR(__xludf.DUMMYFUNCTION("""COMPUTED_VALUE"""),"Desconto Na Parcela 2 De 3 Dma Distribuidora Sa")</f>
        <v>Desconto Na Parcela 2 De 3 Dma Distribuidora Sa</v>
      </c>
      <c r="D717" s="2">
        <f ca="1">IFERROR(__xludf.DUMMYFUNCTION("""COMPUTED_VALUE"""),-0.36)</f>
        <v>-0.36</v>
      </c>
      <c r="E717" s="1" t="str">
        <f ca="1">IFERROR(__xludf.DUMMYFUNCTION("""COMPUTED_VALUE"""),"-")</f>
        <v>-</v>
      </c>
      <c r="F717" s="1" t="str">
        <f ca="1">IFERROR(__xludf.DUMMYFUNCTION("""COMPUTED_VALUE"""),"Desconto Na Parcela 2 De 3 Dma Distribuidora Sa")</f>
        <v>Desconto Na Parcela 2 De 3 Dma Distribuidora Sa</v>
      </c>
      <c r="G717" s="1" t="str">
        <f ca="1">IFERROR(__xludf.DUMMYFUNCTION("""COMPUTED_VALUE"""),"-")</f>
        <v>-</v>
      </c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6">
        <f ca="1">IFERROR(__xludf.DUMMYFUNCTION("""COMPUTED_VALUE"""),45931)</f>
        <v>45931</v>
      </c>
      <c r="B718" s="1" t="str">
        <f ca="1">IFERROR(__xludf.DUMMYFUNCTION("""COMPUTED_VALUE"""),"-")</f>
        <v>-</v>
      </c>
      <c r="C718" s="1" t="str">
        <f ca="1">IFERROR(__xludf.DUMMYFUNCTION("""COMPUTED_VALUE"""),"Desconto Na Parcela 3 De 3 Dma Distribuidora Sa")</f>
        <v>Desconto Na Parcela 3 De 3 Dma Distribuidora Sa</v>
      </c>
      <c r="D718" s="2">
        <f ca="1">IFERROR(__xludf.DUMMYFUNCTION("""COMPUTED_VALUE"""),-0.71)</f>
        <v>-0.71</v>
      </c>
      <c r="E718" s="1" t="str">
        <f ca="1">IFERROR(__xludf.DUMMYFUNCTION("""COMPUTED_VALUE"""),"-")</f>
        <v>-</v>
      </c>
      <c r="F718" s="1" t="str">
        <f ca="1">IFERROR(__xludf.DUMMYFUNCTION("""COMPUTED_VALUE"""),"Desconto Na Parcela 3 De 3 Dma Distribuidora Sa")</f>
        <v>Desconto Na Parcela 3 De 3 Dma Distribuidora Sa</v>
      </c>
      <c r="G718" s="1" t="str">
        <f ca="1">IFERROR(__xludf.DUMMYFUNCTION("""COMPUTED_VALUE"""),"-")</f>
        <v>-</v>
      </c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6">
        <f ca="1">IFERROR(__xludf.DUMMYFUNCTION("""COMPUTED_VALUE"""),45931)</f>
        <v>45931</v>
      </c>
      <c r="B719" s="1" t="str">
        <f ca="1">IFERROR(__xludf.DUMMYFUNCTION("""COMPUTED_VALUE"""),"-")</f>
        <v>-</v>
      </c>
      <c r="C719" s="1" t="str">
        <f ca="1">IFERROR(__xludf.DUMMYFUNCTION("""COMPUTED_VALUE"""),"Desconto Na Parcela 4 De 4 Drogaria Ara Araujo")</f>
        <v>Desconto Na Parcela 4 De 4 Drogaria Ara Araujo</v>
      </c>
      <c r="D719" s="2">
        <f ca="1">IFERROR(__xludf.DUMMYFUNCTION("""COMPUTED_VALUE"""),-0.73)</f>
        <v>-0.73</v>
      </c>
      <c r="E719" s="1" t="str">
        <f ca="1">IFERROR(__xludf.DUMMYFUNCTION("""COMPUTED_VALUE"""),"-")</f>
        <v>-</v>
      </c>
      <c r="F719" s="1" t="str">
        <f ca="1">IFERROR(__xludf.DUMMYFUNCTION("""COMPUTED_VALUE"""),"Desconto Na Parcela 4 De 4 Drogaria Ara Araujo")</f>
        <v>Desconto Na Parcela 4 De 4 Drogaria Ara Araujo</v>
      </c>
      <c r="G719" s="1" t="str">
        <f ca="1">IFERROR(__xludf.DUMMYFUNCTION("""COMPUTED_VALUE"""),"-")</f>
        <v>-</v>
      </c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6">
        <f ca="1">IFERROR(__xludf.DUMMYFUNCTION("""COMPUTED_VALUE"""),45931)</f>
        <v>45931</v>
      </c>
      <c r="B720" s="1" t="str">
        <f ca="1">IFERROR(__xludf.DUMMYFUNCTION("""COMPUTED_VALUE"""),"-")</f>
        <v>-</v>
      </c>
      <c r="C720" s="1" t="str">
        <f ca="1">IFERROR(__xludf.DUMMYFUNCTION("""COMPUTED_VALUE"""),"Desconto Na Parcela 2 De 4 Drogaria Ara Araujo")</f>
        <v>Desconto Na Parcela 2 De 4 Drogaria Ara Araujo</v>
      </c>
      <c r="D720" s="2">
        <f ca="1">IFERROR(__xludf.DUMMYFUNCTION("""COMPUTED_VALUE"""),-0.25)</f>
        <v>-0.25</v>
      </c>
      <c r="E720" s="1" t="str">
        <f ca="1">IFERROR(__xludf.DUMMYFUNCTION("""COMPUTED_VALUE"""),"-")</f>
        <v>-</v>
      </c>
      <c r="F720" s="1" t="str">
        <f ca="1">IFERROR(__xludf.DUMMYFUNCTION("""COMPUTED_VALUE"""),"Desconto Na Parcela 2 De 4 Drogaria Ara Araujo")</f>
        <v>Desconto Na Parcela 2 De 4 Drogaria Ara Araujo</v>
      </c>
      <c r="G720" s="1" t="str">
        <f ca="1">IFERROR(__xludf.DUMMYFUNCTION("""COMPUTED_VALUE"""),"-")</f>
        <v>-</v>
      </c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6">
        <f ca="1">IFERROR(__xludf.DUMMYFUNCTION("""COMPUTED_VALUE"""),45931)</f>
        <v>45931</v>
      </c>
      <c r="B721" s="1" t="str">
        <f ca="1">IFERROR(__xludf.DUMMYFUNCTION("""COMPUTED_VALUE"""),"-")</f>
        <v>-</v>
      </c>
      <c r="C721" s="1" t="str">
        <f ca="1">IFERROR(__xludf.DUMMYFUNCTION("""COMPUTED_VALUE"""),"Desconto Na Parcela 3 De 4 Drogaria Ara Araujo")</f>
        <v>Desconto Na Parcela 3 De 4 Drogaria Ara Araujo</v>
      </c>
      <c r="D721" s="2">
        <f ca="1">IFERROR(__xludf.DUMMYFUNCTION("""COMPUTED_VALUE"""),-0.49)</f>
        <v>-0.49</v>
      </c>
      <c r="E721" s="1" t="str">
        <f ca="1">IFERROR(__xludf.DUMMYFUNCTION("""COMPUTED_VALUE"""),"-")</f>
        <v>-</v>
      </c>
      <c r="F721" s="1" t="str">
        <f ca="1">IFERROR(__xludf.DUMMYFUNCTION("""COMPUTED_VALUE"""),"Desconto Na Parcela 3 De 4 Drogaria Ara Araujo")</f>
        <v>Desconto Na Parcela 3 De 4 Drogaria Ara Araujo</v>
      </c>
      <c r="G721" s="1" t="str">
        <f ca="1">IFERROR(__xludf.DUMMYFUNCTION("""COMPUTED_VALUE"""),"-")</f>
        <v>-</v>
      </c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6">
        <f ca="1">IFERROR(__xludf.DUMMYFUNCTION("""COMPUTED_VALUE"""),45931)</f>
        <v>45931</v>
      </c>
      <c r="B722" s="1" t="str">
        <f ca="1">IFERROR(__xludf.DUMMYFUNCTION("""COMPUTED_VALUE"""),"-")</f>
        <v>-</v>
      </c>
      <c r="C722" s="1" t="str">
        <f ca="1">IFERROR(__xludf.DUMMYFUNCTION("""COMPUTED_VALUE"""),"Casas Bahia (6/10)")</f>
        <v>Casas Bahia (6/10)</v>
      </c>
      <c r="D722" s="2">
        <f ca="1">IFERROR(__xludf.DUMMYFUNCTION("""COMPUTED_VALUE"""),361.46)</f>
        <v>361.46</v>
      </c>
      <c r="E722" s="1" t="str">
        <f ca="1">IFERROR(__xludf.DUMMYFUNCTION("""COMPUTED_VALUE"""),"-")</f>
        <v>-</v>
      </c>
      <c r="F722" s="1" t="str">
        <f ca="1">IFERROR(__xludf.DUMMYFUNCTION("""COMPUTED_VALUE"""),"Casas Bahia")</f>
        <v>Casas Bahia</v>
      </c>
      <c r="G722" s="1" t="str">
        <f ca="1">IFERROR(__xludf.DUMMYFUNCTION("""COMPUTED_VALUE"""),"Compras")</f>
        <v>Compras</v>
      </c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6">
        <f ca="1">IFERROR(__xludf.DUMMYFUNCTION("""COMPUTED_VALUE"""),45931)</f>
        <v>45931</v>
      </c>
      <c r="B723" s="1" t="str">
        <f ca="1">IFERROR(__xludf.DUMMYFUNCTION("""COMPUTED_VALUE"""),"-")</f>
        <v>-</v>
      </c>
      <c r="C723" s="1" t="str">
        <f ca="1">IFERROR(__xludf.DUMMYFUNCTION("""COMPUTED_VALUE"""),"Crstina Marcia (4/10)")</f>
        <v>Crstina Marcia (4/10)</v>
      </c>
      <c r="D723" s="2">
        <f ca="1">IFERROR(__xludf.DUMMYFUNCTION("""COMPUTED_VALUE"""),696)</f>
        <v>696</v>
      </c>
      <c r="E723" s="1" t="str">
        <f ca="1">IFERROR(__xludf.DUMMYFUNCTION("""COMPUTED_VALUE"""),"-")</f>
        <v>-</v>
      </c>
      <c r="F723" s="1" t="str">
        <f ca="1">IFERROR(__xludf.DUMMYFUNCTION("""COMPUTED_VALUE"""),"Crstina Marcia")</f>
        <v>Crstina Marcia</v>
      </c>
      <c r="G723" s="1" t="str">
        <f ca="1">IFERROR(__xludf.DUMMYFUNCTION("""COMPUTED_VALUE"""),"-")</f>
        <v>-</v>
      </c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6">
        <f ca="1">IFERROR(__xludf.DUMMYFUNCTION("""COMPUTED_VALUE"""),45931)</f>
        <v>45931</v>
      </c>
      <c r="B724" s="1" t="str">
        <f ca="1">IFERROR(__xludf.DUMMYFUNCTION("""COMPUTED_VALUE"""),"-")</f>
        <v>-</v>
      </c>
      <c r="C724" s="1" t="str">
        <f ca="1">IFERROR(__xludf.DUMMYFUNCTION("""COMPUTED_VALUE"""),"Track&amp;field (2/5)")</f>
        <v>Track&amp;field (2/5)</v>
      </c>
      <c r="D724" s="2">
        <f ca="1">IFERROR(__xludf.DUMMYFUNCTION("""COMPUTED_VALUE"""),267.78)</f>
        <v>267.77999999999997</v>
      </c>
      <c r="E724" s="1" t="str">
        <f ca="1">IFERROR(__xludf.DUMMYFUNCTION("""COMPUTED_VALUE"""),"-")</f>
        <v>-</v>
      </c>
      <c r="F724" s="1" t="str">
        <f ca="1">IFERROR(__xludf.DUMMYFUNCTION("""COMPUTED_VALUE"""),"Track&amp;field")</f>
        <v>Track&amp;field</v>
      </c>
      <c r="G724" s="1" t="str">
        <f ca="1">IFERROR(__xludf.DUMMYFUNCTION("""COMPUTED_VALUE"""),"Compras")</f>
        <v>Compras</v>
      </c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6">
        <f ca="1">IFERROR(__xludf.DUMMYFUNCTION("""COMPUTED_VALUE"""),45931)</f>
        <v>45931</v>
      </c>
      <c r="B725" s="1" t="str">
        <f ca="1">IFERROR(__xludf.DUMMYFUNCTION("""COMPUTED_VALUE"""),"-")</f>
        <v>-</v>
      </c>
      <c r="C725" s="1" t="str">
        <f ca="1">IFERROR(__xludf.DUMMYFUNCTION("""COMPUTED_VALUE"""),"Imunizar (2/6)")</f>
        <v>Imunizar (2/6)</v>
      </c>
      <c r="D725" s="2">
        <f ca="1">IFERROR(__xludf.DUMMYFUNCTION("""COMPUTED_VALUE"""),1350)</f>
        <v>1350</v>
      </c>
      <c r="E725" s="1" t="str">
        <f ca="1">IFERROR(__xludf.DUMMYFUNCTION("""COMPUTED_VALUE"""),"-")</f>
        <v>-</v>
      </c>
      <c r="F725" s="1" t="str">
        <f ca="1">IFERROR(__xludf.DUMMYFUNCTION("""COMPUTED_VALUE"""),"Imunizar")</f>
        <v>Imunizar</v>
      </c>
      <c r="G725" s="1" t="str">
        <f ca="1">IFERROR(__xludf.DUMMYFUNCTION("""COMPUTED_VALUE"""),"Bianca")</f>
        <v>Bianca</v>
      </c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6">
        <f ca="1">IFERROR(__xludf.DUMMYFUNCTION("""COMPUTED_VALUE"""),45931)</f>
        <v>45931</v>
      </c>
      <c r="B726" s="1" t="str">
        <f ca="1">IFERROR(__xludf.DUMMYFUNCTION("""COMPUTED_VALUE"""),"-")</f>
        <v>-</v>
      </c>
      <c r="C726" s="1" t="str">
        <f ca="1">IFERROR(__xludf.DUMMYFUNCTION("""COMPUTED_VALUE"""),"Shopee (3/3)")</f>
        <v>Shopee (3/3)</v>
      </c>
      <c r="D726" s="2">
        <f ca="1">IFERROR(__xludf.DUMMYFUNCTION("""COMPUTED_VALUE"""),75.2)</f>
        <v>75.2</v>
      </c>
      <c r="E726" s="1" t="str">
        <f ca="1">IFERROR(__xludf.DUMMYFUNCTION("""COMPUTED_VALUE"""),"-")</f>
        <v>-</v>
      </c>
      <c r="F726" s="1" t="str">
        <f ca="1">IFERROR(__xludf.DUMMYFUNCTION("""COMPUTED_VALUE"""),"Shopee")</f>
        <v>Shopee</v>
      </c>
      <c r="G726" s="1" t="str">
        <f ca="1">IFERROR(__xludf.DUMMYFUNCTION("""COMPUTED_VALUE"""),"Compras")</f>
        <v>Compras</v>
      </c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6">
        <f ca="1">IFERROR(__xludf.DUMMYFUNCTION("""COMPUTED_VALUE"""),45931)</f>
        <v>45931</v>
      </c>
      <c r="B727" s="1" t="str">
        <f ca="1">IFERROR(__xludf.DUMMYFUNCTION("""COMPUTED_VALUE"""),"-")</f>
        <v>-</v>
      </c>
      <c r="C727" s="1" t="str">
        <f ca="1">IFERROR(__xludf.DUMMYFUNCTION("""COMPUTED_VALUE"""),"Shopee (2/3)")</f>
        <v>Shopee (2/3)</v>
      </c>
      <c r="D727" s="2">
        <f ca="1">IFERROR(__xludf.DUMMYFUNCTION("""COMPUTED_VALUE"""),75.2)</f>
        <v>75.2</v>
      </c>
      <c r="E727" s="1" t="str">
        <f ca="1">IFERROR(__xludf.DUMMYFUNCTION("""COMPUTED_VALUE"""),"-")</f>
        <v>-</v>
      </c>
      <c r="F727" s="1" t="str">
        <f ca="1">IFERROR(__xludf.DUMMYFUNCTION("""COMPUTED_VALUE"""),"Shopee")</f>
        <v>Shopee</v>
      </c>
      <c r="G727" s="1" t="str">
        <f ca="1">IFERROR(__xludf.DUMMYFUNCTION("""COMPUTED_VALUE"""),"Compras")</f>
        <v>Compras</v>
      </c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6">
        <f ca="1">IFERROR(__xludf.DUMMYFUNCTION("""COMPUTED_VALUE"""),45931)</f>
        <v>45931</v>
      </c>
      <c r="B728" s="1" t="str">
        <f ca="1">IFERROR(__xludf.DUMMYFUNCTION("""COMPUTED_VALUE"""),"-")</f>
        <v>-</v>
      </c>
      <c r="C728" s="1" t="str">
        <f ca="1">IFERROR(__xludf.DUMMYFUNCTION("""COMPUTED_VALUE"""),"Mercado Livre (4/4)")</f>
        <v>Mercado Livre (4/4)</v>
      </c>
      <c r="D728" s="2">
        <f ca="1">IFERROR(__xludf.DUMMYFUNCTION("""COMPUTED_VALUE"""),4.87)</f>
        <v>4.87</v>
      </c>
      <c r="E728" s="1" t="str">
        <f ca="1">IFERROR(__xludf.DUMMYFUNCTION("""COMPUTED_VALUE"""),"-")</f>
        <v>-</v>
      </c>
      <c r="F728" s="1" t="str">
        <f ca="1">IFERROR(__xludf.DUMMYFUNCTION("""COMPUTED_VALUE"""),"Mercado Livre")</f>
        <v>Mercado Livre</v>
      </c>
      <c r="G728" s="1" t="str">
        <f ca="1">IFERROR(__xludf.DUMMYFUNCTION("""COMPUTED_VALUE"""),"Compras")</f>
        <v>Compras</v>
      </c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6">
        <f ca="1">IFERROR(__xludf.DUMMYFUNCTION("""COMPUTED_VALUE"""),45931)</f>
        <v>45931</v>
      </c>
      <c r="B729" s="1" t="str">
        <f ca="1">IFERROR(__xludf.DUMMYFUNCTION("""COMPUTED_VALUE"""),"-")</f>
        <v>-</v>
      </c>
      <c r="C729" s="1" t="str">
        <f ca="1">IFERROR(__xludf.DUMMYFUNCTION("""COMPUTED_VALUE"""),"Mercado Livre (3/4)")</f>
        <v>Mercado Livre (3/4)</v>
      </c>
      <c r="D729" s="2">
        <f ca="1">IFERROR(__xludf.DUMMYFUNCTION("""COMPUTED_VALUE"""),4.87)</f>
        <v>4.87</v>
      </c>
      <c r="E729" s="1" t="str">
        <f ca="1">IFERROR(__xludf.DUMMYFUNCTION("""COMPUTED_VALUE"""),"-")</f>
        <v>-</v>
      </c>
      <c r="F729" s="1" t="str">
        <f ca="1">IFERROR(__xludf.DUMMYFUNCTION("""COMPUTED_VALUE"""),"Mercado Livre")</f>
        <v>Mercado Livre</v>
      </c>
      <c r="G729" s="1" t="str">
        <f ca="1">IFERROR(__xludf.DUMMYFUNCTION("""COMPUTED_VALUE"""),"Compras")</f>
        <v>Compras</v>
      </c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6">
        <f ca="1">IFERROR(__xludf.DUMMYFUNCTION("""COMPUTED_VALUE"""),45931)</f>
        <v>45931</v>
      </c>
      <c r="B730" s="1" t="str">
        <f ca="1">IFERROR(__xludf.DUMMYFUNCTION("""COMPUTED_VALUE"""),"-")</f>
        <v>-</v>
      </c>
      <c r="C730" s="1" t="str">
        <f ca="1">IFERROR(__xludf.DUMMYFUNCTION("""COMPUTED_VALUE"""),"Mercado Livre (2/4)")</f>
        <v>Mercado Livre (2/4)</v>
      </c>
      <c r="D730" s="2">
        <f ca="1">IFERROR(__xludf.DUMMYFUNCTION("""COMPUTED_VALUE"""),4.87)</f>
        <v>4.87</v>
      </c>
      <c r="E730" s="1" t="str">
        <f ca="1">IFERROR(__xludf.DUMMYFUNCTION("""COMPUTED_VALUE"""),"-")</f>
        <v>-</v>
      </c>
      <c r="F730" s="1" t="str">
        <f ca="1">IFERROR(__xludf.DUMMYFUNCTION("""COMPUTED_VALUE"""),"Mercado Livre")</f>
        <v>Mercado Livre</v>
      </c>
      <c r="G730" s="1" t="str">
        <f ca="1">IFERROR(__xludf.DUMMYFUNCTION("""COMPUTED_VALUE"""),"Compras")</f>
        <v>Compras</v>
      </c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6">
        <f ca="1">IFERROR(__xludf.DUMMYFUNCTION("""COMPUTED_VALUE"""),45931)</f>
        <v>45931</v>
      </c>
      <c r="B731" s="1" t="str">
        <f ca="1">IFERROR(__xludf.DUMMYFUNCTION("""COMPUTED_VALUE"""),"-")</f>
        <v>-</v>
      </c>
      <c r="C731" s="1" t="str">
        <f ca="1">IFERROR(__xludf.DUMMYFUNCTION("""COMPUTED_VALUE"""),"Amazon Digital Br")</f>
        <v>Amazon Digital Br</v>
      </c>
      <c r="D731" s="2">
        <f ca="1">IFERROR(__xludf.DUMMYFUNCTION("""COMPUTED_VALUE"""),33.24)</f>
        <v>33.24</v>
      </c>
      <c r="E731" s="1" t="str">
        <f ca="1">IFERROR(__xludf.DUMMYFUNCTION("""COMPUTED_VALUE"""),"-")</f>
        <v>-</v>
      </c>
      <c r="F731" s="1" t="str">
        <f ca="1">IFERROR(__xludf.DUMMYFUNCTION("""COMPUTED_VALUE"""),"Amazon Digital Br")</f>
        <v>Amazon Digital Br</v>
      </c>
      <c r="G731" s="1" t="str">
        <f ca="1">IFERROR(__xludf.DUMMYFUNCTION("""COMPUTED_VALUE"""),"Compras")</f>
        <v>Compras</v>
      </c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6">
        <f ca="1">IFERROR(__xludf.DUMMYFUNCTION("""COMPUTED_VALUE"""),45931)</f>
        <v>45931</v>
      </c>
      <c r="B732" s="1" t="str">
        <f ca="1">IFERROR(__xludf.DUMMYFUNCTION("""COMPUTED_VALUE"""),"-")</f>
        <v>-</v>
      </c>
      <c r="C732" s="1" t="str">
        <f ca="1">IFERROR(__xludf.DUMMYFUNCTION("""COMPUTED_VALUE"""),"Amazon")</f>
        <v>Amazon</v>
      </c>
      <c r="D732" s="2">
        <f ca="1">IFERROR(__xludf.DUMMYFUNCTION("""COMPUTED_VALUE"""),112.93)</f>
        <v>112.93</v>
      </c>
      <c r="E732" s="1" t="str">
        <f ca="1">IFERROR(__xludf.DUMMYFUNCTION("""COMPUTED_VALUE"""),"-")</f>
        <v>-</v>
      </c>
      <c r="F732" s="1" t="str">
        <f ca="1">IFERROR(__xludf.DUMMYFUNCTION("""COMPUTED_VALUE"""),"Amazon")</f>
        <v>Amazon</v>
      </c>
      <c r="G732" s="1" t="str">
        <f ca="1">IFERROR(__xludf.DUMMYFUNCTION("""COMPUTED_VALUE"""),"Compras")</f>
        <v>Compras</v>
      </c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6">
        <f ca="1">IFERROR(__xludf.DUMMYFUNCTION("""COMPUTED_VALUE"""),45931)</f>
        <v>45931</v>
      </c>
      <c r="B733" s="1" t="str">
        <f ca="1">IFERROR(__xludf.DUMMYFUNCTION("""COMPUTED_VALUE"""),"-")</f>
        <v>-</v>
      </c>
      <c r="C733" s="1" t="str">
        <f ca="1">IFERROR(__xludf.DUMMYFUNCTION("""COMPUTED_VALUE"""),"Unisant")</f>
        <v>Unisant</v>
      </c>
      <c r="D733" s="2">
        <f ca="1">IFERROR(__xludf.DUMMYFUNCTION("""COMPUTED_VALUE"""),225.52)</f>
        <v>225.52</v>
      </c>
      <c r="E733" s="1" t="str">
        <f ca="1">IFERROR(__xludf.DUMMYFUNCTION("""COMPUTED_VALUE"""),"-")</f>
        <v>-</v>
      </c>
      <c r="F733" s="1" t="str">
        <f ca="1">IFERROR(__xludf.DUMMYFUNCTION("""COMPUTED_VALUE"""),"Unisant")</f>
        <v>Unisant</v>
      </c>
      <c r="G733" s="1" t="str">
        <f ca="1">IFERROR(__xludf.DUMMYFUNCTION("""COMPUTED_VALUE"""),"-")</f>
        <v>-</v>
      </c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6">
        <f ca="1">IFERROR(__xludf.DUMMYFUNCTION("""COMPUTED_VALUE"""),45931)</f>
        <v>45931</v>
      </c>
      <c r="B734" s="1" t="str">
        <f ca="1">IFERROR(__xludf.DUMMYFUNCTION("""COMPUTED_VALUE"""),"-")</f>
        <v>-</v>
      </c>
      <c r="C734" s="1">
        <f ca="1">IFERROR(__xludf.DUMMYFUNCTION("""COMPUTED_VALUE"""),99)</f>
        <v>99</v>
      </c>
      <c r="D734" s="2">
        <f ca="1">IFERROR(__xludf.DUMMYFUNCTION("""COMPUTED_VALUE"""),13.79)</f>
        <v>13.79</v>
      </c>
      <c r="E734" s="1" t="str">
        <f ca="1">IFERROR(__xludf.DUMMYFUNCTION("""COMPUTED_VALUE"""),"-")</f>
        <v>-</v>
      </c>
      <c r="F734" s="1" t="str">
        <f ca="1">IFERROR(__xludf.DUMMYFUNCTION("""COMPUTED_VALUE"""),"99")</f>
        <v>99</v>
      </c>
      <c r="G734" s="1" t="str">
        <f ca="1">IFERROR(__xludf.DUMMYFUNCTION("""COMPUTED_VALUE"""),"Uber/99")</f>
        <v>Uber/99</v>
      </c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6">
        <f ca="1">IFERROR(__xludf.DUMMYFUNCTION("""COMPUTED_VALUE"""),45931)</f>
        <v>45931</v>
      </c>
      <c r="B735" s="1" t="str">
        <f ca="1">IFERROR(__xludf.DUMMYFUNCTION("""COMPUTED_VALUE"""),"-")</f>
        <v>-</v>
      </c>
      <c r="C735" s="1" t="str">
        <f ca="1">IFERROR(__xludf.DUMMYFUNCTION("""COMPUTED_VALUE"""),"Uber")</f>
        <v>Uber</v>
      </c>
      <c r="D735" s="2">
        <f ca="1">IFERROR(__xludf.DUMMYFUNCTION("""COMPUTED_VALUE"""),12.97)</f>
        <v>12.97</v>
      </c>
      <c r="E735" s="1" t="str">
        <f ca="1">IFERROR(__xludf.DUMMYFUNCTION("""COMPUTED_VALUE"""),"-")</f>
        <v>-</v>
      </c>
      <c r="F735" s="1" t="str">
        <f ca="1">IFERROR(__xludf.DUMMYFUNCTION("""COMPUTED_VALUE"""),"Uber")</f>
        <v>Uber</v>
      </c>
      <c r="G735" s="1" t="str">
        <f ca="1">IFERROR(__xludf.DUMMYFUNCTION("""COMPUTED_VALUE"""),"Uber/99")</f>
        <v>Uber/99</v>
      </c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6">
        <f ca="1">IFERROR(__xludf.DUMMYFUNCTION("""COMPUTED_VALUE"""),45931)</f>
        <v>45931</v>
      </c>
      <c r="B736" s="1" t="str">
        <f ca="1">IFERROR(__xludf.DUMMYFUNCTION("""COMPUTED_VALUE"""),"-")</f>
        <v>-</v>
      </c>
      <c r="C736" s="1" t="str">
        <f ca="1">IFERROR(__xludf.DUMMYFUNCTION("""COMPUTED_VALUE"""),"Shopee")</f>
        <v>Shopee</v>
      </c>
      <c r="D736" s="2">
        <f ca="1">IFERROR(__xludf.DUMMYFUNCTION("""COMPUTED_VALUE"""),59.98)</f>
        <v>59.98</v>
      </c>
      <c r="E736" s="1" t="str">
        <f ca="1">IFERROR(__xludf.DUMMYFUNCTION("""COMPUTED_VALUE"""),"-")</f>
        <v>-</v>
      </c>
      <c r="F736" s="1" t="str">
        <f ca="1">IFERROR(__xludf.DUMMYFUNCTION("""COMPUTED_VALUE"""),"Shopee")</f>
        <v>Shopee</v>
      </c>
      <c r="G736" s="1" t="str">
        <f ca="1">IFERROR(__xludf.DUMMYFUNCTION("""COMPUTED_VALUE"""),"Compras")</f>
        <v>Compras</v>
      </c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6">
        <f ca="1">IFERROR(__xludf.DUMMYFUNCTION("""COMPUTED_VALUE"""),45931)</f>
        <v>45931</v>
      </c>
      <c r="B737" s="1" t="str">
        <f ca="1">IFERROR(__xludf.DUMMYFUNCTION("""COMPUTED_VALUE"""),"-")</f>
        <v>-</v>
      </c>
      <c r="C737" s="1" t="str">
        <f ca="1">IFERROR(__xludf.DUMMYFUNCTION("""COMPUTED_VALUE"""),"Uber")</f>
        <v>Uber</v>
      </c>
      <c r="D737" s="2">
        <f ca="1">IFERROR(__xludf.DUMMYFUNCTION("""COMPUTED_VALUE"""),23.96)</f>
        <v>23.96</v>
      </c>
      <c r="E737" s="1" t="str">
        <f ca="1">IFERROR(__xludf.DUMMYFUNCTION("""COMPUTED_VALUE"""),"-")</f>
        <v>-</v>
      </c>
      <c r="F737" s="1" t="str">
        <f ca="1">IFERROR(__xludf.DUMMYFUNCTION("""COMPUTED_VALUE"""),"Uber")</f>
        <v>Uber</v>
      </c>
      <c r="G737" s="1" t="str">
        <f ca="1">IFERROR(__xludf.DUMMYFUNCTION("""COMPUTED_VALUE"""),"Uber/99")</f>
        <v>Uber/99</v>
      </c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6">
        <f ca="1">IFERROR(__xludf.DUMMYFUNCTION("""COMPUTED_VALUE"""),45931)</f>
        <v>45931</v>
      </c>
      <c r="B738" s="1" t="str">
        <f ca="1">IFERROR(__xludf.DUMMYFUNCTION("""COMPUTED_VALUE"""),"-")</f>
        <v>-</v>
      </c>
      <c r="C738" s="1" t="str">
        <f ca="1">IFERROR(__xludf.DUMMYFUNCTION("""COMPUTED_VALUE"""),"Sorveteria Bandeiran")</f>
        <v>Sorveteria Bandeiran</v>
      </c>
      <c r="D738" s="2">
        <f ca="1">IFERROR(__xludf.DUMMYFUNCTION("""COMPUTED_VALUE"""),25.98)</f>
        <v>25.98</v>
      </c>
      <c r="E738" s="1" t="str">
        <f ca="1">IFERROR(__xludf.DUMMYFUNCTION("""COMPUTED_VALUE"""),"-")</f>
        <v>-</v>
      </c>
      <c r="F738" s="1" t="str">
        <f ca="1">IFERROR(__xludf.DUMMYFUNCTION("""COMPUTED_VALUE"""),"Sorveteria Bandeiran")</f>
        <v>Sorveteria Bandeiran</v>
      </c>
      <c r="G738" s="1" t="str">
        <f ca="1">IFERROR(__xludf.DUMMYFUNCTION("""COMPUTED_VALUE"""),"-")</f>
        <v>-</v>
      </c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6">
        <f ca="1">IFERROR(__xludf.DUMMYFUNCTION("""COMPUTED_VALUE"""),45931)</f>
        <v>45931</v>
      </c>
      <c r="B739" s="1" t="str">
        <f ca="1">IFERROR(__xludf.DUMMYFUNCTION("""COMPUTED_VALUE"""),"-")</f>
        <v>-</v>
      </c>
      <c r="C739" s="1" t="str">
        <f ca="1">IFERROR(__xludf.DUMMYFUNCTION("""COMPUTED_VALUE"""),"Barnabe Emporio")</f>
        <v>Barnabe Emporio</v>
      </c>
      <c r="D739" s="2">
        <f ca="1">IFERROR(__xludf.DUMMYFUNCTION("""COMPUTED_VALUE"""),19.9)</f>
        <v>19.899999999999999</v>
      </c>
      <c r="E739" s="1" t="str">
        <f ca="1">IFERROR(__xludf.DUMMYFUNCTION("""COMPUTED_VALUE"""),"-")</f>
        <v>-</v>
      </c>
      <c r="F739" s="1" t="str">
        <f ca="1">IFERROR(__xludf.DUMMYFUNCTION("""COMPUTED_VALUE"""),"Barnabe Emporio")</f>
        <v>Barnabe Emporio</v>
      </c>
      <c r="G739" s="1" t="str">
        <f ca="1">IFERROR(__xludf.DUMMYFUNCTION("""COMPUTED_VALUE"""),"Comida")</f>
        <v>Comida</v>
      </c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6">
        <f ca="1">IFERROR(__xludf.DUMMYFUNCTION("""COMPUTED_VALUE"""),45931)</f>
        <v>45931</v>
      </c>
      <c r="B740" s="1" t="str">
        <f ca="1">IFERROR(__xludf.DUMMYFUNCTION("""COMPUTED_VALUE"""),"-")</f>
        <v>-</v>
      </c>
      <c r="C740" s="1" t="str">
        <f ca="1">IFERROR(__xludf.DUMMYFUNCTION("""COMPUTED_VALUE"""),"Momento Super Nosso")</f>
        <v>Momento Super Nosso</v>
      </c>
      <c r="D740" s="2">
        <f ca="1">IFERROR(__xludf.DUMMYFUNCTION("""COMPUTED_VALUE"""),22.25)</f>
        <v>22.25</v>
      </c>
      <c r="E740" s="1" t="str">
        <f ca="1">IFERROR(__xludf.DUMMYFUNCTION("""COMPUTED_VALUE"""),"-")</f>
        <v>-</v>
      </c>
      <c r="F740" s="1" t="str">
        <f ca="1">IFERROR(__xludf.DUMMYFUNCTION("""COMPUTED_VALUE"""),"Momento Super Nosso")</f>
        <v>Momento Super Nosso</v>
      </c>
      <c r="G740" s="1" t="str">
        <f ca="1">IFERROR(__xludf.DUMMYFUNCTION("""COMPUTED_VALUE"""),"-")</f>
        <v>-</v>
      </c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6">
        <f ca="1">IFERROR(__xludf.DUMMYFUNCTION("""COMPUTED_VALUE"""),45931)</f>
        <v>45931</v>
      </c>
      <c r="B741" s="1" t="str">
        <f ca="1">IFERROR(__xludf.DUMMYFUNCTION("""COMPUTED_VALUE"""),"-")</f>
        <v>-</v>
      </c>
      <c r="C741" s="1" t="str">
        <f ca="1">IFERROR(__xludf.DUMMYFUNCTION("""COMPUTED_VALUE"""),"Golden Pet")</f>
        <v>Golden Pet</v>
      </c>
      <c r="D741" s="2">
        <f ca="1">IFERROR(__xludf.DUMMYFUNCTION("""COMPUTED_VALUE"""),59)</f>
        <v>59</v>
      </c>
      <c r="E741" s="1" t="str">
        <f ca="1">IFERROR(__xludf.DUMMYFUNCTION("""COMPUTED_VALUE"""),"-")</f>
        <v>-</v>
      </c>
      <c r="F741" s="1" t="str">
        <f ca="1">IFERROR(__xludf.DUMMYFUNCTION("""COMPUTED_VALUE"""),"Golden Pet")</f>
        <v>Golden Pet</v>
      </c>
      <c r="G741" s="1" t="str">
        <f ca="1">IFERROR(__xludf.DUMMYFUNCTION("""COMPUTED_VALUE"""),"Hulk")</f>
        <v>Hulk</v>
      </c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6">
        <f ca="1">IFERROR(__xludf.DUMMYFUNCTION("""COMPUTED_VALUE"""),45931)</f>
        <v>45931</v>
      </c>
      <c r="B742" s="1" t="str">
        <f ca="1">IFERROR(__xludf.DUMMYFUNCTION("""COMPUTED_VALUE"""),"-")</f>
        <v>-</v>
      </c>
      <c r="C742" s="1" t="str">
        <f ca="1">IFERROR(__xludf.DUMMYFUNCTION("""COMPUTED_VALUE"""),"Shopee")</f>
        <v>Shopee</v>
      </c>
      <c r="D742" s="2">
        <f ca="1">IFERROR(__xludf.DUMMYFUNCTION("""COMPUTED_VALUE"""),86)</f>
        <v>86</v>
      </c>
      <c r="E742" s="1" t="str">
        <f ca="1">IFERROR(__xludf.DUMMYFUNCTION("""COMPUTED_VALUE"""),"-")</f>
        <v>-</v>
      </c>
      <c r="F742" s="1" t="str">
        <f ca="1">IFERROR(__xludf.DUMMYFUNCTION("""COMPUTED_VALUE"""),"Shopee")</f>
        <v>Shopee</v>
      </c>
      <c r="G742" s="1" t="str">
        <f ca="1">IFERROR(__xludf.DUMMYFUNCTION("""COMPUTED_VALUE"""),"Compras")</f>
        <v>Compras</v>
      </c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6">
        <f ca="1">IFERROR(__xludf.DUMMYFUNCTION("""COMPUTED_VALUE"""),45931)</f>
        <v>45931</v>
      </c>
      <c r="B743" s="1" t="str">
        <f ca="1">IFERROR(__xludf.DUMMYFUNCTION("""COMPUTED_VALUE"""),"-")</f>
        <v>-</v>
      </c>
      <c r="C743" s="1" t="str">
        <f ca="1">IFERROR(__xludf.DUMMYFUNCTION("""COMPUTED_VALUE"""),"Drogaria Ara Araujo")</f>
        <v>Drogaria Ara Araujo</v>
      </c>
      <c r="D743" s="2">
        <f ca="1">IFERROR(__xludf.DUMMYFUNCTION("""COMPUTED_VALUE"""),55.47)</f>
        <v>55.47</v>
      </c>
      <c r="E743" s="1" t="str">
        <f ca="1">IFERROR(__xludf.DUMMYFUNCTION("""COMPUTED_VALUE"""),"-")</f>
        <v>-</v>
      </c>
      <c r="F743" s="1" t="str">
        <f ca="1">IFERROR(__xludf.DUMMYFUNCTION("""COMPUTED_VALUE"""),"Drogaria Ara Araujo")</f>
        <v>Drogaria Ara Araujo</v>
      </c>
      <c r="G743" s="1" t="str">
        <f ca="1">IFERROR(__xludf.DUMMYFUNCTION("""COMPUTED_VALUE"""),"Farmácia")</f>
        <v>Farmácia</v>
      </c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6">
        <f ca="1">IFERROR(__xludf.DUMMYFUNCTION("""COMPUTED_VALUE"""),45931)</f>
        <v>45931</v>
      </c>
      <c r="B744" s="1" t="str">
        <f ca="1">IFERROR(__xludf.DUMMYFUNCTION("""COMPUTED_VALUE"""),"-")</f>
        <v>-</v>
      </c>
      <c r="C744" s="1" t="str">
        <f ca="1">IFERROR(__xludf.DUMMYFUNCTION("""COMPUTED_VALUE"""),"Unisant")</f>
        <v>Unisant</v>
      </c>
      <c r="D744" s="2">
        <f ca="1">IFERROR(__xludf.DUMMYFUNCTION("""COMPUTED_VALUE"""),236.8)</f>
        <v>236.8</v>
      </c>
      <c r="E744" s="1" t="str">
        <f ca="1">IFERROR(__xludf.DUMMYFUNCTION("""COMPUTED_VALUE"""),"-")</f>
        <v>-</v>
      </c>
      <c r="F744" s="1" t="str">
        <f ca="1">IFERROR(__xludf.DUMMYFUNCTION("""COMPUTED_VALUE"""),"Unisant")</f>
        <v>Unisant</v>
      </c>
      <c r="G744" s="1" t="str">
        <f ca="1">IFERROR(__xludf.DUMMYFUNCTION("""COMPUTED_VALUE"""),"-")</f>
        <v>-</v>
      </c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6">
        <f ca="1">IFERROR(__xludf.DUMMYFUNCTION("""COMPUTED_VALUE"""),45931)</f>
        <v>45931</v>
      </c>
      <c r="B745" s="1" t="str">
        <f ca="1">IFERROR(__xludf.DUMMYFUNCTION("""COMPUTED_VALUE"""),"-")</f>
        <v>-</v>
      </c>
      <c r="C745" s="1" t="str">
        <f ca="1">IFERROR(__xludf.DUMMYFUNCTION("""COMPUTED_VALUE"""),"Paixao Pela Italia Res")</f>
        <v>Paixao Pela Italia Res</v>
      </c>
      <c r="D745" s="2">
        <f ca="1">IFERROR(__xludf.DUMMYFUNCTION("""COMPUTED_VALUE"""),487.03)</f>
        <v>487.03</v>
      </c>
      <c r="E745" s="1" t="str">
        <f ca="1">IFERROR(__xludf.DUMMYFUNCTION("""COMPUTED_VALUE"""),"-")</f>
        <v>-</v>
      </c>
      <c r="F745" s="1" t="str">
        <f ca="1">IFERROR(__xludf.DUMMYFUNCTION("""COMPUTED_VALUE"""),"Paixao Pela Italia Res")</f>
        <v>Paixao Pela Italia Res</v>
      </c>
      <c r="G745" s="1" t="str">
        <f ca="1">IFERROR(__xludf.DUMMYFUNCTION("""COMPUTED_VALUE"""),"-")</f>
        <v>-</v>
      </c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6">
        <f ca="1">IFERROR(__xludf.DUMMYFUNCTION("""COMPUTED_VALUE"""),45931)</f>
        <v>45931</v>
      </c>
      <c r="B746" s="1" t="str">
        <f ca="1">IFERROR(__xludf.DUMMYFUNCTION("""COMPUTED_VALUE"""),"-")</f>
        <v>-</v>
      </c>
      <c r="C746" s="1" t="str">
        <f ca="1">IFERROR(__xludf.DUMMYFUNCTION("""COMPUTED_VALUE"""),"Dma Distribuidora Sa (2/2)")</f>
        <v>Dma Distribuidora Sa (2/2)</v>
      </c>
      <c r="D746" s="2">
        <f ca="1">IFERROR(__xludf.DUMMYFUNCTION("""COMPUTED_VALUE"""),24.02)</f>
        <v>24.02</v>
      </c>
      <c r="E746" s="1" t="str">
        <f ca="1">IFERROR(__xludf.DUMMYFUNCTION("""COMPUTED_VALUE"""),"-")</f>
        <v>-</v>
      </c>
      <c r="F746" s="1" t="str">
        <f ca="1">IFERROR(__xludf.DUMMYFUNCTION("""COMPUTED_VALUE"""),"Dma Distribuidora Sa")</f>
        <v>Dma Distribuidora Sa</v>
      </c>
      <c r="G746" s="1" t="str">
        <f ca="1">IFERROR(__xludf.DUMMYFUNCTION("""COMPUTED_VALUE"""),"Supermercado")</f>
        <v>Supermercado</v>
      </c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6">
        <f ca="1">IFERROR(__xludf.DUMMYFUNCTION("""COMPUTED_VALUE"""),45931)</f>
        <v>45931</v>
      </c>
      <c r="B747" s="1" t="str">
        <f ca="1">IFERROR(__xludf.DUMMYFUNCTION("""COMPUTED_VALUE"""),"-")</f>
        <v>-</v>
      </c>
      <c r="C747" s="1" t="str">
        <f ca="1">IFERROR(__xludf.DUMMYFUNCTION("""COMPUTED_VALUE"""),"Dma Distribuidora Sa (1/2)")</f>
        <v>Dma Distribuidora Sa (1/2)</v>
      </c>
      <c r="D747" s="2">
        <f ca="1">IFERROR(__xludf.DUMMYFUNCTION("""COMPUTED_VALUE"""),24.02)</f>
        <v>24.02</v>
      </c>
      <c r="E747" s="1" t="str">
        <f ca="1">IFERROR(__xludf.DUMMYFUNCTION("""COMPUTED_VALUE"""),"-")</f>
        <v>-</v>
      </c>
      <c r="F747" s="1" t="str">
        <f ca="1">IFERROR(__xludf.DUMMYFUNCTION("""COMPUTED_VALUE"""),"Dma Distribuidora Sa")</f>
        <v>Dma Distribuidora Sa</v>
      </c>
      <c r="G747" s="1" t="str">
        <f ca="1">IFERROR(__xludf.DUMMYFUNCTION("""COMPUTED_VALUE"""),"Supermercado")</f>
        <v>Supermercado</v>
      </c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6">
        <f ca="1">IFERROR(__xludf.DUMMYFUNCTION("""COMPUTED_VALUE"""),45931)</f>
        <v>45931</v>
      </c>
      <c r="B748" s="1" t="str">
        <f ca="1">IFERROR(__xludf.DUMMYFUNCTION("""COMPUTED_VALUE"""),"-")</f>
        <v>-</v>
      </c>
      <c r="C748" s="1" t="str">
        <f ca="1">IFERROR(__xludf.DUMMYFUNCTION("""COMPUTED_VALUE"""),"Pops Lanches")</f>
        <v>Pops Lanches</v>
      </c>
      <c r="D748" s="2">
        <f ca="1">IFERROR(__xludf.DUMMYFUNCTION("""COMPUTED_VALUE"""),13)</f>
        <v>13</v>
      </c>
      <c r="E748" s="1" t="str">
        <f ca="1">IFERROR(__xludf.DUMMYFUNCTION("""COMPUTED_VALUE"""),"-")</f>
        <v>-</v>
      </c>
      <c r="F748" s="1" t="str">
        <f ca="1">IFERROR(__xludf.DUMMYFUNCTION("""COMPUTED_VALUE"""),"Pops Lanches")</f>
        <v>Pops Lanches</v>
      </c>
      <c r="G748" s="1" t="str">
        <f ca="1">IFERROR(__xludf.DUMMYFUNCTION("""COMPUTED_VALUE"""),"-")</f>
        <v>-</v>
      </c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6">
        <f ca="1">IFERROR(__xludf.DUMMYFUNCTION("""COMPUTED_VALUE"""),45931)</f>
        <v>45931</v>
      </c>
      <c r="B749" s="1" t="str">
        <f ca="1">IFERROR(__xludf.DUMMYFUNCTION("""COMPUTED_VALUE"""),"-")</f>
        <v>-</v>
      </c>
      <c r="C749" s="1" t="str">
        <f ca="1">IFERROR(__xludf.DUMMYFUNCTION("""COMPUTED_VALUE"""),"Drogaria Ara Araujo")</f>
        <v>Drogaria Ara Araujo</v>
      </c>
      <c r="D749" s="2">
        <f ca="1">IFERROR(__xludf.DUMMYFUNCTION("""COMPUTED_VALUE"""),21.99)</f>
        <v>21.99</v>
      </c>
      <c r="E749" s="1" t="str">
        <f ca="1">IFERROR(__xludf.DUMMYFUNCTION("""COMPUTED_VALUE"""),"-")</f>
        <v>-</v>
      </c>
      <c r="F749" s="1" t="str">
        <f ca="1">IFERROR(__xludf.DUMMYFUNCTION("""COMPUTED_VALUE"""),"Drogaria Ara Araujo")</f>
        <v>Drogaria Ara Araujo</v>
      </c>
      <c r="G749" s="1" t="str">
        <f ca="1">IFERROR(__xludf.DUMMYFUNCTION("""COMPUTED_VALUE"""),"Farmácia")</f>
        <v>Farmácia</v>
      </c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6">
        <f ca="1">IFERROR(__xludf.DUMMYFUNCTION("""COMPUTED_VALUE"""),45931)</f>
        <v>45931</v>
      </c>
      <c r="B750" s="1" t="str">
        <f ca="1">IFERROR(__xludf.DUMMYFUNCTION("""COMPUTED_VALUE"""),"-")</f>
        <v>-</v>
      </c>
      <c r="C750" s="1">
        <f ca="1">IFERROR(__xludf.DUMMYFUNCTION("""COMPUTED_VALUE"""),99)</f>
        <v>99</v>
      </c>
      <c r="D750" s="2">
        <f ca="1">IFERROR(__xludf.DUMMYFUNCTION("""COMPUTED_VALUE"""),11.7)</f>
        <v>11.7</v>
      </c>
      <c r="E750" s="1" t="str">
        <f ca="1">IFERROR(__xludf.DUMMYFUNCTION("""COMPUTED_VALUE"""),"-")</f>
        <v>-</v>
      </c>
      <c r="F750" s="1" t="str">
        <f ca="1">IFERROR(__xludf.DUMMYFUNCTION("""COMPUTED_VALUE"""),"99")</f>
        <v>99</v>
      </c>
      <c r="G750" s="1" t="str">
        <f ca="1">IFERROR(__xludf.DUMMYFUNCTION("""COMPUTED_VALUE"""),"Uber/99")</f>
        <v>Uber/99</v>
      </c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6">
        <f ca="1">IFERROR(__xludf.DUMMYFUNCTION("""COMPUTED_VALUE"""),45931)</f>
        <v>45931</v>
      </c>
      <c r="B751" s="1" t="str">
        <f ca="1">IFERROR(__xludf.DUMMYFUNCTION("""COMPUTED_VALUE"""),"-")</f>
        <v>-</v>
      </c>
      <c r="C751" s="1">
        <f ca="1">IFERROR(__xludf.DUMMYFUNCTION("""COMPUTED_VALUE"""),99)</f>
        <v>99</v>
      </c>
      <c r="D751" s="2">
        <f ca="1">IFERROR(__xludf.DUMMYFUNCTION("""COMPUTED_VALUE"""),12.7)</f>
        <v>12.7</v>
      </c>
      <c r="E751" s="1" t="str">
        <f ca="1">IFERROR(__xludf.DUMMYFUNCTION("""COMPUTED_VALUE"""),"-")</f>
        <v>-</v>
      </c>
      <c r="F751" s="1" t="str">
        <f ca="1">IFERROR(__xludf.DUMMYFUNCTION("""COMPUTED_VALUE"""),"99")</f>
        <v>99</v>
      </c>
      <c r="G751" s="1" t="str">
        <f ca="1">IFERROR(__xludf.DUMMYFUNCTION("""COMPUTED_VALUE"""),"Uber/99")</f>
        <v>Uber/99</v>
      </c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6">
        <f ca="1">IFERROR(__xludf.DUMMYFUNCTION("""COMPUTED_VALUE"""),45931)</f>
        <v>45931</v>
      </c>
      <c r="B752" s="1" t="str">
        <f ca="1">IFERROR(__xludf.DUMMYFUNCTION("""COMPUTED_VALUE"""),"-")</f>
        <v>-</v>
      </c>
      <c r="C752" s="1" t="str">
        <f ca="1">IFERROR(__xludf.DUMMYFUNCTION("""COMPUTED_VALUE"""),"Drogaria Ara Araujo")</f>
        <v>Drogaria Ara Araujo</v>
      </c>
      <c r="D752" s="2">
        <f ca="1">IFERROR(__xludf.DUMMYFUNCTION("""COMPUTED_VALUE"""),18.98)</f>
        <v>18.98</v>
      </c>
      <c r="E752" s="1" t="str">
        <f ca="1">IFERROR(__xludf.DUMMYFUNCTION("""COMPUTED_VALUE"""),"-")</f>
        <v>-</v>
      </c>
      <c r="F752" s="1" t="str">
        <f ca="1">IFERROR(__xludf.DUMMYFUNCTION("""COMPUTED_VALUE"""),"Drogaria Ara Araujo")</f>
        <v>Drogaria Ara Araujo</v>
      </c>
      <c r="G752" s="1" t="str">
        <f ca="1">IFERROR(__xludf.DUMMYFUNCTION("""COMPUTED_VALUE"""),"Farmácia")</f>
        <v>Farmácia</v>
      </c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6">
        <f ca="1">IFERROR(__xludf.DUMMYFUNCTION("""COMPUTED_VALUE"""),45931)</f>
        <v>45931</v>
      </c>
      <c r="B753" s="1" t="str">
        <f ca="1">IFERROR(__xludf.DUMMYFUNCTION("""COMPUTED_VALUE"""),"-")</f>
        <v>-</v>
      </c>
      <c r="C753" s="1" t="str">
        <f ca="1">IFERROR(__xludf.DUMMYFUNCTION("""COMPUTED_VALUE"""),"Locaweb")</f>
        <v>Locaweb</v>
      </c>
      <c r="D753" s="2">
        <f ca="1">IFERROR(__xludf.DUMMYFUNCTION("""COMPUTED_VALUE"""),26.9)</f>
        <v>26.9</v>
      </c>
      <c r="E753" s="1" t="str">
        <f ca="1">IFERROR(__xludf.DUMMYFUNCTION("""COMPUTED_VALUE"""),"-")</f>
        <v>-</v>
      </c>
      <c r="F753" s="1" t="str">
        <f ca="1">IFERROR(__xludf.DUMMYFUNCTION("""COMPUTED_VALUE"""),"Locaweb")</f>
        <v>Locaweb</v>
      </c>
      <c r="G753" s="1" t="str">
        <f ca="1">IFERROR(__xludf.DUMMYFUNCTION("""COMPUTED_VALUE"""),"-")</f>
        <v>-</v>
      </c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6">
        <f ca="1">IFERROR(__xludf.DUMMYFUNCTION("""COMPUTED_VALUE"""),45931)</f>
        <v>45931</v>
      </c>
      <c r="B754" s="1" t="str">
        <f ca="1">IFERROR(__xludf.DUMMYFUNCTION("""COMPUTED_VALUE"""),"-")</f>
        <v>-</v>
      </c>
      <c r="C754" s="1" t="str">
        <f ca="1">IFERROR(__xludf.DUMMYFUNCTION("""COMPUTED_VALUE"""),"Shopee")</f>
        <v>Shopee</v>
      </c>
      <c r="D754" s="2">
        <f ca="1">IFERROR(__xludf.DUMMYFUNCTION("""COMPUTED_VALUE"""),13.14)</f>
        <v>13.14</v>
      </c>
      <c r="E754" s="1" t="str">
        <f ca="1">IFERROR(__xludf.DUMMYFUNCTION("""COMPUTED_VALUE"""),"-")</f>
        <v>-</v>
      </c>
      <c r="F754" s="1" t="str">
        <f ca="1">IFERROR(__xludf.DUMMYFUNCTION("""COMPUTED_VALUE"""),"Shopee")</f>
        <v>Shopee</v>
      </c>
      <c r="G754" s="1" t="str">
        <f ca="1">IFERROR(__xludf.DUMMYFUNCTION("""COMPUTED_VALUE"""),"Compras")</f>
        <v>Compras</v>
      </c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6">
        <f ca="1">IFERROR(__xludf.DUMMYFUNCTION("""COMPUTED_VALUE"""),45931)</f>
        <v>45931</v>
      </c>
      <c r="B755" s="1" t="str">
        <f ca="1">IFERROR(__xludf.DUMMYFUNCTION("""COMPUTED_VALUE"""),"-")</f>
        <v>-</v>
      </c>
      <c r="C755" s="1" t="str">
        <f ca="1">IFERROR(__xludf.DUMMYFUNCTION("""COMPUTED_VALUE"""),"Amazonmktplc Zidineiaa")</f>
        <v>Amazonmktplc Zidineiaa</v>
      </c>
      <c r="D755" s="2">
        <f ca="1">IFERROR(__xludf.DUMMYFUNCTION("""COMPUTED_VALUE"""),78.99)</f>
        <v>78.989999999999995</v>
      </c>
      <c r="E755" s="1" t="str">
        <f ca="1">IFERROR(__xludf.DUMMYFUNCTION("""COMPUTED_VALUE"""),"-")</f>
        <v>-</v>
      </c>
      <c r="F755" s="1" t="str">
        <f ca="1">IFERROR(__xludf.DUMMYFUNCTION("""COMPUTED_VALUE"""),"Amazonmktplc")</f>
        <v>Amazonmktplc</v>
      </c>
      <c r="G755" s="1" t="str">
        <f ca="1">IFERROR(__xludf.DUMMYFUNCTION("""COMPUTED_VALUE"""),"Compras")</f>
        <v>Compras</v>
      </c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6">
        <f ca="1">IFERROR(__xludf.DUMMYFUNCTION("""COMPUTED_VALUE"""),45931)</f>
        <v>45931</v>
      </c>
      <c r="B756" s="1" t="str">
        <f ca="1">IFERROR(__xludf.DUMMYFUNCTION("""COMPUTED_VALUE"""),"-")</f>
        <v>-</v>
      </c>
      <c r="C756" s="1" t="str">
        <f ca="1">IFERROR(__xludf.DUMMYFUNCTION("""COMPUTED_VALUE"""),"Drogaria Araujo")</f>
        <v>Drogaria Araujo</v>
      </c>
      <c r="D756" s="2">
        <f ca="1">IFERROR(__xludf.DUMMYFUNCTION("""COMPUTED_VALUE"""),3.87)</f>
        <v>3.87</v>
      </c>
      <c r="E756" s="1" t="str">
        <f ca="1">IFERROR(__xludf.DUMMYFUNCTION("""COMPUTED_VALUE"""),"-")</f>
        <v>-</v>
      </c>
      <c r="F756" s="1" t="str">
        <f ca="1">IFERROR(__xludf.DUMMYFUNCTION("""COMPUTED_VALUE"""),"Drogaria Araujo")</f>
        <v>Drogaria Araujo</v>
      </c>
      <c r="G756" s="1" t="str">
        <f ca="1">IFERROR(__xludf.DUMMYFUNCTION("""COMPUTED_VALUE"""),"Farmácia")</f>
        <v>Farmácia</v>
      </c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6">
        <f ca="1">IFERROR(__xludf.DUMMYFUNCTION("""COMPUTED_VALUE"""),45931)</f>
        <v>45931</v>
      </c>
      <c r="B757" s="1" t="str">
        <f ca="1">IFERROR(__xludf.DUMMYFUNCTION("""COMPUTED_VALUE"""),"-")</f>
        <v>-</v>
      </c>
      <c r="C757" s="1" t="str">
        <f ca="1">IFERROR(__xludf.DUMMYFUNCTION("""COMPUTED_VALUE"""),"Drogaria Araujo")</f>
        <v>Drogaria Araujo</v>
      </c>
      <c r="D757" s="2">
        <f ca="1">IFERROR(__xludf.DUMMYFUNCTION("""COMPUTED_VALUE"""),7.99)</f>
        <v>7.99</v>
      </c>
      <c r="E757" s="1" t="str">
        <f ca="1">IFERROR(__xludf.DUMMYFUNCTION("""COMPUTED_VALUE"""),"-")</f>
        <v>-</v>
      </c>
      <c r="F757" s="1" t="str">
        <f ca="1">IFERROR(__xludf.DUMMYFUNCTION("""COMPUTED_VALUE"""),"Drogaria Araujo")</f>
        <v>Drogaria Araujo</v>
      </c>
      <c r="G757" s="1" t="str">
        <f ca="1">IFERROR(__xludf.DUMMYFUNCTION("""COMPUTED_VALUE"""),"Farmácia")</f>
        <v>Farmácia</v>
      </c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6">
        <f ca="1">IFERROR(__xludf.DUMMYFUNCTION("""COMPUTED_VALUE"""),45931)</f>
        <v>45931</v>
      </c>
      <c r="B758" s="1" t="str">
        <f ca="1">IFERROR(__xludf.DUMMYFUNCTION("""COMPUTED_VALUE"""),"-")</f>
        <v>-</v>
      </c>
      <c r="C758" s="1" t="str">
        <f ca="1">IFERROR(__xludf.DUMMYFUNCTION("""COMPUTED_VALUE"""),"Rizzo Horizonte")</f>
        <v>Rizzo Horizonte</v>
      </c>
      <c r="D758" s="2">
        <f ca="1">IFERROR(__xludf.DUMMYFUNCTION("""COMPUTED_VALUE"""),32.4)</f>
        <v>32.4</v>
      </c>
      <c r="E758" s="1" t="str">
        <f ca="1">IFERROR(__xludf.DUMMYFUNCTION("""COMPUTED_VALUE"""),"-")</f>
        <v>-</v>
      </c>
      <c r="F758" s="1" t="str">
        <f ca="1">IFERROR(__xludf.DUMMYFUNCTION("""COMPUTED_VALUE"""),"Rizzo Horizonte")</f>
        <v>Rizzo Horizonte</v>
      </c>
      <c r="G758" s="1" t="str">
        <f ca="1">IFERROR(__xludf.DUMMYFUNCTION("""COMPUTED_VALUE"""),"-")</f>
        <v>-</v>
      </c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6">
        <f ca="1">IFERROR(__xludf.DUMMYFUNCTION("""COMPUTED_VALUE"""),45931)</f>
        <v>45931</v>
      </c>
      <c r="B759" s="1" t="str">
        <f ca="1">IFERROR(__xludf.DUMMYFUNCTION("""COMPUTED_VALUE"""),"-")</f>
        <v>-</v>
      </c>
      <c r="C759" s="1" t="str">
        <f ca="1">IFERROR(__xludf.DUMMYFUNCTION("""COMPUTED_VALUE"""),"Super Nosso (2/2)")</f>
        <v>Super Nosso (2/2)</v>
      </c>
      <c r="D759" s="2">
        <f ca="1">IFERROR(__xludf.DUMMYFUNCTION("""COMPUTED_VALUE"""),210.01)</f>
        <v>210.01</v>
      </c>
      <c r="E759" s="1" t="str">
        <f ca="1">IFERROR(__xludf.DUMMYFUNCTION("""COMPUTED_VALUE"""),"-")</f>
        <v>-</v>
      </c>
      <c r="F759" s="1" t="str">
        <f ca="1">IFERROR(__xludf.DUMMYFUNCTION("""COMPUTED_VALUE"""),"Super Nosso")</f>
        <v>Super Nosso</v>
      </c>
      <c r="G759" s="1" t="str">
        <f ca="1">IFERROR(__xludf.DUMMYFUNCTION("""COMPUTED_VALUE"""),"Supermercado")</f>
        <v>Supermercado</v>
      </c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6">
        <f ca="1">IFERROR(__xludf.DUMMYFUNCTION("""COMPUTED_VALUE"""),45931)</f>
        <v>45931</v>
      </c>
      <c r="B760" s="1" t="str">
        <f ca="1">IFERROR(__xludf.DUMMYFUNCTION("""COMPUTED_VALUE"""),"-")</f>
        <v>-</v>
      </c>
      <c r="C760" s="1" t="str">
        <f ca="1">IFERROR(__xludf.DUMMYFUNCTION("""COMPUTED_VALUE"""),"Super Nosso (1/2)")</f>
        <v>Super Nosso (1/2)</v>
      </c>
      <c r="D760" s="2">
        <f ca="1">IFERROR(__xludf.DUMMYFUNCTION("""COMPUTED_VALUE"""),210.01)</f>
        <v>210.01</v>
      </c>
      <c r="E760" s="1" t="str">
        <f ca="1">IFERROR(__xludf.DUMMYFUNCTION("""COMPUTED_VALUE"""),"-")</f>
        <v>-</v>
      </c>
      <c r="F760" s="1" t="str">
        <f ca="1">IFERROR(__xludf.DUMMYFUNCTION("""COMPUTED_VALUE"""),"Super Nosso")</f>
        <v>Super Nosso</v>
      </c>
      <c r="G760" s="1" t="str">
        <f ca="1">IFERROR(__xludf.DUMMYFUNCTION("""COMPUTED_VALUE"""),"Supermercado")</f>
        <v>Supermercado</v>
      </c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6">
        <f ca="1">IFERROR(__xludf.DUMMYFUNCTION("""COMPUTED_VALUE"""),45931)</f>
        <v>45931</v>
      </c>
      <c r="B761" s="1" t="str">
        <f ca="1">IFERROR(__xludf.DUMMYFUNCTION("""COMPUTED_VALUE"""),"-")</f>
        <v>-</v>
      </c>
      <c r="C761" s="1" t="str">
        <f ca="1">IFERROR(__xludf.DUMMYFUNCTION("""COMPUTED_VALUE"""),"Laserxinforma (1/12)")</f>
        <v>Laserxinforma (1/12)</v>
      </c>
      <c r="D761" s="2">
        <f ca="1">IFERROR(__xludf.DUMMYFUNCTION("""COMPUTED_VALUE"""),76.5)</f>
        <v>76.5</v>
      </c>
      <c r="E761" s="1" t="str">
        <f ca="1">IFERROR(__xludf.DUMMYFUNCTION("""COMPUTED_VALUE"""),"-")</f>
        <v>-</v>
      </c>
      <c r="F761" s="1" t="str">
        <f ca="1">IFERROR(__xludf.DUMMYFUNCTION("""COMPUTED_VALUE"""),"Laserxinforma")</f>
        <v>Laserxinforma</v>
      </c>
      <c r="G761" s="1" t="str">
        <f ca="1">IFERROR(__xludf.DUMMYFUNCTION("""COMPUTED_VALUE"""),"-")</f>
        <v>-</v>
      </c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6">
        <f ca="1">IFERROR(__xludf.DUMMYFUNCTION("""COMPUTED_VALUE"""),45931)</f>
        <v>45931</v>
      </c>
      <c r="B762" s="1" t="str">
        <f ca="1">IFERROR(__xludf.DUMMYFUNCTION("""COMPUTED_VALUE"""),"-")</f>
        <v>-</v>
      </c>
      <c r="C762" s="1" t="str">
        <f ca="1">IFERROR(__xludf.DUMMYFUNCTION("""COMPUTED_VALUE"""),"Amazon")</f>
        <v>Amazon</v>
      </c>
      <c r="D762" s="2">
        <f ca="1">IFERROR(__xludf.DUMMYFUNCTION("""COMPUTED_VALUE"""),13.72)</f>
        <v>13.72</v>
      </c>
      <c r="E762" s="1" t="str">
        <f ca="1">IFERROR(__xludf.DUMMYFUNCTION("""COMPUTED_VALUE"""),"-")</f>
        <v>-</v>
      </c>
      <c r="F762" s="1" t="str">
        <f ca="1">IFERROR(__xludf.DUMMYFUNCTION("""COMPUTED_VALUE"""),"Amazon")</f>
        <v>Amazon</v>
      </c>
      <c r="G762" s="1" t="str">
        <f ca="1">IFERROR(__xludf.DUMMYFUNCTION("""COMPUTED_VALUE"""),"Compras")</f>
        <v>Compras</v>
      </c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6">
        <f ca="1">IFERROR(__xludf.DUMMYFUNCTION("""COMPUTED_VALUE"""),45931)</f>
        <v>45931</v>
      </c>
      <c r="B763" s="1" t="str">
        <f ca="1">IFERROR(__xludf.DUMMYFUNCTION("""COMPUTED_VALUE"""),"-")</f>
        <v>-</v>
      </c>
      <c r="C763" s="1" t="str">
        <f ca="1">IFERROR(__xludf.DUMMYFUNCTION("""COMPUTED_VALUE"""),"Amazon")</f>
        <v>Amazon</v>
      </c>
      <c r="D763" s="2">
        <f ca="1">IFERROR(__xludf.DUMMYFUNCTION("""COMPUTED_VALUE"""),70.08)</f>
        <v>70.08</v>
      </c>
      <c r="E763" s="1" t="str">
        <f ca="1">IFERROR(__xludf.DUMMYFUNCTION("""COMPUTED_VALUE"""),"-")</f>
        <v>-</v>
      </c>
      <c r="F763" s="1" t="str">
        <f ca="1">IFERROR(__xludf.DUMMYFUNCTION("""COMPUTED_VALUE"""),"Amazon")</f>
        <v>Amazon</v>
      </c>
      <c r="G763" s="1" t="str">
        <f ca="1">IFERROR(__xludf.DUMMYFUNCTION("""COMPUTED_VALUE"""),"Compras")</f>
        <v>Compras</v>
      </c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6">
        <f ca="1">IFERROR(__xludf.DUMMYFUNCTION("""COMPUTED_VALUE"""),45931)</f>
        <v>45931</v>
      </c>
      <c r="B764" s="1" t="str">
        <f ca="1">IFERROR(__xludf.DUMMYFUNCTION("""COMPUTED_VALUE"""),"-")</f>
        <v>-</v>
      </c>
      <c r="C764" s="1" t="str">
        <f ca="1">IFERROR(__xludf.DUMMYFUNCTION("""COMPUTED_VALUE"""),"Spotify")</f>
        <v>Spotify</v>
      </c>
      <c r="D764" s="2">
        <f ca="1">IFERROR(__xludf.DUMMYFUNCTION("""COMPUTED_VALUE"""),40.9)</f>
        <v>40.9</v>
      </c>
      <c r="E764" s="1" t="str">
        <f ca="1">IFERROR(__xludf.DUMMYFUNCTION("""COMPUTED_VALUE"""),"-")</f>
        <v>-</v>
      </c>
      <c r="F764" s="1" t="str">
        <f ca="1">IFERROR(__xludf.DUMMYFUNCTION("""COMPUTED_VALUE"""),"Spotify")</f>
        <v>Spotify</v>
      </c>
      <c r="G764" s="1" t="str">
        <f ca="1">IFERROR(__xludf.DUMMYFUNCTION("""COMPUTED_VALUE"""),"Assinatura")</f>
        <v>Assinatura</v>
      </c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6">
        <f ca="1">IFERROR(__xludf.DUMMYFUNCTION("""COMPUTED_VALUE"""),45931)</f>
        <v>45931</v>
      </c>
      <c r="B765" s="1" t="str">
        <f ca="1">IFERROR(__xludf.DUMMYFUNCTION("""COMPUTED_VALUE"""),"-")</f>
        <v>-</v>
      </c>
      <c r="C765" s="1" t="str">
        <f ca="1">IFERROR(__xludf.DUMMYFUNCTION("""COMPUTED_VALUE"""),"Choky Confeitaria")</f>
        <v>Choky Confeitaria</v>
      </c>
      <c r="D765" s="2">
        <f ca="1">IFERROR(__xludf.DUMMYFUNCTION("""COMPUTED_VALUE"""),21)</f>
        <v>21</v>
      </c>
      <c r="E765" s="1" t="str">
        <f ca="1">IFERROR(__xludf.DUMMYFUNCTION("""COMPUTED_VALUE"""),"-")</f>
        <v>-</v>
      </c>
      <c r="F765" s="1" t="str">
        <f ca="1">IFERROR(__xludf.DUMMYFUNCTION("""COMPUTED_VALUE"""),"Choky Confeitaria")</f>
        <v>Choky Confeitaria</v>
      </c>
      <c r="G765" s="1" t="str">
        <f ca="1">IFERROR(__xludf.DUMMYFUNCTION("""COMPUTED_VALUE"""),"-")</f>
        <v>-</v>
      </c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6">
        <f ca="1">IFERROR(__xludf.DUMMYFUNCTION("""COMPUTED_VALUE"""),45931)</f>
        <v>45931</v>
      </c>
      <c r="B766" s="1" t="str">
        <f ca="1">IFERROR(__xludf.DUMMYFUNCTION("""COMPUTED_VALUE"""),"-")</f>
        <v>-</v>
      </c>
      <c r="C766" s="1">
        <f ca="1">IFERROR(__xludf.DUMMYFUNCTION("""COMPUTED_VALUE"""),99)</f>
        <v>99</v>
      </c>
      <c r="D766" s="2">
        <f ca="1">IFERROR(__xludf.DUMMYFUNCTION("""COMPUTED_VALUE"""),19.8)</f>
        <v>19.8</v>
      </c>
      <c r="E766" s="1" t="str">
        <f ca="1">IFERROR(__xludf.DUMMYFUNCTION("""COMPUTED_VALUE"""),"-")</f>
        <v>-</v>
      </c>
      <c r="F766" s="1" t="str">
        <f ca="1">IFERROR(__xludf.DUMMYFUNCTION("""COMPUTED_VALUE"""),"99")</f>
        <v>99</v>
      </c>
      <c r="G766" s="1" t="str">
        <f ca="1">IFERROR(__xludf.DUMMYFUNCTION("""COMPUTED_VALUE"""),"Uber/99")</f>
        <v>Uber/99</v>
      </c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6">
        <f ca="1">IFERROR(__xludf.DUMMYFUNCTION("""COMPUTED_VALUE"""),45931)</f>
        <v>45931</v>
      </c>
      <c r="B767" s="1" t="str">
        <f ca="1">IFERROR(__xludf.DUMMYFUNCTION("""COMPUTED_VALUE"""),"-")</f>
        <v>-</v>
      </c>
      <c r="C767" s="1" t="str">
        <f ca="1">IFERROR(__xludf.DUMMYFUNCTION("""COMPUTED_VALUE"""),"Uber")</f>
        <v>Uber</v>
      </c>
      <c r="D767" s="2">
        <f ca="1">IFERROR(__xludf.DUMMYFUNCTION("""COMPUTED_VALUE"""),26.32)</f>
        <v>26.32</v>
      </c>
      <c r="E767" s="1" t="str">
        <f ca="1">IFERROR(__xludf.DUMMYFUNCTION("""COMPUTED_VALUE"""),"-")</f>
        <v>-</v>
      </c>
      <c r="F767" s="1" t="str">
        <f ca="1">IFERROR(__xludf.DUMMYFUNCTION("""COMPUTED_VALUE"""),"Uber")</f>
        <v>Uber</v>
      </c>
      <c r="G767" s="1" t="str">
        <f ca="1">IFERROR(__xludf.DUMMYFUNCTION("""COMPUTED_VALUE"""),"Uber/99")</f>
        <v>Uber/99</v>
      </c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6">
        <f ca="1">IFERROR(__xludf.DUMMYFUNCTION("""COMPUTED_VALUE"""),45931)</f>
        <v>45931</v>
      </c>
      <c r="B768" s="1" t="str">
        <f ca="1">IFERROR(__xludf.DUMMYFUNCTION("""COMPUTED_VALUE"""),"-")</f>
        <v>-</v>
      </c>
      <c r="C768" s="1" t="str">
        <f ca="1">IFERROR(__xludf.DUMMYFUNCTION("""COMPUTED_VALUE"""),"Uber")</f>
        <v>Uber</v>
      </c>
      <c r="D768" s="2">
        <f ca="1">IFERROR(__xludf.DUMMYFUNCTION("""COMPUTED_VALUE"""),22.25)</f>
        <v>22.25</v>
      </c>
      <c r="E768" s="1" t="str">
        <f ca="1">IFERROR(__xludf.DUMMYFUNCTION("""COMPUTED_VALUE"""),"-")</f>
        <v>-</v>
      </c>
      <c r="F768" s="1" t="str">
        <f ca="1">IFERROR(__xludf.DUMMYFUNCTION("""COMPUTED_VALUE"""),"Uber")</f>
        <v>Uber</v>
      </c>
      <c r="G768" s="1" t="str">
        <f ca="1">IFERROR(__xludf.DUMMYFUNCTION("""COMPUTED_VALUE"""),"Uber/99")</f>
        <v>Uber/99</v>
      </c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6">
        <f ca="1">IFERROR(__xludf.DUMMYFUNCTION("""COMPUTED_VALUE"""),45931)</f>
        <v>45931</v>
      </c>
      <c r="B769" s="1" t="str">
        <f ca="1">IFERROR(__xludf.DUMMYFUNCTION("""COMPUTED_VALUE"""),"-")</f>
        <v>-</v>
      </c>
      <c r="C769" s="1" t="str">
        <f ca="1">IFERROR(__xludf.DUMMYFUNCTION("""COMPUTED_VALUE"""),"Amazon")</f>
        <v>Amazon</v>
      </c>
      <c r="D769" s="2">
        <f ca="1">IFERROR(__xludf.DUMMYFUNCTION("""COMPUTED_VALUE"""),9.91)</f>
        <v>9.91</v>
      </c>
      <c r="E769" s="1" t="str">
        <f ca="1">IFERROR(__xludf.DUMMYFUNCTION("""COMPUTED_VALUE"""),"-")</f>
        <v>-</v>
      </c>
      <c r="F769" s="1" t="str">
        <f ca="1">IFERROR(__xludf.DUMMYFUNCTION("""COMPUTED_VALUE"""),"Amazon")</f>
        <v>Amazon</v>
      </c>
      <c r="G769" s="1" t="str">
        <f ca="1">IFERROR(__xludf.DUMMYFUNCTION("""COMPUTED_VALUE"""),"Compras")</f>
        <v>Compras</v>
      </c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6">
        <f ca="1">IFERROR(__xludf.DUMMYFUNCTION("""COMPUTED_VALUE"""),45931)</f>
        <v>45931</v>
      </c>
      <c r="B770" s="1" t="str">
        <f ca="1">IFERROR(__xludf.DUMMYFUNCTION("""COMPUTED_VALUE"""),"-")</f>
        <v>-</v>
      </c>
      <c r="C770" s="1">
        <f ca="1">IFERROR(__xludf.DUMMYFUNCTION("""COMPUTED_VALUE"""),99)</f>
        <v>99</v>
      </c>
      <c r="D770" s="2">
        <f ca="1">IFERROR(__xludf.DUMMYFUNCTION("""COMPUTED_VALUE"""),12.69)</f>
        <v>12.69</v>
      </c>
      <c r="E770" s="1" t="str">
        <f ca="1">IFERROR(__xludf.DUMMYFUNCTION("""COMPUTED_VALUE"""),"-")</f>
        <v>-</v>
      </c>
      <c r="F770" s="1" t="str">
        <f ca="1">IFERROR(__xludf.DUMMYFUNCTION("""COMPUTED_VALUE"""),"99")</f>
        <v>99</v>
      </c>
      <c r="G770" s="1" t="str">
        <f ca="1">IFERROR(__xludf.DUMMYFUNCTION("""COMPUTED_VALUE"""),"Uber/99")</f>
        <v>Uber/99</v>
      </c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6">
        <f ca="1">IFERROR(__xludf.DUMMYFUNCTION("""COMPUTED_VALUE"""),45931)</f>
        <v>45931</v>
      </c>
      <c r="B771" s="1" t="str">
        <f ca="1">IFERROR(__xludf.DUMMYFUNCTION("""COMPUTED_VALUE"""),"-")</f>
        <v>-</v>
      </c>
      <c r="C771" s="1" t="str">
        <f ca="1">IFERROR(__xludf.DUMMYFUNCTION("""COMPUTED_VALUE"""),"Amazon")</f>
        <v>Amazon</v>
      </c>
      <c r="D771" s="2">
        <f ca="1">IFERROR(__xludf.DUMMYFUNCTION("""COMPUTED_VALUE"""),22.79)</f>
        <v>22.79</v>
      </c>
      <c r="E771" s="1" t="str">
        <f ca="1">IFERROR(__xludf.DUMMYFUNCTION("""COMPUTED_VALUE"""),"-")</f>
        <v>-</v>
      </c>
      <c r="F771" s="1" t="str">
        <f ca="1">IFERROR(__xludf.DUMMYFUNCTION("""COMPUTED_VALUE"""),"Amazon")</f>
        <v>Amazon</v>
      </c>
      <c r="G771" s="1" t="str">
        <f ca="1">IFERROR(__xludf.DUMMYFUNCTION("""COMPUTED_VALUE"""),"Compras")</f>
        <v>Compras</v>
      </c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6">
        <f ca="1">IFERROR(__xludf.DUMMYFUNCTION("""COMPUTED_VALUE"""),45931)</f>
        <v>45931</v>
      </c>
      <c r="B772" s="1" t="str">
        <f ca="1">IFERROR(__xludf.DUMMYFUNCTION("""COMPUTED_VALUE"""),"-")</f>
        <v>-</v>
      </c>
      <c r="C772" s="1" t="str">
        <f ca="1">IFERROR(__xludf.DUMMYFUNCTION("""COMPUTED_VALUE"""),"Amazon")</f>
        <v>Amazon</v>
      </c>
      <c r="D772" s="2">
        <f ca="1">IFERROR(__xludf.DUMMYFUNCTION("""COMPUTED_VALUE"""),18.96)</f>
        <v>18.96</v>
      </c>
      <c r="E772" s="1" t="str">
        <f ca="1">IFERROR(__xludf.DUMMYFUNCTION("""COMPUTED_VALUE"""),"-")</f>
        <v>-</v>
      </c>
      <c r="F772" s="1" t="str">
        <f ca="1">IFERROR(__xludf.DUMMYFUNCTION("""COMPUTED_VALUE"""),"Amazon")</f>
        <v>Amazon</v>
      </c>
      <c r="G772" s="1" t="str">
        <f ca="1">IFERROR(__xludf.DUMMYFUNCTION("""COMPUTED_VALUE"""),"Compras")</f>
        <v>Compras</v>
      </c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6">
        <f ca="1">IFERROR(__xludf.DUMMYFUNCTION("""COMPUTED_VALUE"""),45931)</f>
        <v>45931</v>
      </c>
      <c r="B773" s="1" t="str">
        <f ca="1">IFERROR(__xludf.DUMMYFUNCTION("""COMPUTED_VALUE"""),"-")</f>
        <v>-</v>
      </c>
      <c r="C773" s="1">
        <f ca="1">IFERROR(__xludf.DUMMYFUNCTION("""COMPUTED_VALUE"""),99)</f>
        <v>99</v>
      </c>
      <c r="D773" s="2">
        <f ca="1">IFERROR(__xludf.DUMMYFUNCTION("""COMPUTED_VALUE"""),18.9)</f>
        <v>18.899999999999999</v>
      </c>
      <c r="E773" s="1" t="str">
        <f ca="1">IFERROR(__xludf.DUMMYFUNCTION("""COMPUTED_VALUE"""),"-")</f>
        <v>-</v>
      </c>
      <c r="F773" s="1" t="str">
        <f ca="1">IFERROR(__xludf.DUMMYFUNCTION("""COMPUTED_VALUE"""),"99")</f>
        <v>99</v>
      </c>
      <c r="G773" s="1" t="str">
        <f ca="1">IFERROR(__xludf.DUMMYFUNCTION("""COMPUTED_VALUE"""),"Uber/99")</f>
        <v>Uber/99</v>
      </c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6">
        <f ca="1">IFERROR(__xludf.DUMMYFUNCTION("""COMPUTED_VALUE"""),45931)</f>
        <v>45931</v>
      </c>
      <c r="B774" s="1" t="str">
        <f ca="1">IFERROR(__xludf.DUMMYFUNCTION("""COMPUTED_VALUE"""),"-")</f>
        <v>-</v>
      </c>
      <c r="C774" s="1">
        <f ca="1">IFERROR(__xludf.DUMMYFUNCTION("""COMPUTED_VALUE"""),99)</f>
        <v>99</v>
      </c>
      <c r="D774" s="2">
        <f ca="1">IFERROR(__xludf.DUMMYFUNCTION("""COMPUTED_VALUE"""),17.6)</f>
        <v>17.600000000000001</v>
      </c>
      <c r="E774" s="1" t="str">
        <f ca="1">IFERROR(__xludf.DUMMYFUNCTION("""COMPUTED_VALUE"""),"-")</f>
        <v>-</v>
      </c>
      <c r="F774" s="1" t="str">
        <f ca="1">IFERROR(__xludf.DUMMYFUNCTION("""COMPUTED_VALUE"""),"99")</f>
        <v>99</v>
      </c>
      <c r="G774" s="1" t="str">
        <f ca="1">IFERROR(__xludf.DUMMYFUNCTION("""COMPUTED_VALUE"""),"Uber/99")</f>
        <v>Uber/99</v>
      </c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6">
        <f ca="1">IFERROR(__xludf.DUMMYFUNCTION("""COMPUTED_VALUE"""),45931)</f>
        <v>45931</v>
      </c>
      <c r="B775" s="1" t="str">
        <f ca="1">IFERROR(__xludf.DUMMYFUNCTION("""COMPUTED_VALUE"""),"-")</f>
        <v>-</v>
      </c>
      <c r="C775" s="1" t="str">
        <f ca="1">IFERROR(__xludf.DUMMYFUNCTION("""COMPUTED_VALUE"""),"Maru")</f>
        <v>Maru</v>
      </c>
      <c r="D775" s="2">
        <f ca="1">IFERROR(__xludf.DUMMYFUNCTION("""COMPUTED_VALUE"""),93.98)</f>
        <v>93.98</v>
      </c>
      <c r="E775" s="1" t="str">
        <f ca="1">IFERROR(__xludf.DUMMYFUNCTION("""COMPUTED_VALUE"""),"-")</f>
        <v>-</v>
      </c>
      <c r="F775" s="1" t="str">
        <f ca="1">IFERROR(__xludf.DUMMYFUNCTION("""COMPUTED_VALUE"""),"Maru")</f>
        <v>Maru</v>
      </c>
      <c r="G775" s="1" t="str">
        <f ca="1">IFERROR(__xludf.DUMMYFUNCTION("""COMPUTED_VALUE"""),"-")</f>
        <v>-</v>
      </c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6">
        <f ca="1">IFERROR(__xludf.DUMMYFUNCTION("""COMPUTED_VALUE"""),45931)</f>
        <v>45931</v>
      </c>
      <c r="B776" s="1" t="str">
        <f ca="1">IFERROR(__xludf.DUMMYFUNCTION("""COMPUTED_VALUE"""),"-")</f>
        <v>-</v>
      </c>
      <c r="C776" s="1">
        <f ca="1">IFERROR(__xludf.DUMMYFUNCTION("""COMPUTED_VALUE"""),99)</f>
        <v>99</v>
      </c>
      <c r="D776" s="2">
        <f ca="1">IFERROR(__xludf.DUMMYFUNCTION("""COMPUTED_VALUE"""),16.4)</f>
        <v>16.399999999999999</v>
      </c>
      <c r="E776" s="1" t="str">
        <f ca="1">IFERROR(__xludf.DUMMYFUNCTION("""COMPUTED_VALUE"""),"-")</f>
        <v>-</v>
      </c>
      <c r="F776" s="1" t="str">
        <f ca="1">IFERROR(__xludf.DUMMYFUNCTION("""COMPUTED_VALUE"""),"99")</f>
        <v>99</v>
      </c>
      <c r="G776" s="1" t="str">
        <f ca="1">IFERROR(__xludf.DUMMYFUNCTION("""COMPUTED_VALUE"""),"Uber/99")</f>
        <v>Uber/99</v>
      </c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6">
        <f ca="1">IFERROR(__xludf.DUMMYFUNCTION("""COMPUTED_VALUE"""),45931)</f>
        <v>45931</v>
      </c>
      <c r="B777" s="1" t="str">
        <f ca="1">IFERROR(__xludf.DUMMYFUNCTION("""COMPUTED_VALUE"""),"-")</f>
        <v>-</v>
      </c>
      <c r="C777" s="1" t="str">
        <f ca="1">IFERROR(__xludf.DUMMYFUNCTION("""COMPUTED_VALUE"""),"Dma Distribuidora Sa (3/3)")</f>
        <v>Dma Distribuidora Sa (3/3)</v>
      </c>
      <c r="D777" s="2">
        <f ca="1">IFERROR(__xludf.DUMMYFUNCTION("""COMPUTED_VALUE"""),96.74)</f>
        <v>96.74</v>
      </c>
      <c r="E777" s="1" t="str">
        <f ca="1">IFERROR(__xludf.DUMMYFUNCTION("""COMPUTED_VALUE"""),"-")</f>
        <v>-</v>
      </c>
      <c r="F777" s="1" t="str">
        <f ca="1">IFERROR(__xludf.DUMMYFUNCTION("""COMPUTED_VALUE"""),"Dma Distribuidora Sa")</f>
        <v>Dma Distribuidora Sa</v>
      </c>
      <c r="G777" s="1" t="str">
        <f ca="1">IFERROR(__xludf.DUMMYFUNCTION("""COMPUTED_VALUE"""),"Supermercado")</f>
        <v>Supermercado</v>
      </c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6">
        <f ca="1">IFERROR(__xludf.DUMMYFUNCTION("""COMPUTED_VALUE"""),45931)</f>
        <v>45931</v>
      </c>
      <c r="B778" s="1" t="str">
        <f ca="1">IFERROR(__xludf.DUMMYFUNCTION("""COMPUTED_VALUE"""),"-")</f>
        <v>-</v>
      </c>
      <c r="C778" s="1" t="str">
        <f ca="1">IFERROR(__xludf.DUMMYFUNCTION("""COMPUTED_VALUE"""),"Dma Distribuidora Sa (2/3)")</f>
        <v>Dma Distribuidora Sa (2/3)</v>
      </c>
      <c r="D778" s="2">
        <f ca="1">IFERROR(__xludf.DUMMYFUNCTION("""COMPUTED_VALUE"""),96.74)</f>
        <v>96.74</v>
      </c>
      <c r="E778" s="1" t="str">
        <f ca="1">IFERROR(__xludf.DUMMYFUNCTION("""COMPUTED_VALUE"""),"-")</f>
        <v>-</v>
      </c>
      <c r="F778" s="1" t="str">
        <f ca="1">IFERROR(__xludf.DUMMYFUNCTION("""COMPUTED_VALUE"""),"Dma Distribuidora Sa")</f>
        <v>Dma Distribuidora Sa</v>
      </c>
      <c r="G778" s="1" t="str">
        <f ca="1">IFERROR(__xludf.DUMMYFUNCTION("""COMPUTED_VALUE"""),"Supermercado")</f>
        <v>Supermercado</v>
      </c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6">
        <f ca="1">IFERROR(__xludf.DUMMYFUNCTION("""COMPUTED_VALUE"""),45931)</f>
        <v>45931</v>
      </c>
      <c r="B779" s="1" t="str">
        <f ca="1">IFERROR(__xludf.DUMMYFUNCTION("""COMPUTED_VALUE"""),"-")</f>
        <v>-</v>
      </c>
      <c r="C779" s="1" t="str">
        <f ca="1">IFERROR(__xludf.DUMMYFUNCTION("""COMPUTED_VALUE"""),"Dma Distribuidora Sa (1/3)")</f>
        <v>Dma Distribuidora Sa (1/3)</v>
      </c>
      <c r="D779" s="2">
        <f ca="1">IFERROR(__xludf.DUMMYFUNCTION("""COMPUTED_VALUE"""),96.76)</f>
        <v>96.76</v>
      </c>
      <c r="E779" s="1" t="str">
        <f ca="1">IFERROR(__xludf.DUMMYFUNCTION("""COMPUTED_VALUE"""),"-")</f>
        <v>-</v>
      </c>
      <c r="F779" s="1" t="str">
        <f ca="1">IFERROR(__xludf.DUMMYFUNCTION("""COMPUTED_VALUE"""),"Dma Distribuidora Sa")</f>
        <v>Dma Distribuidora Sa</v>
      </c>
      <c r="G779" s="1" t="str">
        <f ca="1">IFERROR(__xludf.DUMMYFUNCTION("""COMPUTED_VALUE"""),"Supermercado")</f>
        <v>Supermercado</v>
      </c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6">
        <f ca="1">IFERROR(__xludf.DUMMYFUNCTION("""COMPUTED_VALUE"""),45931)</f>
        <v>45931</v>
      </c>
      <c r="B780" s="1" t="str">
        <f ca="1">IFERROR(__xludf.DUMMYFUNCTION("""COMPUTED_VALUE"""),"-")</f>
        <v>-</v>
      </c>
      <c r="C780" s="1" t="str">
        <f ca="1">IFERROR(__xludf.DUMMYFUNCTION("""COMPUTED_VALUE"""),"Youtube")</f>
        <v>Youtube</v>
      </c>
      <c r="D780" s="2">
        <f ca="1">IFERROR(__xludf.DUMMYFUNCTION("""COMPUTED_VALUE"""),19.99)</f>
        <v>19.989999999999998</v>
      </c>
      <c r="E780" s="1" t="str">
        <f ca="1">IFERROR(__xludf.DUMMYFUNCTION("""COMPUTED_VALUE"""),"-")</f>
        <v>-</v>
      </c>
      <c r="F780" s="1" t="str">
        <f ca="1">IFERROR(__xludf.DUMMYFUNCTION("""COMPUTED_VALUE"""),"Youtube")</f>
        <v>Youtube</v>
      </c>
      <c r="G780" s="1" t="str">
        <f ca="1">IFERROR(__xludf.DUMMYFUNCTION("""COMPUTED_VALUE"""),"Assinatura")</f>
        <v>Assinatura</v>
      </c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6">
        <f ca="1">IFERROR(__xludf.DUMMYFUNCTION("""COMPUTED_VALUE"""),45931)</f>
        <v>45931</v>
      </c>
      <c r="B781" s="1" t="str">
        <f ca="1">IFERROR(__xludf.DUMMYFUNCTION("""COMPUTED_VALUE"""),"-")</f>
        <v>-</v>
      </c>
      <c r="C781" s="1" t="str">
        <f ca="1">IFERROR(__xludf.DUMMYFUNCTION("""COMPUTED_VALUE"""),"Drogaria Pacheco")</f>
        <v>Drogaria Pacheco</v>
      </c>
      <c r="D781" s="2">
        <f ca="1">IFERROR(__xludf.DUMMYFUNCTION("""COMPUTED_VALUE"""),70.49)</f>
        <v>70.489999999999995</v>
      </c>
      <c r="E781" s="1" t="str">
        <f ca="1">IFERROR(__xludf.DUMMYFUNCTION("""COMPUTED_VALUE"""),"-")</f>
        <v>-</v>
      </c>
      <c r="F781" s="1" t="str">
        <f ca="1">IFERROR(__xludf.DUMMYFUNCTION("""COMPUTED_VALUE"""),"Drogaria Pacheco")</f>
        <v>Drogaria Pacheco</v>
      </c>
      <c r="G781" s="1" t="str">
        <f ca="1">IFERROR(__xludf.DUMMYFUNCTION("""COMPUTED_VALUE"""),"Farmácia")</f>
        <v>Farmácia</v>
      </c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6">
        <f ca="1">IFERROR(__xludf.DUMMYFUNCTION("""COMPUTED_VALUE"""),45931)</f>
        <v>45931</v>
      </c>
      <c r="B782" s="1" t="str">
        <f ca="1">IFERROR(__xludf.DUMMYFUNCTION("""COMPUTED_VALUE"""),"-")</f>
        <v>-</v>
      </c>
      <c r="C782" s="1" t="str">
        <f ca="1">IFERROR(__xludf.DUMMYFUNCTION("""COMPUTED_VALUE"""),"Oakberry")</f>
        <v>Oakberry</v>
      </c>
      <c r="D782" s="2">
        <f ca="1">IFERROR(__xludf.DUMMYFUNCTION("""COMPUTED_VALUE"""),49.98)</f>
        <v>49.98</v>
      </c>
      <c r="E782" s="1" t="str">
        <f ca="1">IFERROR(__xludf.DUMMYFUNCTION("""COMPUTED_VALUE"""),"-")</f>
        <v>-</v>
      </c>
      <c r="F782" s="1" t="str">
        <f ca="1">IFERROR(__xludf.DUMMYFUNCTION("""COMPUTED_VALUE"""),"Oakberry")</f>
        <v>Oakberry</v>
      </c>
      <c r="G782" s="1" t="str">
        <f ca="1">IFERROR(__xludf.DUMMYFUNCTION("""COMPUTED_VALUE"""),"-")</f>
        <v>-</v>
      </c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6">
        <f ca="1">IFERROR(__xludf.DUMMYFUNCTION("""COMPUTED_VALUE"""),45931)</f>
        <v>45931</v>
      </c>
      <c r="B783" s="1" t="str">
        <f ca="1">IFERROR(__xludf.DUMMYFUNCTION("""COMPUTED_VALUE"""),"-")</f>
        <v>-</v>
      </c>
      <c r="C783" s="1" t="str">
        <f ca="1">IFERROR(__xludf.DUMMYFUNCTION("""COMPUTED_VALUE"""),"Uber")</f>
        <v>Uber</v>
      </c>
      <c r="D783" s="2">
        <f ca="1">IFERROR(__xludf.DUMMYFUNCTION("""COMPUTED_VALUE"""),17.97)</f>
        <v>17.97</v>
      </c>
      <c r="E783" s="1" t="str">
        <f ca="1">IFERROR(__xludf.DUMMYFUNCTION("""COMPUTED_VALUE"""),"-")</f>
        <v>-</v>
      </c>
      <c r="F783" s="1" t="str">
        <f ca="1">IFERROR(__xludf.DUMMYFUNCTION("""COMPUTED_VALUE"""),"Uber")</f>
        <v>Uber</v>
      </c>
      <c r="G783" s="1" t="str">
        <f ca="1">IFERROR(__xludf.DUMMYFUNCTION("""COMPUTED_VALUE"""),"Uber/99")</f>
        <v>Uber/99</v>
      </c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6">
        <f ca="1">IFERROR(__xludf.DUMMYFUNCTION("""COMPUTED_VALUE"""),45931)</f>
        <v>45931</v>
      </c>
      <c r="B784" s="1" t="str">
        <f ca="1">IFERROR(__xludf.DUMMYFUNCTION("""COMPUTED_VALUE"""),"-")</f>
        <v>-</v>
      </c>
      <c r="C784" s="1" t="str">
        <f ca="1">IFERROR(__xludf.DUMMYFUNCTION("""COMPUTED_VALUE"""),"Drogaria Ara Araujo (4/4)")</f>
        <v>Drogaria Ara Araujo (4/4)</v>
      </c>
      <c r="D784" s="2">
        <f ca="1">IFERROR(__xludf.DUMMYFUNCTION("""COMPUTED_VALUE"""),65.99)</f>
        <v>65.989999999999995</v>
      </c>
      <c r="E784" s="1" t="str">
        <f ca="1">IFERROR(__xludf.DUMMYFUNCTION("""COMPUTED_VALUE"""),"-")</f>
        <v>-</v>
      </c>
      <c r="F784" s="1" t="str">
        <f ca="1">IFERROR(__xludf.DUMMYFUNCTION("""COMPUTED_VALUE"""),"Drogaria Ara Araujo")</f>
        <v>Drogaria Ara Araujo</v>
      </c>
      <c r="G784" s="1" t="str">
        <f ca="1">IFERROR(__xludf.DUMMYFUNCTION("""COMPUTED_VALUE"""),"Farmácia")</f>
        <v>Farmácia</v>
      </c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6">
        <f ca="1">IFERROR(__xludf.DUMMYFUNCTION("""COMPUTED_VALUE"""),45931)</f>
        <v>45931</v>
      </c>
      <c r="B785" s="1" t="str">
        <f ca="1">IFERROR(__xludf.DUMMYFUNCTION("""COMPUTED_VALUE"""),"-")</f>
        <v>-</v>
      </c>
      <c r="C785" s="1" t="str">
        <f ca="1">IFERROR(__xludf.DUMMYFUNCTION("""COMPUTED_VALUE"""),"Drogaria Ara Araujo (3/4)")</f>
        <v>Drogaria Ara Araujo (3/4)</v>
      </c>
      <c r="D785" s="2">
        <f ca="1">IFERROR(__xludf.DUMMYFUNCTION("""COMPUTED_VALUE"""),65.99)</f>
        <v>65.989999999999995</v>
      </c>
      <c r="E785" s="1" t="str">
        <f ca="1">IFERROR(__xludf.DUMMYFUNCTION("""COMPUTED_VALUE"""),"-")</f>
        <v>-</v>
      </c>
      <c r="F785" s="1" t="str">
        <f ca="1">IFERROR(__xludf.DUMMYFUNCTION("""COMPUTED_VALUE"""),"Drogaria Ara Araujo")</f>
        <v>Drogaria Ara Araujo</v>
      </c>
      <c r="G785" s="1" t="str">
        <f ca="1">IFERROR(__xludf.DUMMYFUNCTION("""COMPUTED_VALUE"""),"Farmácia")</f>
        <v>Farmácia</v>
      </c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6">
        <f ca="1">IFERROR(__xludf.DUMMYFUNCTION("""COMPUTED_VALUE"""),45931)</f>
        <v>45931</v>
      </c>
      <c r="B786" s="1" t="str">
        <f ca="1">IFERROR(__xludf.DUMMYFUNCTION("""COMPUTED_VALUE"""),"-")</f>
        <v>-</v>
      </c>
      <c r="C786" s="1" t="str">
        <f ca="1">IFERROR(__xludf.DUMMYFUNCTION("""COMPUTED_VALUE"""),"Drogaria Ara Araujo (2/4)")</f>
        <v>Drogaria Ara Araujo (2/4)</v>
      </c>
      <c r="D786" s="2">
        <f ca="1">IFERROR(__xludf.DUMMYFUNCTION("""COMPUTED_VALUE"""),65.99)</f>
        <v>65.989999999999995</v>
      </c>
      <c r="E786" s="1" t="str">
        <f ca="1">IFERROR(__xludf.DUMMYFUNCTION("""COMPUTED_VALUE"""),"-")</f>
        <v>-</v>
      </c>
      <c r="F786" s="1" t="str">
        <f ca="1">IFERROR(__xludf.DUMMYFUNCTION("""COMPUTED_VALUE"""),"Drogaria Ara Araujo")</f>
        <v>Drogaria Ara Araujo</v>
      </c>
      <c r="G786" s="1" t="str">
        <f ca="1">IFERROR(__xludf.DUMMYFUNCTION("""COMPUTED_VALUE"""),"Farmácia")</f>
        <v>Farmácia</v>
      </c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6">
        <f ca="1">IFERROR(__xludf.DUMMYFUNCTION("""COMPUTED_VALUE"""),45931)</f>
        <v>45931</v>
      </c>
      <c r="B787" s="1" t="str">
        <f ca="1">IFERROR(__xludf.DUMMYFUNCTION("""COMPUTED_VALUE"""),"-")</f>
        <v>-</v>
      </c>
      <c r="C787" s="1" t="str">
        <f ca="1">IFERROR(__xludf.DUMMYFUNCTION("""COMPUTED_VALUE"""),"Drogaria Ara Araujo (1/4)")</f>
        <v>Drogaria Ara Araujo (1/4)</v>
      </c>
      <c r="D787" s="2">
        <f ca="1">IFERROR(__xludf.DUMMYFUNCTION("""COMPUTED_VALUE"""),66.02)</f>
        <v>66.02</v>
      </c>
      <c r="E787" s="1" t="str">
        <f ca="1">IFERROR(__xludf.DUMMYFUNCTION("""COMPUTED_VALUE"""),"-")</f>
        <v>-</v>
      </c>
      <c r="F787" s="1" t="str">
        <f ca="1">IFERROR(__xludf.DUMMYFUNCTION("""COMPUTED_VALUE"""),"Drogaria Ara Araujo")</f>
        <v>Drogaria Ara Araujo</v>
      </c>
      <c r="G787" s="1" t="str">
        <f ca="1">IFERROR(__xludf.DUMMYFUNCTION("""COMPUTED_VALUE"""),"Farmácia")</f>
        <v>Farmácia</v>
      </c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6">
        <f ca="1">IFERROR(__xludf.DUMMYFUNCTION("""COMPUTED_VALUE"""),45931)</f>
        <v>45931</v>
      </c>
      <c r="B788" s="1" t="str">
        <f ca="1">IFERROR(__xludf.DUMMYFUNCTION("""COMPUTED_VALUE"""),"-")</f>
        <v>-</v>
      </c>
      <c r="C788" s="1" t="str">
        <f ca="1">IFERROR(__xludf.DUMMYFUNCTION("""COMPUTED_VALUE"""),"Drogaria Pacheco")</f>
        <v>Drogaria Pacheco</v>
      </c>
      <c r="D788" s="2">
        <f ca="1">IFERROR(__xludf.DUMMYFUNCTION("""COMPUTED_VALUE"""),20.59)</f>
        <v>20.59</v>
      </c>
      <c r="E788" s="1" t="str">
        <f ca="1">IFERROR(__xludf.DUMMYFUNCTION("""COMPUTED_VALUE"""),"-")</f>
        <v>-</v>
      </c>
      <c r="F788" s="1" t="str">
        <f ca="1">IFERROR(__xludf.DUMMYFUNCTION("""COMPUTED_VALUE"""),"Drogaria Pacheco")</f>
        <v>Drogaria Pacheco</v>
      </c>
      <c r="G788" s="1" t="str">
        <f ca="1">IFERROR(__xludf.DUMMYFUNCTION("""COMPUTED_VALUE"""),"Farmácia")</f>
        <v>Farmácia</v>
      </c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6">
        <f ca="1">IFERROR(__xludf.DUMMYFUNCTION("""COMPUTED_VALUE"""),45931)</f>
        <v>45931</v>
      </c>
      <c r="B789" s="1" t="str">
        <f ca="1">IFERROR(__xludf.DUMMYFUNCTION("""COMPUTED_VALUE"""),"-")</f>
        <v>-</v>
      </c>
      <c r="C789" s="1">
        <f ca="1">IFERROR(__xludf.DUMMYFUNCTION("""COMPUTED_VALUE"""),99)</f>
        <v>99</v>
      </c>
      <c r="D789" s="2">
        <f ca="1">IFERROR(__xludf.DUMMYFUNCTION("""COMPUTED_VALUE"""),10.62)</f>
        <v>10.62</v>
      </c>
      <c r="E789" s="1" t="str">
        <f ca="1">IFERROR(__xludf.DUMMYFUNCTION("""COMPUTED_VALUE"""),"-")</f>
        <v>-</v>
      </c>
      <c r="F789" s="1" t="str">
        <f ca="1">IFERROR(__xludf.DUMMYFUNCTION("""COMPUTED_VALUE"""),"99")</f>
        <v>99</v>
      </c>
      <c r="G789" s="1" t="str">
        <f ca="1">IFERROR(__xludf.DUMMYFUNCTION("""COMPUTED_VALUE"""),"Uber/99")</f>
        <v>Uber/99</v>
      </c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6">
        <f ca="1">IFERROR(__xludf.DUMMYFUNCTION("""COMPUTED_VALUE"""),45931)</f>
        <v>45931</v>
      </c>
      <c r="B790" s="1" t="str">
        <f ca="1">IFERROR(__xludf.DUMMYFUNCTION("""COMPUTED_VALUE"""),"-")</f>
        <v>-</v>
      </c>
      <c r="C790" s="1" t="str">
        <f ca="1">IFERROR(__xludf.DUMMYFUNCTION("""COMPUTED_VALUE"""),"Espasso Gourmet")</f>
        <v>Espasso Gourmet</v>
      </c>
      <c r="D790" s="2">
        <f ca="1">IFERROR(__xludf.DUMMYFUNCTION("""COMPUTED_VALUE"""),45.39)</f>
        <v>45.39</v>
      </c>
      <c r="E790" s="1" t="str">
        <f ca="1">IFERROR(__xludf.DUMMYFUNCTION("""COMPUTED_VALUE"""),"-")</f>
        <v>-</v>
      </c>
      <c r="F790" s="1" t="str">
        <f ca="1">IFERROR(__xludf.DUMMYFUNCTION("""COMPUTED_VALUE"""),"Espasso Gourmet")</f>
        <v>Espasso Gourmet</v>
      </c>
      <c r="G790" s="1" t="str">
        <f ca="1">IFERROR(__xludf.DUMMYFUNCTION("""COMPUTED_VALUE"""),"-")</f>
        <v>-</v>
      </c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6">
        <f ca="1">IFERROR(__xludf.DUMMYFUNCTION("""COMPUTED_VALUE"""),45931)</f>
        <v>45931</v>
      </c>
      <c r="B791" s="1" t="str">
        <f ca="1">IFERROR(__xludf.DUMMYFUNCTION("""COMPUTED_VALUE"""),"-")</f>
        <v>-</v>
      </c>
      <c r="C791" s="1" t="str">
        <f ca="1">IFERROR(__xludf.DUMMYFUNCTION("""COMPUTED_VALUE"""),"Supermercado &amp; Padaria")</f>
        <v>Supermercado &amp; Padaria</v>
      </c>
      <c r="D791" s="2">
        <f ca="1">IFERROR(__xludf.DUMMYFUNCTION("""COMPUTED_VALUE"""),35.96)</f>
        <v>35.96</v>
      </c>
      <c r="E791" s="1" t="str">
        <f ca="1">IFERROR(__xludf.DUMMYFUNCTION("""COMPUTED_VALUE"""),"-")</f>
        <v>-</v>
      </c>
      <c r="F791" s="1" t="str">
        <f ca="1">IFERROR(__xludf.DUMMYFUNCTION("""COMPUTED_VALUE"""),"Supermercado &amp; Padaria")</f>
        <v>Supermercado &amp; Padaria</v>
      </c>
      <c r="G791" s="1" t="str">
        <f ca="1">IFERROR(__xludf.DUMMYFUNCTION("""COMPUTED_VALUE"""),"Comida")</f>
        <v>Comida</v>
      </c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6">
        <f ca="1">IFERROR(__xludf.DUMMYFUNCTION("""COMPUTED_VALUE"""),45931)</f>
        <v>45931</v>
      </c>
      <c r="B792" s="1" t="str">
        <f ca="1">IFERROR(__xludf.DUMMYFUNCTION("""COMPUTED_VALUE"""),"-")</f>
        <v>-</v>
      </c>
      <c r="C792" s="1">
        <f ca="1">IFERROR(__xludf.DUMMYFUNCTION("""COMPUTED_VALUE"""),99)</f>
        <v>99</v>
      </c>
      <c r="D792" s="2">
        <f ca="1">IFERROR(__xludf.DUMMYFUNCTION("""COMPUTED_VALUE"""),15.3)</f>
        <v>15.3</v>
      </c>
      <c r="E792" s="1" t="str">
        <f ca="1">IFERROR(__xludf.DUMMYFUNCTION("""COMPUTED_VALUE"""),"-")</f>
        <v>-</v>
      </c>
      <c r="F792" s="1" t="str">
        <f ca="1">IFERROR(__xludf.DUMMYFUNCTION("""COMPUTED_VALUE"""),"99")</f>
        <v>99</v>
      </c>
      <c r="G792" s="1" t="str">
        <f ca="1">IFERROR(__xludf.DUMMYFUNCTION("""COMPUTED_VALUE"""),"Uber/99")</f>
        <v>Uber/99</v>
      </c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6">
        <f ca="1">IFERROR(__xludf.DUMMYFUNCTION("""COMPUTED_VALUE"""),45931)</f>
        <v>45931</v>
      </c>
      <c r="B793" s="1" t="str">
        <f ca="1">IFERROR(__xludf.DUMMYFUNCTION("""COMPUTED_VALUE"""),"-")</f>
        <v>-</v>
      </c>
      <c r="C793" s="1" t="str">
        <f ca="1">IFERROR(__xludf.DUMMYFUNCTION("""COMPUTED_VALUE"""),"Mercado Livre")</f>
        <v>Mercado Livre</v>
      </c>
      <c r="D793" s="2">
        <f ca="1">IFERROR(__xludf.DUMMYFUNCTION("""COMPUTED_VALUE"""),93.1)</f>
        <v>93.1</v>
      </c>
      <c r="E793" s="1" t="str">
        <f ca="1">IFERROR(__xludf.DUMMYFUNCTION("""COMPUTED_VALUE"""),"-")</f>
        <v>-</v>
      </c>
      <c r="F793" s="1" t="str">
        <f ca="1">IFERROR(__xludf.DUMMYFUNCTION("""COMPUTED_VALUE"""),"Mercado Livre")</f>
        <v>Mercado Livre</v>
      </c>
      <c r="G793" s="1" t="str">
        <f ca="1">IFERROR(__xludf.DUMMYFUNCTION("""COMPUTED_VALUE"""),"Compras")</f>
        <v>Compras</v>
      </c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6">
        <f ca="1">IFERROR(__xludf.DUMMYFUNCTION("""COMPUTED_VALUE"""),45931)</f>
        <v>45931</v>
      </c>
      <c r="B794" s="1" t="str">
        <f ca="1">IFERROR(__xludf.DUMMYFUNCTION("""COMPUTED_VALUE"""),"-")</f>
        <v>-</v>
      </c>
      <c r="C794" s="1">
        <f ca="1">IFERROR(__xludf.DUMMYFUNCTION("""COMPUTED_VALUE"""),99)</f>
        <v>99</v>
      </c>
      <c r="D794" s="2">
        <f ca="1">IFERROR(__xludf.DUMMYFUNCTION("""COMPUTED_VALUE"""),11.6)</f>
        <v>11.6</v>
      </c>
      <c r="E794" s="1" t="str">
        <f ca="1">IFERROR(__xludf.DUMMYFUNCTION("""COMPUTED_VALUE"""),"-")</f>
        <v>-</v>
      </c>
      <c r="F794" s="1" t="str">
        <f ca="1">IFERROR(__xludf.DUMMYFUNCTION("""COMPUTED_VALUE"""),"99")</f>
        <v>99</v>
      </c>
      <c r="G794" s="1" t="str">
        <f ca="1">IFERROR(__xludf.DUMMYFUNCTION("""COMPUTED_VALUE"""),"Uber/99")</f>
        <v>Uber/99</v>
      </c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6">
        <f ca="1">IFERROR(__xludf.DUMMYFUNCTION("""COMPUTED_VALUE"""),45931)</f>
        <v>45931</v>
      </c>
      <c r="B795" s="1" t="str">
        <f ca="1">IFERROR(__xludf.DUMMYFUNCTION("""COMPUTED_VALUE"""),"-")</f>
        <v>-</v>
      </c>
      <c r="C795" s="1" t="str">
        <f ca="1">IFERROR(__xludf.DUMMYFUNCTION("""COMPUTED_VALUE"""),"Mbj Alimentos")</f>
        <v>Mbj Alimentos</v>
      </c>
      <c r="D795" s="2">
        <f ca="1">IFERROR(__xludf.DUMMYFUNCTION("""COMPUTED_VALUE"""),52.8)</f>
        <v>52.8</v>
      </c>
      <c r="E795" s="1" t="str">
        <f ca="1">IFERROR(__xludf.DUMMYFUNCTION("""COMPUTED_VALUE"""),"-")</f>
        <v>-</v>
      </c>
      <c r="F795" s="1" t="str">
        <f ca="1">IFERROR(__xludf.DUMMYFUNCTION("""COMPUTED_VALUE"""),"Mbj Alimentos")</f>
        <v>Mbj Alimentos</v>
      </c>
      <c r="G795" s="1" t="str">
        <f ca="1">IFERROR(__xludf.DUMMYFUNCTION("""COMPUTED_VALUE"""),"-")</f>
        <v>-</v>
      </c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6">
        <f ca="1">IFERROR(__xludf.DUMMYFUNCTION("""COMPUTED_VALUE"""),45931)</f>
        <v>45931</v>
      </c>
      <c r="B796" s="1" t="str">
        <f ca="1">IFERROR(__xludf.DUMMYFUNCTION("""COMPUTED_VALUE"""),"-")</f>
        <v>-</v>
      </c>
      <c r="C796" s="1">
        <f ca="1">IFERROR(__xludf.DUMMYFUNCTION("""COMPUTED_VALUE"""),99)</f>
        <v>99</v>
      </c>
      <c r="D796" s="2">
        <f ca="1">IFERROR(__xludf.DUMMYFUNCTION("""COMPUTED_VALUE"""),14.7)</f>
        <v>14.7</v>
      </c>
      <c r="E796" s="1" t="str">
        <f ca="1">IFERROR(__xludf.DUMMYFUNCTION("""COMPUTED_VALUE"""),"-")</f>
        <v>-</v>
      </c>
      <c r="F796" s="1" t="str">
        <f ca="1">IFERROR(__xludf.DUMMYFUNCTION("""COMPUTED_VALUE"""),"99")</f>
        <v>99</v>
      </c>
      <c r="G796" s="1" t="str">
        <f ca="1">IFERROR(__xludf.DUMMYFUNCTION("""COMPUTED_VALUE"""),"Uber/99")</f>
        <v>Uber/99</v>
      </c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6">
        <f ca="1">IFERROR(__xludf.DUMMYFUNCTION("""COMPUTED_VALUE"""),45931)</f>
        <v>45931</v>
      </c>
      <c r="B797" s="1" t="str">
        <f ca="1">IFERROR(__xludf.DUMMYFUNCTION("""COMPUTED_VALUE"""),"-")</f>
        <v>-</v>
      </c>
      <c r="C797" s="1" t="str">
        <f ca="1">IFERROR(__xludf.DUMMYFUNCTION("""COMPUTED_VALUE"""),"Melimais")</f>
        <v>Melimais</v>
      </c>
      <c r="D797" s="2">
        <f ca="1">IFERROR(__xludf.DUMMYFUNCTION("""COMPUTED_VALUE"""),24.9)</f>
        <v>24.9</v>
      </c>
      <c r="E797" s="1" t="str">
        <f ca="1">IFERROR(__xludf.DUMMYFUNCTION("""COMPUTED_VALUE"""),"-")</f>
        <v>-</v>
      </c>
      <c r="F797" s="1" t="str">
        <f ca="1">IFERROR(__xludf.DUMMYFUNCTION("""COMPUTED_VALUE"""),"Melimais")</f>
        <v>Melimais</v>
      </c>
      <c r="G797" s="1" t="str">
        <f ca="1">IFERROR(__xludf.DUMMYFUNCTION("""COMPUTED_VALUE"""),"-")</f>
        <v>-</v>
      </c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6">
        <f ca="1">IFERROR(__xludf.DUMMYFUNCTION("""COMPUTED_VALUE"""),45931)</f>
        <v>45931</v>
      </c>
      <c r="B798" s="1" t="str">
        <f ca="1">IFERROR(__xludf.DUMMYFUNCTION("""COMPUTED_VALUE"""),"-")</f>
        <v>-</v>
      </c>
      <c r="C798" s="1">
        <f ca="1">IFERROR(__xludf.DUMMYFUNCTION("""COMPUTED_VALUE"""),99)</f>
        <v>99</v>
      </c>
      <c r="D798" s="2">
        <f ca="1">IFERROR(__xludf.DUMMYFUNCTION("""COMPUTED_VALUE"""),9.63)</f>
        <v>9.6300000000000008</v>
      </c>
      <c r="E798" s="1" t="str">
        <f ca="1">IFERROR(__xludf.DUMMYFUNCTION("""COMPUTED_VALUE"""),"-")</f>
        <v>-</v>
      </c>
      <c r="F798" s="1" t="str">
        <f ca="1">IFERROR(__xludf.DUMMYFUNCTION("""COMPUTED_VALUE"""),"99")</f>
        <v>99</v>
      </c>
      <c r="G798" s="1" t="str">
        <f ca="1">IFERROR(__xludf.DUMMYFUNCTION("""COMPUTED_VALUE"""),"Uber/99")</f>
        <v>Uber/99</v>
      </c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6">
        <f ca="1">IFERROR(__xludf.DUMMYFUNCTION("""COMPUTED_VALUE"""),45931)</f>
        <v>45931</v>
      </c>
      <c r="B799" s="1" t="str">
        <f ca="1">IFERROR(__xludf.DUMMYFUNCTION("""COMPUTED_VALUE"""),"-")</f>
        <v>-</v>
      </c>
      <c r="C799" s="1" t="str">
        <f ca="1">IFERROR(__xludf.DUMMYFUNCTION("""COMPUTED_VALUE"""),"Supermercado &amp; Padaria")</f>
        <v>Supermercado &amp; Padaria</v>
      </c>
      <c r="D799" s="2">
        <f ca="1">IFERROR(__xludf.DUMMYFUNCTION("""COMPUTED_VALUE"""),107.71)</f>
        <v>107.71</v>
      </c>
      <c r="E799" s="1" t="str">
        <f ca="1">IFERROR(__xludf.DUMMYFUNCTION("""COMPUTED_VALUE"""),"-")</f>
        <v>-</v>
      </c>
      <c r="F799" s="1" t="str">
        <f ca="1">IFERROR(__xludf.DUMMYFUNCTION("""COMPUTED_VALUE"""),"Supermercado &amp; Padaria")</f>
        <v>Supermercado &amp; Padaria</v>
      </c>
      <c r="G799" s="1" t="str">
        <f ca="1">IFERROR(__xludf.DUMMYFUNCTION("""COMPUTED_VALUE"""),"Comida")</f>
        <v>Comida</v>
      </c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6">
        <f ca="1">IFERROR(__xludf.DUMMYFUNCTION("""COMPUTED_VALUE"""),45931)</f>
        <v>45931</v>
      </c>
      <c r="B800" s="1" t="str">
        <f ca="1">IFERROR(__xludf.DUMMYFUNCTION("""COMPUTED_VALUE"""),"-")</f>
        <v>-</v>
      </c>
      <c r="C800" s="1" t="str">
        <f ca="1">IFERROR(__xludf.DUMMYFUNCTION("""COMPUTED_VALUE"""),"Amazon Digital Br")</f>
        <v>Amazon Digital Br</v>
      </c>
      <c r="D800" s="2">
        <f ca="1">IFERROR(__xludf.DUMMYFUNCTION("""COMPUTED_VALUE"""),33.24)</f>
        <v>33.24</v>
      </c>
      <c r="E800" s="1" t="str">
        <f ca="1">IFERROR(__xludf.DUMMYFUNCTION("""COMPUTED_VALUE"""),"-")</f>
        <v>-</v>
      </c>
      <c r="F800" s="1" t="str">
        <f ca="1">IFERROR(__xludf.DUMMYFUNCTION("""COMPUTED_VALUE"""),"Amazon Digital Br")</f>
        <v>Amazon Digital Br</v>
      </c>
      <c r="G800" s="1" t="str">
        <f ca="1">IFERROR(__xludf.DUMMYFUNCTION("""COMPUTED_VALUE"""),"Compras")</f>
        <v>Compras</v>
      </c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6">
        <f ca="1">IFERROR(__xludf.DUMMYFUNCTION("""COMPUTED_VALUE"""),45931)</f>
        <v>45931</v>
      </c>
      <c r="B801" s="1" t="str">
        <f ca="1">IFERROR(__xludf.DUMMYFUNCTION("""COMPUTED_VALUE"""),"-")</f>
        <v>-</v>
      </c>
      <c r="C801" s="1">
        <f ca="1">IFERROR(__xludf.DUMMYFUNCTION("""COMPUTED_VALUE"""),99)</f>
        <v>99</v>
      </c>
      <c r="D801" s="2">
        <f ca="1">IFERROR(__xludf.DUMMYFUNCTION("""COMPUTED_VALUE"""),13.66)</f>
        <v>13.66</v>
      </c>
      <c r="E801" s="1" t="str">
        <f ca="1">IFERROR(__xludf.DUMMYFUNCTION("""COMPUTED_VALUE"""),"-")</f>
        <v>-</v>
      </c>
      <c r="F801" s="1" t="str">
        <f ca="1">IFERROR(__xludf.DUMMYFUNCTION("""COMPUTED_VALUE"""),"99")</f>
        <v>99</v>
      </c>
      <c r="G801" s="1" t="str">
        <f ca="1">IFERROR(__xludf.DUMMYFUNCTION("""COMPUTED_VALUE"""),"Uber/99")</f>
        <v>Uber/99</v>
      </c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6">
        <f ca="1">IFERROR(__xludf.DUMMYFUNCTION("""COMPUTED_VALUE"""),45931)</f>
        <v>45931</v>
      </c>
      <c r="B802" s="1" t="str">
        <f ca="1">IFERROR(__xludf.DUMMYFUNCTION("""COMPUTED_VALUE"""),"-")</f>
        <v>-</v>
      </c>
      <c r="C802" s="1">
        <f ca="1">IFERROR(__xludf.DUMMYFUNCTION("""COMPUTED_VALUE"""),99)</f>
        <v>99</v>
      </c>
      <c r="D802" s="2">
        <f ca="1">IFERROR(__xludf.DUMMYFUNCTION("""COMPUTED_VALUE"""),11.17)</f>
        <v>11.17</v>
      </c>
      <c r="E802" s="1" t="str">
        <f ca="1">IFERROR(__xludf.DUMMYFUNCTION("""COMPUTED_VALUE"""),"-")</f>
        <v>-</v>
      </c>
      <c r="F802" s="1" t="str">
        <f ca="1">IFERROR(__xludf.DUMMYFUNCTION("""COMPUTED_VALUE"""),"99")</f>
        <v>99</v>
      </c>
      <c r="G802" s="1" t="str">
        <f ca="1">IFERROR(__xludf.DUMMYFUNCTION("""COMPUTED_VALUE"""),"Uber/99")</f>
        <v>Uber/99</v>
      </c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6">
        <f ca="1">IFERROR(__xludf.DUMMYFUNCTION("""COMPUTED_VALUE"""),45931)</f>
        <v>45931</v>
      </c>
      <c r="B803" s="1" t="str">
        <f ca="1">IFERROR(__xludf.DUMMYFUNCTION("""COMPUTED_VALUE"""),"-")</f>
        <v>-</v>
      </c>
      <c r="C803" s="1">
        <f ca="1">IFERROR(__xludf.DUMMYFUNCTION("""COMPUTED_VALUE"""),99)</f>
        <v>99</v>
      </c>
      <c r="D803" s="2">
        <f ca="1">IFERROR(__xludf.DUMMYFUNCTION("""COMPUTED_VALUE"""),11.91)</f>
        <v>11.91</v>
      </c>
      <c r="E803" s="1" t="str">
        <f ca="1">IFERROR(__xludf.DUMMYFUNCTION("""COMPUTED_VALUE"""),"-")</f>
        <v>-</v>
      </c>
      <c r="F803" s="1" t="str">
        <f ca="1">IFERROR(__xludf.DUMMYFUNCTION("""COMPUTED_VALUE"""),"99")</f>
        <v>99</v>
      </c>
      <c r="G803" s="1" t="str">
        <f ca="1">IFERROR(__xludf.DUMMYFUNCTION("""COMPUTED_VALUE"""),"Uber/99")</f>
        <v>Uber/99</v>
      </c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6">
        <f ca="1">IFERROR(__xludf.DUMMYFUNCTION("""COMPUTED_VALUE"""),45931)</f>
        <v>45931</v>
      </c>
      <c r="B804" s="1" t="str">
        <f ca="1">IFERROR(__xludf.DUMMYFUNCTION("""COMPUTED_VALUE"""),"-")</f>
        <v>-</v>
      </c>
      <c r="C804" s="1" t="str">
        <f ca="1">IFERROR(__xludf.DUMMYFUNCTION("""COMPUTED_VALUE"""),"Dma Distribuidora Sa")</f>
        <v>Dma Distribuidora Sa</v>
      </c>
      <c r="D804" s="2">
        <f ca="1">IFERROR(__xludf.DUMMYFUNCTION("""COMPUTED_VALUE"""),51.41)</f>
        <v>51.41</v>
      </c>
      <c r="E804" s="1" t="str">
        <f ca="1">IFERROR(__xludf.DUMMYFUNCTION("""COMPUTED_VALUE"""),"-")</f>
        <v>-</v>
      </c>
      <c r="F804" s="1" t="str">
        <f ca="1">IFERROR(__xludf.DUMMYFUNCTION("""COMPUTED_VALUE"""),"Dma Distribuidora Sa")</f>
        <v>Dma Distribuidora Sa</v>
      </c>
      <c r="G804" s="1" t="str">
        <f ca="1">IFERROR(__xludf.DUMMYFUNCTION("""COMPUTED_VALUE"""),"Supermercado")</f>
        <v>Supermercado</v>
      </c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6">
        <f ca="1">IFERROR(__xludf.DUMMYFUNCTION("""COMPUTED_VALUE"""),45931)</f>
        <v>45931</v>
      </c>
      <c r="B805" s="1" t="str">
        <f ca="1">IFERROR(__xludf.DUMMYFUNCTION("""COMPUTED_VALUE"""),"-")</f>
        <v>-</v>
      </c>
      <c r="C805" s="1" t="str">
        <f ca="1">IFERROR(__xludf.DUMMYFUNCTION("""COMPUTED_VALUE"""),"Panif Mendes Sion")</f>
        <v>Panif Mendes Sion</v>
      </c>
      <c r="D805" s="2">
        <f ca="1">IFERROR(__xludf.DUMMYFUNCTION("""COMPUTED_VALUE"""),32.49)</f>
        <v>32.49</v>
      </c>
      <c r="E805" s="1" t="str">
        <f ca="1">IFERROR(__xludf.DUMMYFUNCTION("""COMPUTED_VALUE"""),"-")</f>
        <v>-</v>
      </c>
      <c r="F805" s="1" t="str">
        <f ca="1">IFERROR(__xludf.DUMMYFUNCTION("""COMPUTED_VALUE"""),"Panif Mendes Sion")</f>
        <v>Panif Mendes Sion</v>
      </c>
      <c r="G805" s="1" t="str">
        <f ca="1">IFERROR(__xludf.DUMMYFUNCTION("""COMPUTED_VALUE"""),"Comida")</f>
        <v>Comida</v>
      </c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6">
        <f ca="1">IFERROR(__xludf.DUMMYFUNCTION("""COMPUTED_VALUE"""),45931)</f>
        <v>45931</v>
      </c>
      <c r="B806" s="1" t="str">
        <f ca="1">IFERROR(__xludf.DUMMYFUNCTION("""COMPUTED_VALUE"""),"-")</f>
        <v>-</v>
      </c>
      <c r="C806" s="1">
        <f ca="1">IFERROR(__xludf.DUMMYFUNCTION("""COMPUTED_VALUE"""),99)</f>
        <v>99</v>
      </c>
      <c r="D806" s="2">
        <f ca="1">IFERROR(__xludf.DUMMYFUNCTION("""COMPUTED_VALUE"""),10.18)</f>
        <v>10.18</v>
      </c>
      <c r="E806" s="1" t="str">
        <f ca="1">IFERROR(__xludf.DUMMYFUNCTION("""COMPUTED_VALUE"""),"-")</f>
        <v>-</v>
      </c>
      <c r="F806" s="1" t="str">
        <f ca="1">IFERROR(__xludf.DUMMYFUNCTION("""COMPUTED_VALUE"""),"99")</f>
        <v>99</v>
      </c>
      <c r="G806" s="1" t="str">
        <f ca="1">IFERROR(__xludf.DUMMYFUNCTION("""COMPUTED_VALUE"""),"Uber/99")</f>
        <v>Uber/99</v>
      </c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6">
        <f ca="1">IFERROR(__xludf.DUMMYFUNCTION("""COMPUTED_VALUE"""),45931)</f>
        <v>45931</v>
      </c>
      <c r="B807" s="1" t="str">
        <f ca="1">IFERROR(__xludf.DUMMYFUNCTION("""COMPUTED_VALUE"""),"-")</f>
        <v>-</v>
      </c>
      <c r="C807" s="1" t="str">
        <f ca="1">IFERROR(__xludf.DUMMYFUNCTION("""COMPUTED_VALUE"""),"Maria De Fatima Costa (1/2)")</f>
        <v>Maria De Fatima Costa (1/2)</v>
      </c>
      <c r="D807" s="2">
        <f ca="1">IFERROR(__xludf.DUMMYFUNCTION("""COMPUTED_VALUE"""),360)</f>
        <v>360</v>
      </c>
      <c r="E807" s="1" t="str">
        <f ca="1">IFERROR(__xludf.DUMMYFUNCTION("""COMPUTED_VALUE"""),"-")</f>
        <v>-</v>
      </c>
      <c r="F807" s="1" t="str">
        <f ca="1">IFERROR(__xludf.DUMMYFUNCTION("""COMPUTED_VALUE"""),"Maria De Fatima Costa")</f>
        <v>Maria De Fatima Costa</v>
      </c>
      <c r="G807" s="1" t="str">
        <f ca="1">IFERROR(__xludf.DUMMYFUNCTION("""COMPUTED_VALUE"""),"-")</f>
        <v>-</v>
      </c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6">
        <f ca="1">IFERROR(__xludf.DUMMYFUNCTION("""COMPUTED_VALUE"""),45931)</f>
        <v>45931</v>
      </c>
      <c r="B808" s="1" t="str">
        <f ca="1">IFERROR(__xludf.DUMMYFUNCTION("""COMPUTED_VALUE"""),"-")</f>
        <v>-</v>
      </c>
      <c r="C808" s="1">
        <f ca="1">IFERROR(__xludf.DUMMYFUNCTION("""COMPUTED_VALUE"""),99)</f>
        <v>99</v>
      </c>
      <c r="D808" s="2">
        <f ca="1">IFERROR(__xludf.DUMMYFUNCTION("""COMPUTED_VALUE"""),18.6)</f>
        <v>18.600000000000001</v>
      </c>
      <c r="E808" s="1" t="str">
        <f ca="1">IFERROR(__xludf.DUMMYFUNCTION("""COMPUTED_VALUE"""),"-")</f>
        <v>-</v>
      </c>
      <c r="F808" s="1" t="str">
        <f ca="1">IFERROR(__xludf.DUMMYFUNCTION("""COMPUTED_VALUE"""),"99")</f>
        <v>99</v>
      </c>
      <c r="G808" s="1" t="str">
        <f ca="1">IFERROR(__xludf.DUMMYFUNCTION("""COMPUTED_VALUE"""),"Uber/99")</f>
        <v>Uber/99</v>
      </c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6">
        <f ca="1">IFERROR(__xludf.DUMMYFUNCTION("""COMPUTED_VALUE"""),45931)</f>
        <v>45931</v>
      </c>
      <c r="B809" s="1" t="str">
        <f ca="1">IFERROR(__xludf.DUMMYFUNCTION("""COMPUTED_VALUE"""),"-")</f>
        <v>-</v>
      </c>
      <c r="C809" s="1" t="str">
        <f ca="1">IFERROR(__xludf.DUMMYFUNCTION("""COMPUTED_VALUE"""),"Martelinho David")</f>
        <v>Martelinho David</v>
      </c>
      <c r="D809" s="2">
        <f ca="1">IFERROR(__xludf.DUMMYFUNCTION("""COMPUTED_VALUE"""),150)</f>
        <v>150</v>
      </c>
      <c r="E809" s="1" t="str">
        <f ca="1">IFERROR(__xludf.DUMMYFUNCTION("""COMPUTED_VALUE"""),"-")</f>
        <v>-</v>
      </c>
      <c r="F809" s="1" t="str">
        <f ca="1">IFERROR(__xludf.DUMMYFUNCTION("""COMPUTED_VALUE"""),"Martelinho David")</f>
        <v>Martelinho David</v>
      </c>
      <c r="G809" s="1" t="str">
        <f ca="1">IFERROR(__xludf.DUMMYFUNCTION("""COMPUTED_VALUE"""),"-")</f>
        <v>-</v>
      </c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6">
        <f ca="1">IFERROR(__xludf.DUMMYFUNCTION("""COMPUTED_VALUE"""),45931)</f>
        <v>45931</v>
      </c>
      <c r="B810" s="1" t="str">
        <f ca="1">IFERROR(__xludf.DUMMYFUNCTION("""COMPUTED_VALUE"""),"-")</f>
        <v>-</v>
      </c>
      <c r="C810" s="1" t="str">
        <f ca="1">IFERROR(__xludf.DUMMYFUNCTION("""COMPUTED_VALUE"""),"Golden Pet")</f>
        <v>Golden Pet</v>
      </c>
      <c r="D810" s="2">
        <f ca="1">IFERROR(__xludf.DUMMYFUNCTION("""COMPUTED_VALUE"""),68)</f>
        <v>68</v>
      </c>
      <c r="E810" s="1" t="str">
        <f ca="1">IFERROR(__xludf.DUMMYFUNCTION("""COMPUTED_VALUE"""),"-")</f>
        <v>-</v>
      </c>
      <c r="F810" s="1" t="str">
        <f ca="1">IFERROR(__xludf.DUMMYFUNCTION("""COMPUTED_VALUE"""),"Golden Pet")</f>
        <v>Golden Pet</v>
      </c>
      <c r="G810" s="1" t="str">
        <f ca="1">IFERROR(__xludf.DUMMYFUNCTION("""COMPUTED_VALUE"""),"Hulk")</f>
        <v>Hulk</v>
      </c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6">
        <f ca="1">IFERROR(__xludf.DUMMYFUNCTION("""COMPUTED_VALUE"""),45931)</f>
        <v>45931</v>
      </c>
      <c r="B811" s="1" t="str">
        <f ca="1">IFERROR(__xludf.DUMMYFUNCTION("""COMPUTED_VALUE"""),"-")</f>
        <v>-</v>
      </c>
      <c r="C811" s="1" t="str">
        <f ca="1">IFERROR(__xludf.DUMMYFUNCTION("""COMPUTED_VALUE"""),"Dma Distribuidora Sa")</f>
        <v>Dma Distribuidora Sa</v>
      </c>
      <c r="D811" s="2">
        <f ca="1">IFERROR(__xludf.DUMMYFUNCTION("""COMPUTED_VALUE"""),38.36)</f>
        <v>38.36</v>
      </c>
      <c r="E811" s="1" t="str">
        <f ca="1">IFERROR(__xludf.DUMMYFUNCTION("""COMPUTED_VALUE"""),"-")</f>
        <v>-</v>
      </c>
      <c r="F811" s="1" t="str">
        <f ca="1">IFERROR(__xludf.DUMMYFUNCTION("""COMPUTED_VALUE"""),"Dma Distribuidora Sa")</f>
        <v>Dma Distribuidora Sa</v>
      </c>
      <c r="G811" s="1" t="str">
        <f ca="1">IFERROR(__xludf.DUMMYFUNCTION("""COMPUTED_VALUE"""),"Supermercado")</f>
        <v>Supermercado</v>
      </c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6">
        <f ca="1">IFERROR(__xludf.DUMMYFUNCTION("""COMPUTED_VALUE"""),45931)</f>
        <v>45931</v>
      </c>
      <c r="B812" s="1" t="str">
        <f ca="1">IFERROR(__xludf.DUMMYFUNCTION("""COMPUTED_VALUE"""),"-")</f>
        <v>-</v>
      </c>
      <c r="C812" s="1" t="str">
        <f ca="1">IFERROR(__xludf.DUMMYFUNCTION("""COMPUTED_VALUE"""),"Bem Oriente")</f>
        <v>Bem Oriente</v>
      </c>
      <c r="D812" s="2">
        <f ca="1">IFERROR(__xludf.DUMMYFUNCTION("""COMPUTED_VALUE"""),19.98)</f>
        <v>19.98</v>
      </c>
      <c r="E812" s="1" t="str">
        <f ca="1">IFERROR(__xludf.DUMMYFUNCTION("""COMPUTED_VALUE"""),"-")</f>
        <v>-</v>
      </c>
      <c r="F812" s="1" t="str">
        <f ca="1">IFERROR(__xludf.DUMMYFUNCTION("""COMPUTED_VALUE"""),"Bem Oriente")</f>
        <v>Bem Oriente</v>
      </c>
      <c r="G812" s="1" t="str">
        <f ca="1">IFERROR(__xludf.DUMMYFUNCTION("""COMPUTED_VALUE"""),"-")</f>
        <v>-</v>
      </c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6">
        <f ca="1">IFERROR(__xludf.DUMMYFUNCTION("""COMPUTED_VALUE"""),45931)</f>
        <v>45931</v>
      </c>
      <c r="B813" s="1" t="str">
        <f ca="1">IFERROR(__xludf.DUMMYFUNCTION("""COMPUTED_VALUE"""),"-")</f>
        <v>-</v>
      </c>
      <c r="C813" s="1" t="str">
        <f ca="1">IFERROR(__xludf.DUMMYFUNCTION("""COMPUTED_VALUE"""),"Vila Paris")</f>
        <v>Vila Paris</v>
      </c>
      <c r="D813" s="2">
        <f ca="1">IFERROR(__xludf.DUMMYFUNCTION("""COMPUTED_VALUE"""),213.25)</f>
        <v>213.25</v>
      </c>
      <c r="E813" s="1" t="str">
        <f ca="1">IFERROR(__xludf.DUMMYFUNCTION("""COMPUTED_VALUE"""),"-")</f>
        <v>-</v>
      </c>
      <c r="F813" s="1" t="str">
        <f ca="1">IFERROR(__xludf.DUMMYFUNCTION("""COMPUTED_VALUE"""),"Vila Paris")</f>
        <v>Vila Paris</v>
      </c>
      <c r="G813" s="1" t="str">
        <f ca="1">IFERROR(__xludf.DUMMYFUNCTION("""COMPUTED_VALUE"""),"-")</f>
        <v>-</v>
      </c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6">
        <f ca="1">IFERROR(__xludf.DUMMYFUNCTION("""COMPUTED_VALUE"""),45931)</f>
        <v>45931</v>
      </c>
      <c r="B814" s="1" t="str">
        <f ca="1">IFERROR(__xludf.DUMMYFUNCTION("""COMPUTED_VALUE"""),"-")</f>
        <v>-</v>
      </c>
      <c r="C814" s="1" t="str">
        <f ca="1">IFERROR(__xludf.DUMMYFUNCTION("""COMPUTED_VALUE"""),"Super Nosso")</f>
        <v>Super Nosso</v>
      </c>
      <c r="D814" s="2">
        <f ca="1">IFERROR(__xludf.DUMMYFUNCTION("""COMPUTED_VALUE"""),178.13)</f>
        <v>178.13</v>
      </c>
      <c r="E814" s="1" t="str">
        <f ca="1">IFERROR(__xludf.DUMMYFUNCTION("""COMPUTED_VALUE"""),"-")</f>
        <v>-</v>
      </c>
      <c r="F814" s="1" t="str">
        <f ca="1">IFERROR(__xludf.DUMMYFUNCTION("""COMPUTED_VALUE"""),"Super Nosso")</f>
        <v>Super Nosso</v>
      </c>
      <c r="G814" s="1" t="str">
        <f ca="1">IFERROR(__xludf.DUMMYFUNCTION("""COMPUTED_VALUE"""),"Supermercado")</f>
        <v>Supermercado</v>
      </c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6">
        <f ca="1">IFERROR(__xludf.DUMMYFUNCTION("""COMPUTED_VALUE"""),45931)</f>
        <v>45931</v>
      </c>
      <c r="B815" s="1" t="str">
        <f ca="1">IFERROR(__xludf.DUMMYFUNCTION("""COMPUTED_VALUE"""),"-")</f>
        <v>-</v>
      </c>
      <c r="C815" s="1" t="str">
        <f ca="1">IFERROR(__xludf.DUMMYFUNCTION("""COMPUTED_VALUE"""),"Gabrielfabricio")</f>
        <v>Gabrielfabricio</v>
      </c>
      <c r="D815" s="2">
        <f ca="1">IFERROR(__xludf.DUMMYFUNCTION("""COMPUTED_VALUE"""),10)</f>
        <v>10</v>
      </c>
      <c r="E815" s="1" t="str">
        <f ca="1">IFERROR(__xludf.DUMMYFUNCTION("""COMPUTED_VALUE"""),"-")</f>
        <v>-</v>
      </c>
      <c r="F815" s="1" t="str">
        <f ca="1">IFERROR(__xludf.DUMMYFUNCTION("""COMPUTED_VALUE"""),"Gabrielfabricio")</f>
        <v>Gabrielfabricio</v>
      </c>
      <c r="G815" s="1" t="str">
        <f ca="1">IFERROR(__xludf.DUMMYFUNCTION("""COMPUTED_VALUE"""),"-")</f>
        <v>-</v>
      </c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6">
        <f ca="1">IFERROR(__xludf.DUMMYFUNCTION("""COMPUTED_VALUE"""),45931)</f>
        <v>45931</v>
      </c>
      <c r="B816" s="1" t="str">
        <f ca="1">IFERROR(__xludf.DUMMYFUNCTION("""COMPUTED_VALUE"""),"-")</f>
        <v>-</v>
      </c>
      <c r="C816" s="1" t="str">
        <f ca="1">IFERROR(__xludf.DUMMYFUNCTION("""COMPUTED_VALUE"""),"Drogaria Araujo")</f>
        <v>Drogaria Araujo</v>
      </c>
      <c r="D816" s="2">
        <f ca="1">IFERROR(__xludf.DUMMYFUNCTION("""COMPUTED_VALUE"""),11.59)</f>
        <v>11.59</v>
      </c>
      <c r="E816" s="1" t="str">
        <f ca="1">IFERROR(__xludf.DUMMYFUNCTION("""COMPUTED_VALUE"""),"-")</f>
        <v>-</v>
      </c>
      <c r="F816" s="1" t="str">
        <f ca="1">IFERROR(__xludf.DUMMYFUNCTION("""COMPUTED_VALUE"""),"Drogaria Araujo")</f>
        <v>Drogaria Araujo</v>
      </c>
      <c r="G816" s="1" t="str">
        <f ca="1">IFERROR(__xludf.DUMMYFUNCTION("""COMPUTED_VALUE"""),"Farmácia")</f>
        <v>Farmácia</v>
      </c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6">
        <f ca="1">IFERROR(__xludf.DUMMYFUNCTION("""COMPUTED_VALUE"""),45931)</f>
        <v>45931</v>
      </c>
      <c r="B817" s="1" t="str">
        <f ca="1">IFERROR(__xludf.DUMMYFUNCTION("""COMPUTED_VALUE"""),"-")</f>
        <v>-</v>
      </c>
      <c r="C817" s="1" t="str">
        <f ca="1">IFERROR(__xludf.DUMMYFUNCTION("""COMPUTED_VALUE"""),"Casar Pre Sente")</f>
        <v>Casar Pre Sente</v>
      </c>
      <c r="D817" s="2">
        <f ca="1">IFERROR(__xludf.DUMMYFUNCTION("""COMPUTED_VALUE"""),139.42)</f>
        <v>139.41999999999999</v>
      </c>
      <c r="E817" s="1" t="str">
        <f ca="1">IFERROR(__xludf.DUMMYFUNCTION("""COMPUTED_VALUE"""),"-")</f>
        <v>-</v>
      </c>
      <c r="F817" s="1" t="str">
        <f ca="1">IFERROR(__xludf.DUMMYFUNCTION("""COMPUTED_VALUE"""),"Casar Pre Sente")</f>
        <v>Casar Pre Sente</v>
      </c>
      <c r="G817" s="1" t="str">
        <f ca="1">IFERROR(__xludf.DUMMYFUNCTION("""COMPUTED_VALUE"""),"-")</f>
        <v>-</v>
      </c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6">
        <f ca="1">IFERROR(__xludf.DUMMYFUNCTION("""COMPUTED_VALUE"""),45931)</f>
        <v>45931</v>
      </c>
      <c r="B818" s="1" t="str">
        <f ca="1">IFERROR(__xludf.DUMMYFUNCTION("""COMPUTED_VALUE"""),"-")</f>
        <v>-</v>
      </c>
      <c r="C818" s="1" t="str">
        <f ca="1">IFERROR(__xludf.DUMMYFUNCTION("""COMPUTED_VALUE"""),"Mercado Livre")</f>
        <v>Mercado Livre</v>
      </c>
      <c r="D818" s="2">
        <f ca="1">IFERROR(__xludf.DUMMYFUNCTION("""COMPUTED_VALUE"""),29.92)</f>
        <v>29.92</v>
      </c>
      <c r="E818" s="1" t="str">
        <f ca="1">IFERROR(__xludf.DUMMYFUNCTION("""COMPUTED_VALUE"""),"-")</f>
        <v>-</v>
      </c>
      <c r="F818" s="1" t="str">
        <f ca="1">IFERROR(__xludf.DUMMYFUNCTION("""COMPUTED_VALUE"""),"Mercado Livre")</f>
        <v>Mercado Livre</v>
      </c>
      <c r="G818" s="1" t="str">
        <f ca="1">IFERROR(__xludf.DUMMYFUNCTION("""COMPUTED_VALUE"""),"Compras")</f>
        <v>Compras</v>
      </c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6">
        <f ca="1">IFERROR(__xludf.DUMMYFUNCTION("""COMPUTED_VALUE"""),45931)</f>
        <v>45931</v>
      </c>
      <c r="B819" s="1" t="str">
        <f ca="1">IFERROR(__xludf.DUMMYFUNCTION("""COMPUTED_VALUE"""),"-")</f>
        <v>-</v>
      </c>
      <c r="C819" s="1" t="str">
        <f ca="1">IFERROR(__xludf.DUMMYFUNCTION("""COMPUTED_VALUE"""),"Golden Pet")</f>
        <v>Golden Pet</v>
      </c>
      <c r="D819" s="2">
        <f ca="1">IFERROR(__xludf.DUMMYFUNCTION("""COMPUTED_VALUE"""),240)</f>
        <v>240</v>
      </c>
      <c r="E819" s="1" t="str">
        <f ca="1">IFERROR(__xludf.DUMMYFUNCTION("""COMPUTED_VALUE"""),"-")</f>
        <v>-</v>
      </c>
      <c r="F819" s="1" t="str">
        <f ca="1">IFERROR(__xludf.DUMMYFUNCTION("""COMPUTED_VALUE"""),"Golden Pet")</f>
        <v>Golden Pet</v>
      </c>
      <c r="G819" s="1" t="str">
        <f ca="1">IFERROR(__xludf.DUMMYFUNCTION("""COMPUTED_VALUE"""),"Hulk")</f>
        <v>Hulk</v>
      </c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6">
        <f ca="1">IFERROR(__xludf.DUMMYFUNCTION("""COMPUTED_VALUE"""),45931)</f>
        <v>45931</v>
      </c>
      <c r="B820" s="1" t="str">
        <f ca="1">IFERROR(__xludf.DUMMYFUNCTION("""COMPUTED_VALUE"""),"-")</f>
        <v>-</v>
      </c>
      <c r="C820" s="1" t="str">
        <f ca="1">IFERROR(__xludf.DUMMYFUNCTION("""COMPUTED_VALUE"""),"Rodrigo De Souza")</f>
        <v>Rodrigo De Souza</v>
      </c>
      <c r="D820" s="2">
        <f ca="1">IFERROR(__xludf.DUMMYFUNCTION("""COMPUTED_VALUE"""),75)</f>
        <v>75</v>
      </c>
      <c r="E820" s="1" t="str">
        <f ca="1">IFERROR(__xludf.DUMMYFUNCTION("""COMPUTED_VALUE"""),"-")</f>
        <v>-</v>
      </c>
      <c r="F820" s="1" t="str">
        <f ca="1">IFERROR(__xludf.DUMMYFUNCTION("""COMPUTED_VALUE"""),"Rodrigo De Souza")</f>
        <v>Rodrigo De Souza</v>
      </c>
      <c r="G820" s="1" t="str">
        <f ca="1">IFERROR(__xludf.DUMMYFUNCTION("""COMPUTED_VALUE"""),"-")</f>
        <v>-</v>
      </c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6">
        <f ca="1">IFERROR(__xludf.DUMMYFUNCTION("""COMPUTED_VALUE"""),45931)</f>
        <v>45931</v>
      </c>
      <c r="B821" s="1" t="str">
        <f ca="1">IFERROR(__xludf.DUMMYFUNCTION("""COMPUTED_VALUE"""),"-")</f>
        <v>-</v>
      </c>
      <c r="C821" s="1" t="str">
        <f ca="1">IFERROR(__xludf.DUMMYFUNCTION("""COMPUTED_VALUE"""),"Panif Mendes Sion")</f>
        <v>Panif Mendes Sion</v>
      </c>
      <c r="D821" s="2">
        <f ca="1">IFERROR(__xludf.DUMMYFUNCTION("""COMPUTED_VALUE"""),2.96)</f>
        <v>2.96</v>
      </c>
      <c r="E821" s="1" t="str">
        <f ca="1">IFERROR(__xludf.DUMMYFUNCTION("""COMPUTED_VALUE"""),"-")</f>
        <v>-</v>
      </c>
      <c r="F821" s="1" t="str">
        <f ca="1">IFERROR(__xludf.DUMMYFUNCTION("""COMPUTED_VALUE"""),"Panif Mendes Sion")</f>
        <v>Panif Mendes Sion</v>
      </c>
      <c r="G821" s="1" t="str">
        <f ca="1">IFERROR(__xludf.DUMMYFUNCTION("""COMPUTED_VALUE"""),"Comida")</f>
        <v>Comida</v>
      </c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6">
        <f ca="1">IFERROR(__xludf.DUMMYFUNCTION("""COMPUTED_VALUE"""),45931)</f>
        <v>45931</v>
      </c>
      <c r="B822" s="1" t="str">
        <f ca="1">IFERROR(__xludf.DUMMYFUNCTION("""COMPUTED_VALUE"""),"-")</f>
        <v>-</v>
      </c>
      <c r="C822" s="1" t="str">
        <f ca="1">IFERROR(__xludf.DUMMYFUNCTION("""COMPUTED_VALUE"""),"Amazonmktplc Boticário")</f>
        <v>Amazonmktplc Boticário</v>
      </c>
      <c r="D822" s="2">
        <f ca="1">IFERROR(__xludf.DUMMYFUNCTION("""COMPUTED_VALUE"""),79.11)</f>
        <v>79.11</v>
      </c>
      <c r="E822" s="1" t="str">
        <f ca="1">IFERROR(__xludf.DUMMYFUNCTION("""COMPUTED_VALUE"""),"-")</f>
        <v>-</v>
      </c>
      <c r="F822" s="1" t="str">
        <f ca="1">IFERROR(__xludf.DUMMYFUNCTION("""COMPUTED_VALUE"""),"Amazonmktplc")</f>
        <v>Amazonmktplc</v>
      </c>
      <c r="G822" s="1" t="str">
        <f ca="1">IFERROR(__xludf.DUMMYFUNCTION("""COMPUTED_VALUE"""),"Compras")</f>
        <v>Compras</v>
      </c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6">
        <f ca="1">IFERROR(__xludf.DUMMYFUNCTION("""COMPUTED_VALUE"""),45931)</f>
        <v>45931</v>
      </c>
      <c r="B823" s="1" t="str">
        <f ca="1">IFERROR(__xludf.DUMMYFUNCTION("""COMPUTED_VALUE"""),"-")</f>
        <v>-</v>
      </c>
      <c r="C823" s="1" t="str">
        <f ca="1">IFERROR(__xludf.DUMMYFUNCTION("""COMPUTED_VALUE"""),"Ltm Veterinaria")</f>
        <v>Ltm Veterinaria</v>
      </c>
      <c r="D823" s="2">
        <f ca="1">IFERROR(__xludf.DUMMYFUNCTION("""COMPUTED_VALUE"""),60)</f>
        <v>60</v>
      </c>
      <c r="E823" s="1" t="str">
        <f ca="1">IFERROR(__xludf.DUMMYFUNCTION("""COMPUTED_VALUE"""),"-")</f>
        <v>-</v>
      </c>
      <c r="F823" s="1" t="str">
        <f ca="1">IFERROR(__xludf.DUMMYFUNCTION("""COMPUTED_VALUE"""),"Ltm Veterinaria")</f>
        <v>Ltm Veterinaria</v>
      </c>
      <c r="G823" s="1" t="str">
        <f ca="1">IFERROR(__xludf.DUMMYFUNCTION("""COMPUTED_VALUE"""),"-")</f>
        <v>-</v>
      </c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6">
        <f ca="1">IFERROR(__xludf.DUMMYFUNCTION("""COMPUTED_VALUE"""),45931)</f>
        <v>45931</v>
      </c>
      <c r="B824" s="1" t="str">
        <f ca="1">IFERROR(__xludf.DUMMYFUNCTION("""COMPUTED_VALUE"""),"-")</f>
        <v>-</v>
      </c>
      <c r="C824" s="1" t="str">
        <f ca="1">IFERROR(__xludf.DUMMYFUNCTION("""COMPUTED_VALUE"""),"Filial 9 Savassi")</f>
        <v>Filial 9 Savassi</v>
      </c>
      <c r="D824" s="2">
        <f ca="1">IFERROR(__xludf.DUMMYFUNCTION("""COMPUTED_VALUE"""),39.5)</f>
        <v>39.5</v>
      </c>
      <c r="E824" s="1" t="str">
        <f ca="1">IFERROR(__xludf.DUMMYFUNCTION("""COMPUTED_VALUE"""),"-")</f>
        <v>-</v>
      </c>
      <c r="F824" s="1" t="str">
        <f ca="1">IFERROR(__xludf.DUMMYFUNCTION("""COMPUTED_VALUE"""),"Filial 9 Savassi")</f>
        <v>Filial 9 Savassi</v>
      </c>
      <c r="G824" s="1" t="str">
        <f ca="1">IFERROR(__xludf.DUMMYFUNCTION("""COMPUTED_VALUE"""),"-")</f>
        <v>-</v>
      </c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6">
        <f ca="1">IFERROR(__xludf.DUMMYFUNCTION("""COMPUTED_VALUE"""),45931)</f>
        <v>45931</v>
      </c>
      <c r="B825" s="1" t="str">
        <f ca="1">IFERROR(__xludf.DUMMYFUNCTION("""COMPUTED_VALUE"""),"-")</f>
        <v>-</v>
      </c>
      <c r="C825" s="1" t="str">
        <f ca="1">IFERROR(__xludf.DUMMYFUNCTION("""COMPUTED_VALUE"""),"Supermercado &amp; Padaria")</f>
        <v>Supermercado &amp; Padaria</v>
      </c>
      <c r="D825" s="2">
        <f ca="1">IFERROR(__xludf.DUMMYFUNCTION("""COMPUTED_VALUE"""),148.86)</f>
        <v>148.86000000000001</v>
      </c>
      <c r="E825" s="1" t="str">
        <f ca="1">IFERROR(__xludf.DUMMYFUNCTION("""COMPUTED_VALUE"""),"-")</f>
        <v>-</v>
      </c>
      <c r="F825" s="1" t="str">
        <f ca="1">IFERROR(__xludf.DUMMYFUNCTION("""COMPUTED_VALUE"""),"Supermercado &amp; Padaria")</f>
        <v>Supermercado &amp; Padaria</v>
      </c>
      <c r="G825" s="1" t="str">
        <f ca="1">IFERROR(__xludf.DUMMYFUNCTION("""COMPUTED_VALUE"""),"Comida")</f>
        <v>Comida</v>
      </c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6">
        <f ca="1">IFERROR(__xludf.DUMMYFUNCTION("""COMPUTED_VALUE"""),45931)</f>
        <v>45931</v>
      </c>
      <c r="B826" s="1" t="str">
        <f ca="1">IFERROR(__xludf.DUMMYFUNCTION("""COMPUTED_VALUE"""),"-")</f>
        <v>-</v>
      </c>
      <c r="C826" s="1" t="str">
        <f ca="1">IFERROR(__xludf.DUMMYFUNCTION("""COMPUTED_VALUE"""),"Drogaria Araujo")</f>
        <v>Drogaria Araujo</v>
      </c>
      <c r="D826" s="2">
        <f ca="1">IFERROR(__xludf.DUMMYFUNCTION("""COMPUTED_VALUE"""),37.98)</f>
        <v>37.979999999999997</v>
      </c>
      <c r="E826" s="1" t="str">
        <f ca="1">IFERROR(__xludf.DUMMYFUNCTION("""COMPUTED_VALUE"""),"-")</f>
        <v>-</v>
      </c>
      <c r="F826" s="1" t="str">
        <f ca="1">IFERROR(__xludf.DUMMYFUNCTION("""COMPUTED_VALUE"""),"Drogaria Araujo")</f>
        <v>Drogaria Araujo</v>
      </c>
      <c r="G826" s="1" t="str">
        <f ca="1">IFERROR(__xludf.DUMMYFUNCTION("""COMPUTED_VALUE"""),"Farmácia")</f>
        <v>Farmácia</v>
      </c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6">
        <f ca="1">IFERROR(__xludf.DUMMYFUNCTION("""COMPUTED_VALUE"""),45931)</f>
        <v>45931</v>
      </c>
      <c r="B827" s="1" t="str">
        <f ca="1">IFERROR(__xludf.DUMMYFUNCTION("""COMPUTED_VALUE"""),"-")</f>
        <v>-</v>
      </c>
      <c r="C827" s="1" t="str">
        <f ca="1">IFERROR(__xludf.DUMMYFUNCTION("""COMPUTED_VALUE"""),"Amazonmktplc Alopetpet")</f>
        <v>Amazonmktplc Alopetpet</v>
      </c>
      <c r="D827" s="2">
        <f ca="1">IFERROR(__xludf.DUMMYFUNCTION("""COMPUTED_VALUE"""),142.7)</f>
        <v>142.69999999999999</v>
      </c>
      <c r="E827" s="1" t="str">
        <f ca="1">IFERROR(__xludf.DUMMYFUNCTION("""COMPUTED_VALUE"""),"-")</f>
        <v>-</v>
      </c>
      <c r="F827" s="1" t="str">
        <f ca="1">IFERROR(__xludf.DUMMYFUNCTION("""COMPUTED_VALUE"""),"Amazonmktplc")</f>
        <v>Amazonmktplc</v>
      </c>
      <c r="G827" s="1" t="str">
        <f ca="1">IFERROR(__xludf.DUMMYFUNCTION("""COMPUTED_VALUE"""),"Compras")</f>
        <v>Compras</v>
      </c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6">
        <f ca="1">IFERROR(__xludf.DUMMYFUNCTION("""COMPUTED_VALUE"""),45931)</f>
        <v>45931</v>
      </c>
      <c r="B828" s="1" t="str">
        <f ca="1">IFERROR(__xludf.DUMMYFUNCTION("""COMPUTED_VALUE"""),"-")</f>
        <v>-</v>
      </c>
      <c r="C828" s="1" t="str">
        <f ca="1">IFERROR(__xludf.DUMMYFUNCTION("""COMPUTED_VALUE"""),"Amazon Digital Br")</f>
        <v>Amazon Digital Br</v>
      </c>
      <c r="D828" s="2">
        <f ca="1">IFERROR(__xludf.DUMMYFUNCTION("""COMPUTED_VALUE"""),19.9)</f>
        <v>19.899999999999999</v>
      </c>
      <c r="E828" s="1" t="str">
        <f ca="1">IFERROR(__xludf.DUMMYFUNCTION("""COMPUTED_VALUE"""),"-")</f>
        <v>-</v>
      </c>
      <c r="F828" s="1" t="str">
        <f ca="1">IFERROR(__xludf.DUMMYFUNCTION("""COMPUTED_VALUE"""),"Amazon Digital Br")</f>
        <v>Amazon Digital Br</v>
      </c>
      <c r="G828" s="1" t="str">
        <f ca="1">IFERROR(__xludf.DUMMYFUNCTION("""COMPUTED_VALUE"""),"Compras")</f>
        <v>Compras</v>
      </c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6">
        <f ca="1">IFERROR(__xludf.DUMMYFUNCTION("""COMPUTED_VALUE"""),45931)</f>
        <v>45931</v>
      </c>
      <c r="B829" s="1" t="str">
        <f ca="1">IFERROR(__xludf.DUMMYFUNCTION("""COMPUTED_VALUE"""),"-")</f>
        <v>-</v>
      </c>
      <c r="C829" s="1" t="str">
        <f ca="1">IFERROR(__xludf.DUMMYFUNCTION("""COMPUTED_VALUE"""),"Panif Mendes Sion")</f>
        <v>Panif Mendes Sion</v>
      </c>
      <c r="D829" s="2">
        <f ca="1">IFERROR(__xludf.DUMMYFUNCTION("""COMPUTED_VALUE"""),4)</f>
        <v>4</v>
      </c>
      <c r="E829" s="1" t="str">
        <f ca="1">IFERROR(__xludf.DUMMYFUNCTION("""COMPUTED_VALUE"""),"-")</f>
        <v>-</v>
      </c>
      <c r="F829" s="1" t="str">
        <f ca="1">IFERROR(__xludf.DUMMYFUNCTION("""COMPUTED_VALUE"""),"Panif Mendes Sion")</f>
        <v>Panif Mendes Sion</v>
      </c>
      <c r="G829" s="1" t="str">
        <f ca="1">IFERROR(__xludf.DUMMYFUNCTION("""COMPUTED_VALUE"""),"Comida")</f>
        <v>Comida</v>
      </c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6">
        <f ca="1">IFERROR(__xludf.DUMMYFUNCTION("""COMPUTED_VALUE"""),45931)</f>
        <v>45931</v>
      </c>
      <c r="B830" s="1" t="str">
        <f ca="1">IFERROR(__xludf.DUMMYFUNCTION("""COMPUTED_VALUE"""),"-")</f>
        <v>-</v>
      </c>
      <c r="C830" s="1" t="str">
        <f ca="1">IFERROR(__xludf.DUMMYFUNCTION("""COMPUTED_VALUE"""),"Constance")</f>
        <v>Constance</v>
      </c>
      <c r="D830" s="2">
        <f ca="1">IFERROR(__xludf.DUMMYFUNCTION("""COMPUTED_VALUE"""),209.99)</f>
        <v>209.99</v>
      </c>
      <c r="E830" s="1" t="str">
        <f ca="1">IFERROR(__xludf.DUMMYFUNCTION("""COMPUTED_VALUE"""),"-")</f>
        <v>-</v>
      </c>
      <c r="F830" s="1" t="str">
        <f ca="1">IFERROR(__xludf.DUMMYFUNCTION("""COMPUTED_VALUE"""),"Constance")</f>
        <v>Constance</v>
      </c>
      <c r="G830" s="1" t="str">
        <f ca="1">IFERROR(__xludf.DUMMYFUNCTION("""COMPUTED_VALUE"""),"Compras")</f>
        <v>Compras</v>
      </c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6">
        <f ca="1">IFERROR(__xludf.DUMMYFUNCTION("""COMPUTED_VALUE"""),45931)</f>
        <v>45931</v>
      </c>
      <c r="B831" s="1" t="str">
        <f ca="1">IFERROR(__xludf.DUMMYFUNCTION("""COMPUTED_VALUE"""),"-")</f>
        <v>-</v>
      </c>
      <c r="C831" s="1" t="str">
        <f ca="1">IFERROR(__xludf.DUMMYFUNCTION("""COMPUTED_VALUE"""),"Concessionaria Da Rodo")</f>
        <v>Concessionaria Da Rodo</v>
      </c>
      <c r="D831" s="2">
        <f ca="1">IFERROR(__xludf.DUMMYFUNCTION("""COMPUTED_VALUE"""),15.5)</f>
        <v>15.5</v>
      </c>
      <c r="E831" s="1" t="str">
        <f ca="1">IFERROR(__xludf.DUMMYFUNCTION("""COMPUTED_VALUE"""),"-")</f>
        <v>-</v>
      </c>
      <c r="F831" s="1" t="str">
        <f ca="1">IFERROR(__xludf.DUMMYFUNCTION("""COMPUTED_VALUE"""),"Concessionaria Da Rodo")</f>
        <v>Concessionaria Da Rodo</v>
      </c>
      <c r="G831" s="1" t="str">
        <f ca="1">IFERROR(__xludf.DUMMYFUNCTION("""COMPUTED_VALUE"""),"Compras")</f>
        <v>Compras</v>
      </c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6">
        <f ca="1">IFERROR(__xludf.DUMMYFUNCTION("""COMPUTED_VALUE"""),45931)</f>
        <v>45931</v>
      </c>
      <c r="B832" s="1" t="str">
        <f ca="1">IFERROR(__xludf.DUMMYFUNCTION("""COMPUTED_VALUE"""),"-")</f>
        <v>-</v>
      </c>
      <c r="C832" s="1" t="str">
        <f ca="1">IFERROR(__xludf.DUMMYFUNCTION("""COMPUTED_VALUE"""),"Gabriel Rocha Ribe")</f>
        <v>Gabriel Rocha Ribe</v>
      </c>
      <c r="D832" s="2">
        <f ca="1">IFERROR(__xludf.DUMMYFUNCTION("""COMPUTED_VALUE"""),32.44)</f>
        <v>32.44</v>
      </c>
      <c r="E832" s="1" t="str">
        <f ca="1">IFERROR(__xludf.DUMMYFUNCTION("""COMPUTED_VALUE"""),"-")</f>
        <v>-</v>
      </c>
      <c r="F832" s="1" t="str">
        <f ca="1">IFERROR(__xludf.DUMMYFUNCTION("""COMPUTED_VALUE"""),"Gabriel Rocha Ribe")</f>
        <v>Gabriel Rocha Ribe</v>
      </c>
      <c r="G832" s="1" t="str">
        <f ca="1">IFERROR(__xludf.DUMMYFUNCTION("""COMPUTED_VALUE"""),"-")</f>
        <v>-</v>
      </c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6">
        <f ca="1">IFERROR(__xludf.DUMMYFUNCTION("""COMPUTED_VALUE"""),45931)</f>
        <v>45931</v>
      </c>
      <c r="B833" s="1" t="str">
        <f ca="1">IFERROR(__xludf.DUMMYFUNCTION("""COMPUTED_VALUE"""),"-")</f>
        <v>-</v>
      </c>
      <c r="C833" s="1" t="str">
        <f ca="1">IFERROR(__xludf.DUMMYFUNCTION("""COMPUTED_VALUE"""),"Ze Pamonha")</f>
        <v>Ze Pamonha</v>
      </c>
      <c r="D833" s="2">
        <f ca="1">IFERROR(__xludf.DUMMYFUNCTION("""COMPUTED_VALUE"""),26.5)</f>
        <v>26.5</v>
      </c>
      <c r="E833" s="1" t="str">
        <f ca="1">IFERROR(__xludf.DUMMYFUNCTION("""COMPUTED_VALUE"""),"-")</f>
        <v>-</v>
      </c>
      <c r="F833" s="1" t="str">
        <f ca="1">IFERROR(__xludf.DUMMYFUNCTION("""COMPUTED_VALUE"""),"Ze Pamonha")</f>
        <v>Ze Pamonha</v>
      </c>
      <c r="G833" s="1" t="str">
        <f ca="1">IFERROR(__xludf.DUMMYFUNCTION("""COMPUTED_VALUE"""),"-")</f>
        <v>-</v>
      </c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6">
        <f ca="1">IFERROR(__xludf.DUMMYFUNCTION("""COMPUTED_VALUE"""),45931)</f>
        <v>45931</v>
      </c>
      <c r="B834" s="1" t="str">
        <f ca="1">IFERROR(__xludf.DUMMYFUNCTION("""COMPUTED_VALUE"""),"-")</f>
        <v>-</v>
      </c>
      <c r="C834" s="1" t="str">
        <f ca="1">IFERROR(__xludf.DUMMYFUNCTION("""COMPUTED_VALUE"""),"Concessionaria Da Rodo")</f>
        <v>Concessionaria Da Rodo</v>
      </c>
      <c r="D834" s="2">
        <f ca="1">IFERROR(__xludf.DUMMYFUNCTION("""COMPUTED_VALUE"""),15.5)</f>
        <v>15.5</v>
      </c>
      <c r="E834" s="1" t="str">
        <f ca="1">IFERROR(__xludf.DUMMYFUNCTION("""COMPUTED_VALUE"""),"-")</f>
        <v>-</v>
      </c>
      <c r="F834" s="1" t="str">
        <f ca="1">IFERROR(__xludf.DUMMYFUNCTION("""COMPUTED_VALUE"""),"Concessionaria Da Rodo")</f>
        <v>Concessionaria Da Rodo</v>
      </c>
      <c r="G834" s="1" t="str">
        <f ca="1">IFERROR(__xludf.DUMMYFUNCTION("""COMPUTED_VALUE"""),"Compras")</f>
        <v>Compras</v>
      </c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6">
        <f ca="1">IFERROR(__xludf.DUMMYFUNCTION("""COMPUTED_VALUE"""),45931)</f>
        <v>45931</v>
      </c>
      <c r="B835" s="1" t="str">
        <f ca="1">IFERROR(__xludf.DUMMYFUNCTION("""COMPUTED_VALUE"""),"-")</f>
        <v>-</v>
      </c>
      <c r="C835" s="1" t="str">
        <f ca="1">IFERROR(__xludf.DUMMYFUNCTION("""COMPUTED_VALUE"""),"Drogaria Araujo")</f>
        <v>Drogaria Araujo</v>
      </c>
      <c r="D835" s="2">
        <f ca="1">IFERROR(__xludf.DUMMYFUNCTION("""COMPUTED_VALUE"""),15)</f>
        <v>15</v>
      </c>
      <c r="E835" s="1" t="str">
        <f ca="1">IFERROR(__xludf.DUMMYFUNCTION("""COMPUTED_VALUE"""),"-")</f>
        <v>-</v>
      </c>
      <c r="F835" s="1" t="str">
        <f ca="1">IFERROR(__xludf.DUMMYFUNCTION("""COMPUTED_VALUE"""),"Drogaria Araujo")</f>
        <v>Drogaria Araujo</v>
      </c>
      <c r="G835" s="1" t="str">
        <f ca="1">IFERROR(__xludf.DUMMYFUNCTION("""COMPUTED_VALUE"""),"Farmácia")</f>
        <v>Farmácia</v>
      </c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6">
        <f ca="1">IFERROR(__xludf.DUMMYFUNCTION("""COMPUTED_VALUE"""),45931)</f>
        <v>45931</v>
      </c>
      <c r="B836" s="1" t="str">
        <f ca="1">IFERROR(__xludf.DUMMYFUNCTION("""COMPUTED_VALUE"""),"-")</f>
        <v>-</v>
      </c>
      <c r="C836" s="1" t="str">
        <f ca="1">IFERROR(__xludf.DUMMYFUNCTION("""COMPUTED_VALUE"""),"Uber")</f>
        <v>Uber</v>
      </c>
      <c r="D836" s="2">
        <f ca="1">IFERROR(__xludf.DUMMYFUNCTION("""COMPUTED_VALUE"""),8.94)</f>
        <v>8.94</v>
      </c>
      <c r="E836" s="1" t="str">
        <f ca="1">IFERROR(__xludf.DUMMYFUNCTION("""COMPUTED_VALUE"""),"-")</f>
        <v>-</v>
      </c>
      <c r="F836" s="1" t="str">
        <f ca="1">IFERROR(__xludf.DUMMYFUNCTION("""COMPUTED_VALUE"""),"Uber")</f>
        <v>Uber</v>
      </c>
      <c r="G836" s="1" t="str">
        <f ca="1">IFERROR(__xludf.DUMMYFUNCTION("""COMPUTED_VALUE"""),"Uber/99")</f>
        <v>Uber/99</v>
      </c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6">
        <f ca="1">IFERROR(__xludf.DUMMYFUNCTION("""COMPUTED_VALUE"""),45931)</f>
        <v>45931</v>
      </c>
      <c r="B837" s="1" t="str">
        <f ca="1">IFERROR(__xludf.DUMMYFUNCTION("""COMPUTED_VALUE"""),"-")</f>
        <v>-</v>
      </c>
      <c r="C837" s="1">
        <f ca="1">IFERROR(__xludf.DUMMYFUNCTION("""COMPUTED_VALUE"""),99)</f>
        <v>99</v>
      </c>
      <c r="D837" s="2">
        <f ca="1">IFERROR(__xludf.DUMMYFUNCTION("""COMPUTED_VALUE"""),10.87)</f>
        <v>10.87</v>
      </c>
      <c r="E837" s="1" t="str">
        <f ca="1">IFERROR(__xludf.DUMMYFUNCTION("""COMPUTED_VALUE"""),"-")</f>
        <v>-</v>
      </c>
      <c r="F837" s="1" t="str">
        <f ca="1">IFERROR(__xludf.DUMMYFUNCTION("""COMPUTED_VALUE"""),"99")</f>
        <v>99</v>
      </c>
      <c r="G837" s="1" t="str">
        <f ca="1">IFERROR(__xludf.DUMMYFUNCTION("""COMPUTED_VALUE"""),"Uber/99")</f>
        <v>Uber/99</v>
      </c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6">
        <f ca="1">IFERROR(__xludf.DUMMYFUNCTION("""COMPUTED_VALUE"""),45931)</f>
        <v>45931</v>
      </c>
      <c r="B838" s="1" t="str">
        <f ca="1">IFERROR(__xludf.DUMMYFUNCTION("""COMPUTED_VALUE"""),"-")</f>
        <v>-</v>
      </c>
      <c r="C838" s="1" t="str">
        <f ca="1">IFERROR(__xludf.DUMMYFUNCTION("""COMPUTED_VALUE"""),"Amazon")</f>
        <v>Amazon</v>
      </c>
      <c r="D838" s="2">
        <f ca="1">IFERROR(__xludf.DUMMYFUNCTION("""COMPUTED_VALUE"""),7.49)</f>
        <v>7.49</v>
      </c>
      <c r="E838" s="1" t="str">
        <f ca="1">IFERROR(__xludf.DUMMYFUNCTION("""COMPUTED_VALUE"""),"-")</f>
        <v>-</v>
      </c>
      <c r="F838" s="1" t="str">
        <f ca="1">IFERROR(__xludf.DUMMYFUNCTION("""COMPUTED_VALUE"""),"Amazon")</f>
        <v>Amazon</v>
      </c>
      <c r="G838" s="1" t="str">
        <f ca="1">IFERROR(__xludf.DUMMYFUNCTION("""COMPUTED_VALUE"""),"Compras")</f>
        <v>Compras</v>
      </c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6">
        <f ca="1">IFERROR(__xludf.DUMMYFUNCTION("""COMPUTED_VALUE"""),45931)</f>
        <v>45931</v>
      </c>
      <c r="B839" s="1" t="str">
        <f ca="1">IFERROR(__xludf.DUMMYFUNCTION("""COMPUTED_VALUE"""),"-")</f>
        <v>-</v>
      </c>
      <c r="C839" s="1" t="str">
        <f ca="1">IFERROR(__xludf.DUMMYFUNCTION("""COMPUTED_VALUE"""),"Amazon")</f>
        <v>Amazon</v>
      </c>
      <c r="D839" s="2">
        <f ca="1">IFERROR(__xludf.DUMMYFUNCTION("""COMPUTED_VALUE"""),9)</f>
        <v>9</v>
      </c>
      <c r="E839" s="1" t="str">
        <f ca="1">IFERROR(__xludf.DUMMYFUNCTION("""COMPUTED_VALUE"""),"-")</f>
        <v>-</v>
      </c>
      <c r="F839" s="1" t="str">
        <f ca="1">IFERROR(__xludf.DUMMYFUNCTION("""COMPUTED_VALUE"""),"Amazon")</f>
        <v>Amazon</v>
      </c>
      <c r="G839" s="1" t="str">
        <f ca="1">IFERROR(__xludf.DUMMYFUNCTION("""COMPUTED_VALUE"""),"Compras")</f>
        <v>Compras</v>
      </c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6">
        <f ca="1">IFERROR(__xludf.DUMMYFUNCTION("""COMPUTED_VALUE"""),45931)</f>
        <v>45931</v>
      </c>
      <c r="B840" s="1" t="str">
        <f ca="1">IFERROR(__xludf.DUMMYFUNCTION("""COMPUTED_VALUE"""),"-")</f>
        <v>-</v>
      </c>
      <c r="C840" s="1">
        <f ca="1">IFERROR(__xludf.DUMMYFUNCTION("""COMPUTED_VALUE"""),99)</f>
        <v>99</v>
      </c>
      <c r="D840" s="2">
        <f ca="1">IFERROR(__xludf.DUMMYFUNCTION("""COMPUTED_VALUE"""),14.49)</f>
        <v>14.49</v>
      </c>
      <c r="E840" s="1" t="str">
        <f ca="1">IFERROR(__xludf.DUMMYFUNCTION("""COMPUTED_VALUE"""),"-")</f>
        <v>-</v>
      </c>
      <c r="F840" s="1" t="str">
        <f ca="1">IFERROR(__xludf.DUMMYFUNCTION("""COMPUTED_VALUE"""),"99")</f>
        <v>99</v>
      </c>
      <c r="G840" s="1" t="str">
        <f ca="1">IFERROR(__xludf.DUMMYFUNCTION("""COMPUTED_VALUE"""),"Uber/99")</f>
        <v>Uber/99</v>
      </c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6">
        <f ca="1">IFERROR(__xludf.DUMMYFUNCTION("""COMPUTED_VALUE"""),45931)</f>
        <v>45931</v>
      </c>
      <c r="B841" s="1" t="str">
        <f ca="1">IFERROR(__xludf.DUMMYFUNCTION("""COMPUTED_VALUE"""),"-")</f>
        <v>-</v>
      </c>
      <c r="C841" s="1" t="str">
        <f ca="1">IFERROR(__xludf.DUMMYFUNCTION("""COMPUTED_VALUE"""),"Megapark")</f>
        <v>Megapark</v>
      </c>
      <c r="D841" s="2">
        <f ca="1">IFERROR(__xludf.DUMMYFUNCTION("""COMPUTED_VALUE"""),24)</f>
        <v>24</v>
      </c>
      <c r="E841" s="1" t="str">
        <f ca="1">IFERROR(__xludf.DUMMYFUNCTION("""COMPUTED_VALUE"""),"-")</f>
        <v>-</v>
      </c>
      <c r="F841" s="1" t="str">
        <f ca="1">IFERROR(__xludf.DUMMYFUNCTION("""COMPUTED_VALUE"""),"Megapark")</f>
        <v>Megapark</v>
      </c>
      <c r="G841" s="1" t="str">
        <f ca="1">IFERROR(__xludf.DUMMYFUNCTION("""COMPUTED_VALUE"""),"-")</f>
        <v>-</v>
      </c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6">
        <f ca="1">IFERROR(__xludf.DUMMYFUNCTION("""COMPUTED_VALUE"""),45962)</f>
        <v>45962</v>
      </c>
      <c r="B842" s="1" t="str">
        <f ca="1">IFERROR(__xludf.DUMMYFUNCTION("""COMPUTED_VALUE"""),"-")</f>
        <v>-</v>
      </c>
      <c r="C842" s="1" t="str">
        <f ca="1">IFERROR(__xludf.DUMMYFUNCTION("""COMPUTED_VALUE"""),"Cancelamento - Amazonmktplc Alltrendl")</f>
        <v>Cancelamento - Amazonmktplc Alltrendl</v>
      </c>
      <c r="D842" s="2">
        <f ca="1">IFERROR(__xludf.DUMMYFUNCTION("""COMPUTED_VALUE"""),-11.9)</f>
        <v>-11.9</v>
      </c>
      <c r="E842" s="1" t="str">
        <f ca="1">IFERROR(__xludf.DUMMYFUNCTION("""COMPUTED_VALUE"""),"-")</f>
        <v>-</v>
      </c>
      <c r="F842" s="1" t="str">
        <f ca="1">IFERROR(__xludf.DUMMYFUNCTION("""COMPUTED_VALUE"""),"Amazonmktplc")</f>
        <v>Amazonmktplc</v>
      </c>
      <c r="G842" s="1" t="str">
        <f ca="1">IFERROR(__xludf.DUMMYFUNCTION("""COMPUTED_VALUE"""),"Compras")</f>
        <v>Compras</v>
      </c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6">
        <f ca="1">IFERROR(__xludf.DUMMYFUNCTION("""COMPUTED_VALUE"""),45962)</f>
        <v>45962</v>
      </c>
      <c r="B843" s="1" t="str">
        <f ca="1">IFERROR(__xludf.DUMMYFUNCTION("""COMPUTED_VALUE"""),"-")</f>
        <v>-</v>
      </c>
      <c r="C843" s="1" t="str">
        <f ca="1">IFERROR(__xludf.DUMMYFUNCTION("""COMPUTED_VALUE"""),"Desconto Na Parcela 5 De 5 Trackfield")</f>
        <v>Desconto Na Parcela 5 De 5 Trackfield</v>
      </c>
      <c r="D843" s="2">
        <f ca="1">IFERROR(__xludf.DUMMYFUNCTION("""COMPUTED_VALUE"""),-1.98)</f>
        <v>-1.98</v>
      </c>
      <c r="E843" s="1" t="str">
        <f ca="1">IFERROR(__xludf.DUMMYFUNCTION("""COMPUTED_VALUE"""),"-")</f>
        <v>-</v>
      </c>
      <c r="F843" s="1" t="str">
        <f ca="1">IFERROR(__xludf.DUMMYFUNCTION("""COMPUTED_VALUE"""),"Desconto Na Parcela 5 De 5 Trackfield")</f>
        <v>Desconto Na Parcela 5 De 5 Trackfield</v>
      </c>
      <c r="G843" s="1" t="str">
        <f ca="1">IFERROR(__xludf.DUMMYFUNCTION("""COMPUTED_VALUE"""),"-")</f>
        <v>-</v>
      </c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6">
        <f ca="1">IFERROR(__xludf.DUMMYFUNCTION("""COMPUTED_VALUE"""),45962)</f>
        <v>45962</v>
      </c>
      <c r="B844" s="1" t="str">
        <f ca="1">IFERROR(__xludf.DUMMYFUNCTION("""COMPUTED_VALUE"""),"-")</f>
        <v>-</v>
      </c>
      <c r="C844" s="1" t="str">
        <f ca="1">IFERROR(__xludf.DUMMYFUNCTION("""COMPUTED_VALUE"""),"Desconto Na Parcela 10 De 10 Crstina Marcia")</f>
        <v>Desconto Na Parcela 10 De 10 Crstina Marcia</v>
      </c>
      <c r="D844" s="2">
        <f ca="1">IFERROR(__xludf.DUMMYFUNCTION("""COMPUTED_VALUE"""),-12.65)</f>
        <v>-12.65</v>
      </c>
      <c r="E844" s="1" t="str">
        <f ca="1">IFERROR(__xludf.DUMMYFUNCTION("""COMPUTED_VALUE"""),"-")</f>
        <v>-</v>
      </c>
      <c r="F844" s="1" t="str">
        <f ca="1">IFERROR(__xludf.DUMMYFUNCTION("""COMPUTED_VALUE"""),"Desconto Na Parcela 10 De 10 Crstina Marcia")</f>
        <v>Desconto Na Parcela 10 De 10 Crstina Marcia</v>
      </c>
      <c r="G844" s="1" t="str">
        <f ca="1">IFERROR(__xludf.DUMMYFUNCTION("""COMPUTED_VALUE"""),"-")</f>
        <v>-</v>
      </c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6">
        <f ca="1">IFERROR(__xludf.DUMMYFUNCTION("""COMPUTED_VALUE"""),45962)</f>
        <v>45962</v>
      </c>
      <c r="B845" s="1" t="str">
        <f ca="1">IFERROR(__xludf.DUMMYFUNCTION("""COMPUTED_VALUE"""),"-")</f>
        <v>-</v>
      </c>
      <c r="C845" s="1" t="str">
        <f ca="1">IFERROR(__xludf.DUMMYFUNCTION("""COMPUTED_VALUE"""),"Desconto Na Parcela 10 De 10 Casas Bahia")</f>
        <v>Desconto Na Parcela 10 De 10 Casas Bahia</v>
      </c>
      <c r="D845" s="2">
        <f ca="1">IFERROR(__xludf.DUMMYFUNCTION("""COMPUTED_VALUE"""),-4.02)</f>
        <v>-4.0199999999999996</v>
      </c>
      <c r="E845" s="1" t="str">
        <f ca="1">IFERROR(__xludf.DUMMYFUNCTION("""COMPUTED_VALUE"""),"-")</f>
        <v>-</v>
      </c>
      <c r="F845" s="1" t="str">
        <f ca="1">IFERROR(__xludf.DUMMYFUNCTION("""COMPUTED_VALUE"""),"Desconto Na Parcela 10 De 10 Casas Bahia")</f>
        <v>Desconto Na Parcela 10 De 10 Casas Bahia</v>
      </c>
      <c r="G845" s="1" t="str">
        <f ca="1">IFERROR(__xludf.DUMMYFUNCTION("""COMPUTED_VALUE"""),"-")</f>
        <v>-</v>
      </c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6">
        <f ca="1">IFERROR(__xludf.DUMMYFUNCTION("""COMPUTED_VALUE"""),45962)</f>
        <v>45962</v>
      </c>
      <c r="B846" s="1" t="str">
        <f ca="1">IFERROR(__xludf.DUMMYFUNCTION("""COMPUTED_VALUE"""),"-")</f>
        <v>-</v>
      </c>
      <c r="C846" s="1" t="str">
        <f ca="1">IFERROR(__xludf.DUMMYFUNCTION("""COMPUTED_VALUE"""),"Desconto Na Parcela 9 De 10 Casas Bahia")</f>
        <v>Desconto Na Parcela 9 De 10 Casas Bahia</v>
      </c>
      <c r="D846" s="2">
        <f ca="1">IFERROR(__xludf.DUMMYFUNCTION("""COMPUTED_VALUE"""),-2.67)</f>
        <v>-2.67</v>
      </c>
      <c r="E846" s="1" t="str">
        <f ca="1">IFERROR(__xludf.DUMMYFUNCTION("""COMPUTED_VALUE"""),"-")</f>
        <v>-</v>
      </c>
      <c r="F846" s="1" t="str">
        <f ca="1">IFERROR(__xludf.DUMMYFUNCTION("""COMPUTED_VALUE"""),"Desconto Na Parcela 9 De 10 Casas Bahia")</f>
        <v>Desconto Na Parcela 9 De 10 Casas Bahia</v>
      </c>
      <c r="G846" s="1" t="str">
        <f ca="1">IFERROR(__xludf.DUMMYFUNCTION("""COMPUTED_VALUE"""),"-")</f>
        <v>-</v>
      </c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6">
        <f ca="1">IFERROR(__xludf.DUMMYFUNCTION("""COMPUTED_VALUE"""),45962)</f>
        <v>45962</v>
      </c>
      <c r="B847" s="1" t="str">
        <f ca="1">IFERROR(__xludf.DUMMYFUNCTION("""COMPUTED_VALUE"""),"-")</f>
        <v>-</v>
      </c>
      <c r="C847" s="1" t="str">
        <f ca="1">IFERROR(__xludf.DUMMYFUNCTION("""COMPUTED_VALUE"""),"Desconto Na Parcela 9 De 10 Crstina Marcia")</f>
        <v>Desconto Na Parcela 9 De 10 Crstina Marcia</v>
      </c>
      <c r="D847" s="2">
        <f ca="1">IFERROR(__xludf.DUMMYFUNCTION("""COMPUTED_VALUE"""),-10.07)</f>
        <v>-10.07</v>
      </c>
      <c r="E847" s="1" t="str">
        <f ca="1">IFERROR(__xludf.DUMMYFUNCTION("""COMPUTED_VALUE"""),"-")</f>
        <v>-</v>
      </c>
      <c r="F847" s="1" t="str">
        <f ca="1">IFERROR(__xludf.DUMMYFUNCTION("""COMPUTED_VALUE"""),"Desconto Na Parcela 9 De 10 Crstina Marcia")</f>
        <v>Desconto Na Parcela 9 De 10 Crstina Marcia</v>
      </c>
      <c r="G847" s="1" t="str">
        <f ca="1">IFERROR(__xludf.DUMMYFUNCTION("""COMPUTED_VALUE"""),"-")</f>
        <v>-</v>
      </c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6">
        <f ca="1">IFERROR(__xludf.DUMMYFUNCTION("""COMPUTED_VALUE"""),45962)</f>
        <v>45962</v>
      </c>
      <c r="B848" s="1" t="str">
        <f ca="1">IFERROR(__xludf.DUMMYFUNCTION("""COMPUTED_VALUE"""),"-")</f>
        <v>-</v>
      </c>
      <c r="C848" s="1" t="str">
        <f ca="1">IFERROR(__xludf.DUMMYFUNCTION("""COMPUTED_VALUE"""),"Desconto Na Parcela 4 De 5 Trackfield")</f>
        <v>Desconto Na Parcela 4 De 5 Trackfield</v>
      </c>
      <c r="D848" s="2">
        <f ca="1">IFERROR(__xludf.DUMMYFUNCTION("""COMPUTED_VALUE"""),-0.97)</f>
        <v>-0.97</v>
      </c>
      <c r="E848" s="1" t="str">
        <f ca="1">IFERROR(__xludf.DUMMYFUNCTION("""COMPUTED_VALUE"""),"-")</f>
        <v>-</v>
      </c>
      <c r="F848" s="1" t="str">
        <f ca="1">IFERROR(__xludf.DUMMYFUNCTION("""COMPUTED_VALUE"""),"Desconto Na Parcela 4 De 5 Trackfield")</f>
        <v>Desconto Na Parcela 4 De 5 Trackfield</v>
      </c>
      <c r="G848" s="1" t="str">
        <f ca="1">IFERROR(__xludf.DUMMYFUNCTION("""COMPUTED_VALUE"""),"-")</f>
        <v>-</v>
      </c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6">
        <f ca="1">IFERROR(__xludf.DUMMYFUNCTION("""COMPUTED_VALUE"""),45962)</f>
        <v>45962</v>
      </c>
      <c r="B849" s="1" t="str">
        <f ca="1">IFERROR(__xludf.DUMMYFUNCTION("""COMPUTED_VALUE"""),"-")</f>
        <v>-</v>
      </c>
      <c r="C849" s="1" t="str">
        <f ca="1">IFERROR(__xludf.DUMMYFUNCTION("""COMPUTED_VALUE"""),"Desconto Na Parcela 8 De 10 Crstina Marcia")</f>
        <v>Desconto Na Parcela 8 De 10 Crstina Marcia</v>
      </c>
      <c r="D849" s="2">
        <f ca="1">IFERROR(__xludf.DUMMYFUNCTION("""COMPUTED_VALUE"""),-7.74)</f>
        <v>-7.74</v>
      </c>
      <c r="E849" s="1" t="str">
        <f ca="1">IFERROR(__xludf.DUMMYFUNCTION("""COMPUTED_VALUE"""),"-")</f>
        <v>-</v>
      </c>
      <c r="F849" s="1" t="str">
        <f ca="1">IFERROR(__xludf.DUMMYFUNCTION("""COMPUTED_VALUE"""),"Desconto Na Parcela 8 De 10 Crstina Marcia")</f>
        <v>Desconto Na Parcela 8 De 10 Crstina Marcia</v>
      </c>
      <c r="G849" s="1" t="str">
        <f ca="1">IFERROR(__xludf.DUMMYFUNCTION("""COMPUTED_VALUE"""),"-")</f>
        <v>-</v>
      </c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6">
        <f ca="1">IFERROR(__xludf.DUMMYFUNCTION("""COMPUTED_VALUE"""),45962)</f>
        <v>45962</v>
      </c>
      <c r="B850" s="1" t="str">
        <f ca="1">IFERROR(__xludf.DUMMYFUNCTION("""COMPUTED_VALUE"""),"-")</f>
        <v>-</v>
      </c>
      <c r="C850" s="1" t="str">
        <f ca="1">IFERROR(__xludf.DUMMYFUNCTION("""COMPUTED_VALUE"""),"Desconto Na Parcela 8 De 10 Casas Bahia")</f>
        <v>Desconto Na Parcela 8 De 10 Casas Bahia</v>
      </c>
      <c r="D850" s="2">
        <f ca="1">IFERROR(__xludf.DUMMYFUNCTION("""COMPUTED_VALUE"""),-1.31)</f>
        <v>-1.31</v>
      </c>
      <c r="E850" s="1" t="str">
        <f ca="1">IFERROR(__xludf.DUMMYFUNCTION("""COMPUTED_VALUE"""),"-")</f>
        <v>-</v>
      </c>
      <c r="F850" s="1" t="str">
        <f ca="1">IFERROR(__xludf.DUMMYFUNCTION("""COMPUTED_VALUE"""),"Desconto Na Parcela 8 De 10 Casas Bahia")</f>
        <v>Desconto Na Parcela 8 De 10 Casas Bahia</v>
      </c>
      <c r="G850" s="1" t="str">
        <f ca="1">IFERROR(__xludf.DUMMYFUNCTION("""COMPUTED_VALUE"""),"-")</f>
        <v>-</v>
      </c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6">
        <f ca="1">IFERROR(__xludf.DUMMYFUNCTION("""COMPUTED_VALUE"""),45962)</f>
        <v>45962</v>
      </c>
      <c r="B851" s="1" t="str">
        <f ca="1">IFERROR(__xludf.DUMMYFUNCTION("""COMPUTED_VALUE"""),"-")</f>
        <v>-</v>
      </c>
      <c r="C851" s="1" t="str">
        <f ca="1">IFERROR(__xludf.DUMMYFUNCTION("""COMPUTED_VALUE"""),"Desconto Na Parcela 7 De 10 Crstina Marcia")</f>
        <v>Desconto Na Parcela 7 De 10 Crstina Marcia</v>
      </c>
      <c r="D851" s="2">
        <f ca="1">IFERROR(__xludf.DUMMYFUNCTION("""COMPUTED_VALUE"""),-5.14)</f>
        <v>-5.14</v>
      </c>
      <c r="E851" s="1" t="str">
        <f ca="1">IFERROR(__xludf.DUMMYFUNCTION("""COMPUTED_VALUE"""),"-")</f>
        <v>-</v>
      </c>
      <c r="F851" s="1" t="str">
        <f ca="1">IFERROR(__xludf.DUMMYFUNCTION("""COMPUTED_VALUE"""),"Desconto Na Parcela 7 De 10 Crstina Marcia")</f>
        <v>Desconto Na Parcela 7 De 10 Crstina Marcia</v>
      </c>
      <c r="G851" s="1" t="str">
        <f ca="1">IFERROR(__xludf.DUMMYFUNCTION("""COMPUTED_VALUE"""),"-")</f>
        <v>-</v>
      </c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6">
        <f ca="1">IFERROR(__xludf.DUMMYFUNCTION("""COMPUTED_VALUE"""),45962)</f>
        <v>45962</v>
      </c>
      <c r="B852" s="1" t="str">
        <f ca="1">IFERROR(__xludf.DUMMYFUNCTION("""COMPUTED_VALUE"""),"-")</f>
        <v>-</v>
      </c>
      <c r="C852" s="1" t="str">
        <f ca="1">IFERROR(__xludf.DUMMYFUNCTION("""COMPUTED_VALUE"""),"Desconto Na Parcela 6 De 10 Crstina Marcia")</f>
        <v>Desconto Na Parcela 6 De 10 Crstina Marcia</v>
      </c>
      <c r="D852" s="2">
        <f ca="1">IFERROR(__xludf.DUMMYFUNCTION("""COMPUTED_VALUE"""),-2.53)</f>
        <v>-2.5299999999999998</v>
      </c>
      <c r="E852" s="1" t="str">
        <f ca="1">IFERROR(__xludf.DUMMYFUNCTION("""COMPUTED_VALUE"""),"-")</f>
        <v>-</v>
      </c>
      <c r="F852" s="1" t="str">
        <f ca="1">IFERROR(__xludf.DUMMYFUNCTION("""COMPUTED_VALUE"""),"Desconto Na Parcela 6 De 10 Crstina Marcia")</f>
        <v>Desconto Na Parcela 6 De 10 Crstina Marcia</v>
      </c>
      <c r="G852" s="1" t="str">
        <f ca="1">IFERROR(__xludf.DUMMYFUNCTION("""COMPUTED_VALUE"""),"-")</f>
        <v>-</v>
      </c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6">
        <f ca="1">IFERROR(__xludf.DUMMYFUNCTION("""COMPUTED_VALUE"""),45962)</f>
        <v>45962</v>
      </c>
      <c r="B853" s="1" t="str">
        <f ca="1">IFERROR(__xludf.DUMMYFUNCTION("""COMPUTED_VALUE"""),"-")</f>
        <v>-</v>
      </c>
      <c r="C853" s="1" t="str">
        <f ca="1">IFERROR(__xludf.DUMMYFUNCTION("""COMPUTED_VALUE"""),"Desconto Na Parcela 6 De 6 Imunizar")</f>
        <v>Desconto Na Parcela 6 De 6 Imunizar</v>
      </c>
      <c r="D853" s="2">
        <f ca="1">IFERROR(__xludf.DUMMYFUNCTION("""COMPUTED_VALUE"""),-15)</f>
        <v>-15</v>
      </c>
      <c r="E853" s="1" t="str">
        <f ca="1">IFERROR(__xludf.DUMMYFUNCTION("""COMPUTED_VALUE"""),"-")</f>
        <v>-</v>
      </c>
      <c r="F853" s="1" t="str">
        <f ca="1">IFERROR(__xludf.DUMMYFUNCTION("""COMPUTED_VALUE"""),"Desconto Na Parcela 6 De 6 Imunizar")</f>
        <v>Desconto Na Parcela 6 De 6 Imunizar</v>
      </c>
      <c r="G853" s="1" t="str">
        <f ca="1">IFERROR(__xludf.DUMMYFUNCTION("""COMPUTED_VALUE"""),"-")</f>
        <v>-</v>
      </c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6">
        <f ca="1">IFERROR(__xludf.DUMMYFUNCTION("""COMPUTED_VALUE"""),45962)</f>
        <v>45962</v>
      </c>
      <c r="B854" s="1" t="str">
        <f ca="1">IFERROR(__xludf.DUMMYFUNCTION("""COMPUTED_VALUE"""),"-")</f>
        <v>-</v>
      </c>
      <c r="C854" s="1" t="str">
        <f ca="1">IFERROR(__xludf.DUMMYFUNCTION("""COMPUTED_VALUE"""),"Desconto Na Parcela 12 De 12 Mercadolaserxinforma")</f>
        <v>Desconto Na Parcela 12 De 12 Mercadolaserxinforma</v>
      </c>
      <c r="D854" s="2">
        <f ca="1">IFERROR(__xludf.DUMMYFUNCTION("""COMPUTED_VALUE"""),-2.77)</f>
        <v>-2.77</v>
      </c>
      <c r="E854" s="1" t="str">
        <f ca="1">IFERROR(__xludf.DUMMYFUNCTION("""COMPUTED_VALUE"""),"-")</f>
        <v>-</v>
      </c>
      <c r="F854" s="1" t="str">
        <f ca="1">IFERROR(__xludf.DUMMYFUNCTION("""COMPUTED_VALUE"""),"Desconto Na Parcela 12 De 12 Mercadolaserxinforma")</f>
        <v>Desconto Na Parcela 12 De 12 Mercadolaserxinforma</v>
      </c>
      <c r="G854" s="1" t="str">
        <f ca="1">IFERROR(__xludf.DUMMYFUNCTION("""COMPUTED_VALUE"""),"-")</f>
        <v>-</v>
      </c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6">
        <f ca="1">IFERROR(__xludf.DUMMYFUNCTION("""COMPUTED_VALUE"""),45962)</f>
        <v>45962</v>
      </c>
      <c r="B855" s="1" t="str">
        <f ca="1">IFERROR(__xludf.DUMMYFUNCTION("""COMPUTED_VALUE"""),"-")</f>
        <v>-</v>
      </c>
      <c r="C855" s="1" t="str">
        <f ca="1">IFERROR(__xludf.DUMMYFUNCTION("""COMPUTED_VALUE"""),"Desconto Na Parcela 11 De 12 Mercadolaserxinforma")</f>
        <v>Desconto Na Parcela 11 De 12 Mercadolaserxinforma</v>
      </c>
      <c r="D855" s="2">
        <f ca="1">IFERROR(__xludf.DUMMYFUNCTION("""COMPUTED_VALUE"""),-2.5)</f>
        <v>-2.5</v>
      </c>
      <c r="E855" s="1" t="str">
        <f ca="1">IFERROR(__xludf.DUMMYFUNCTION("""COMPUTED_VALUE"""),"-")</f>
        <v>-</v>
      </c>
      <c r="F855" s="1" t="str">
        <f ca="1">IFERROR(__xludf.DUMMYFUNCTION("""COMPUTED_VALUE"""),"Desconto Na Parcela 11 De 12 Mercadolaserxinforma")</f>
        <v>Desconto Na Parcela 11 De 12 Mercadolaserxinforma</v>
      </c>
      <c r="G855" s="1" t="str">
        <f ca="1">IFERROR(__xludf.DUMMYFUNCTION("""COMPUTED_VALUE"""),"-")</f>
        <v>-</v>
      </c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6">
        <f ca="1">IFERROR(__xludf.DUMMYFUNCTION("""COMPUTED_VALUE"""),45962)</f>
        <v>45962</v>
      </c>
      <c r="B856" s="1" t="str">
        <f ca="1">IFERROR(__xludf.DUMMYFUNCTION("""COMPUTED_VALUE"""),"-")</f>
        <v>-</v>
      </c>
      <c r="C856" s="1" t="str">
        <f ca="1">IFERROR(__xludf.DUMMYFUNCTION("""COMPUTED_VALUE"""),"Desconto Na Parcela 5 De 6 Imunizar")</f>
        <v>Desconto Na Parcela 5 De 6 Imunizar</v>
      </c>
      <c r="D856" s="2">
        <f ca="1">IFERROR(__xludf.DUMMYFUNCTION("""COMPUTED_VALUE"""),-9.97)</f>
        <v>-9.9700000000000006</v>
      </c>
      <c r="E856" s="1" t="str">
        <f ca="1">IFERROR(__xludf.DUMMYFUNCTION("""COMPUTED_VALUE"""),"-")</f>
        <v>-</v>
      </c>
      <c r="F856" s="1" t="str">
        <f ca="1">IFERROR(__xludf.DUMMYFUNCTION("""COMPUTED_VALUE"""),"Desconto Na Parcela 5 De 6 Imunizar")</f>
        <v>Desconto Na Parcela 5 De 6 Imunizar</v>
      </c>
      <c r="G856" s="1" t="str">
        <f ca="1">IFERROR(__xludf.DUMMYFUNCTION("""COMPUTED_VALUE"""),"-")</f>
        <v>-</v>
      </c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6">
        <f ca="1">IFERROR(__xludf.DUMMYFUNCTION("""COMPUTED_VALUE"""),45962)</f>
        <v>45962</v>
      </c>
      <c r="B857" s="1" t="str">
        <f ca="1">IFERROR(__xludf.DUMMYFUNCTION("""COMPUTED_VALUE"""),"-")</f>
        <v>-</v>
      </c>
      <c r="C857" s="1" t="str">
        <f ca="1">IFERROR(__xludf.DUMMYFUNCTION("""COMPUTED_VALUE"""),"Desconto Na Parcela 10 De 12 Mercadolaserxinforma")</f>
        <v>Desconto Na Parcela 10 De 12 Mercadolaserxinforma</v>
      </c>
      <c r="D857" s="2">
        <f ca="1">IFERROR(__xludf.DUMMYFUNCTION("""COMPUTED_VALUE"""),-2.22)</f>
        <v>-2.2200000000000002</v>
      </c>
      <c r="E857" s="1" t="str">
        <f ca="1">IFERROR(__xludf.DUMMYFUNCTION("""COMPUTED_VALUE"""),"-")</f>
        <v>-</v>
      </c>
      <c r="F857" s="1" t="str">
        <f ca="1">IFERROR(__xludf.DUMMYFUNCTION("""COMPUTED_VALUE"""),"Desconto Na Parcela 10 De 12 Mercadolaserxinforma")</f>
        <v>Desconto Na Parcela 10 De 12 Mercadolaserxinforma</v>
      </c>
      <c r="G857" s="1" t="str">
        <f ca="1">IFERROR(__xludf.DUMMYFUNCTION("""COMPUTED_VALUE"""),"-")</f>
        <v>-</v>
      </c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6">
        <f ca="1">IFERROR(__xludf.DUMMYFUNCTION("""COMPUTED_VALUE"""),45962)</f>
        <v>45962</v>
      </c>
      <c r="B858" s="1" t="str">
        <f ca="1">IFERROR(__xludf.DUMMYFUNCTION("""COMPUTED_VALUE"""),"-")</f>
        <v>-</v>
      </c>
      <c r="C858" s="1" t="str">
        <f ca="1">IFERROR(__xludf.DUMMYFUNCTION("""COMPUTED_VALUE"""),"Desconto Na Parcela 4 De 6 Imunizar")</f>
        <v>Desconto Na Parcela 4 De 6 Imunizar</v>
      </c>
      <c r="D858" s="2">
        <f ca="1">IFERROR(__xludf.DUMMYFUNCTION("""COMPUTED_VALUE"""),-4.91)</f>
        <v>-4.91</v>
      </c>
      <c r="E858" s="1" t="str">
        <f ca="1">IFERROR(__xludf.DUMMYFUNCTION("""COMPUTED_VALUE"""),"-")</f>
        <v>-</v>
      </c>
      <c r="F858" s="1" t="str">
        <f ca="1">IFERROR(__xludf.DUMMYFUNCTION("""COMPUTED_VALUE"""),"Desconto Na Parcela 4 De 6 Imunizar")</f>
        <v>Desconto Na Parcela 4 De 6 Imunizar</v>
      </c>
      <c r="G858" s="1" t="str">
        <f ca="1">IFERROR(__xludf.DUMMYFUNCTION("""COMPUTED_VALUE"""),"-")</f>
        <v>-</v>
      </c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6">
        <f ca="1">IFERROR(__xludf.DUMMYFUNCTION("""COMPUTED_VALUE"""),45962)</f>
        <v>45962</v>
      </c>
      <c r="B859" s="1" t="str">
        <f ca="1">IFERROR(__xludf.DUMMYFUNCTION("""COMPUTED_VALUE"""),"-")</f>
        <v>-</v>
      </c>
      <c r="C859" s="1" t="str">
        <f ca="1">IFERROR(__xludf.DUMMYFUNCTION("""COMPUTED_VALUE"""),"Desconto Na Parcela 9 De 12 Mercadolaserxinforma")</f>
        <v>Desconto Na Parcela 9 De 12 Mercadolaserxinforma</v>
      </c>
      <c r="D859" s="2">
        <f ca="1">IFERROR(__xludf.DUMMYFUNCTION("""COMPUTED_VALUE"""),-1.94)</f>
        <v>-1.94</v>
      </c>
      <c r="E859" s="1" t="str">
        <f ca="1">IFERROR(__xludf.DUMMYFUNCTION("""COMPUTED_VALUE"""),"-")</f>
        <v>-</v>
      </c>
      <c r="F859" s="1" t="str">
        <f ca="1">IFERROR(__xludf.DUMMYFUNCTION("""COMPUTED_VALUE"""),"Desconto Na Parcela 9 De 12 Mercadolaserxinforma")</f>
        <v>Desconto Na Parcela 9 De 12 Mercadolaserxinforma</v>
      </c>
      <c r="G859" s="1" t="str">
        <f ca="1">IFERROR(__xludf.DUMMYFUNCTION("""COMPUTED_VALUE"""),"-")</f>
        <v>-</v>
      </c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6">
        <f ca="1">IFERROR(__xludf.DUMMYFUNCTION("""COMPUTED_VALUE"""),45962)</f>
        <v>45962</v>
      </c>
      <c r="B860" s="1" t="str">
        <f ca="1">IFERROR(__xludf.DUMMYFUNCTION("""COMPUTED_VALUE"""),"-")</f>
        <v>-</v>
      </c>
      <c r="C860" s="1" t="str">
        <f ca="1">IFERROR(__xludf.DUMMYFUNCTION("""COMPUTED_VALUE"""),"Desconto Na Parcela 7 De 12 Mercadolaserxinforma")</f>
        <v>Desconto Na Parcela 7 De 12 Mercadolaserxinforma</v>
      </c>
      <c r="D860" s="2">
        <f ca="1">IFERROR(__xludf.DUMMYFUNCTION("""COMPUTED_VALUE"""),-1.39)</f>
        <v>-1.39</v>
      </c>
      <c r="E860" s="1" t="str">
        <f ca="1">IFERROR(__xludf.DUMMYFUNCTION("""COMPUTED_VALUE"""),"-")</f>
        <v>-</v>
      </c>
      <c r="F860" s="1" t="str">
        <f ca="1">IFERROR(__xludf.DUMMYFUNCTION("""COMPUTED_VALUE"""),"Desconto Na Parcela 7 De 12 Mercadolaserxinforma")</f>
        <v>Desconto Na Parcela 7 De 12 Mercadolaserxinforma</v>
      </c>
      <c r="G860" s="1" t="str">
        <f ca="1">IFERROR(__xludf.DUMMYFUNCTION("""COMPUTED_VALUE"""),"-")</f>
        <v>-</v>
      </c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6">
        <f ca="1">IFERROR(__xludf.DUMMYFUNCTION("""COMPUTED_VALUE"""),45962)</f>
        <v>45962</v>
      </c>
      <c r="B861" s="1" t="str">
        <f ca="1">IFERROR(__xludf.DUMMYFUNCTION("""COMPUTED_VALUE"""),"-")</f>
        <v>-</v>
      </c>
      <c r="C861" s="1" t="str">
        <f ca="1">IFERROR(__xludf.DUMMYFUNCTION("""COMPUTED_VALUE"""),"Desconto Na Parcela 8 De 12 Mercadolaserxinforma")</f>
        <v>Desconto Na Parcela 8 De 12 Mercadolaserxinforma</v>
      </c>
      <c r="D861" s="2">
        <f ca="1">IFERROR(__xludf.DUMMYFUNCTION("""COMPUTED_VALUE"""),-1.66)</f>
        <v>-1.66</v>
      </c>
      <c r="E861" s="1" t="str">
        <f ca="1">IFERROR(__xludf.DUMMYFUNCTION("""COMPUTED_VALUE"""),"-")</f>
        <v>-</v>
      </c>
      <c r="F861" s="1" t="str">
        <f ca="1">IFERROR(__xludf.DUMMYFUNCTION("""COMPUTED_VALUE"""),"Desconto Na Parcela 8 De 12 Mercadolaserxinforma")</f>
        <v>Desconto Na Parcela 8 De 12 Mercadolaserxinforma</v>
      </c>
      <c r="G861" s="1" t="str">
        <f ca="1">IFERROR(__xludf.DUMMYFUNCTION("""COMPUTED_VALUE"""),"-")</f>
        <v>-</v>
      </c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6">
        <f ca="1">IFERROR(__xludf.DUMMYFUNCTION("""COMPUTED_VALUE"""),45962)</f>
        <v>45962</v>
      </c>
      <c r="B862" s="1" t="str">
        <f ca="1">IFERROR(__xludf.DUMMYFUNCTION("""COMPUTED_VALUE"""),"-")</f>
        <v>-</v>
      </c>
      <c r="C862" s="1" t="str">
        <f ca="1">IFERROR(__xludf.DUMMYFUNCTION("""COMPUTED_VALUE"""),"Desconto Na Parcela 6 De 12 Mercadolaserxinforma")</f>
        <v>Desconto Na Parcela 6 De 12 Mercadolaserxinforma</v>
      </c>
      <c r="D862" s="2">
        <f ca="1">IFERROR(__xludf.DUMMYFUNCTION("""COMPUTED_VALUE"""),-1.11)</f>
        <v>-1.1100000000000001</v>
      </c>
      <c r="E862" s="1" t="str">
        <f ca="1">IFERROR(__xludf.DUMMYFUNCTION("""COMPUTED_VALUE"""),"-")</f>
        <v>-</v>
      </c>
      <c r="F862" s="1" t="str">
        <f ca="1">IFERROR(__xludf.DUMMYFUNCTION("""COMPUTED_VALUE"""),"Desconto Na Parcela 6 De 12 Mercadolaserxinforma")</f>
        <v>Desconto Na Parcela 6 De 12 Mercadolaserxinforma</v>
      </c>
      <c r="G862" s="1" t="str">
        <f ca="1">IFERROR(__xludf.DUMMYFUNCTION("""COMPUTED_VALUE"""),"-")</f>
        <v>-</v>
      </c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6">
        <f ca="1">IFERROR(__xludf.DUMMYFUNCTION("""COMPUTED_VALUE"""),45962)</f>
        <v>45962</v>
      </c>
      <c r="B863" s="1" t="str">
        <f ca="1">IFERROR(__xludf.DUMMYFUNCTION("""COMPUTED_VALUE"""),"-")</f>
        <v>-</v>
      </c>
      <c r="C863" s="1" t="str">
        <f ca="1">IFERROR(__xludf.DUMMYFUNCTION("""COMPUTED_VALUE"""),"Desconto Na Parcela 5 De 12 Mercadolaserxinforma")</f>
        <v>Desconto Na Parcela 5 De 12 Mercadolaserxinforma</v>
      </c>
      <c r="D863" s="2">
        <f ca="1">IFERROR(__xludf.DUMMYFUNCTION("""COMPUTED_VALUE"""),-0.85)</f>
        <v>-0.85</v>
      </c>
      <c r="E863" s="1" t="str">
        <f ca="1">IFERROR(__xludf.DUMMYFUNCTION("""COMPUTED_VALUE"""),"-")</f>
        <v>-</v>
      </c>
      <c r="F863" s="1" t="str">
        <f ca="1">IFERROR(__xludf.DUMMYFUNCTION("""COMPUTED_VALUE"""),"Desconto Na Parcela 5 De 12 Mercadolaserxinforma")</f>
        <v>Desconto Na Parcela 5 De 12 Mercadolaserxinforma</v>
      </c>
      <c r="G863" s="1" t="str">
        <f ca="1">IFERROR(__xludf.DUMMYFUNCTION("""COMPUTED_VALUE"""),"-")</f>
        <v>-</v>
      </c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6">
        <f ca="1">IFERROR(__xludf.DUMMYFUNCTION("""COMPUTED_VALUE"""),45962)</f>
        <v>45962</v>
      </c>
      <c r="B864" s="1" t="str">
        <f ca="1">IFERROR(__xludf.DUMMYFUNCTION("""COMPUTED_VALUE"""),"-")</f>
        <v>-</v>
      </c>
      <c r="C864" s="1" t="str">
        <f ca="1">IFERROR(__xludf.DUMMYFUNCTION("""COMPUTED_VALUE"""),"Desconto Na Parcela 3 De 12 Mercadolaserxinforma")</f>
        <v>Desconto Na Parcela 3 De 12 Mercadolaserxinforma</v>
      </c>
      <c r="D864" s="2">
        <f ca="1">IFERROR(__xludf.DUMMYFUNCTION("""COMPUTED_VALUE"""),-0.28)</f>
        <v>-0.28000000000000003</v>
      </c>
      <c r="E864" s="1" t="str">
        <f ca="1">IFERROR(__xludf.DUMMYFUNCTION("""COMPUTED_VALUE"""),"-")</f>
        <v>-</v>
      </c>
      <c r="F864" s="1" t="str">
        <f ca="1">IFERROR(__xludf.DUMMYFUNCTION("""COMPUTED_VALUE"""),"Desconto Na Parcela 3 De 12 Mercadolaserxinforma")</f>
        <v>Desconto Na Parcela 3 De 12 Mercadolaserxinforma</v>
      </c>
      <c r="G864" s="1" t="str">
        <f ca="1">IFERROR(__xludf.DUMMYFUNCTION("""COMPUTED_VALUE"""),"-")</f>
        <v>-</v>
      </c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6">
        <f ca="1">IFERROR(__xludf.DUMMYFUNCTION("""COMPUTED_VALUE"""),45962)</f>
        <v>45962</v>
      </c>
      <c r="B865" s="1" t="str">
        <f ca="1">IFERROR(__xludf.DUMMYFUNCTION("""COMPUTED_VALUE"""),"-")</f>
        <v>-</v>
      </c>
      <c r="C865" s="1" t="str">
        <f ca="1">IFERROR(__xludf.DUMMYFUNCTION("""COMPUTED_VALUE"""),"Desconto Na Parcela 4 De 12 Mercadolaserxinforma")</f>
        <v>Desconto Na Parcela 4 De 12 Mercadolaserxinforma</v>
      </c>
      <c r="D865" s="2">
        <f ca="1">IFERROR(__xludf.DUMMYFUNCTION("""COMPUTED_VALUE"""),-0.56)</f>
        <v>-0.56000000000000005</v>
      </c>
      <c r="E865" s="1" t="str">
        <f ca="1">IFERROR(__xludf.DUMMYFUNCTION("""COMPUTED_VALUE"""),"-")</f>
        <v>-</v>
      </c>
      <c r="F865" s="1" t="str">
        <f ca="1">IFERROR(__xludf.DUMMYFUNCTION("""COMPUTED_VALUE"""),"Desconto Na Parcela 4 De 12 Mercadolaserxinforma")</f>
        <v>Desconto Na Parcela 4 De 12 Mercadolaserxinforma</v>
      </c>
      <c r="G865" s="1" t="str">
        <f ca="1">IFERROR(__xludf.DUMMYFUNCTION("""COMPUTED_VALUE"""),"-")</f>
        <v>-</v>
      </c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6">
        <f ca="1">IFERROR(__xludf.DUMMYFUNCTION("""COMPUTED_VALUE"""),45962)</f>
        <v>45962</v>
      </c>
      <c r="B866" s="1" t="str">
        <f ca="1">IFERROR(__xludf.DUMMYFUNCTION("""COMPUTED_VALUE"""),"-")</f>
        <v>-</v>
      </c>
      <c r="C866" s="1" t="str">
        <f ca="1">IFERROR(__xludf.DUMMYFUNCTION("""COMPUTED_VALUE"""),"Desconto Na Parcela 5 De 5 Roma J Automoveis E Se")</f>
        <v>Desconto Na Parcela 5 De 5 Roma J Automoveis E Se</v>
      </c>
      <c r="D866" s="2">
        <f ca="1">IFERROR(__xludf.DUMMYFUNCTION("""COMPUTED_VALUE"""),-5.5)</f>
        <v>-5.5</v>
      </c>
      <c r="E866" s="1" t="str">
        <f ca="1">IFERROR(__xludf.DUMMYFUNCTION("""COMPUTED_VALUE"""),"-")</f>
        <v>-</v>
      </c>
      <c r="F866" s="1" t="str">
        <f ca="1">IFERROR(__xludf.DUMMYFUNCTION("""COMPUTED_VALUE"""),"Desconto Na Parcela 5 De 5 Roma J Automoveis E Se")</f>
        <v>Desconto Na Parcela 5 De 5 Roma J Automoveis E Se</v>
      </c>
      <c r="G866" s="1" t="str">
        <f ca="1">IFERROR(__xludf.DUMMYFUNCTION("""COMPUTED_VALUE"""),"-")</f>
        <v>-</v>
      </c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6">
        <f ca="1">IFERROR(__xludf.DUMMYFUNCTION("""COMPUTED_VALUE"""),45962)</f>
        <v>45962</v>
      </c>
      <c r="B867" s="1" t="str">
        <f ca="1">IFERROR(__xludf.DUMMYFUNCTION("""COMPUTED_VALUE"""),"-")</f>
        <v>-</v>
      </c>
      <c r="C867" s="1" t="str">
        <f ca="1">IFERROR(__xludf.DUMMYFUNCTION("""COMPUTED_VALUE"""),"Desconto Na Parcela 4 De 5 Roma J Automoveis E Se")</f>
        <v>Desconto Na Parcela 4 De 5 Roma J Automoveis E Se</v>
      </c>
      <c r="D867" s="2">
        <f ca="1">IFERROR(__xludf.DUMMYFUNCTION("""COMPUTED_VALUE"""),-4.23)</f>
        <v>-4.2300000000000004</v>
      </c>
      <c r="E867" s="1" t="str">
        <f ca="1">IFERROR(__xludf.DUMMYFUNCTION("""COMPUTED_VALUE"""),"-")</f>
        <v>-</v>
      </c>
      <c r="F867" s="1" t="str">
        <f ca="1">IFERROR(__xludf.DUMMYFUNCTION("""COMPUTED_VALUE"""),"Desconto Na Parcela 4 De 5 Roma J Automoveis E Se")</f>
        <v>Desconto Na Parcela 4 De 5 Roma J Automoveis E Se</v>
      </c>
      <c r="G867" s="1" t="str">
        <f ca="1">IFERROR(__xludf.DUMMYFUNCTION("""COMPUTED_VALUE"""),"-")</f>
        <v>-</v>
      </c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6">
        <f ca="1">IFERROR(__xludf.DUMMYFUNCTION("""COMPUTED_VALUE"""),45962)</f>
        <v>45962</v>
      </c>
      <c r="B868" s="1" t="str">
        <f ca="1">IFERROR(__xludf.DUMMYFUNCTION("""COMPUTED_VALUE"""),"-")</f>
        <v>-</v>
      </c>
      <c r="C868" s="1" t="str">
        <f ca="1">IFERROR(__xludf.DUMMYFUNCTION("""COMPUTED_VALUE"""),"Desconto Na Parcela 3 De 5 Roma J Automoveis E Se")</f>
        <v>Desconto Na Parcela 3 De 5 Roma J Automoveis E Se</v>
      </c>
      <c r="D868" s="2">
        <f ca="1">IFERROR(__xludf.DUMMYFUNCTION("""COMPUTED_VALUE"""),-2.81)</f>
        <v>-2.81</v>
      </c>
      <c r="E868" s="1" t="str">
        <f ca="1">IFERROR(__xludf.DUMMYFUNCTION("""COMPUTED_VALUE"""),"-")</f>
        <v>-</v>
      </c>
      <c r="F868" s="1" t="str">
        <f ca="1">IFERROR(__xludf.DUMMYFUNCTION("""COMPUTED_VALUE"""),"Desconto Na Parcela 3 De 5 Roma J Automoveis E Se")</f>
        <v>Desconto Na Parcela 3 De 5 Roma J Automoveis E Se</v>
      </c>
      <c r="G868" s="1" t="str">
        <f ca="1">IFERROR(__xludf.DUMMYFUNCTION("""COMPUTED_VALUE"""),"-")</f>
        <v>-</v>
      </c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6">
        <f ca="1">IFERROR(__xludf.DUMMYFUNCTION("""COMPUTED_VALUE"""),45962)</f>
        <v>45962</v>
      </c>
      <c r="B869" s="1" t="str">
        <f ca="1">IFERROR(__xludf.DUMMYFUNCTION("""COMPUTED_VALUE"""),"-")</f>
        <v>-</v>
      </c>
      <c r="C869" s="1" t="str">
        <f ca="1">IFERROR(__xludf.DUMMYFUNCTION("""COMPUTED_VALUE"""),"Desconto Na Parcela 2 De 5 Roma J Automoveis E Se")</f>
        <v>Desconto Na Parcela 2 De 5 Roma J Automoveis E Se</v>
      </c>
      <c r="D869" s="2">
        <f ca="1">IFERROR(__xludf.DUMMYFUNCTION("""COMPUTED_VALUE"""),-1.38)</f>
        <v>-1.38</v>
      </c>
      <c r="E869" s="1" t="str">
        <f ca="1">IFERROR(__xludf.DUMMYFUNCTION("""COMPUTED_VALUE"""),"-")</f>
        <v>-</v>
      </c>
      <c r="F869" s="1" t="str">
        <f ca="1">IFERROR(__xludf.DUMMYFUNCTION("""COMPUTED_VALUE"""),"Desconto Na Parcela 2 De 5 Roma J Automoveis E Se")</f>
        <v>Desconto Na Parcela 2 De 5 Roma J Automoveis E Se</v>
      </c>
      <c r="G869" s="1" t="str">
        <f ca="1">IFERROR(__xludf.DUMMYFUNCTION("""COMPUTED_VALUE"""),"-")</f>
        <v>-</v>
      </c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6">
        <f ca="1">IFERROR(__xludf.DUMMYFUNCTION("""COMPUTED_VALUE"""),45962)</f>
        <v>45962</v>
      </c>
      <c r="B870" s="1" t="str">
        <f ca="1">IFERROR(__xludf.DUMMYFUNCTION("""COMPUTED_VALUE"""),"-")</f>
        <v>-</v>
      </c>
      <c r="C870" s="1" t="str">
        <f ca="1">IFERROR(__xludf.DUMMYFUNCTION("""COMPUTED_VALUE"""),"Desconto Na Parcela 5 De 5 Farmácias Pa 324")</f>
        <v>Desconto Na Parcela 5 De 5 Farmácias Pa 324</v>
      </c>
      <c r="D870" s="2">
        <f ca="1">IFERROR(__xludf.DUMMYFUNCTION("""COMPUTED_VALUE"""),-0.66)</f>
        <v>-0.66</v>
      </c>
      <c r="E870" s="1" t="str">
        <f ca="1">IFERROR(__xludf.DUMMYFUNCTION("""COMPUTED_VALUE"""),"-")</f>
        <v>-</v>
      </c>
      <c r="F870" s="1" t="str">
        <f ca="1">IFERROR(__xludf.DUMMYFUNCTION("""COMPUTED_VALUE"""),"Desconto Na Parcela 5 De 5 Farmácias Pa 324")</f>
        <v>Desconto Na Parcela 5 De 5 Farmácias Pa 324</v>
      </c>
      <c r="G870" s="1" t="str">
        <f ca="1">IFERROR(__xludf.DUMMYFUNCTION("""COMPUTED_VALUE"""),"-")</f>
        <v>-</v>
      </c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6">
        <f ca="1">IFERROR(__xludf.DUMMYFUNCTION("""COMPUTED_VALUE"""),45962)</f>
        <v>45962</v>
      </c>
      <c r="B871" s="1" t="str">
        <f ca="1">IFERROR(__xludf.DUMMYFUNCTION("""COMPUTED_VALUE"""),"-")</f>
        <v>-</v>
      </c>
      <c r="C871" s="1" t="str">
        <f ca="1">IFERROR(__xludf.DUMMYFUNCTION("""COMPUTED_VALUE"""),"Desconto Na Parcela 3 De 3 Pet Loveorder 1090868")</f>
        <v>Desconto Na Parcela 3 De 3 Pet Loveorder 1090868</v>
      </c>
      <c r="D871" s="2">
        <f ca="1">IFERROR(__xludf.DUMMYFUNCTION("""COMPUTED_VALUE"""),-0.67)</f>
        <v>-0.67</v>
      </c>
      <c r="E871" s="1" t="str">
        <f ca="1">IFERROR(__xludf.DUMMYFUNCTION("""COMPUTED_VALUE"""),"-")</f>
        <v>-</v>
      </c>
      <c r="F871" s="1" t="str">
        <f ca="1">IFERROR(__xludf.DUMMYFUNCTION("""COMPUTED_VALUE"""),"Desconto Na Parcela 3 De 3 Pet Loveorder 1090868")</f>
        <v>Desconto Na Parcela 3 De 3 Pet Loveorder 1090868</v>
      </c>
      <c r="G871" s="1" t="str">
        <f ca="1">IFERROR(__xludf.DUMMYFUNCTION("""COMPUTED_VALUE"""),"-")</f>
        <v>-</v>
      </c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6">
        <f ca="1">IFERROR(__xludf.DUMMYFUNCTION("""COMPUTED_VALUE"""),45962)</f>
        <v>45962</v>
      </c>
      <c r="B872" s="1" t="str">
        <f ca="1">IFERROR(__xludf.DUMMYFUNCTION("""COMPUTED_VALUE"""),"-")</f>
        <v>-</v>
      </c>
      <c r="C872" s="1" t="str">
        <f ca="1">IFERROR(__xludf.DUMMYFUNCTION("""COMPUTED_VALUE"""),"Desconto Na Parcela 4 De 5 Farmácias Pa 324")</f>
        <v>Desconto Na Parcela 4 De 5 Farmácias Pa 324</v>
      </c>
      <c r="D872" s="2">
        <f ca="1">IFERROR(__xludf.DUMMYFUNCTION("""COMPUTED_VALUE"""),-0.51)</f>
        <v>-0.51</v>
      </c>
      <c r="E872" s="1" t="str">
        <f ca="1">IFERROR(__xludf.DUMMYFUNCTION("""COMPUTED_VALUE"""),"-")</f>
        <v>-</v>
      </c>
      <c r="F872" s="1" t="str">
        <f ca="1">IFERROR(__xludf.DUMMYFUNCTION("""COMPUTED_VALUE"""),"Desconto Na Parcela 4 De 5 Farmácias Pa 324")</f>
        <v>Desconto Na Parcela 4 De 5 Farmácias Pa 324</v>
      </c>
      <c r="G872" s="1" t="str">
        <f ca="1">IFERROR(__xludf.DUMMYFUNCTION("""COMPUTED_VALUE"""),"-")</f>
        <v>-</v>
      </c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6">
        <f ca="1">IFERROR(__xludf.DUMMYFUNCTION("""COMPUTED_VALUE"""),45962)</f>
        <v>45962</v>
      </c>
      <c r="B873" s="1" t="str">
        <f ca="1">IFERROR(__xludf.DUMMYFUNCTION("""COMPUTED_VALUE"""),"-")</f>
        <v>-</v>
      </c>
      <c r="C873" s="1" t="str">
        <f ca="1">IFERROR(__xludf.DUMMYFUNCTION("""COMPUTED_VALUE"""),"Desconto Na Parcela 2 De 3 Pet Loveorder 1090868")</f>
        <v>Desconto Na Parcela 2 De 3 Pet Loveorder 1090868</v>
      </c>
      <c r="D873" s="2">
        <f ca="1">IFERROR(__xludf.DUMMYFUNCTION("""COMPUTED_VALUE"""),-0.33)</f>
        <v>-0.33</v>
      </c>
      <c r="E873" s="1" t="str">
        <f ca="1">IFERROR(__xludf.DUMMYFUNCTION("""COMPUTED_VALUE"""),"-")</f>
        <v>-</v>
      </c>
      <c r="F873" s="1" t="str">
        <f ca="1">IFERROR(__xludf.DUMMYFUNCTION("""COMPUTED_VALUE"""),"Desconto Na Parcela 2 De 3 Pet Loveorder 1090868")</f>
        <v>Desconto Na Parcela 2 De 3 Pet Loveorder 1090868</v>
      </c>
      <c r="G873" s="1" t="str">
        <f ca="1">IFERROR(__xludf.DUMMYFUNCTION("""COMPUTED_VALUE"""),"-")</f>
        <v>-</v>
      </c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6">
        <f ca="1">IFERROR(__xludf.DUMMYFUNCTION("""COMPUTED_VALUE"""),45962)</f>
        <v>45962</v>
      </c>
      <c r="B874" s="1" t="str">
        <f ca="1">IFERROR(__xludf.DUMMYFUNCTION("""COMPUTED_VALUE"""),"-")</f>
        <v>-</v>
      </c>
      <c r="C874" s="1" t="str">
        <f ca="1">IFERROR(__xludf.DUMMYFUNCTION("""COMPUTED_VALUE"""),"Desconto Na Parcela 3 De 5 Farmácias Pa 324")</f>
        <v>Desconto Na Parcela 3 De 5 Farmácias Pa 324</v>
      </c>
      <c r="D874" s="2">
        <f ca="1">IFERROR(__xludf.DUMMYFUNCTION("""COMPUTED_VALUE"""),-0.34)</f>
        <v>-0.34</v>
      </c>
      <c r="E874" s="1" t="str">
        <f ca="1">IFERROR(__xludf.DUMMYFUNCTION("""COMPUTED_VALUE"""),"-")</f>
        <v>-</v>
      </c>
      <c r="F874" s="1" t="str">
        <f ca="1">IFERROR(__xludf.DUMMYFUNCTION("""COMPUTED_VALUE"""),"Desconto Na Parcela 3 De 5 Farmácias Pa 324")</f>
        <v>Desconto Na Parcela 3 De 5 Farmácias Pa 324</v>
      </c>
      <c r="G874" s="1" t="str">
        <f ca="1">IFERROR(__xludf.DUMMYFUNCTION("""COMPUTED_VALUE"""),"-")</f>
        <v>-</v>
      </c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6">
        <f ca="1">IFERROR(__xludf.DUMMYFUNCTION("""COMPUTED_VALUE"""),45962)</f>
        <v>45962</v>
      </c>
      <c r="B875" s="1" t="str">
        <f ca="1">IFERROR(__xludf.DUMMYFUNCTION("""COMPUTED_VALUE"""),"-")</f>
        <v>-</v>
      </c>
      <c r="C875" s="1" t="str">
        <f ca="1">IFERROR(__xludf.DUMMYFUNCTION("""COMPUTED_VALUE"""),"Desconto Na Parcela 2 De 5 Farmácias Pa 324")</f>
        <v>Desconto Na Parcela 2 De 5 Farmácias Pa 324</v>
      </c>
      <c r="D875" s="2">
        <f ca="1">IFERROR(__xludf.DUMMYFUNCTION("""COMPUTED_VALUE"""),-0.17)</f>
        <v>-0.17</v>
      </c>
      <c r="E875" s="1" t="str">
        <f ca="1">IFERROR(__xludf.DUMMYFUNCTION("""COMPUTED_VALUE"""),"-")</f>
        <v>-</v>
      </c>
      <c r="F875" s="1" t="str">
        <f ca="1">IFERROR(__xludf.DUMMYFUNCTION("""COMPUTED_VALUE"""),"Desconto Na Parcela 2 De 5 Farmácias Pa 324")</f>
        <v>Desconto Na Parcela 2 De 5 Farmácias Pa 324</v>
      </c>
      <c r="G875" s="1" t="str">
        <f ca="1">IFERROR(__xludf.DUMMYFUNCTION("""COMPUTED_VALUE"""),"-")</f>
        <v>-</v>
      </c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6">
        <f ca="1">IFERROR(__xludf.DUMMYFUNCTION("""COMPUTED_VALUE"""),45962)</f>
        <v>45962</v>
      </c>
      <c r="B876" s="1" t="str">
        <f ca="1">IFERROR(__xludf.DUMMYFUNCTION("""COMPUTED_VALUE"""),"-")</f>
        <v>-</v>
      </c>
      <c r="C876" s="1" t="str">
        <f ca="1">IFERROR(__xludf.DUMMYFUNCTION("""COMPUTED_VALUE"""),"Desconto Na Parcela 2 De 2 Farmácia Indiana")</f>
        <v>Desconto Na Parcela 2 De 2 Farmácia Indiana</v>
      </c>
      <c r="D876" s="2">
        <f ca="1">IFERROR(__xludf.DUMMYFUNCTION("""COMPUTED_VALUE"""),-0.16)</f>
        <v>-0.16</v>
      </c>
      <c r="E876" s="1" t="str">
        <f ca="1">IFERROR(__xludf.DUMMYFUNCTION("""COMPUTED_VALUE"""),"-")</f>
        <v>-</v>
      </c>
      <c r="F876" s="1" t="str">
        <f ca="1">IFERROR(__xludf.DUMMYFUNCTION("""COMPUTED_VALUE"""),"Desconto Na Parcela 2 De 2 Farmácia Indiana")</f>
        <v>Desconto Na Parcela 2 De 2 Farmácia Indiana</v>
      </c>
      <c r="G876" s="1" t="str">
        <f ca="1">IFERROR(__xludf.DUMMYFUNCTION("""COMPUTED_VALUE"""),"-")</f>
        <v>-</v>
      </c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6">
        <f ca="1">IFERROR(__xludf.DUMMYFUNCTION("""COMPUTED_VALUE"""),45962)</f>
        <v>45962</v>
      </c>
      <c r="B877" s="1" t="str">
        <f ca="1">IFERROR(__xludf.DUMMYFUNCTION("""COMPUTED_VALUE"""),"-")</f>
        <v>-</v>
      </c>
      <c r="C877" s="1" t="str">
        <f ca="1">IFERROR(__xludf.DUMMYFUNCTION("""COMPUTED_VALUE"""),"Benefício do cartão BTG Pactual")</f>
        <v>Benefício do cartão BTG Pactual</v>
      </c>
      <c r="D877" s="2">
        <f ca="1">IFERROR(__xludf.DUMMYFUNCTION("""COMPUTED_VALUE"""),-549.33)</f>
        <v>-549.33000000000004</v>
      </c>
      <c r="E877" s="1" t="str">
        <f ca="1">IFERROR(__xludf.DUMMYFUNCTION("""COMPUTED_VALUE"""),"-")</f>
        <v>-</v>
      </c>
      <c r="F877" s="1" t="str">
        <f ca="1">IFERROR(__xludf.DUMMYFUNCTION("""COMPUTED_VALUE"""),"Benefício do cartão BTG Pactual")</f>
        <v>Benefício do cartão BTG Pactual</v>
      </c>
      <c r="G877" s="1" t="str">
        <f ca="1">IFERROR(__xludf.DUMMYFUNCTION("""COMPUTED_VALUE"""),"-")</f>
        <v>-</v>
      </c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6">
        <f ca="1">IFERROR(__xludf.DUMMYFUNCTION("""COMPUTED_VALUE"""),45962)</f>
        <v>45962</v>
      </c>
      <c r="B878" s="1" t="str">
        <f ca="1">IFERROR(__xludf.DUMMYFUNCTION("""COMPUTED_VALUE"""),"-")</f>
        <v>-</v>
      </c>
      <c r="C878" s="1" t="str">
        <f ca="1">IFERROR(__xludf.DUMMYFUNCTION("""COMPUTED_VALUE"""),"Desconto Na Parcela 2 De 2 Estoque")</f>
        <v>Desconto Na Parcela 2 De 2 Estoque</v>
      </c>
      <c r="D878" s="2">
        <f ca="1">IFERROR(__xludf.DUMMYFUNCTION("""COMPUTED_VALUE"""),-0.49)</f>
        <v>-0.49</v>
      </c>
      <c r="E878" s="1" t="str">
        <f ca="1">IFERROR(__xludf.DUMMYFUNCTION("""COMPUTED_VALUE"""),"-")</f>
        <v>-</v>
      </c>
      <c r="F878" s="1" t="str">
        <f ca="1">IFERROR(__xludf.DUMMYFUNCTION("""COMPUTED_VALUE"""),"Desconto Na Parcela 2 De 2 Estoque")</f>
        <v>Desconto Na Parcela 2 De 2 Estoque</v>
      </c>
      <c r="G878" s="1" t="str">
        <f ca="1">IFERROR(__xludf.DUMMYFUNCTION("""COMPUTED_VALUE"""),"-")</f>
        <v>-</v>
      </c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6">
        <f ca="1">IFERROR(__xludf.DUMMYFUNCTION("""COMPUTED_VALUE"""),45962)</f>
        <v>45962</v>
      </c>
      <c r="B879" s="1" t="str">
        <f ca="1">IFERROR(__xludf.DUMMYFUNCTION("""COMPUTED_VALUE"""),"-")</f>
        <v>-</v>
      </c>
      <c r="C879" s="1" t="str">
        <f ca="1">IFERROR(__xludf.DUMMYFUNCTION("""COMPUTED_VALUE"""),"Desconto Na Parcela 4 De 4 Surfco")</f>
        <v>Desconto Na Parcela 4 De 4 Surfco</v>
      </c>
      <c r="D879" s="2">
        <f ca="1">IFERROR(__xludf.DUMMYFUNCTION("""COMPUTED_VALUE"""),-0.56)</f>
        <v>-0.56000000000000005</v>
      </c>
      <c r="E879" s="1" t="str">
        <f ca="1">IFERROR(__xludf.DUMMYFUNCTION("""COMPUTED_VALUE"""),"-")</f>
        <v>-</v>
      </c>
      <c r="F879" s="1" t="str">
        <f ca="1">IFERROR(__xludf.DUMMYFUNCTION("""COMPUTED_VALUE"""),"Desconto Na Parcela 4 De 4 Surfco")</f>
        <v>Desconto Na Parcela 4 De 4 Surfco</v>
      </c>
      <c r="G879" s="1" t="str">
        <f ca="1">IFERROR(__xludf.DUMMYFUNCTION("""COMPUTED_VALUE"""),"-")</f>
        <v>-</v>
      </c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6">
        <f ca="1">IFERROR(__xludf.DUMMYFUNCTION("""COMPUTED_VALUE"""),45962)</f>
        <v>45962</v>
      </c>
      <c r="B880" s="1" t="str">
        <f ca="1">IFERROR(__xludf.DUMMYFUNCTION("""COMPUTED_VALUE"""),"-")</f>
        <v>-</v>
      </c>
      <c r="C880" s="1" t="str">
        <f ca="1">IFERROR(__xludf.DUMMYFUNCTION("""COMPUTED_VALUE"""),"Desconto Na Parcela 3 De 4 Surfco")</f>
        <v>Desconto Na Parcela 3 De 4 Surfco</v>
      </c>
      <c r="D880" s="2">
        <f ca="1">IFERROR(__xludf.DUMMYFUNCTION("""COMPUTED_VALUE"""),-0.37)</f>
        <v>-0.37</v>
      </c>
      <c r="E880" s="1" t="str">
        <f ca="1">IFERROR(__xludf.DUMMYFUNCTION("""COMPUTED_VALUE"""),"-")</f>
        <v>-</v>
      </c>
      <c r="F880" s="1" t="str">
        <f ca="1">IFERROR(__xludf.DUMMYFUNCTION("""COMPUTED_VALUE"""),"Desconto Na Parcela 3 De 4 Surfco")</f>
        <v>Desconto Na Parcela 3 De 4 Surfco</v>
      </c>
      <c r="G880" s="1" t="str">
        <f ca="1">IFERROR(__xludf.DUMMYFUNCTION("""COMPUTED_VALUE"""),"-")</f>
        <v>-</v>
      </c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6">
        <f ca="1">IFERROR(__xludf.DUMMYFUNCTION("""COMPUTED_VALUE"""),45962)</f>
        <v>45962</v>
      </c>
      <c r="B881" s="1" t="str">
        <f ca="1">IFERROR(__xludf.DUMMYFUNCTION("""COMPUTED_VALUE"""),"-")</f>
        <v>-</v>
      </c>
      <c r="C881" s="1" t="str">
        <f ca="1">IFERROR(__xludf.DUMMYFUNCTION("""COMPUTED_VALUE"""),"Desconto Na Parcela 2 De 4 Surfco")</f>
        <v>Desconto Na Parcela 2 De 4 Surfco</v>
      </c>
      <c r="D881" s="2">
        <f ca="1">IFERROR(__xludf.DUMMYFUNCTION("""COMPUTED_VALUE"""),-0.18)</f>
        <v>-0.18</v>
      </c>
      <c r="E881" s="1" t="str">
        <f ca="1">IFERROR(__xludf.DUMMYFUNCTION("""COMPUTED_VALUE"""),"-")</f>
        <v>-</v>
      </c>
      <c r="F881" s="1" t="str">
        <f ca="1">IFERROR(__xludf.DUMMYFUNCTION("""COMPUTED_VALUE"""),"Desconto Na Parcela 2 De 4 Surfco")</f>
        <v>Desconto Na Parcela 2 De 4 Surfco</v>
      </c>
      <c r="G881" s="1" t="str">
        <f ca="1">IFERROR(__xludf.DUMMYFUNCTION("""COMPUTED_VALUE"""),"-")</f>
        <v>-</v>
      </c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6">
        <f ca="1">IFERROR(__xludf.DUMMYFUNCTION("""COMPUTED_VALUE"""),45962)</f>
        <v>45962</v>
      </c>
      <c r="B882" s="1" t="str">
        <f ca="1">IFERROR(__xludf.DUMMYFUNCTION("""COMPUTED_VALUE"""),"-")</f>
        <v>-</v>
      </c>
      <c r="C882" s="1" t="str">
        <f ca="1">IFERROR(__xludf.DUMMYFUNCTION("""COMPUTED_VALUE"""),"Casas Bahia (10/10)")</f>
        <v>Casas Bahia (10/10)</v>
      </c>
      <c r="D882" s="2">
        <f ca="1">IFERROR(__xludf.DUMMYFUNCTION("""COMPUTED_VALUE"""),361.46)</f>
        <v>361.46</v>
      </c>
      <c r="E882" s="1" t="str">
        <f ca="1">IFERROR(__xludf.DUMMYFUNCTION("""COMPUTED_VALUE"""),"-")</f>
        <v>-</v>
      </c>
      <c r="F882" s="1" t="str">
        <f ca="1">IFERROR(__xludf.DUMMYFUNCTION("""COMPUTED_VALUE"""),"Casas Bahia")</f>
        <v>Casas Bahia</v>
      </c>
      <c r="G882" s="1" t="str">
        <f ca="1">IFERROR(__xludf.DUMMYFUNCTION("""COMPUTED_VALUE"""),"Compras")</f>
        <v>Compras</v>
      </c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6">
        <f ca="1">IFERROR(__xludf.DUMMYFUNCTION("""COMPUTED_VALUE"""),45962)</f>
        <v>45962</v>
      </c>
      <c r="B883" s="1" t="str">
        <f ca="1">IFERROR(__xludf.DUMMYFUNCTION("""COMPUTED_VALUE"""),"-")</f>
        <v>-</v>
      </c>
      <c r="C883" s="1" t="str">
        <f ca="1">IFERROR(__xludf.DUMMYFUNCTION("""COMPUTED_VALUE"""),"Casas Bahia (9/10)")</f>
        <v>Casas Bahia (9/10)</v>
      </c>
      <c r="D883" s="2">
        <f ca="1">IFERROR(__xludf.DUMMYFUNCTION("""COMPUTED_VALUE"""),361.46)</f>
        <v>361.46</v>
      </c>
      <c r="E883" s="1" t="str">
        <f ca="1">IFERROR(__xludf.DUMMYFUNCTION("""COMPUTED_VALUE"""),"-")</f>
        <v>-</v>
      </c>
      <c r="F883" s="1" t="str">
        <f ca="1">IFERROR(__xludf.DUMMYFUNCTION("""COMPUTED_VALUE"""),"Casas Bahia")</f>
        <v>Casas Bahia</v>
      </c>
      <c r="G883" s="1" t="str">
        <f ca="1">IFERROR(__xludf.DUMMYFUNCTION("""COMPUTED_VALUE"""),"Compras")</f>
        <v>Compras</v>
      </c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6">
        <f ca="1">IFERROR(__xludf.DUMMYFUNCTION("""COMPUTED_VALUE"""),45962)</f>
        <v>45962</v>
      </c>
      <c r="B884" s="1" t="str">
        <f ca="1">IFERROR(__xludf.DUMMYFUNCTION("""COMPUTED_VALUE"""),"-")</f>
        <v>-</v>
      </c>
      <c r="C884" s="1" t="str">
        <f ca="1">IFERROR(__xludf.DUMMYFUNCTION("""COMPUTED_VALUE"""),"Casas Bahia (8/10)")</f>
        <v>Casas Bahia (8/10)</v>
      </c>
      <c r="D884" s="2">
        <f ca="1">IFERROR(__xludf.DUMMYFUNCTION("""COMPUTED_VALUE"""),361.46)</f>
        <v>361.46</v>
      </c>
      <c r="E884" s="1" t="str">
        <f ca="1">IFERROR(__xludf.DUMMYFUNCTION("""COMPUTED_VALUE"""),"-")</f>
        <v>-</v>
      </c>
      <c r="F884" s="1" t="str">
        <f ca="1">IFERROR(__xludf.DUMMYFUNCTION("""COMPUTED_VALUE"""),"Casas Bahia")</f>
        <v>Casas Bahia</v>
      </c>
      <c r="G884" s="1" t="str">
        <f ca="1">IFERROR(__xludf.DUMMYFUNCTION("""COMPUTED_VALUE"""),"Compras")</f>
        <v>Compras</v>
      </c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6">
        <f ca="1">IFERROR(__xludf.DUMMYFUNCTION("""COMPUTED_VALUE"""),45962)</f>
        <v>45962</v>
      </c>
      <c r="B885" s="1" t="str">
        <f ca="1">IFERROR(__xludf.DUMMYFUNCTION("""COMPUTED_VALUE"""),"-")</f>
        <v>-</v>
      </c>
      <c r="C885" s="1" t="str">
        <f ca="1">IFERROR(__xludf.DUMMYFUNCTION("""COMPUTED_VALUE"""),"Casas Bahia (7/10)")</f>
        <v>Casas Bahia (7/10)</v>
      </c>
      <c r="D885" s="2">
        <f ca="1">IFERROR(__xludf.DUMMYFUNCTION("""COMPUTED_VALUE"""),361.46)</f>
        <v>361.46</v>
      </c>
      <c r="E885" s="1" t="str">
        <f ca="1">IFERROR(__xludf.DUMMYFUNCTION("""COMPUTED_VALUE"""),"-")</f>
        <v>-</v>
      </c>
      <c r="F885" s="1" t="str">
        <f ca="1">IFERROR(__xludf.DUMMYFUNCTION("""COMPUTED_VALUE"""),"Casas Bahia")</f>
        <v>Casas Bahia</v>
      </c>
      <c r="G885" s="1" t="str">
        <f ca="1">IFERROR(__xludf.DUMMYFUNCTION("""COMPUTED_VALUE"""),"Compras")</f>
        <v>Compras</v>
      </c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6">
        <f ca="1">IFERROR(__xludf.DUMMYFUNCTION("""COMPUTED_VALUE"""),45962)</f>
        <v>45962</v>
      </c>
      <c r="B886" s="1" t="str">
        <f ca="1">IFERROR(__xludf.DUMMYFUNCTION("""COMPUTED_VALUE"""),"-")</f>
        <v>-</v>
      </c>
      <c r="C886" s="1" t="str">
        <f ca="1">IFERROR(__xludf.DUMMYFUNCTION("""COMPUTED_VALUE"""),"Crstina Marcia (10/10)")</f>
        <v>Crstina Marcia (10/10)</v>
      </c>
      <c r="D886" s="2">
        <f ca="1">IFERROR(__xludf.DUMMYFUNCTION("""COMPUTED_VALUE"""),696)</f>
        <v>696</v>
      </c>
      <c r="E886" s="1" t="str">
        <f ca="1">IFERROR(__xludf.DUMMYFUNCTION("""COMPUTED_VALUE"""),"-")</f>
        <v>-</v>
      </c>
      <c r="F886" s="1" t="str">
        <f ca="1">IFERROR(__xludf.DUMMYFUNCTION("""COMPUTED_VALUE"""),"Crstina Marcia")</f>
        <v>Crstina Marcia</v>
      </c>
      <c r="G886" s="1" t="str">
        <f ca="1">IFERROR(__xludf.DUMMYFUNCTION("""COMPUTED_VALUE"""),"-")</f>
        <v>-</v>
      </c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6">
        <f ca="1">IFERROR(__xludf.DUMMYFUNCTION("""COMPUTED_VALUE"""),45962)</f>
        <v>45962</v>
      </c>
      <c r="B887" s="1" t="str">
        <f ca="1">IFERROR(__xludf.DUMMYFUNCTION("""COMPUTED_VALUE"""),"-")</f>
        <v>-</v>
      </c>
      <c r="C887" s="1" t="str">
        <f ca="1">IFERROR(__xludf.DUMMYFUNCTION("""COMPUTED_VALUE"""),"Crstina Marcia (9/10)")</f>
        <v>Crstina Marcia (9/10)</v>
      </c>
      <c r="D887" s="2">
        <f ca="1">IFERROR(__xludf.DUMMYFUNCTION("""COMPUTED_VALUE"""),696)</f>
        <v>696</v>
      </c>
      <c r="E887" s="1" t="str">
        <f ca="1">IFERROR(__xludf.DUMMYFUNCTION("""COMPUTED_VALUE"""),"-")</f>
        <v>-</v>
      </c>
      <c r="F887" s="1" t="str">
        <f ca="1">IFERROR(__xludf.DUMMYFUNCTION("""COMPUTED_VALUE"""),"Crstina Marcia")</f>
        <v>Crstina Marcia</v>
      </c>
      <c r="G887" s="1" t="str">
        <f ca="1">IFERROR(__xludf.DUMMYFUNCTION("""COMPUTED_VALUE"""),"-")</f>
        <v>-</v>
      </c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6">
        <f ca="1">IFERROR(__xludf.DUMMYFUNCTION("""COMPUTED_VALUE"""),45962)</f>
        <v>45962</v>
      </c>
      <c r="B888" s="1" t="str">
        <f ca="1">IFERROR(__xludf.DUMMYFUNCTION("""COMPUTED_VALUE"""),"-")</f>
        <v>-</v>
      </c>
      <c r="C888" s="1" t="str">
        <f ca="1">IFERROR(__xludf.DUMMYFUNCTION("""COMPUTED_VALUE"""),"Crstina Marcia (8/10)")</f>
        <v>Crstina Marcia (8/10)</v>
      </c>
      <c r="D888" s="2">
        <f ca="1">IFERROR(__xludf.DUMMYFUNCTION("""COMPUTED_VALUE"""),696)</f>
        <v>696</v>
      </c>
      <c r="E888" s="1" t="str">
        <f ca="1">IFERROR(__xludf.DUMMYFUNCTION("""COMPUTED_VALUE"""),"-")</f>
        <v>-</v>
      </c>
      <c r="F888" s="1" t="str">
        <f ca="1">IFERROR(__xludf.DUMMYFUNCTION("""COMPUTED_VALUE"""),"Crstina Marcia")</f>
        <v>Crstina Marcia</v>
      </c>
      <c r="G888" s="1" t="str">
        <f ca="1">IFERROR(__xludf.DUMMYFUNCTION("""COMPUTED_VALUE"""),"-")</f>
        <v>-</v>
      </c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6">
        <f ca="1">IFERROR(__xludf.DUMMYFUNCTION("""COMPUTED_VALUE"""),45962)</f>
        <v>45962</v>
      </c>
      <c r="B889" s="1" t="str">
        <f ca="1">IFERROR(__xludf.DUMMYFUNCTION("""COMPUTED_VALUE"""),"-")</f>
        <v>-</v>
      </c>
      <c r="C889" s="1" t="str">
        <f ca="1">IFERROR(__xludf.DUMMYFUNCTION("""COMPUTED_VALUE"""),"Crstina Marcia (7/10)")</f>
        <v>Crstina Marcia (7/10)</v>
      </c>
      <c r="D889" s="2">
        <f ca="1">IFERROR(__xludf.DUMMYFUNCTION("""COMPUTED_VALUE"""),696)</f>
        <v>696</v>
      </c>
      <c r="E889" s="1" t="str">
        <f ca="1">IFERROR(__xludf.DUMMYFUNCTION("""COMPUTED_VALUE"""),"-")</f>
        <v>-</v>
      </c>
      <c r="F889" s="1" t="str">
        <f ca="1">IFERROR(__xludf.DUMMYFUNCTION("""COMPUTED_VALUE"""),"Crstina Marcia")</f>
        <v>Crstina Marcia</v>
      </c>
      <c r="G889" s="1" t="str">
        <f ca="1">IFERROR(__xludf.DUMMYFUNCTION("""COMPUTED_VALUE"""),"-")</f>
        <v>-</v>
      </c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6">
        <f ca="1">IFERROR(__xludf.DUMMYFUNCTION("""COMPUTED_VALUE"""),45962)</f>
        <v>45962</v>
      </c>
      <c r="B890" s="1" t="str">
        <f ca="1">IFERROR(__xludf.DUMMYFUNCTION("""COMPUTED_VALUE"""),"-")</f>
        <v>-</v>
      </c>
      <c r="C890" s="1" t="str">
        <f ca="1">IFERROR(__xludf.DUMMYFUNCTION("""COMPUTED_VALUE"""),"Crstina Marcia (6/10)")</f>
        <v>Crstina Marcia (6/10)</v>
      </c>
      <c r="D890" s="2">
        <f ca="1">IFERROR(__xludf.DUMMYFUNCTION("""COMPUTED_VALUE"""),696)</f>
        <v>696</v>
      </c>
      <c r="E890" s="1" t="str">
        <f ca="1">IFERROR(__xludf.DUMMYFUNCTION("""COMPUTED_VALUE"""),"-")</f>
        <v>-</v>
      </c>
      <c r="F890" s="1" t="str">
        <f ca="1">IFERROR(__xludf.DUMMYFUNCTION("""COMPUTED_VALUE"""),"Crstina Marcia")</f>
        <v>Crstina Marcia</v>
      </c>
      <c r="G890" s="1" t="str">
        <f ca="1">IFERROR(__xludf.DUMMYFUNCTION("""COMPUTED_VALUE"""),"-")</f>
        <v>-</v>
      </c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6">
        <f ca="1">IFERROR(__xludf.DUMMYFUNCTION("""COMPUTED_VALUE"""),45962)</f>
        <v>45962</v>
      </c>
      <c r="B891" s="1" t="str">
        <f ca="1">IFERROR(__xludf.DUMMYFUNCTION("""COMPUTED_VALUE"""),"-")</f>
        <v>-</v>
      </c>
      <c r="C891" s="1" t="str">
        <f ca="1">IFERROR(__xludf.DUMMYFUNCTION("""COMPUTED_VALUE"""),"Crstina Marcia (5/10)")</f>
        <v>Crstina Marcia (5/10)</v>
      </c>
      <c r="D891" s="2">
        <f ca="1">IFERROR(__xludf.DUMMYFUNCTION("""COMPUTED_VALUE"""),696)</f>
        <v>696</v>
      </c>
      <c r="E891" s="1" t="str">
        <f ca="1">IFERROR(__xludf.DUMMYFUNCTION("""COMPUTED_VALUE"""),"-")</f>
        <v>-</v>
      </c>
      <c r="F891" s="1" t="str">
        <f ca="1">IFERROR(__xludf.DUMMYFUNCTION("""COMPUTED_VALUE"""),"Crstina Marcia")</f>
        <v>Crstina Marcia</v>
      </c>
      <c r="G891" s="1" t="str">
        <f ca="1">IFERROR(__xludf.DUMMYFUNCTION("""COMPUTED_VALUE"""),"-")</f>
        <v>-</v>
      </c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6">
        <f ca="1">IFERROR(__xludf.DUMMYFUNCTION("""COMPUTED_VALUE"""),45962)</f>
        <v>45962</v>
      </c>
      <c r="B892" s="1" t="str">
        <f ca="1">IFERROR(__xludf.DUMMYFUNCTION("""COMPUTED_VALUE"""),"-")</f>
        <v>-</v>
      </c>
      <c r="C892" s="1" t="str">
        <f ca="1">IFERROR(__xludf.DUMMYFUNCTION("""COMPUTED_VALUE"""),"Track&amp;field (5/5)")</f>
        <v>Track&amp;field (5/5)</v>
      </c>
      <c r="D892" s="2">
        <f ca="1">IFERROR(__xludf.DUMMYFUNCTION("""COMPUTED_VALUE"""),267.78)</f>
        <v>267.77999999999997</v>
      </c>
      <c r="E892" s="1" t="str">
        <f ca="1">IFERROR(__xludf.DUMMYFUNCTION("""COMPUTED_VALUE"""),"-")</f>
        <v>-</v>
      </c>
      <c r="F892" s="1" t="str">
        <f ca="1">IFERROR(__xludf.DUMMYFUNCTION("""COMPUTED_VALUE"""),"Track&amp;field")</f>
        <v>Track&amp;field</v>
      </c>
      <c r="G892" s="1" t="str">
        <f ca="1">IFERROR(__xludf.DUMMYFUNCTION("""COMPUTED_VALUE"""),"Compras")</f>
        <v>Compras</v>
      </c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6">
        <f ca="1">IFERROR(__xludf.DUMMYFUNCTION("""COMPUTED_VALUE"""),45962)</f>
        <v>45962</v>
      </c>
      <c r="B893" s="1" t="str">
        <f ca="1">IFERROR(__xludf.DUMMYFUNCTION("""COMPUTED_VALUE"""),"-")</f>
        <v>-</v>
      </c>
      <c r="C893" s="1" t="str">
        <f ca="1">IFERROR(__xludf.DUMMYFUNCTION("""COMPUTED_VALUE"""),"Track&amp;field (4/5)")</f>
        <v>Track&amp;field (4/5)</v>
      </c>
      <c r="D893" s="2">
        <f ca="1">IFERROR(__xludf.DUMMYFUNCTION("""COMPUTED_VALUE"""),267.78)</f>
        <v>267.77999999999997</v>
      </c>
      <c r="E893" s="1" t="str">
        <f ca="1">IFERROR(__xludf.DUMMYFUNCTION("""COMPUTED_VALUE"""),"-")</f>
        <v>-</v>
      </c>
      <c r="F893" s="1" t="str">
        <f ca="1">IFERROR(__xludf.DUMMYFUNCTION("""COMPUTED_VALUE"""),"Track&amp;field")</f>
        <v>Track&amp;field</v>
      </c>
      <c r="G893" s="1" t="str">
        <f ca="1">IFERROR(__xludf.DUMMYFUNCTION("""COMPUTED_VALUE"""),"Compras")</f>
        <v>Compras</v>
      </c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6">
        <f ca="1">IFERROR(__xludf.DUMMYFUNCTION("""COMPUTED_VALUE"""),45962)</f>
        <v>45962</v>
      </c>
      <c r="B894" s="1" t="str">
        <f ca="1">IFERROR(__xludf.DUMMYFUNCTION("""COMPUTED_VALUE"""),"-")</f>
        <v>-</v>
      </c>
      <c r="C894" s="1" t="str">
        <f ca="1">IFERROR(__xludf.DUMMYFUNCTION("""COMPUTED_VALUE"""),"Track&amp;field (3/5)")</f>
        <v>Track&amp;field (3/5)</v>
      </c>
      <c r="D894" s="2">
        <f ca="1">IFERROR(__xludf.DUMMYFUNCTION("""COMPUTED_VALUE"""),267.78)</f>
        <v>267.77999999999997</v>
      </c>
      <c r="E894" s="1" t="str">
        <f ca="1">IFERROR(__xludf.DUMMYFUNCTION("""COMPUTED_VALUE"""),"-")</f>
        <v>-</v>
      </c>
      <c r="F894" s="1" t="str">
        <f ca="1">IFERROR(__xludf.DUMMYFUNCTION("""COMPUTED_VALUE"""),"Track&amp;field")</f>
        <v>Track&amp;field</v>
      </c>
      <c r="G894" s="1" t="str">
        <f ca="1">IFERROR(__xludf.DUMMYFUNCTION("""COMPUTED_VALUE"""),"Compras")</f>
        <v>Compras</v>
      </c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6">
        <f ca="1">IFERROR(__xludf.DUMMYFUNCTION("""COMPUTED_VALUE"""),45962)</f>
        <v>45962</v>
      </c>
      <c r="B895" s="1" t="str">
        <f ca="1">IFERROR(__xludf.DUMMYFUNCTION("""COMPUTED_VALUE"""),"-")</f>
        <v>-</v>
      </c>
      <c r="C895" s="1" t="str">
        <f ca="1">IFERROR(__xludf.DUMMYFUNCTION("""COMPUTED_VALUE"""),"Imunizar (6/6)")</f>
        <v>Imunizar (6/6)</v>
      </c>
      <c r="D895" s="2">
        <f ca="1">IFERROR(__xludf.DUMMYFUNCTION("""COMPUTED_VALUE"""),1350)</f>
        <v>1350</v>
      </c>
      <c r="E895" s="1" t="str">
        <f ca="1">IFERROR(__xludf.DUMMYFUNCTION("""COMPUTED_VALUE"""),"-")</f>
        <v>-</v>
      </c>
      <c r="F895" s="1" t="str">
        <f ca="1">IFERROR(__xludf.DUMMYFUNCTION("""COMPUTED_VALUE"""),"Imunizar")</f>
        <v>Imunizar</v>
      </c>
      <c r="G895" s="1" t="str">
        <f ca="1">IFERROR(__xludf.DUMMYFUNCTION("""COMPUTED_VALUE"""),"Bianca")</f>
        <v>Bianca</v>
      </c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6">
        <f ca="1">IFERROR(__xludf.DUMMYFUNCTION("""COMPUTED_VALUE"""),45962)</f>
        <v>45962</v>
      </c>
      <c r="B896" s="1" t="str">
        <f ca="1">IFERROR(__xludf.DUMMYFUNCTION("""COMPUTED_VALUE"""),"-")</f>
        <v>-</v>
      </c>
      <c r="C896" s="1" t="str">
        <f ca="1">IFERROR(__xludf.DUMMYFUNCTION("""COMPUTED_VALUE"""),"Imunizar (5/6)")</f>
        <v>Imunizar (5/6)</v>
      </c>
      <c r="D896" s="2">
        <f ca="1">IFERROR(__xludf.DUMMYFUNCTION("""COMPUTED_VALUE"""),1350)</f>
        <v>1350</v>
      </c>
      <c r="E896" s="1" t="str">
        <f ca="1">IFERROR(__xludf.DUMMYFUNCTION("""COMPUTED_VALUE"""),"-")</f>
        <v>-</v>
      </c>
      <c r="F896" s="1" t="str">
        <f ca="1">IFERROR(__xludf.DUMMYFUNCTION("""COMPUTED_VALUE"""),"Imunizar")</f>
        <v>Imunizar</v>
      </c>
      <c r="G896" s="1" t="str">
        <f ca="1">IFERROR(__xludf.DUMMYFUNCTION("""COMPUTED_VALUE"""),"Bianca")</f>
        <v>Bianca</v>
      </c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6">
        <f ca="1">IFERROR(__xludf.DUMMYFUNCTION("""COMPUTED_VALUE"""),45962)</f>
        <v>45962</v>
      </c>
      <c r="B897" s="1" t="str">
        <f ca="1">IFERROR(__xludf.DUMMYFUNCTION("""COMPUTED_VALUE"""),"-")</f>
        <v>-</v>
      </c>
      <c r="C897" s="1" t="str">
        <f ca="1">IFERROR(__xludf.DUMMYFUNCTION("""COMPUTED_VALUE"""),"Imunizar (4/6)")</f>
        <v>Imunizar (4/6)</v>
      </c>
      <c r="D897" s="2">
        <f ca="1">IFERROR(__xludf.DUMMYFUNCTION("""COMPUTED_VALUE"""),1350)</f>
        <v>1350</v>
      </c>
      <c r="E897" s="1" t="str">
        <f ca="1">IFERROR(__xludf.DUMMYFUNCTION("""COMPUTED_VALUE"""),"-")</f>
        <v>-</v>
      </c>
      <c r="F897" s="1" t="str">
        <f ca="1">IFERROR(__xludf.DUMMYFUNCTION("""COMPUTED_VALUE"""),"Imunizar")</f>
        <v>Imunizar</v>
      </c>
      <c r="G897" s="1" t="str">
        <f ca="1">IFERROR(__xludf.DUMMYFUNCTION("""COMPUTED_VALUE"""),"Bianca")</f>
        <v>Bianca</v>
      </c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6">
        <f ca="1">IFERROR(__xludf.DUMMYFUNCTION("""COMPUTED_VALUE"""),45962)</f>
        <v>45962</v>
      </c>
      <c r="B898" s="1" t="str">
        <f ca="1">IFERROR(__xludf.DUMMYFUNCTION("""COMPUTED_VALUE"""),"-")</f>
        <v>-</v>
      </c>
      <c r="C898" s="1" t="str">
        <f ca="1">IFERROR(__xludf.DUMMYFUNCTION("""COMPUTED_VALUE"""),"Imunizar (3/6)")</f>
        <v>Imunizar (3/6)</v>
      </c>
      <c r="D898" s="2">
        <f ca="1">IFERROR(__xludf.DUMMYFUNCTION("""COMPUTED_VALUE"""),1350)</f>
        <v>1350</v>
      </c>
      <c r="E898" s="1" t="str">
        <f ca="1">IFERROR(__xludf.DUMMYFUNCTION("""COMPUTED_VALUE"""),"-")</f>
        <v>-</v>
      </c>
      <c r="F898" s="1" t="str">
        <f ca="1">IFERROR(__xludf.DUMMYFUNCTION("""COMPUTED_VALUE"""),"Imunizar")</f>
        <v>Imunizar</v>
      </c>
      <c r="G898" s="1" t="str">
        <f ca="1">IFERROR(__xludf.DUMMYFUNCTION("""COMPUTED_VALUE"""),"Bianca")</f>
        <v>Bianca</v>
      </c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6">
        <f ca="1">IFERROR(__xludf.DUMMYFUNCTION("""COMPUTED_VALUE"""),45962)</f>
        <v>45962</v>
      </c>
      <c r="B899" s="1" t="str">
        <f ca="1">IFERROR(__xludf.DUMMYFUNCTION("""COMPUTED_VALUE"""),"-")</f>
        <v>-</v>
      </c>
      <c r="C899" s="1" t="str">
        <f ca="1">IFERROR(__xludf.DUMMYFUNCTION("""COMPUTED_VALUE"""),"Laserxinforma (12/12)")</f>
        <v>Laserxinforma (12/12)</v>
      </c>
      <c r="D899" s="2">
        <f ca="1">IFERROR(__xludf.DUMMYFUNCTION("""COMPUTED_VALUE"""),76.5)</f>
        <v>76.5</v>
      </c>
      <c r="E899" s="1" t="str">
        <f ca="1">IFERROR(__xludf.DUMMYFUNCTION("""COMPUTED_VALUE"""),"-")</f>
        <v>-</v>
      </c>
      <c r="F899" s="1" t="str">
        <f ca="1">IFERROR(__xludf.DUMMYFUNCTION("""COMPUTED_VALUE"""),"Laserxinforma")</f>
        <v>Laserxinforma</v>
      </c>
      <c r="G899" s="1" t="str">
        <f ca="1">IFERROR(__xludf.DUMMYFUNCTION("""COMPUTED_VALUE"""),"-")</f>
        <v>-</v>
      </c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6">
        <f ca="1">IFERROR(__xludf.DUMMYFUNCTION("""COMPUTED_VALUE"""),45962)</f>
        <v>45962</v>
      </c>
      <c r="B900" s="1" t="str">
        <f ca="1">IFERROR(__xludf.DUMMYFUNCTION("""COMPUTED_VALUE"""),"-")</f>
        <v>-</v>
      </c>
      <c r="C900" s="1" t="str">
        <f ca="1">IFERROR(__xludf.DUMMYFUNCTION("""COMPUTED_VALUE"""),"Laserxinforma (11/12)")</f>
        <v>Laserxinforma (11/12)</v>
      </c>
      <c r="D900" s="2">
        <f ca="1">IFERROR(__xludf.DUMMYFUNCTION("""COMPUTED_VALUE"""),76.5)</f>
        <v>76.5</v>
      </c>
      <c r="E900" s="1" t="str">
        <f ca="1">IFERROR(__xludf.DUMMYFUNCTION("""COMPUTED_VALUE"""),"-")</f>
        <v>-</v>
      </c>
      <c r="F900" s="1" t="str">
        <f ca="1">IFERROR(__xludf.DUMMYFUNCTION("""COMPUTED_VALUE"""),"Laserxinforma")</f>
        <v>Laserxinforma</v>
      </c>
      <c r="G900" s="1" t="str">
        <f ca="1">IFERROR(__xludf.DUMMYFUNCTION("""COMPUTED_VALUE"""),"-")</f>
        <v>-</v>
      </c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6">
        <f ca="1">IFERROR(__xludf.DUMMYFUNCTION("""COMPUTED_VALUE"""),45962)</f>
        <v>45962</v>
      </c>
      <c r="B901" s="1" t="str">
        <f ca="1">IFERROR(__xludf.DUMMYFUNCTION("""COMPUTED_VALUE"""),"-")</f>
        <v>-</v>
      </c>
      <c r="C901" s="1" t="str">
        <f ca="1">IFERROR(__xludf.DUMMYFUNCTION("""COMPUTED_VALUE"""),"Laserxinforma (10/12)")</f>
        <v>Laserxinforma (10/12)</v>
      </c>
      <c r="D901" s="2">
        <f ca="1">IFERROR(__xludf.DUMMYFUNCTION("""COMPUTED_VALUE"""),76.5)</f>
        <v>76.5</v>
      </c>
      <c r="E901" s="1" t="str">
        <f ca="1">IFERROR(__xludf.DUMMYFUNCTION("""COMPUTED_VALUE"""),"-")</f>
        <v>-</v>
      </c>
      <c r="F901" s="1" t="str">
        <f ca="1">IFERROR(__xludf.DUMMYFUNCTION("""COMPUTED_VALUE"""),"Laserxinforma")</f>
        <v>Laserxinforma</v>
      </c>
      <c r="G901" s="1" t="str">
        <f ca="1">IFERROR(__xludf.DUMMYFUNCTION("""COMPUTED_VALUE"""),"-")</f>
        <v>-</v>
      </c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6">
        <f ca="1">IFERROR(__xludf.DUMMYFUNCTION("""COMPUTED_VALUE"""),45962)</f>
        <v>45962</v>
      </c>
      <c r="B902" s="1" t="str">
        <f ca="1">IFERROR(__xludf.DUMMYFUNCTION("""COMPUTED_VALUE"""),"-")</f>
        <v>-</v>
      </c>
      <c r="C902" s="1" t="str">
        <f ca="1">IFERROR(__xludf.DUMMYFUNCTION("""COMPUTED_VALUE"""),"Laserxinforma (9/12)")</f>
        <v>Laserxinforma (9/12)</v>
      </c>
      <c r="D902" s="2">
        <f ca="1">IFERROR(__xludf.DUMMYFUNCTION("""COMPUTED_VALUE"""),76.5)</f>
        <v>76.5</v>
      </c>
      <c r="E902" s="1" t="str">
        <f ca="1">IFERROR(__xludf.DUMMYFUNCTION("""COMPUTED_VALUE"""),"-")</f>
        <v>-</v>
      </c>
      <c r="F902" s="1" t="str">
        <f ca="1">IFERROR(__xludf.DUMMYFUNCTION("""COMPUTED_VALUE"""),"Laserxinforma")</f>
        <v>Laserxinforma</v>
      </c>
      <c r="G902" s="1" t="str">
        <f ca="1">IFERROR(__xludf.DUMMYFUNCTION("""COMPUTED_VALUE"""),"-")</f>
        <v>-</v>
      </c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6">
        <f ca="1">IFERROR(__xludf.DUMMYFUNCTION("""COMPUTED_VALUE"""),45962)</f>
        <v>45962</v>
      </c>
      <c r="B903" s="1" t="str">
        <f ca="1">IFERROR(__xludf.DUMMYFUNCTION("""COMPUTED_VALUE"""),"-")</f>
        <v>-</v>
      </c>
      <c r="C903" s="1" t="str">
        <f ca="1">IFERROR(__xludf.DUMMYFUNCTION("""COMPUTED_VALUE"""),"Laserxinforma (8/12)")</f>
        <v>Laserxinforma (8/12)</v>
      </c>
      <c r="D903" s="2">
        <f ca="1">IFERROR(__xludf.DUMMYFUNCTION("""COMPUTED_VALUE"""),76.5)</f>
        <v>76.5</v>
      </c>
      <c r="E903" s="1" t="str">
        <f ca="1">IFERROR(__xludf.DUMMYFUNCTION("""COMPUTED_VALUE"""),"-")</f>
        <v>-</v>
      </c>
      <c r="F903" s="1" t="str">
        <f ca="1">IFERROR(__xludf.DUMMYFUNCTION("""COMPUTED_VALUE"""),"Laserxinforma")</f>
        <v>Laserxinforma</v>
      </c>
      <c r="G903" s="1" t="str">
        <f ca="1">IFERROR(__xludf.DUMMYFUNCTION("""COMPUTED_VALUE"""),"-")</f>
        <v>-</v>
      </c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6">
        <f ca="1">IFERROR(__xludf.DUMMYFUNCTION("""COMPUTED_VALUE"""),45962)</f>
        <v>45962</v>
      </c>
      <c r="B904" s="1" t="str">
        <f ca="1">IFERROR(__xludf.DUMMYFUNCTION("""COMPUTED_VALUE"""),"-")</f>
        <v>-</v>
      </c>
      <c r="C904" s="1" t="str">
        <f ca="1">IFERROR(__xludf.DUMMYFUNCTION("""COMPUTED_VALUE"""),"Laserxinforma (7/12)")</f>
        <v>Laserxinforma (7/12)</v>
      </c>
      <c r="D904" s="2">
        <f ca="1">IFERROR(__xludf.DUMMYFUNCTION("""COMPUTED_VALUE"""),76.5)</f>
        <v>76.5</v>
      </c>
      <c r="E904" s="1" t="str">
        <f ca="1">IFERROR(__xludf.DUMMYFUNCTION("""COMPUTED_VALUE"""),"-")</f>
        <v>-</v>
      </c>
      <c r="F904" s="1" t="str">
        <f ca="1">IFERROR(__xludf.DUMMYFUNCTION("""COMPUTED_VALUE"""),"Laserxinforma")</f>
        <v>Laserxinforma</v>
      </c>
      <c r="G904" s="1" t="str">
        <f ca="1">IFERROR(__xludf.DUMMYFUNCTION("""COMPUTED_VALUE"""),"-")</f>
        <v>-</v>
      </c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6">
        <f ca="1">IFERROR(__xludf.DUMMYFUNCTION("""COMPUTED_VALUE"""),45962)</f>
        <v>45962</v>
      </c>
      <c r="B905" s="1" t="str">
        <f ca="1">IFERROR(__xludf.DUMMYFUNCTION("""COMPUTED_VALUE"""),"-")</f>
        <v>-</v>
      </c>
      <c r="C905" s="1" t="str">
        <f ca="1">IFERROR(__xludf.DUMMYFUNCTION("""COMPUTED_VALUE"""),"Laserxinforma (6/12)")</f>
        <v>Laserxinforma (6/12)</v>
      </c>
      <c r="D905" s="2">
        <f ca="1">IFERROR(__xludf.DUMMYFUNCTION("""COMPUTED_VALUE"""),76.5)</f>
        <v>76.5</v>
      </c>
      <c r="E905" s="1" t="str">
        <f ca="1">IFERROR(__xludf.DUMMYFUNCTION("""COMPUTED_VALUE"""),"-")</f>
        <v>-</v>
      </c>
      <c r="F905" s="1" t="str">
        <f ca="1">IFERROR(__xludf.DUMMYFUNCTION("""COMPUTED_VALUE"""),"Laserxinforma")</f>
        <v>Laserxinforma</v>
      </c>
      <c r="G905" s="1" t="str">
        <f ca="1">IFERROR(__xludf.DUMMYFUNCTION("""COMPUTED_VALUE"""),"-")</f>
        <v>-</v>
      </c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6">
        <f ca="1">IFERROR(__xludf.DUMMYFUNCTION("""COMPUTED_VALUE"""),45962)</f>
        <v>45962</v>
      </c>
      <c r="B906" s="1" t="str">
        <f ca="1">IFERROR(__xludf.DUMMYFUNCTION("""COMPUTED_VALUE"""),"-")</f>
        <v>-</v>
      </c>
      <c r="C906" s="1" t="str">
        <f ca="1">IFERROR(__xludf.DUMMYFUNCTION("""COMPUTED_VALUE"""),"Laserxinforma (5/12)")</f>
        <v>Laserxinforma (5/12)</v>
      </c>
      <c r="D906" s="2">
        <f ca="1">IFERROR(__xludf.DUMMYFUNCTION("""COMPUTED_VALUE"""),76.5)</f>
        <v>76.5</v>
      </c>
      <c r="E906" s="1" t="str">
        <f ca="1">IFERROR(__xludf.DUMMYFUNCTION("""COMPUTED_VALUE"""),"-")</f>
        <v>-</v>
      </c>
      <c r="F906" s="1" t="str">
        <f ca="1">IFERROR(__xludf.DUMMYFUNCTION("""COMPUTED_VALUE"""),"Laserxinforma")</f>
        <v>Laserxinforma</v>
      </c>
      <c r="G906" s="1" t="str">
        <f ca="1">IFERROR(__xludf.DUMMYFUNCTION("""COMPUTED_VALUE"""),"-")</f>
        <v>-</v>
      </c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6">
        <f ca="1">IFERROR(__xludf.DUMMYFUNCTION("""COMPUTED_VALUE"""),45962)</f>
        <v>45962</v>
      </c>
      <c r="B907" s="1" t="str">
        <f ca="1">IFERROR(__xludf.DUMMYFUNCTION("""COMPUTED_VALUE"""),"-")</f>
        <v>-</v>
      </c>
      <c r="C907" s="1" t="str">
        <f ca="1">IFERROR(__xludf.DUMMYFUNCTION("""COMPUTED_VALUE"""),"Laserxinforma (4/12)")</f>
        <v>Laserxinforma (4/12)</v>
      </c>
      <c r="D907" s="2">
        <f ca="1">IFERROR(__xludf.DUMMYFUNCTION("""COMPUTED_VALUE"""),76.5)</f>
        <v>76.5</v>
      </c>
      <c r="E907" s="1" t="str">
        <f ca="1">IFERROR(__xludf.DUMMYFUNCTION("""COMPUTED_VALUE"""),"-")</f>
        <v>-</v>
      </c>
      <c r="F907" s="1" t="str">
        <f ca="1">IFERROR(__xludf.DUMMYFUNCTION("""COMPUTED_VALUE"""),"Laserxinforma")</f>
        <v>Laserxinforma</v>
      </c>
      <c r="G907" s="1" t="str">
        <f ca="1">IFERROR(__xludf.DUMMYFUNCTION("""COMPUTED_VALUE"""),"-")</f>
        <v>-</v>
      </c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6">
        <f ca="1">IFERROR(__xludf.DUMMYFUNCTION("""COMPUTED_VALUE"""),45962)</f>
        <v>45962</v>
      </c>
      <c r="B908" s="1" t="str">
        <f ca="1">IFERROR(__xludf.DUMMYFUNCTION("""COMPUTED_VALUE"""),"-")</f>
        <v>-</v>
      </c>
      <c r="C908" s="1" t="str">
        <f ca="1">IFERROR(__xludf.DUMMYFUNCTION("""COMPUTED_VALUE"""),"Laserxinforma (3/12)")</f>
        <v>Laserxinforma (3/12)</v>
      </c>
      <c r="D908" s="2">
        <f ca="1">IFERROR(__xludf.DUMMYFUNCTION("""COMPUTED_VALUE"""),76.5)</f>
        <v>76.5</v>
      </c>
      <c r="E908" s="1" t="str">
        <f ca="1">IFERROR(__xludf.DUMMYFUNCTION("""COMPUTED_VALUE"""),"-")</f>
        <v>-</v>
      </c>
      <c r="F908" s="1" t="str">
        <f ca="1">IFERROR(__xludf.DUMMYFUNCTION("""COMPUTED_VALUE"""),"Laserxinforma")</f>
        <v>Laserxinforma</v>
      </c>
      <c r="G908" s="1" t="str">
        <f ca="1">IFERROR(__xludf.DUMMYFUNCTION("""COMPUTED_VALUE"""),"-")</f>
        <v>-</v>
      </c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6">
        <f ca="1">IFERROR(__xludf.DUMMYFUNCTION("""COMPUTED_VALUE"""),45962)</f>
        <v>45962</v>
      </c>
      <c r="B909" s="1" t="str">
        <f ca="1">IFERROR(__xludf.DUMMYFUNCTION("""COMPUTED_VALUE"""),"-")</f>
        <v>-</v>
      </c>
      <c r="C909" s="1" t="str">
        <f ca="1">IFERROR(__xludf.DUMMYFUNCTION("""COMPUTED_VALUE"""),"Laserxinforma (2/12)")</f>
        <v>Laserxinforma (2/12)</v>
      </c>
      <c r="D909" s="2">
        <f ca="1">IFERROR(__xludf.DUMMYFUNCTION("""COMPUTED_VALUE"""),76.5)</f>
        <v>76.5</v>
      </c>
      <c r="E909" s="1" t="str">
        <f ca="1">IFERROR(__xludf.DUMMYFUNCTION("""COMPUTED_VALUE"""),"-")</f>
        <v>-</v>
      </c>
      <c r="F909" s="1" t="str">
        <f ca="1">IFERROR(__xludf.DUMMYFUNCTION("""COMPUTED_VALUE"""),"Laserxinforma")</f>
        <v>Laserxinforma</v>
      </c>
      <c r="G909" s="1" t="str">
        <f ca="1">IFERROR(__xludf.DUMMYFUNCTION("""COMPUTED_VALUE"""),"-")</f>
        <v>-</v>
      </c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6">
        <f ca="1">IFERROR(__xludf.DUMMYFUNCTION("""COMPUTED_VALUE"""),45962)</f>
        <v>45962</v>
      </c>
      <c r="B910" s="1" t="str">
        <f ca="1">IFERROR(__xludf.DUMMYFUNCTION("""COMPUTED_VALUE"""),"-")</f>
        <v>-</v>
      </c>
      <c r="C910" s="1" t="str">
        <f ca="1">IFERROR(__xludf.DUMMYFUNCTION("""COMPUTED_VALUE"""),"Maria De Fatima Costa (2/2)")</f>
        <v>Maria De Fatima Costa (2/2)</v>
      </c>
      <c r="D910" s="2">
        <f ca="1">IFERROR(__xludf.DUMMYFUNCTION("""COMPUTED_VALUE"""),360)</f>
        <v>360</v>
      </c>
      <c r="E910" s="1" t="str">
        <f ca="1">IFERROR(__xludf.DUMMYFUNCTION("""COMPUTED_VALUE"""),"-")</f>
        <v>-</v>
      </c>
      <c r="F910" s="1" t="str">
        <f ca="1">IFERROR(__xludf.DUMMYFUNCTION("""COMPUTED_VALUE"""),"Maria De Fatima Costa")</f>
        <v>Maria De Fatima Costa</v>
      </c>
      <c r="G910" s="1" t="str">
        <f ca="1">IFERROR(__xludf.DUMMYFUNCTION("""COMPUTED_VALUE"""),"-")</f>
        <v>-</v>
      </c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6">
        <f ca="1">IFERROR(__xludf.DUMMYFUNCTION("""COMPUTED_VALUE"""),45962)</f>
        <v>45962</v>
      </c>
      <c r="B911" s="1" t="str">
        <f ca="1">IFERROR(__xludf.DUMMYFUNCTION("""COMPUTED_VALUE"""),"-")</f>
        <v>-</v>
      </c>
      <c r="C911" s="1" t="str">
        <f ca="1">IFERROR(__xludf.DUMMYFUNCTION("""COMPUTED_VALUE"""),"Amazon")</f>
        <v>Amazon</v>
      </c>
      <c r="D911" s="2">
        <f ca="1">IFERROR(__xludf.DUMMYFUNCTION("""COMPUTED_VALUE"""),17.39)</f>
        <v>17.39</v>
      </c>
      <c r="E911" s="1" t="str">
        <f ca="1">IFERROR(__xludf.DUMMYFUNCTION("""COMPUTED_VALUE"""),"-")</f>
        <v>-</v>
      </c>
      <c r="F911" s="1" t="str">
        <f ca="1">IFERROR(__xludf.DUMMYFUNCTION("""COMPUTED_VALUE"""),"Amazon")</f>
        <v>Amazon</v>
      </c>
      <c r="G911" s="1" t="str">
        <f ca="1">IFERROR(__xludf.DUMMYFUNCTION("""COMPUTED_VALUE"""),"Compras")</f>
        <v>Compras</v>
      </c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6">
        <f ca="1">IFERROR(__xludf.DUMMYFUNCTION("""COMPUTED_VALUE"""),45962)</f>
        <v>45962</v>
      </c>
      <c r="B912" s="1" t="str">
        <f ca="1">IFERROR(__xludf.DUMMYFUNCTION("""COMPUTED_VALUE"""),"-")</f>
        <v>-</v>
      </c>
      <c r="C912" s="1" t="str">
        <f ca="1">IFERROR(__xludf.DUMMYFUNCTION("""COMPUTED_VALUE"""),"Supermercado &amp; Padaria")</f>
        <v>Supermercado &amp; Padaria</v>
      </c>
      <c r="D912" s="2">
        <f ca="1">IFERROR(__xludf.DUMMYFUNCTION("""COMPUTED_VALUE"""),123)</f>
        <v>123</v>
      </c>
      <c r="E912" s="1" t="str">
        <f ca="1">IFERROR(__xludf.DUMMYFUNCTION("""COMPUTED_VALUE"""),"-")</f>
        <v>-</v>
      </c>
      <c r="F912" s="1" t="str">
        <f ca="1">IFERROR(__xludf.DUMMYFUNCTION("""COMPUTED_VALUE"""),"Supermercado &amp; Padaria")</f>
        <v>Supermercado &amp; Padaria</v>
      </c>
      <c r="G912" s="1" t="str">
        <f ca="1">IFERROR(__xludf.DUMMYFUNCTION("""COMPUTED_VALUE"""),"Comida")</f>
        <v>Comida</v>
      </c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6">
        <f ca="1">IFERROR(__xludf.DUMMYFUNCTION("""COMPUTED_VALUE"""),45962)</f>
        <v>45962</v>
      </c>
      <c r="B913" s="1" t="str">
        <f ca="1">IFERROR(__xludf.DUMMYFUNCTION("""COMPUTED_VALUE"""),"-")</f>
        <v>-</v>
      </c>
      <c r="C913" s="1" t="str">
        <f ca="1">IFERROR(__xludf.DUMMYFUNCTION("""COMPUTED_VALUE"""),"Posto Campo Alegre")</f>
        <v>Posto Campo Alegre</v>
      </c>
      <c r="D913" s="2">
        <f ca="1">IFERROR(__xludf.DUMMYFUNCTION("""COMPUTED_VALUE"""),120.03)</f>
        <v>120.03</v>
      </c>
      <c r="E913" s="1" t="str">
        <f ca="1">IFERROR(__xludf.DUMMYFUNCTION("""COMPUTED_VALUE"""),"-")</f>
        <v>-</v>
      </c>
      <c r="F913" s="1" t="str">
        <f ca="1">IFERROR(__xludf.DUMMYFUNCTION("""COMPUTED_VALUE"""),"Posto Campo Alegre")</f>
        <v>Posto Campo Alegre</v>
      </c>
      <c r="G913" s="1" t="str">
        <f ca="1">IFERROR(__xludf.DUMMYFUNCTION("""COMPUTED_VALUE"""),"-")</f>
        <v>-</v>
      </c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6">
        <f ca="1">IFERROR(__xludf.DUMMYFUNCTION("""COMPUTED_VALUE"""),45962)</f>
        <v>45962</v>
      </c>
      <c r="B914" s="1" t="str">
        <f ca="1">IFERROR(__xludf.DUMMYFUNCTION("""COMPUTED_VALUE"""),"-")</f>
        <v>-</v>
      </c>
      <c r="C914" s="1" t="str">
        <f ca="1">IFERROR(__xludf.DUMMYFUNCTION("""COMPUTED_VALUE"""),"My Pet")</f>
        <v>My Pet</v>
      </c>
      <c r="D914" s="2">
        <f ca="1">IFERROR(__xludf.DUMMYFUNCTION("""COMPUTED_VALUE"""),50)</f>
        <v>50</v>
      </c>
      <c r="E914" s="1" t="str">
        <f ca="1">IFERROR(__xludf.DUMMYFUNCTION("""COMPUTED_VALUE"""),"-")</f>
        <v>-</v>
      </c>
      <c r="F914" s="1" t="str">
        <f ca="1">IFERROR(__xludf.DUMMYFUNCTION("""COMPUTED_VALUE"""),"My Pet")</f>
        <v>My Pet</v>
      </c>
      <c r="G914" s="1" t="str">
        <f ca="1">IFERROR(__xludf.DUMMYFUNCTION("""COMPUTED_VALUE"""),"-")</f>
        <v>-</v>
      </c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6">
        <f ca="1">IFERROR(__xludf.DUMMYFUNCTION("""COMPUTED_VALUE"""),45962)</f>
        <v>45962</v>
      </c>
      <c r="B915" s="1" t="str">
        <f ca="1">IFERROR(__xludf.DUMMYFUNCTION("""COMPUTED_VALUE"""),"-")</f>
        <v>-</v>
      </c>
      <c r="C915" s="1" t="str">
        <f ca="1">IFERROR(__xludf.DUMMYFUNCTION("""COMPUTED_VALUE"""),"Amazon")</f>
        <v>Amazon</v>
      </c>
      <c r="D915" s="2">
        <f ca="1">IFERROR(__xludf.DUMMYFUNCTION("""COMPUTED_VALUE"""),15.87)</f>
        <v>15.87</v>
      </c>
      <c r="E915" s="1" t="str">
        <f ca="1">IFERROR(__xludf.DUMMYFUNCTION("""COMPUTED_VALUE"""),"-")</f>
        <v>-</v>
      </c>
      <c r="F915" s="1" t="str">
        <f ca="1">IFERROR(__xludf.DUMMYFUNCTION("""COMPUTED_VALUE"""),"Amazon")</f>
        <v>Amazon</v>
      </c>
      <c r="G915" s="1" t="str">
        <f ca="1">IFERROR(__xludf.DUMMYFUNCTION("""COMPUTED_VALUE"""),"Compras")</f>
        <v>Compras</v>
      </c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6">
        <f ca="1">IFERROR(__xludf.DUMMYFUNCTION("""COMPUTED_VALUE"""),45962)</f>
        <v>45962</v>
      </c>
      <c r="B916" s="1" t="str">
        <f ca="1">IFERROR(__xludf.DUMMYFUNCTION("""COMPUTED_VALUE"""),"-")</f>
        <v>-</v>
      </c>
      <c r="C916" s="1" t="str">
        <f ca="1">IFERROR(__xludf.DUMMYFUNCTION("""COMPUTED_VALUE"""),"Gran Burguer")</f>
        <v>Gran Burguer</v>
      </c>
      <c r="D916" s="2">
        <f ca="1">IFERROR(__xludf.DUMMYFUNCTION("""COMPUTED_VALUE"""),55.12)</f>
        <v>55.12</v>
      </c>
      <c r="E916" s="1" t="str">
        <f ca="1">IFERROR(__xludf.DUMMYFUNCTION("""COMPUTED_VALUE"""),"-")</f>
        <v>-</v>
      </c>
      <c r="F916" s="1" t="str">
        <f ca="1">IFERROR(__xludf.DUMMYFUNCTION("""COMPUTED_VALUE"""),"Gran Burguer")</f>
        <v>Gran Burguer</v>
      </c>
      <c r="G916" s="1" t="str">
        <f ca="1">IFERROR(__xludf.DUMMYFUNCTION("""COMPUTED_VALUE"""),"-")</f>
        <v>-</v>
      </c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6">
        <f ca="1">IFERROR(__xludf.DUMMYFUNCTION("""COMPUTED_VALUE"""),45962)</f>
        <v>45962</v>
      </c>
      <c r="B917" s="1" t="str">
        <f ca="1">IFERROR(__xludf.DUMMYFUNCTION("""COMPUTED_VALUE"""),"-")</f>
        <v>-</v>
      </c>
      <c r="C917" s="1" t="str">
        <f ca="1">IFERROR(__xludf.DUMMYFUNCTION("""COMPUTED_VALUE"""),"Gran Burguer")</f>
        <v>Gran Burguer</v>
      </c>
      <c r="D917" s="2">
        <f ca="1">IFERROR(__xludf.DUMMYFUNCTION("""COMPUTED_VALUE"""),3.9)</f>
        <v>3.9</v>
      </c>
      <c r="E917" s="1" t="str">
        <f ca="1">IFERROR(__xludf.DUMMYFUNCTION("""COMPUTED_VALUE"""),"-")</f>
        <v>-</v>
      </c>
      <c r="F917" s="1" t="str">
        <f ca="1">IFERROR(__xludf.DUMMYFUNCTION("""COMPUTED_VALUE"""),"Gran Burguer")</f>
        <v>Gran Burguer</v>
      </c>
      <c r="G917" s="1" t="str">
        <f ca="1">IFERROR(__xludf.DUMMYFUNCTION("""COMPUTED_VALUE"""),"-")</f>
        <v>-</v>
      </c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6">
        <f ca="1">IFERROR(__xludf.DUMMYFUNCTION("""COMPUTED_VALUE"""),45962)</f>
        <v>45962</v>
      </c>
      <c r="B918" s="1" t="str">
        <f ca="1">IFERROR(__xludf.DUMMYFUNCTION("""COMPUTED_VALUE"""),"-")</f>
        <v>-</v>
      </c>
      <c r="C918" s="1" t="str">
        <f ca="1">IFERROR(__xludf.DUMMYFUNCTION("""COMPUTED_VALUE"""),"Auto Posto Maquine")</f>
        <v>Auto Posto Maquine</v>
      </c>
      <c r="D918" s="2">
        <f ca="1">IFERROR(__xludf.DUMMYFUNCTION("""COMPUTED_VALUE"""),173.02)</f>
        <v>173.02</v>
      </c>
      <c r="E918" s="1" t="str">
        <f ca="1">IFERROR(__xludf.DUMMYFUNCTION("""COMPUTED_VALUE"""),"-")</f>
        <v>-</v>
      </c>
      <c r="F918" s="1" t="str">
        <f ca="1">IFERROR(__xludf.DUMMYFUNCTION("""COMPUTED_VALUE"""),"Auto Posto Maquine")</f>
        <v>Auto Posto Maquine</v>
      </c>
      <c r="G918" s="1" t="str">
        <f ca="1">IFERROR(__xludf.DUMMYFUNCTION("""COMPUTED_VALUE"""),"Carro")</f>
        <v>Carro</v>
      </c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6">
        <f ca="1">IFERROR(__xludf.DUMMYFUNCTION("""COMPUTED_VALUE"""),45962)</f>
        <v>45962</v>
      </c>
      <c r="B919" s="1" t="str">
        <f ca="1">IFERROR(__xludf.DUMMYFUNCTION("""COMPUTED_VALUE"""),"-")</f>
        <v>-</v>
      </c>
      <c r="C919" s="1" t="str">
        <f ca="1">IFERROR(__xludf.DUMMYFUNCTION("""COMPUTED_VALUE"""),"Shopee")</f>
        <v>Shopee</v>
      </c>
      <c r="D919" s="2">
        <f ca="1">IFERROR(__xludf.DUMMYFUNCTION("""COMPUTED_VALUE"""),48.56)</f>
        <v>48.56</v>
      </c>
      <c r="E919" s="1" t="str">
        <f ca="1">IFERROR(__xludf.DUMMYFUNCTION("""COMPUTED_VALUE"""),"-")</f>
        <v>-</v>
      </c>
      <c r="F919" s="1" t="str">
        <f ca="1">IFERROR(__xludf.DUMMYFUNCTION("""COMPUTED_VALUE"""),"Shopee")</f>
        <v>Shopee</v>
      </c>
      <c r="G919" s="1" t="str">
        <f ca="1">IFERROR(__xludf.DUMMYFUNCTION("""COMPUTED_VALUE"""),"Compras")</f>
        <v>Compras</v>
      </c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6">
        <f ca="1">IFERROR(__xludf.DUMMYFUNCTION("""COMPUTED_VALUE"""),45962)</f>
        <v>45962</v>
      </c>
      <c r="B920" s="1" t="str">
        <f ca="1">IFERROR(__xludf.DUMMYFUNCTION("""COMPUTED_VALUE"""),"-")</f>
        <v>-</v>
      </c>
      <c r="C920" s="1" t="str">
        <f ca="1">IFERROR(__xludf.DUMMYFUNCTION("""COMPUTED_VALUE"""),"Amazon Digital Br")</f>
        <v>Amazon Digital Br</v>
      </c>
      <c r="D920" s="2">
        <f ca="1">IFERROR(__xludf.DUMMYFUNCTION("""COMPUTED_VALUE"""),13.96)</f>
        <v>13.96</v>
      </c>
      <c r="E920" s="1" t="str">
        <f ca="1">IFERROR(__xludf.DUMMYFUNCTION("""COMPUTED_VALUE"""),"-")</f>
        <v>-</v>
      </c>
      <c r="F920" s="1" t="str">
        <f ca="1">IFERROR(__xludf.DUMMYFUNCTION("""COMPUTED_VALUE"""),"Amazon Digital Br")</f>
        <v>Amazon Digital Br</v>
      </c>
      <c r="G920" s="1" t="str">
        <f ca="1">IFERROR(__xludf.DUMMYFUNCTION("""COMPUTED_VALUE"""),"Compras")</f>
        <v>Compras</v>
      </c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6">
        <f ca="1">IFERROR(__xludf.DUMMYFUNCTION("""COMPUTED_VALUE"""),45962)</f>
        <v>45962</v>
      </c>
      <c r="B921" s="1" t="str">
        <f ca="1">IFERROR(__xludf.DUMMYFUNCTION("""COMPUTED_VALUE"""),"-")</f>
        <v>-</v>
      </c>
      <c r="C921" s="1" t="str">
        <f ca="1">IFERROR(__xludf.DUMMYFUNCTION("""COMPUTED_VALUE"""),"Super Nosso")</f>
        <v>Super Nosso</v>
      </c>
      <c r="D921" s="2">
        <f ca="1">IFERROR(__xludf.DUMMYFUNCTION("""COMPUTED_VALUE"""),14.99)</f>
        <v>14.99</v>
      </c>
      <c r="E921" s="1" t="str">
        <f ca="1">IFERROR(__xludf.DUMMYFUNCTION("""COMPUTED_VALUE"""),"-")</f>
        <v>-</v>
      </c>
      <c r="F921" s="1" t="str">
        <f ca="1">IFERROR(__xludf.DUMMYFUNCTION("""COMPUTED_VALUE"""),"Super Nosso")</f>
        <v>Super Nosso</v>
      </c>
      <c r="G921" s="1" t="str">
        <f ca="1">IFERROR(__xludf.DUMMYFUNCTION("""COMPUTED_VALUE"""),"Supermercado")</f>
        <v>Supermercado</v>
      </c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6">
        <f ca="1">IFERROR(__xludf.DUMMYFUNCTION("""COMPUTED_VALUE"""),45962)</f>
        <v>45962</v>
      </c>
      <c r="B922" s="1" t="str">
        <f ca="1">IFERROR(__xludf.DUMMYFUNCTION("""COMPUTED_VALUE"""),"-")</f>
        <v>-</v>
      </c>
      <c r="C922" s="1" t="str">
        <f ca="1">IFERROR(__xludf.DUMMYFUNCTION("""COMPUTED_VALUE"""),"Mercado Livre")</f>
        <v>Mercado Livre</v>
      </c>
      <c r="D922" s="2">
        <f ca="1">IFERROR(__xludf.DUMMYFUNCTION("""COMPUTED_VALUE"""),65.47)</f>
        <v>65.47</v>
      </c>
      <c r="E922" s="1" t="str">
        <f ca="1">IFERROR(__xludf.DUMMYFUNCTION("""COMPUTED_VALUE"""),"-")</f>
        <v>-</v>
      </c>
      <c r="F922" s="1" t="str">
        <f ca="1">IFERROR(__xludf.DUMMYFUNCTION("""COMPUTED_VALUE"""),"Mercado Livre")</f>
        <v>Mercado Livre</v>
      </c>
      <c r="G922" s="1" t="str">
        <f ca="1">IFERROR(__xludf.DUMMYFUNCTION("""COMPUTED_VALUE"""),"Compras")</f>
        <v>Compras</v>
      </c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6">
        <f ca="1">IFERROR(__xludf.DUMMYFUNCTION("""COMPUTED_VALUE"""),45962)</f>
        <v>45962</v>
      </c>
      <c r="B923" s="1" t="str">
        <f ca="1">IFERROR(__xludf.DUMMYFUNCTION("""COMPUTED_VALUE"""),"-")</f>
        <v>-</v>
      </c>
      <c r="C923" s="1" t="str">
        <f ca="1">IFERROR(__xludf.DUMMYFUNCTION("""COMPUTED_VALUE"""),"Drogaria Araujo")</f>
        <v>Drogaria Araujo</v>
      </c>
      <c r="D923" s="2">
        <f ca="1">IFERROR(__xludf.DUMMYFUNCTION("""COMPUTED_VALUE"""),120.19)</f>
        <v>120.19</v>
      </c>
      <c r="E923" s="1" t="str">
        <f ca="1">IFERROR(__xludf.DUMMYFUNCTION("""COMPUTED_VALUE"""),"-")</f>
        <v>-</v>
      </c>
      <c r="F923" s="1" t="str">
        <f ca="1">IFERROR(__xludf.DUMMYFUNCTION("""COMPUTED_VALUE"""),"Drogaria Araujo")</f>
        <v>Drogaria Araujo</v>
      </c>
      <c r="G923" s="1" t="str">
        <f ca="1">IFERROR(__xludf.DUMMYFUNCTION("""COMPUTED_VALUE"""),"Farmácia")</f>
        <v>Farmácia</v>
      </c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6">
        <f ca="1">IFERROR(__xludf.DUMMYFUNCTION("""COMPUTED_VALUE"""),45962)</f>
        <v>45962</v>
      </c>
      <c r="B924" s="1" t="str">
        <f ca="1">IFERROR(__xludf.DUMMYFUNCTION("""COMPUTED_VALUE"""),"-")</f>
        <v>-</v>
      </c>
      <c r="C924" s="1">
        <f ca="1">IFERROR(__xludf.DUMMYFUNCTION("""COMPUTED_VALUE"""),99)</f>
        <v>99</v>
      </c>
      <c r="D924" s="2">
        <f ca="1">IFERROR(__xludf.DUMMYFUNCTION("""COMPUTED_VALUE"""),21.78)</f>
        <v>21.78</v>
      </c>
      <c r="E924" s="1" t="str">
        <f ca="1">IFERROR(__xludf.DUMMYFUNCTION("""COMPUTED_VALUE"""),"-")</f>
        <v>-</v>
      </c>
      <c r="F924" s="1" t="str">
        <f ca="1">IFERROR(__xludf.DUMMYFUNCTION("""COMPUTED_VALUE"""),"99")</f>
        <v>99</v>
      </c>
      <c r="G924" s="1" t="str">
        <f ca="1">IFERROR(__xludf.DUMMYFUNCTION("""COMPUTED_VALUE"""),"Uber/99")</f>
        <v>Uber/99</v>
      </c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6">
        <f ca="1">IFERROR(__xludf.DUMMYFUNCTION("""COMPUTED_VALUE"""),45962)</f>
        <v>45962</v>
      </c>
      <c r="B925" s="1" t="str">
        <f ca="1">IFERROR(__xludf.DUMMYFUNCTION("""COMPUTED_VALUE"""),"-")</f>
        <v>-</v>
      </c>
      <c r="C925" s="1">
        <f ca="1">IFERROR(__xludf.DUMMYFUNCTION("""COMPUTED_VALUE"""),99)</f>
        <v>99</v>
      </c>
      <c r="D925" s="2">
        <f ca="1">IFERROR(__xludf.DUMMYFUNCTION("""COMPUTED_VALUE"""),9.3)</f>
        <v>9.3000000000000007</v>
      </c>
      <c r="E925" s="1" t="str">
        <f ca="1">IFERROR(__xludf.DUMMYFUNCTION("""COMPUTED_VALUE"""),"-")</f>
        <v>-</v>
      </c>
      <c r="F925" s="1" t="str">
        <f ca="1">IFERROR(__xludf.DUMMYFUNCTION("""COMPUTED_VALUE"""),"99")</f>
        <v>99</v>
      </c>
      <c r="G925" s="1" t="str">
        <f ca="1">IFERROR(__xludf.DUMMYFUNCTION("""COMPUTED_VALUE"""),"Uber/99")</f>
        <v>Uber/99</v>
      </c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6">
        <f ca="1">IFERROR(__xludf.DUMMYFUNCTION("""COMPUTED_VALUE"""),45962)</f>
        <v>45962</v>
      </c>
      <c r="B926" s="1" t="str">
        <f ca="1">IFERROR(__xludf.DUMMYFUNCTION("""COMPUTED_VALUE"""),"-")</f>
        <v>-</v>
      </c>
      <c r="C926" s="1" t="str">
        <f ca="1">IFERROR(__xludf.DUMMYFUNCTION("""COMPUTED_VALUE"""),"Drogaria Araujo")</f>
        <v>Drogaria Araujo</v>
      </c>
      <c r="D926" s="2">
        <f ca="1">IFERROR(__xludf.DUMMYFUNCTION("""COMPUTED_VALUE"""),25.99)</f>
        <v>25.99</v>
      </c>
      <c r="E926" s="1" t="str">
        <f ca="1">IFERROR(__xludf.DUMMYFUNCTION("""COMPUTED_VALUE"""),"-")</f>
        <v>-</v>
      </c>
      <c r="F926" s="1" t="str">
        <f ca="1">IFERROR(__xludf.DUMMYFUNCTION("""COMPUTED_VALUE"""),"Drogaria Araujo")</f>
        <v>Drogaria Araujo</v>
      </c>
      <c r="G926" s="1" t="str">
        <f ca="1">IFERROR(__xludf.DUMMYFUNCTION("""COMPUTED_VALUE"""),"Farmácia")</f>
        <v>Farmácia</v>
      </c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6">
        <f ca="1">IFERROR(__xludf.DUMMYFUNCTION("""COMPUTED_VALUE"""),45962)</f>
        <v>45962</v>
      </c>
      <c r="B927" s="1" t="str">
        <f ca="1">IFERROR(__xludf.DUMMYFUNCTION("""COMPUTED_VALUE"""),"-")</f>
        <v>-</v>
      </c>
      <c r="C927" s="1" t="str">
        <f ca="1">IFERROR(__xludf.DUMMYFUNCTION("""COMPUTED_VALUE"""),"Amazon Digital Br")</f>
        <v>Amazon Digital Br</v>
      </c>
      <c r="D927" s="2">
        <f ca="1">IFERROR(__xludf.DUMMYFUNCTION("""COMPUTED_VALUE"""),18.43)</f>
        <v>18.43</v>
      </c>
      <c r="E927" s="1" t="str">
        <f ca="1">IFERROR(__xludf.DUMMYFUNCTION("""COMPUTED_VALUE"""),"-")</f>
        <v>-</v>
      </c>
      <c r="F927" s="1" t="str">
        <f ca="1">IFERROR(__xludf.DUMMYFUNCTION("""COMPUTED_VALUE"""),"Amazon Digital Br")</f>
        <v>Amazon Digital Br</v>
      </c>
      <c r="G927" s="1" t="str">
        <f ca="1">IFERROR(__xludf.DUMMYFUNCTION("""COMPUTED_VALUE"""),"Compras")</f>
        <v>Compras</v>
      </c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6">
        <f ca="1">IFERROR(__xludf.DUMMYFUNCTION("""COMPUTED_VALUE"""),45962)</f>
        <v>45962</v>
      </c>
      <c r="B928" s="1" t="str">
        <f ca="1">IFERROR(__xludf.DUMMYFUNCTION("""COMPUTED_VALUE"""),"-")</f>
        <v>-</v>
      </c>
      <c r="C928" s="1" t="str">
        <f ca="1">IFERROR(__xludf.DUMMYFUNCTION("""COMPUTED_VALUE"""),"Amazon")</f>
        <v>Amazon</v>
      </c>
      <c r="D928" s="2">
        <f ca="1">IFERROR(__xludf.DUMMYFUNCTION("""COMPUTED_VALUE"""),34.95)</f>
        <v>34.950000000000003</v>
      </c>
      <c r="E928" s="1" t="str">
        <f ca="1">IFERROR(__xludf.DUMMYFUNCTION("""COMPUTED_VALUE"""),"-")</f>
        <v>-</v>
      </c>
      <c r="F928" s="1" t="str">
        <f ca="1">IFERROR(__xludf.DUMMYFUNCTION("""COMPUTED_VALUE"""),"Amazon")</f>
        <v>Amazon</v>
      </c>
      <c r="G928" s="1" t="str">
        <f ca="1">IFERROR(__xludf.DUMMYFUNCTION("""COMPUTED_VALUE"""),"Compras")</f>
        <v>Compras</v>
      </c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6">
        <f ca="1">IFERROR(__xludf.DUMMYFUNCTION("""COMPUTED_VALUE"""),45962)</f>
        <v>45962</v>
      </c>
      <c r="B929" s="1" t="str">
        <f ca="1">IFERROR(__xludf.DUMMYFUNCTION("""COMPUTED_VALUE"""),"-")</f>
        <v>-</v>
      </c>
      <c r="C929" s="1" t="str">
        <f ca="1">IFERROR(__xludf.DUMMYFUNCTION("""COMPUTED_VALUE"""),"Drogaria Araujo")</f>
        <v>Drogaria Araujo</v>
      </c>
      <c r="D929" s="2">
        <f ca="1">IFERROR(__xludf.DUMMYFUNCTION("""COMPUTED_VALUE"""),8.49)</f>
        <v>8.49</v>
      </c>
      <c r="E929" s="1" t="str">
        <f ca="1">IFERROR(__xludf.DUMMYFUNCTION("""COMPUTED_VALUE"""),"-")</f>
        <v>-</v>
      </c>
      <c r="F929" s="1" t="str">
        <f ca="1">IFERROR(__xludf.DUMMYFUNCTION("""COMPUTED_VALUE"""),"Drogaria Araujo")</f>
        <v>Drogaria Araujo</v>
      </c>
      <c r="G929" s="1" t="str">
        <f ca="1">IFERROR(__xludf.DUMMYFUNCTION("""COMPUTED_VALUE"""),"Farmácia")</f>
        <v>Farmácia</v>
      </c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6">
        <f ca="1">IFERROR(__xludf.DUMMYFUNCTION("""COMPUTED_VALUE"""),45962)</f>
        <v>45962</v>
      </c>
      <c r="B930" s="1" t="str">
        <f ca="1">IFERROR(__xludf.DUMMYFUNCTION("""COMPUTED_VALUE"""),"-")</f>
        <v>-</v>
      </c>
      <c r="C930" s="1" t="str">
        <f ca="1">IFERROR(__xludf.DUMMYFUNCTION("""COMPUTED_VALUE"""),"Roma J Automoveis E Se (5/5)")</f>
        <v>Roma J Automoveis E Se (5/5)</v>
      </c>
      <c r="D930" s="2">
        <f ca="1">IFERROR(__xludf.DUMMYFUNCTION("""COMPUTED_VALUE"""),380.37)</f>
        <v>380.37</v>
      </c>
      <c r="E930" s="1" t="str">
        <f ca="1">IFERROR(__xludf.DUMMYFUNCTION("""COMPUTED_VALUE"""),"-")</f>
        <v>-</v>
      </c>
      <c r="F930" s="1" t="str">
        <f ca="1">IFERROR(__xludf.DUMMYFUNCTION("""COMPUTED_VALUE"""),"Roma J Automoveis E Se")</f>
        <v>Roma J Automoveis E Se</v>
      </c>
      <c r="G930" s="1" t="str">
        <f ca="1">IFERROR(__xludf.DUMMYFUNCTION("""COMPUTED_VALUE"""),"-")</f>
        <v>-</v>
      </c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6">
        <f ca="1">IFERROR(__xludf.DUMMYFUNCTION("""COMPUTED_VALUE"""),45962)</f>
        <v>45962</v>
      </c>
      <c r="B931" s="1" t="str">
        <f ca="1">IFERROR(__xludf.DUMMYFUNCTION("""COMPUTED_VALUE"""),"-")</f>
        <v>-</v>
      </c>
      <c r="C931" s="1" t="str">
        <f ca="1">IFERROR(__xludf.DUMMYFUNCTION("""COMPUTED_VALUE"""),"Roma J Automoveis E Se (4/5)")</f>
        <v>Roma J Automoveis E Se (4/5)</v>
      </c>
      <c r="D931" s="2">
        <f ca="1">IFERROR(__xludf.DUMMYFUNCTION("""COMPUTED_VALUE"""),380.37)</f>
        <v>380.37</v>
      </c>
      <c r="E931" s="1" t="str">
        <f ca="1">IFERROR(__xludf.DUMMYFUNCTION("""COMPUTED_VALUE"""),"-")</f>
        <v>-</v>
      </c>
      <c r="F931" s="1" t="str">
        <f ca="1">IFERROR(__xludf.DUMMYFUNCTION("""COMPUTED_VALUE"""),"Roma J Automoveis E Se")</f>
        <v>Roma J Automoveis E Se</v>
      </c>
      <c r="G931" s="1" t="str">
        <f ca="1">IFERROR(__xludf.DUMMYFUNCTION("""COMPUTED_VALUE"""),"-")</f>
        <v>-</v>
      </c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6">
        <f ca="1">IFERROR(__xludf.DUMMYFUNCTION("""COMPUTED_VALUE"""),45962)</f>
        <v>45962</v>
      </c>
      <c r="B932" s="1" t="str">
        <f ca="1">IFERROR(__xludf.DUMMYFUNCTION("""COMPUTED_VALUE"""),"-")</f>
        <v>-</v>
      </c>
      <c r="C932" s="1" t="str">
        <f ca="1">IFERROR(__xludf.DUMMYFUNCTION("""COMPUTED_VALUE"""),"Roma J Automoveis E Se (3/5)")</f>
        <v>Roma J Automoveis E Se (3/5)</v>
      </c>
      <c r="D932" s="2">
        <f ca="1">IFERROR(__xludf.DUMMYFUNCTION("""COMPUTED_VALUE"""),380.37)</f>
        <v>380.37</v>
      </c>
      <c r="E932" s="1" t="str">
        <f ca="1">IFERROR(__xludf.DUMMYFUNCTION("""COMPUTED_VALUE"""),"-")</f>
        <v>-</v>
      </c>
      <c r="F932" s="1" t="str">
        <f ca="1">IFERROR(__xludf.DUMMYFUNCTION("""COMPUTED_VALUE"""),"Roma J Automoveis E Se")</f>
        <v>Roma J Automoveis E Se</v>
      </c>
      <c r="G932" s="1" t="str">
        <f ca="1">IFERROR(__xludf.DUMMYFUNCTION("""COMPUTED_VALUE"""),"-")</f>
        <v>-</v>
      </c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6">
        <f ca="1">IFERROR(__xludf.DUMMYFUNCTION("""COMPUTED_VALUE"""),45962)</f>
        <v>45962</v>
      </c>
      <c r="B933" s="1" t="str">
        <f ca="1">IFERROR(__xludf.DUMMYFUNCTION("""COMPUTED_VALUE"""),"-")</f>
        <v>-</v>
      </c>
      <c r="C933" s="1" t="str">
        <f ca="1">IFERROR(__xludf.DUMMYFUNCTION("""COMPUTED_VALUE"""),"Roma J Automoveis E Se (2/5)")</f>
        <v>Roma J Automoveis E Se (2/5)</v>
      </c>
      <c r="D933" s="2">
        <f ca="1">IFERROR(__xludf.DUMMYFUNCTION("""COMPUTED_VALUE"""),380.37)</f>
        <v>380.37</v>
      </c>
      <c r="E933" s="1" t="str">
        <f ca="1">IFERROR(__xludf.DUMMYFUNCTION("""COMPUTED_VALUE"""),"-")</f>
        <v>-</v>
      </c>
      <c r="F933" s="1" t="str">
        <f ca="1">IFERROR(__xludf.DUMMYFUNCTION("""COMPUTED_VALUE"""),"Roma J Automoveis E Se")</f>
        <v>Roma J Automoveis E Se</v>
      </c>
      <c r="G933" s="1" t="str">
        <f ca="1">IFERROR(__xludf.DUMMYFUNCTION("""COMPUTED_VALUE"""),"-")</f>
        <v>-</v>
      </c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6">
        <f ca="1">IFERROR(__xludf.DUMMYFUNCTION("""COMPUTED_VALUE"""),45962)</f>
        <v>45962</v>
      </c>
      <c r="B934" s="1" t="str">
        <f ca="1">IFERROR(__xludf.DUMMYFUNCTION("""COMPUTED_VALUE"""),"-")</f>
        <v>-</v>
      </c>
      <c r="C934" s="1" t="str">
        <f ca="1">IFERROR(__xludf.DUMMYFUNCTION("""COMPUTED_VALUE"""),"Roma J Automoveis E Se (1/5)")</f>
        <v>Roma J Automoveis E Se (1/5)</v>
      </c>
      <c r="D934" s="2">
        <f ca="1">IFERROR(__xludf.DUMMYFUNCTION("""COMPUTED_VALUE"""),380.39)</f>
        <v>380.39</v>
      </c>
      <c r="E934" s="1" t="str">
        <f ca="1">IFERROR(__xludf.DUMMYFUNCTION("""COMPUTED_VALUE"""),"-")</f>
        <v>-</v>
      </c>
      <c r="F934" s="1" t="str">
        <f ca="1">IFERROR(__xludf.DUMMYFUNCTION("""COMPUTED_VALUE"""),"Roma J Automoveis E Se")</f>
        <v>Roma J Automoveis E Se</v>
      </c>
      <c r="G934" s="1" t="str">
        <f ca="1">IFERROR(__xludf.DUMMYFUNCTION("""COMPUTED_VALUE"""),"-")</f>
        <v>-</v>
      </c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6">
        <f ca="1">IFERROR(__xludf.DUMMYFUNCTION("""COMPUTED_VALUE"""),45962)</f>
        <v>45962</v>
      </c>
      <c r="B935" s="1" t="str">
        <f ca="1">IFERROR(__xludf.DUMMYFUNCTION("""COMPUTED_VALUE"""),"-")</f>
        <v>-</v>
      </c>
      <c r="C935" s="1" t="str">
        <f ca="1">IFERROR(__xludf.DUMMYFUNCTION("""COMPUTED_VALUE"""),"Drogaria Pacheco")</f>
        <v>Drogaria Pacheco</v>
      </c>
      <c r="D935" s="2">
        <f ca="1">IFERROR(__xludf.DUMMYFUNCTION("""COMPUTED_VALUE"""),3.73)</f>
        <v>3.73</v>
      </c>
      <c r="E935" s="1" t="str">
        <f ca="1">IFERROR(__xludf.DUMMYFUNCTION("""COMPUTED_VALUE"""),"-")</f>
        <v>-</v>
      </c>
      <c r="F935" s="1" t="str">
        <f ca="1">IFERROR(__xludf.DUMMYFUNCTION("""COMPUTED_VALUE"""),"Drogaria Pacheco")</f>
        <v>Drogaria Pacheco</v>
      </c>
      <c r="G935" s="1" t="str">
        <f ca="1">IFERROR(__xludf.DUMMYFUNCTION("""COMPUTED_VALUE"""),"Farmácia")</f>
        <v>Farmácia</v>
      </c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6">
        <f ca="1">IFERROR(__xludf.DUMMYFUNCTION("""COMPUTED_VALUE"""),45962)</f>
        <v>45962</v>
      </c>
      <c r="B936" s="1" t="str">
        <f ca="1">IFERROR(__xludf.DUMMYFUNCTION("""COMPUTED_VALUE"""),"-")</f>
        <v>-</v>
      </c>
      <c r="C936" s="1" t="str">
        <f ca="1">IFERROR(__xludf.DUMMYFUNCTION("""COMPUTED_VALUE"""),"Amazonmktplc Alltrendl")</f>
        <v>Amazonmktplc Alltrendl</v>
      </c>
      <c r="D936" s="2">
        <f ca="1">IFERROR(__xludf.DUMMYFUNCTION("""COMPUTED_VALUE"""),11.9)</f>
        <v>11.9</v>
      </c>
      <c r="E936" s="1" t="str">
        <f ca="1">IFERROR(__xludf.DUMMYFUNCTION("""COMPUTED_VALUE"""),"-")</f>
        <v>-</v>
      </c>
      <c r="F936" s="1" t="str">
        <f ca="1">IFERROR(__xludf.DUMMYFUNCTION("""COMPUTED_VALUE"""),"Amazonmktplc")</f>
        <v>Amazonmktplc</v>
      </c>
      <c r="G936" s="1" t="str">
        <f ca="1">IFERROR(__xludf.DUMMYFUNCTION("""COMPUTED_VALUE"""),"Compras")</f>
        <v>Compras</v>
      </c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6">
        <f ca="1">IFERROR(__xludf.DUMMYFUNCTION("""COMPUTED_VALUE"""),45962)</f>
        <v>45962</v>
      </c>
      <c r="B937" s="1" t="str">
        <f ca="1">IFERROR(__xludf.DUMMYFUNCTION("""COMPUTED_VALUE"""),"-")</f>
        <v>-</v>
      </c>
      <c r="C937" s="1" t="str">
        <f ca="1">IFERROR(__xludf.DUMMYFUNCTION("""COMPUTED_VALUE"""),"Spotify")</f>
        <v>Spotify</v>
      </c>
      <c r="D937" s="2">
        <f ca="1">IFERROR(__xludf.DUMMYFUNCTION("""COMPUTED_VALUE"""),40.9)</f>
        <v>40.9</v>
      </c>
      <c r="E937" s="1" t="str">
        <f ca="1">IFERROR(__xludf.DUMMYFUNCTION("""COMPUTED_VALUE"""),"-")</f>
        <v>-</v>
      </c>
      <c r="F937" s="1" t="str">
        <f ca="1">IFERROR(__xludf.DUMMYFUNCTION("""COMPUTED_VALUE"""),"Spotify")</f>
        <v>Spotify</v>
      </c>
      <c r="G937" s="1" t="str">
        <f ca="1">IFERROR(__xludf.DUMMYFUNCTION("""COMPUTED_VALUE"""),"Assinatura")</f>
        <v>Assinatura</v>
      </c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6">
        <f ca="1">IFERROR(__xludf.DUMMYFUNCTION("""COMPUTED_VALUE"""),45962)</f>
        <v>45962</v>
      </c>
      <c r="B938" s="1" t="str">
        <f ca="1">IFERROR(__xludf.DUMMYFUNCTION("""COMPUTED_VALUE"""),"-")</f>
        <v>-</v>
      </c>
      <c r="C938" s="1" t="str">
        <f ca="1">IFERROR(__xludf.DUMMYFUNCTION("""COMPUTED_VALUE"""),"Amazon")</f>
        <v>Amazon</v>
      </c>
      <c r="D938" s="2">
        <f ca="1">IFERROR(__xludf.DUMMYFUNCTION("""COMPUTED_VALUE"""),302.1)</f>
        <v>302.10000000000002</v>
      </c>
      <c r="E938" s="1" t="str">
        <f ca="1">IFERROR(__xludf.DUMMYFUNCTION("""COMPUTED_VALUE"""),"-")</f>
        <v>-</v>
      </c>
      <c r="F938" s="1" t="str">
        <f ca="1">IFERROR(__xludf.DUMMYFUNCTION("""COMPUTED_VALUE"""),"Amazon")</f>
        <v>Amazon</v>
      </c>
      <c r="G938" s="1" t="str">
        <f ca="1">IFERROR(__xludf.DUMMYFUNCTION("""COMPUTED_VALUE"""),"Compras")</f>
        <v>Compras</v>
      </c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6">
        <f ca="1">IFERROR(__xludf.DUMMYFUNCTION("""COMPUTED_VALUE"""),45962)</f>
        <v>45962</v>
      </c>
      <c r="B939" s="1" t="str">
        <f ca="1">IFERROR(__xludf.DUMMYFUNCTION("""COMPUTED_VALUE"""),"-")</f>
        <v>-</v>
      </c>
      <c r="C939" s="1" t="str">
        <f ca="1">IFERROR(__xludf.DUMMYFUNCTION("""COMPUTED_VALUE"""),"Amazon")</f>
        <v>Amazon</v>
      </c>
      <c r="D939" s="2">
        <f ca="1">IFERROR(__xludf.DUMMYFUNCTION("""COMPUTED_VALUE"""),41.08)</f>
        <v>41.08</v>
      </c>
      <c r="E939" s="1" t="str">
        <f ca="1">IFERROR(__xludf.DUMMYFUNCTION("""COMPUTED_VALUE"""),"-")</f>
        <v>-</v>
      </c>
      <c r="F939" s="1" t="str">
        <f ca="1">IFERROR(__xludf.DUMMYFUNCTION("""COMPUTED_VALUE"""),"Amazon")</f>
        <v>Amazon</v>
      </c>
      <c r="G939" s="1" t="str">
        <f ca="1">IFERROR(__xludf.DUMMYFUNCTION("""COMPUTED_VALUE"""),"Compras")</f>
        <v>Compras</v>
      </c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6">
        <f ca="1">IFERROR(__xludf.DUMMYFUNCTION("""COMPUTED_VALUE"""),45962)</f>
        <v>45962</v>
      </c>
      <c r="B940" s="1" t="str">
        <f ca="1">IFERROR(__xludf.DUMMYFUNCTION("""COMPUTED_VALUE"""),"-")</f>
        <v>-</v>
      </c>
      <c r="C940" s="1" t="str">
        <f ca="1">IFERROR(__xludf.DUMMYFUNCTION("""COMPUTED_VALUE"""),"Casa De Casa De Carne")</f>
        <v>Casa De Casa De Carne</v>
      </c>
      <c r="D940" s="2">
        <f ca="1">IFERROR(__xludf.DUMMYFUNCTION("""COMPUTED_VALUE"""),471.62)</f>
        <v>471.62</v>
      </c>
      <c r="E940" s="1" t="str">
        <f ca="1">IFERROR(__xludf.DUMMYFUNCTION("""COMPUTED_VALUE"""),"-")</f>
        <v>-</v>
      </c>
      <c r="F940" s="1" t="str">
        <f ca="1">IFERROR(__xludf.DUMMYFUNCTION("""COMPUTED_VALUE"""),"Casa De Casa De Carne")</f>
        <v>Casa De Casa De Carne</v>
      </c>
      <c r="G940" s="1" t="str">
        <f ca="1">IFERROR(__xludf.DUMMYFUNCTION("""COMPUTED_VALUE"""),"Comida")</f>
        <v>Comida</v>
      </c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6">
        <f ca="1">IFERROR(__xludf.DUMMYFUNCTION("""COMPUTED_VALUE"""),45962)</f>
        <v>45962</v>
      </c>
      <c r="B941" s="1" t="str">
        <f ca="1">IFERROR(__xludf.DUMMYFUNCTION("""COMPUTED_VALUE"""),"-")</f>
        <v>-</v>
      </c>
      <c r="C941" s="1" t="str">
        <f ca="1">IFERROR(__xludf.DUMMYFUNCTION("""COMPUTED_VALUE"""),"Rizzo Horizonte")</f>
        <v>Rizzo Horizonte</v>
      </c>
      <c r="D941" s="2">
        <f ca="1">IFERROR(__xludf.DUMMYFUNCTION("""COMPUTED_VALUE"""),27.6)</f>
        <v>27.6</v>
      </c>
      <c r="E941" s="1" t="str">
        <f ca="1">IFERROR(__xludf.DUMMYFUNCTION("""COMPUTED_VALUE"""),"-")</f>
        <v>-</v>
      </c>
      <c r="F941" s="1" t="str">
        <f ca="1">IFERROR(__xludf.DUMMYFUNCTION("""COMPUTED_VALUE"""),"Rizzo Horizonte")</f>
        <v>Rizzo Horizonte</v>
      </c>
      <c r="G941" s="1" t="str">
        <f ca="1">IFERROR(__xludf.DUMMYFUNCTION("""COMPUTED_VALUE"""),"-")</f>
        <v>-</v>
      </c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6">
        <f ca="1">IFERROR(__xludf.DUMMYFUNCTION("""COMPUTED_VALUE"""),45962)</f>
        <v>45962</v>
      </c>
      <c r="B942" s="1" t="str">
        <f ca="1">IFERROR(__xludf.DUMMYFUNCTION("""COMPUTED_VALUE"""),"-")</f>
        <v>-</v>
      </c>
      <c r="C942" s="1" t="str">
        <f ca="1">IFERROR(__xludf.DUMMYFUNCTION("""COMPUTED_VALUE"""),"Supermercado &amp; Padaria")</f>
        <v>Supermercado &amp; Padaria</v>
      </c>
      <c r="D942" s="2">
        <f ca="1">IFERROR(__xludf.DUMMYFUNCTION("""COMPUTED_VALUE"""),266.1)</f>
        <v>266.10000000000002</v>
      </c>
      <c r="E942" s="1" t="str">
        <f ca="1">IFERROR(__xludf.DUMMYFUNCTION("""COMPUTED_VALUE"""),"-")</f>
        <v>-</v>
      </c>
      <c r="F942" s="1" t="str">
        <f ca="1">IFERROR(__xludf.DUMMYFUNCTION("""COMPUTED_VALUE"""),"Supermercado &amp; Padaria")</f>
        <v>Supermercado &amp; Padaria</v>
      </c>
      <c r="G942" s="1" t="str">
        <f ca="1">IFERROR(__xludf.DUMMYFUNCTION("""COMPUTED_VALUE"""),"Comida")</f>
        <v>Comida</v>
      </c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6">
        <f ca="1">IFERROR(__xludf.DUMMYFUNCTION("""COMPUTED_VALUE"""),45962)</f>
        <v>45962</v>
      </c>
      <c r="B943" s="1" t="str">
        <f ca="1">IFERROR(__xludf.DUMMYFUNCTION("""COMPUTED_VALUE"""),"-")</f>
        <v>-</v>
      </c>
      <c r="C943" s="1" t="str">
        <f ca="1">IFERROR(__xludf.DUMMYFUNCTION("""COMPUTED_VALUE"""),"Supermercado &amp; Padaria")</f>
        <v>Supermercado &amp; Padaria</v>
      </c>
      <c r="D943" s="2">
        <f ca="1">IFERROR(__xludf.DUMMYFUNCTION("""COMPUTED_VALUE"""),45.98)</f>
        <v>45.98</v>
      </c>
      <c r="E943" s="1" t="str">
        <f ca="1">IFERROR(__xludf.DUMMYFUNCTION("""COMPUTED_VALUE"""),"-")</f>
        <v>-</v>
      </c>
      <c r="F943" s="1" t="str">
        <f ca="1">IFERROR(__xludf.DUMMYFUNCTION("""COMPUTED_VALUE"""),"Supermercado &amp; Padaria")</f>
        <v>Supermercado &amp; Padaria</v>
      </c>
      <c r="G943" s="1" t="str">
        <f ca="1">IFERROR(__xludf.DUMMYFUNCTION("""COMPUTED_VALUE"""),"Comida")</f>
        <v>Comida</v>
      </c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6">
        <f ca="1">IFERROR(__xludf.DUMMYFUNCTION("""COMPUTED_VALUE"""),45962)</f>
        <v>45962</v>
      </c>
      <c r="B944" s="1" t="str">
        <f ca="1">IFERROR(__xludf.DUMMYFUNCTION("""COMPUTED_VALUE"""),"-")</f>
        <v>-</v>
      </c>
      <c r="C944" s="1" t="str">
        <f ca="1">IFERROR(__xludf.DUMMYFUNCTION("""COMPUTED_VALUE"""),"Choky Confeitaria")</f>
        <v>Choky Confeitaria</v>
      </c>
      <c r="D944" s="2">
        <f ca="1">IFERROR(__xludf.DUMMYFUNCTION("""COMPUTED_VALUE"""),80)</f>
        <v>80</v>
      </c>
      <c r="E944" s="1" t="str">
        <f ca="1">IFERROR(__xludf.DUMMYFUNCTION("""COMPUTED_VALUE"""),"-")</f>
        <v>-</v>
      </c>
      <c r="F944" s="1" t="str">
        <f ca="1">IFERROR(__xludf.DUMMYFUNCTION("""COMPUTED_VALUE"""),"Choky Confeitaria")</f>
        <v>Choky Confeitaria</v>
      </c>
      <c r="G944" s="1" t="str">
        <f ca="1">IFERROR(__xludf.DUMMYFUNCTION("""COMPUTED_VALUE"""),"-")</f>
        <v>-</v>
      </c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6">
        <f ca="1">IFERROR(__xludf.DUMMYFUNCTION("""COMPUTED_VALUE"""),45962)</f>
        <v>45962</v>
      </c>
      <c r="B945" s="1" t="str">
        <f ca="1">IFERROR(__xludf.DUMMYFUNCTION("""COMPUTED_VALUE"""),"-")</f>
        <v>-</v>
      </c>
      <c r="C945" s="1" t="str">
        <f ca="1">IFERROR(__xludf.DUMMYFUNCTION("""COMPUTED_VALUE"""),"Empório Frutaria Bh")</f>
        <v>Empório Frutaria Bh</v>
      </c>
      <c r="D945" s="2">
        <f ca="1">IFERROR(__xludf.DUMMYFUNCTION("""COMPUTED_VALUE"""),88.14)</f>
        <v>88.14</v>
      </c>
      <c r="E945" s="1" t="str">
        <f ca="1">IFERROR(__xludf.DUMMYFUNCTION("""COMPUTED_VALUE"""),"-")</f>
        <v>-</v>
      </c>
      <c r="F945" s="1" t="str">
        <f ca="1">IFERROR(__xludf.DUMMYFUNCTION("""COMPUTED_VALUE"""),"Empório Frutaria Bh")</f>
        <v>Empório Frutaria Bh</v>
      </c>
      <c r="G945" s="1" t="str">
        <f ca="1">IFERROR(__xludf.DUMMYFUNCTION("""COMPUTED_VALUE"""),"-")</f>
        <v>-</v>
      </c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6">
        <f ca="1">IFERROR(__xludf.DUMMYFUNCTION("""COMPUTED_VALUE"""),45962)</f>
        <v>45962</v>
      </c>
      <c r="B946" s="1" t="str">
        <f ca="1">IFERROR(__xludf.DUMMYFUNCTION("""COMPUTED_VALUE"""),"-")</f>
        <v>-</v>
      </c>
      <c r="C946" s="1" t="str">
        <f ca="1">IFERROR(__xludf.DUMMYFUNCTION("""COMPUTED_VALUE"""),"Drogaria Ara Araujo")</f>
        <v>Drogaria Ara Araujo</v>
      </c>
      <c r="D946" s="2">
        <f ca="1">IFERROR(__xludf.DUMMYFUNCTION("""COMPUTED_VALUE"""),263.99)</f>
        <v>263.99</v>
      </c>
      <c r="E946" s="1" t="str">
        <f ca="1">IFERROR(__xludf.DUMMYFUNCTION("""COMPUTED_VALUE"""),"-")</f>
        <v>-</v>
      </c>
      <c r="F946" s="1" t="str">
        <f ca="1">IFERROR(__xludf.DUMMYFUNCTION("""COMPUTED_VALUE"""),"Drogaria Ara Araujo")</f>
        <v>Drogaria Ara Araujo</v>
      </c>
      <c r="G946" s="1" t="str">
        <f ca="1">IFERROR(__xludf.DUMMYFUNCTION("""COMPUTED_VALUE"""),"Farmácia")</f>
        <v>Farmácia</v>
      </c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6">
        <f ca="1">IFERROR(__xludf.DUMMYFUNCTION("""COMPUTED_VALUE"""),45962)</f>
        <v>45962</v>
      </c>
      <c r="B947" s="1" t="str">
        <f ca="1">IFERROR(__xludf.DUMMYFUNCTION("""COMPUTED_VALUE"""),"-")</f>
        <v>-</v>
      </c>
      <c r="C947" s="1" t="str">
        <f ca="1">IFERROR(__xludf.DUMMYFUNCTION("""COMPUTED_VALUE"""),"Amazon")</f>
        <v>Amazon</v>
      </c>
      <c r="D947" s="2">
        <f ca="1">IFERROR(__xludf.DUMMYFUNCTION("""COMPUTED_VALUE"""),49.52)</f>
        <v>49.52</v>
      </c>
      <c r="E947" s="1" t="str">
        <f ca="1">IFERROR(__xludf.DUMMYFUNCTION("""COMPUTED_VALUE"""),"-")</f>
        <v>-</v>
      </c>
      <c r="F947" s="1" t="str">
        <f ca="1">IFERROR(__xludf.DUMMYFUNCTION("""COMPUTED_VALUE"""),"Amazon")</f>
        <v>Amazon</v>
      </c>
      <c r="G947" s="1" t="str">
        <f ca="1">IFERROR(__xludf.DUMMYFUNCTION("""COMPUTED_VALUE"""),"Compras")</f>
        <v>Compras</v>
      </c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6">
        <f ca="1">IFERROR(__xludf.DUMMYFUNCTION("""COMPUTED_VALUE"""),45962)</f>
        <v>45962</v>
      </c>
      <c r="B948" s="1" t="str">
        <f ca="1">IFERROR(__xludf.DUMMYFUNCTION("""COMPUTED_VALUE"""),"-")</f>
        <v>-</v>
      </c>
      <c r="C948" s="1" t="str">
        <f ca="1">IFERROR(__xludf.DUMMYFUNCTION("""COMPUTED_VALUE"""),"Drogaria Ara Araujo")</f>
        <v>Drogaria Ara Araujo</v>
      </c>
      <c r="D948" s="2">
        <f ca="1">IFERROR(__xludf.DUMMYFUNCTION("""COMPUTED_VALUE"""),15.89)</f>
        <v>15.89</v>
      </c>
      <c r="E948" s="1" t="str">
        <f ca="1">IFERROR(__xludf.DUMMYFUNCTION("""COMPUTED_VALUE"""),"-")</f>
        <v>-</v>
      </c>
      <c r="F948" s="1" t="str">
        <f ca="1">IFERROR(__xludf.DUMMYFUNCTION("""COMPUTED_VALUE"""),"Drogaria Ara Araujo")</f>
        <v>Drogaria Ara Araujo</v>
      </c>
      <c r="G948" s="1" t="str">
        <f ca="1">IFERROR(__xludf.DUMMYFUNCTION("""COMPUTED_VALUE"""),"Farmácia")</f>
        <v>Farmácia</v>
      </c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6">
        <f ca="1">IFERROR(__xludf.DUMMYFUNCTION("""COMPUTED_VALUE"""),45962)</f>
        <v>45962</v>
      </c>
      <c r="B949" s="1" t="str">
        <f ca="1">IFERROR(__xludf.DUMMYFUNCTION("""COMPUTED_VALUE"""),"-")</f>
        <v>-</v>
      </c>
      <c r="C949" s="1" t="str">
        <f ca="1">IFERROR(__xludf.DUMMYFUNCTION("""COMPUTED_VALUE"""),"Super Nosso")</f>
        <v>Super Nosso</v>
      </c>
      <c r="D949" s="2">
        <f ca="1">IFERROR(__xludf.DUMMYFUNCTION("""COMPUTED_VALUE"""),212.98)</f>
        <v>212.98</v>
      </c>
      <c r="E949" s="1" t="str">
        <f ca="1">IFERROR(__xludf.DUMMYFUNCTION("""COMPUTED_VALUE"""),"-")</f>
        <v>-</v>
      </c>
      <c r="F949" s="1" t="str">
        <f ca="1">IFERROR(__xludf.DUMMYFUNCTION("""COMPUTED_VALUE"""),"Super Nosso")</f>
        <v>Super Nosso</v>
      </c>
      <c r="G949" s="1" t="str">
        <f ca="1">IFERROR(__xludf.DUMMYFUNCTION("""COMPUTED_VALUE"""),"Supermercado")</f>
        <v>Supermercado</v>
      </c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6">
        <f ca="1">IFERROR(__xludf.DUMMYFUNCTION("""COMPUTED_VALUE"""),45962)</f>
        <v>45962</v>
      </c>
      <c r="B950" s="1" t="str">
        <f ca="1">IFERROR(__xludf.DUMMYFUNCTION("""COMPUTED_VALUE"""),"-")</f>
        <v>-</v>
      </c>
      <c r="C950" s="1" t="str">
        <f ca="1">IFERROR(__xludf.DUMMYFUNCTION("""COMPUTED_VALUE"""),"Panif Mendes Sion")</f>
        <v>Panif Mendes Sion</v>
      </c>
      <c r="D950" s="2">
        <f ca="1">IFERROR(__xludf.DUMMYFUNCTION("""COMPUTED_VALUE"""),3.39)</f>
        <v>3.39</v>
      </c>
      <c r="E950" s="1" t="str">
        <f ca="1">IFERROR(__xludf.DUMMYFUNCTION("""COMPUTED_VALUE"""),"-")</f>
        <v>-</v>
      </c>
      <c r="F950" s="1" t="str">
        <f ca="1">IFERROR(__xludf.DUMMYFUNCTION("""COMPUTED_VALUE"""),"Panif Mendes Sion")</f>
        <v>Panif Mendes Sion</v>
      </c>
      <c r="G950" s="1" t="str">
        <f ca="1">IFERROR(__xludf.DUMMYFUNCTION("""COMPUTED_VALUE"""),"Comida")</f>
        <v>Comida</v>
      </c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6">
        <f ca="1">IFERROR(__xludf.DUMMYFUNCTION("""COMPUTED_VALUE"""),45962)</f>
        <v>45962</v>
      </c>
      <c r="B951" s="1" t="str">
        <f ca="1">IFERROR(__xludf.DUMMYFUNCTION("""COMPUTED_VALUE"""),"-")</f>
        <v>-</v>
      </c>
      <c r="C951" s="1" t="str">
        <f ca="1">IFERROR(__xludf.DUMMYFUNCTION("""COMPUTED_VALUE"""),"Youtube")</f>
        <v>Youtube</v>
      </c>
      <c r="D951" s="2">
        <f ca="1">IFERROR(__xludf.DUMMYFUNCTION("""COMPUTED_VALUE"""),19.99)</f>
        <v>19.989999999999998</v>
      </c>
      <c r="E951" s="1" t="str">
        <f ca="1">IFERROR(__xludf.DUMMYFUNCTION("""COMPUTED_VALUE"""),"-")</f>
        <v>-</v>
      </c>
      <c r="F951" s="1" t="str">
        <f ca="1">IFERROR(__xludf.DUMMYFUNCTION("""COMPUTED_VALUE"""),"Youtube")</f>
        <v>Youtube</v>
      </c>
      <c r="G951" s="1" t="str">
        <f ca="1">IFERROR(__xludf.DUMMYFUNCTION("""COMPUTED_VALUE"""),"Assinatura")</f>
        <v>Assinatura</v>
      </c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6">
        <f ca="1">IFERROR(__xludf.DUMMYFUNCTION("""COMPUTED_VALUE"""),45962)</f>
        <v>45962</v>
      </c>
      <c r="B952" s="1" t="str">
        <f ca="1">IFERROR(__xludf.DUMMYFUNCTION("""COMPUTED_VALUE"""),"-")</f>
        <v>-</v>
      </c>
      <c r="C952" s="1" t="str">
        <f ca="1">IFERROR(__xludf.DUMMYFUNCTION("""COMPUTED_VALUE"""),"Drogaria Araujo")</f>
        <v>Drogaria Araujo</v>
      </c>
      <c r="D952" s="2">
        <f ca="1">IFERROR(__xludf.DUMMYFUNCTION("""COMPUTED_VALUE"""),12.89)</f>
        <v>12.89</v>
      </c>
      <c r="E952" s="1" t="str">
        <f ca="1">IFERROR(__xludf.DUMMYFUNCTION("""COMPUTED_VALUE"""),"-")</f>
        <v>-</v>
      </c>
      <c r="F952" s="1" t="str">
        <f ca="1">IFERROR(__xludf.DUMMYFUNCTION("""COMPUTED_VALUE"""),"Drogaria Araujo")</f>
        <v>Drogaria Araujo</v>
      </c>
      <c r="G952" s="1" t="str">
        <f ca="1">IFERROR(__xludf.DUMMYFUNCTION("""COMPUTED_VALUE"""),"Farmácia")</f>
        <v>Farmácia</v>
      </c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6">
        <f ca="1">IFERROR(__xludf.DUMMYFUNCTION("""COMPUTED_VALUE"""),45962)</f>
        <v>45962</v>
      </c>
      <c r="B953" s="1" t="str">
        <f ca="1">IFERROR(__xludf.DUMMYFUNCTION("""COMPUTED_VALUE"""),"-")</f>
        <v>-</v>
      </c>
      <c r="C953" s="1" t="str">
        <f ca="1">IFERROR(__xludf.DUMMYFUNCTION("""COMPUTED_VALUE"""),"Amazonmktplc Jafribeir")</f>
        <v>Amazonmktplc Jafribeir</v>
      </c>
      <c r="D953" s="2">
        <f ca="1">IFERROR(__xludf.DUMMYFUNCTION("""COMPUTED_VALUE"""),11.99)</f>
        <v>11.99</v>
      </c>
      <c r="E953" s="1" t="str">
        <f ca="1">IFERROR(__xludf.DUMMYFUNCTION("""COMPUTED_VALUE"""),"-")</f>
        <v>-</v>
      </c>
      <c r="F953" s="1" t="str">
        <f ca="1">IFERROR(__xludf.DUMMYFUNCTION("""COMPUTED_VALUE"""),"Amazonmktplc")</f>
        <v>Amazonmktplc</v>
      </c>
      <c r="G953" s="1" t="str">
        <f ca="1">IFERROR(__xludf.DUMMYFUNCTION("""COMPUTED_VALUE"""),"Compras")</f>
        <v>Compras</v>
      </c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6">
        <f ca="1">IFERROR(__xludf.DUMMYFUNCTION("""COMPUTED_VALUE"""),45962)</f>
        <v>45962</v>
      </c>
      <c r="B954" s="1" t="str">
        <f ca="1">IFERROR(__xludf.DUMMYFUNCTION("""COMPUTED_VALUE"""),"-")</f>
        <v>-</v>
      </c>
      <c r="C954" s="1" t="str">
        <f ca="1">IFERROR(__xludf.DUMMYFUNCTION("""COMPUTED_VALUE"""),"Shopee")</f>
        <v>Shopee</v>
      </c>
      <c r="D954" s="2">
        <f ca="1">IFERROR(__xludf.DUMMYFUNCTION("""COMPUTED_VALUE"""),19.5)</f>
        <v>19.5</v>
      </c>
      <c r="E954" s="1" t="str">
        <f ca="1">IFERROR(__xludf.DUMMYFUNCTION("""COMPUTED_VALUE"""),"-")</f>
        <v>-</v>
      </c>
      <c r="F954" s="1" t="str">
        <f ca="1">IFERROR(__xludf.DUMMYFUNCTION("""COMPUTED_VALUE"""),"Shopee")</f>
        <v>Shopee</v>
      </c>
      <c r="G954" s="1" t="str">
        <f ca="1">IFERROR(__xludf.DUMMYFUNCTION("""COMPUTED_VALUE"""),"Compras")</f>
        <v>Compras</v>
      </c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6">
        <f ca="1">IFERROR(__xludf.DUMMYFUNCTION("""COMPUTED_VALUE"""),45962)</f>
        <v>45962</v>
      </c>
      <c r="B955" s="1" t="str">
        <f ca="1">IFERROR(__xludf.DUMMYFUNCTION("""COMPUTED_VALUE"""),"-")</f>
        <v>-</v>
      </c>
      <c r="C955" s="1" t="str">
        <f ca="1">IFERROR(__xludf.DUMMYFUNCTION("""COMPUTED_VALUE"""),"Drogaria Araujo")</f>
        <v>Drogaria Araujo</v>
      </c>
      <c r="D955" s="2">
        <f ca="1">IFERROR(__xludf.DUMMYFUNCTION("""COMPUTED_VALUE"""),7)</f>
        <v>7</v>
      </c>
      <c r="E955" s="1" t="str">
        <f ca="1">IFERROR(__xludf.DUMMYFUNCTION("""COMPUTED_VALUE"""),"-")</f>
        <v>-</v>
      </c>
      <c r="F955" s="1" t="str">
        <f ca="1">IFERROR(__xludf.DUMMYFUNCTION("""COMPUTED_VALUE"""),"Drogaria Araujo")</f>
        <v>Drogaria Araujo</v>
      </c>
      <c r="G955" s="1" t="str">
        <f ca="1">IFERROR(__xludf.DUMMYFUNCTION("""COMPUTED_VALUE"""),"Farmácia")</f>
        <v>Farmácia</v>
      </c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6">
        <f ca="1">IFERROR(__xludf.DUMMYFUNCTION("""COMPUTED_VALUE"""),45962)</f>
        <v>45962</v>
      </c>
      <c r="B956" s="1" t="str">
        <f ca="1">IFERROR(__xludf.DUMMYFUNCTION("""COMPUTED_VALUE"""),"-")</f>
        <v>-</v>
      </c>
      <c r="C956" s="1" t="str">
        <f ca="1">IFERROR(__xludf.DUMMYFUNCTION("""COMPUTED_VALUE"""),"Amazon")</f>
        <v>Amazon</v>
      </c>
      <c r="D956" s="2">
        <f ca="1">IFERROR(__xludf.DUMMYFUNCTION("""COMPUTED_VALUE"""),20.9)</f>
        <v>20.9</v>
      </c>
      <c r="E956" s="1" t="str">
        <f ca="1">IFERROR(__xludf.DUMMYFUNCTION("""COMPUTED_VALUE"""),"-")</f>
        <v>-</v>
      </c>
      <c r="F956" s="1" t="str">
        <f ca="1">IFERROR(__xludf.DUMMYFUNCTION("""COMPUTED_VALUE"""),"Amazon")</f>
        <v>Amazon</v>
      </c>
      <c r="G956" s="1" t="str">
        <f ca="1">IFERROR(__xludf.DUMMYFUNCTION("""COMPUTED_VALUE"""),"Compras")</f>
        <v>Compras</v>
      </c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6">
        <f ca="1">IFERROR(__xludf.DUMMYFUNCTION("""COMPUTED_VALUE"""),45962)</f>
        <v>45962</v>
      </c>
      <c r="B957" s="1" t="str">
        <f ca="1">IFERROR(__xludf.DUMMYFUNCTION("""COMPUTED_VALUE"""),"-")</f>
        <v>-</v>
      </c>
      <c r="C957" s="1" t="str">
        <f ca="1">IFERROR(__xludf.DUMMYFUNCTION("""COMPUTED_VALUE"""),"Melimais")</f>
        <v>Melimais</v>
      </c>
      <c r="D957" s="2">
        <f ca="1">IFERROR(__xludf.DUMMYFUNCTION("""COMPUTED_VALUE"""),24.9)</f>
        <v>24.9</v>
      </c>
      <c r="E957" s="1" t="str">
        <f ca="1">IFERROR(__xludf.DUMMYFUNCTION("""COMPUTED_VALUE"""),"-")</f>
        <v>-</v>
      </c>
      <c r="F957" s="1" t="str">
        <f ca="1">IFERROR(__xludf.DUMMYFUNCTION("""COMPUTED_VALUE"""),"Melimais")</f>
        <v>Melimais</v>
      </c>
      <c r="G957" s="1" t="str">
        <f ca="1">IFERROR(__xludf.DUMMYFUNCTION("""COMPUTED_VALUE"""),"-")</f>
        <v>-</v>
      </c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6">
        <f ca="1">IFERROR(__xludf.DUMMYFUNCTION("""COMPUTED_VALUE"""),45962)</f>
        <v>45962</v>
      </c>
      <c r="B958" s="1" t="str">
        <f ca="1">IFERROR(__xludf.DUMMYFUNCTION("""COMPUTED_VALUE"""),"-")</f>
        <v>-</v>
      </c>
      <c r="C958" s="1" t="str">
        <f ca="1">IFERROR(__xludf.DUMMYFUNCTION("""COMPUTED_VALUE"""),"Amazonmktplc Gffcompan")</f>
        <v>Amazonmktplc Gffcompan</v>
      </c>
      <c r="D958" s="2">
        <f ca="1">IFERROR(__xludf.DUMMYFUNCTION("""COMPUTED_VALUE"""),29.9)</f>
        <v>29.9</v>
      </c>
      <c r="E958" s="1" t="str">
        <f ca="1">IFERROR(__xludf.DUMMYFUNCTION("""COMPUTED_VALUE"""),"-")</f>
        <v>-</v>
      </c>
      <c r="F958" s="1" t="str">
        <f ca="1">IFERROR(__xludf.DUMMYFUNCTION("""COMPUTED_VALUE"""),"Amazonmktplc")</f>
        <v>Amazonmktplc</v>
      </c>
      <c r="G958" s="1" t="str">
        <f ca="1">IFERROR(__xludf.DUMMYFUNCTION("""COMPUTED_VALUE"""),"Compras")</f>
        <v>Compras</v>
      </c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6">
        <f ca="1">IFERROR(__xludf.DUMMYFUNCTION("""COMPUTED_VALUE"""),45962)</f>
        <v>45962</v>
      </c>
      <c r="B959" s="1" t="str">
        <f ca="1">IFERROR(__xludf.DUMMYFUNCTION("""COMPUTED_VALUE"""),"-")</f>
        <v>-</v>
      </c>
      <c r="C959" s="1" t="str">
        <f ca="1">IFERROR(__xludf.DUMMYFUNCTION("""COMPUTED_VALUE"""),"A A Serviços E Comerci")</f>
        <v>A A Serviços E Comerci</v>
      </c>
      <c r="D959" s="2">
        <f ca="1">IFERROR(__xludf.DUMMYFUNCTION("""COMPUTED_VALUE"""),37)</f>
        <v>37</v>
      </c>
      <c r="E959" s="1" t="str">
        <f ca="1">IFERROR(__xludf.DUMMYFUNCTION("""COMPUTED_VALUE"""),"-")</f>
        <v>-</v>
      </c>
      <c r="F959" s="1" t="str">
        <f ca="1">IFERROR(__xludf.DUMMYFUNCTION("""COMPUTED_VALUE"""),"A A Serviços E Comerci")</f>
        <v>A A Serviços E Comerci</v>
      </c>
      <c r="G959" s="1" t="str">
        <f ca="1">IFERROR(__xludf.DUMMYFUNCTION("""COMPUTED_VALUE"""),"-")</f>
        <v>-</v>
      </c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6">
        <f ca="1">IFERROR(__xludf.DUMMYFUNCTION("""COMPUTED_VALUE"""),45962)</f>
        <v>45962</v>
      </c>
      <c r="B960" s="1" t="str">
        <f ca="1">IFERROR(__xludf.DUMMYFUNCTION("""COMPUTED_VALUE"""),"-")</f>
        <v>-</v>
      </c>
      <c r="C960" s="1" t="str">
        <f ca="1">IFERROR(__xludf.DUMMYFUNCTION("""COMPUTED_VALUE"""),"Amazon")</f>
        <v>Amazon</v>
      </c>
      <c r="D960" s="2">
        <f ca="1">IFERROR(__xludf.DUMMYFUNCTION("""COMPUTED_VALUE"""),59.33)</f>
        <v>59.33</v>
      </c>
      <c r="E960" s="1" t="str">
        <f ca="1">IFERROR(__xludf.DUMMYFUNCTION("""COMPUTED_VALUE"""),"-")</f>
        <v>-</v>
      </c>
      <c r="F960" s="1" t="str">
        <f ca="1">IFERROR(__xludf.DUMMYFUNCTION("""COMPUTED_VALUE"""),"Amazon")</f>
        <v>Amazon</v>
      </c>
      <c r="G960" s="1" t="str">
        <f ca="1">IFERROR(__xludf.DUMMYFUNCTION("""COMPUTED_VALUE"""),"Compras")</f>
        <v>Compras</v>
      </c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6">
        <f ca="1">IFERROR(__xludf.DUMMYFUNCTION("""COMPUTED_VALUE"""),45962)</f>
        <v>45962</v>
      </c>
      <c r="B961" s="1" t="str">
        <f ca="1">IFERROR(__xludf.DUMMYFUNCTION("""COMPUTED_VALUE"""),"-")</f>
        <v>-</v>
      </c>
      <c r="C961" s="1" t="str">
        <f ca="1">IFERROR(__xludf.DUMMYFUNCTION("""COMPUTED_VALUE"""),"Mercado Livre")</f>
        <v>Mercado Livre</v>
      </c>
      <c r="D961" s="2">
        <f ca="1">IFERROR(__xludf.DUMMYFUNCTION("""COMPUTED_VALUE"""),20.18)</f>
        <v>20.18</v>
      </c>
      <c r="E961" s="1" t="str">
        <f ca="1">IFERROR(__xludf.DUMMYFUNCTION("""COMPUTED_VALUE"""),"-")</f>
        <v>-</v>
      </c>
      <c r="F961" s="1" t="str">
        <f ca="1">IFERROR(__xludf.DUMMYFUNCTION("""COMPUTED_VALUE"""),"Mercado Livre")</f>
        <v>Mercado Livre</v>
      </c>
      <c r="G961" s="1" t="str">
        <f ca="1">IFERROR(__xludf.DUMMYFUNCTION("""COMPUTED_VALUE"""),"Compras")</f>
        <v>Compras</v>
      </c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6">
        <f ca="1">IFERROR(__xludf.DUMMYFUNCTION("""COMPUTED_VALUE"""),45962)</f>
        <v>45962</v>
      </c>
      <c r="B962" s="1" t="str">
        <f ca="1">IFERROR(__xludf.DUMMYFUNCTION("""COMPUTED_VALUE"""),"-")</f>
        <v>-</v>
      </c>
      <c r="C962" s="1" t="str">
        <f ca="1">IFERROR(__xludf.DUMMYFUNCTION("""COMPUTED_VALUE"""),"My Hair Escovaria Band")</f>
        <v>My Hair Escovaria Band</v>
      </c>
      <c r="D962" s="2">
        <f ca="1">IFERROR(__xludf.DUMMYFUNCTION("""COMPUTED_VALUE"""),73)</f>
        <v>73</v>
      </c>
      <c r="E962" s="1" t="str">
        <f ca="1">IFERROR(__xludf.DUMMYFUNCTION("""COMPUTED_VALUE"""),"-")</f>
        <v>-</v>
      </c>
      <c r="F962" s="1" t="str">
        <f ca="1">IFERROR(__xludf.DUMMYFUNCTION("""COMPUTED_VALUE"""),"My Hair Escovaria Band")</f>
        <v>My Hair Escovaria Band</v>
      </c>
      <c r="G962" s="1" t="str">
        <f ca="1">IFERROR(__xludf.DUMMYFUNCTION("""COMPUTED_VALUE"""),"-")</f>
        <v>-</v>
      </c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6">
        <f ca="1">IFERROR(__xludf.DUMMYFUNCTION("""COMPUTED_VALUE"""),45962)</f>
        <v>45962</v>
      </c>
      <c r="B963" s="1" t="str">
        <f ca="1">IFERROR(__xludf.DUMMYFUNCTION("""COMPUTED_VALUE"""),"-")</f>
        <v>-</v>
      </c>
      <c r="C963" s="1" t="str">
        <f ca="1">IFERROR(__xludf.DUMMYFUNCTION("""COMPUTED_VALUE"""),"Amazon")</f>
        <v>Amazon</v>
      </c>
      <c r="D963" s="2">
        <f ca="1">IFERROR(__xludf.DUMMYFUNCTION("""COMPUTED_VALUE"""),39.9)</f>
        <v>39.9</v>
      </c>
      <c r="E963" s="1" t="str">
        <f ca="1">IFERROR(__xludf.DUMMYFUNCTION("""COMPUTED_VALUE"""),"-")</f>
        <v>-</v>
      </c>
      <c r="F963" s="1" t="str">
        <f ca="1">IFERROR(__xludf.DUMMYFUNCTION("""COMPUTED_VALUE"""),"Amazon")</f>
        <v>Amazon</v>
      </c>
      <c r="G963" s="1" t="str">
        <f ca="1">IFERROR(__xludf.DUMMYFUNCTION("""COMPUTED_VALUE"""),"Compras")</f>
        <v>Compras</v>
      </c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6">
        <f ca="1">IFERROR(__xludf.DUMMYFUNCTION("""COMPUTED_VALUE"""),45962)</f>
        <v>45962</v>
      </c>
      <c r="B964" s="1" t="str">
        <f ca="1">IFERROR(__xludf.DUMMYFUNCTION("""COMPUTED_VALUE"""),"-")</f>
        <v>-</v>
      </c>
      <c r="C964" s="1" t="str">
        <f ca="1">IFERROR(__xludf.DUMMYFUNCTION("""COMPUTED_VALUE"""),"Posto Serena Canada")</f>
        <v>Posto Serena Canada</v>
      </c>
      <c r="D964" s="2">
        <f ca="1">IFERROR(__xludf.DUMMYFUNCTION("""COMPUTED_VALUE"""),158.02)</f>
        <v>158.02000000000001</v>
      </c>
      <c r="E964" s="1" t="str">
        <f ca="1">IFERROR(__xludf.DUMMYFUNCTION("""COMPUTED_VALUE"""),"-")</f>
        <v>-</v>
      </c>
      <c r="F964" s="1" t="str">
        <f ca="1">IFERROR(__xludf.DUMMYFUNCTION("""COMPUTED_VALUE"""),"Posto Serena Canada")</f>
        <v>Posto Serena Canada</v>
      </c>
      <c r="G964" s="1" t="str">
        <f ca="1">IFERROR(__xludf.DUMMYFUNCTION("""COMPUTED_VALUE"""),"-")</f>
        <v>-</v>
      </c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6">
        <f ca="1">IFERROR(__xludf.DUMMYFUNCTION("""COMPUTED_VALUE"""),45962)</f>
        <v>45962</v>
      </c>
      <c r="B965" s="1" t="str">
        <f ca="1">IFERROR(__xludf.DUMMYFUNCTION("""COMPUTED_VALUE"""),"-")</f>
        <v>-</v>
      </c>
      <c r="C965" s="1" t="str">
        <f ca="1">IFERROR(__xludf.DUMMYFUNCTION("""COMPUTED_VALUE"""),"Oakberry")</f>
        <v>Oakberry</v>
      </c>
      <c r="D965" s="2">
        <f ca="1">IFERROR(__xludf.DUMMYFUNCTION("""COMPUTED_VALUE"""),67.98)</f>
        <v>67.98</v>
      </c>
      <c r="E965" s="1" t="str">
        <f ca="1">IFERROR(__xludf.DUMMYFUNCTION("""COMPUTED_VALUE"""),"-")</f>
        <v>-</v>
      </c>
      <c r="F965" s="1" t="str">
        <f ca="1">IFERROR(__xludf.DUMMYFUNCTION("""COMPUTED_VALUE"""),"Oakberry")</f>
        <v>Oakberry</v>
      </c>
      <c r="G965" s="1" t="str">
        <f ca="1">IFERROR(__xludf.DUMMYFUNCTION("""COMPUTED_VALUE"""),"-")</f>
        <v>-</v>
      </c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6">
        <f ca="1">IFERROR(__xludf.DUMMYFUNCTION("""COMPUTED_VALUE"""),45962)</f>
        <v>45962</v>
      </c>
      <c r="B966" s="1" t="str">
        <f ca="1">IFERROR(__xludf.DUMMYFUNCTION("""COMPUTED_VALUE"""),"-")</f>
        <v>-</v>
      </c>
      <c r="C966" s="1" t="str">
        <f ca="1">IFERROR(__xludf.DUMMYFUNCTION("""COMPUTED_VALUE"""),"Farmácia Indiana (2/2)")</f>
        <v>Farmácia Indiana (2/2)</v>
      </c>
      <c r="D966" s="2">
        <f ca="1">IFERROR(__xludf.DUMMYFUNCTION("""COMPUTED_VALUE"""),43.11)</f>
        <v>43.11</v>
      </c>
      <c r="E966" s="1" t="str">
        <f ca="1">IFERROR(__xludf.DUMMYFUNCTION("""COMPUTED_VALUE"""),"-")</f>
        <v>-</v>
      </c>
      <c r="F966" s="1" t="str">
        <f ca="1">IFERROR(__xludf.DUMMYFUNCTION("""COMPUTED_VALUE"""),"Farmácia Indiana")</f>
        <v>Farmácia Indiana</v>
      </c>
      <c r="G966" s="1" t="str">
        <f ca="1">IFERROR(__xludf.DUMMYFUNCTION("""COMPUTED_VALUE"""),"-")</f>
        <v>-</v>
      </c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6">
        <f ca="1">IFERROR(__xludf.DUMMYFUNCTION("""COMPUTED_VALUE"""),45962)</f>
        <v>45962</v>
      </c>
      <c r="B967" s="1" t="str">
        <f ca="1">IFERROR(__xludf.DUMMYFUNCTION("""COMPUTED_VALUE"""),"-")</f>
        <v>-</v>
      </c>
      <c r="C967" s="1" t="str">
        <f ca="1">IFERROR(__xludf.DUMMYFUNCTION("""COMPUTED_VALUE"""),"Farmácia Indiana (1/2)")</f>
        <v>Farmácia Indiana (1/2)</v>
      </c>
      <c r="D967" s="2">
        <f ca="1">IFERROR(__xludf.DUMMYFUNCTION("""COMPUTED_VALUE"""),43.12)</f>
        <v>43.12</v>
      </c>
      <c r="E967" s="1" t="str">
        <f ca="1">IFERROR(__xludf.DUMMYFUNCTION("""COMPUTED_VALUE"""),"-")</f>
        <v>-</v>
      </c>
      <c r="F967" s="1" t="str">
        <f ca="1">IFERROR(__xludf.DUMMYFUNCTION("""COMPUTED_VALUE"""),"Farmácia Indiana")</f>
        <v>Farmácia Indiana</v>
      </c>
      <c r="G967" s="1" t="str">
        <f ca="1">IFERROR(__xludf.DUMMYFUNCTION("""COMPUTED_VALUE"""),"-")</f>
        <v>-</v>
      </c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6">
        <f ca="1">IFERROR(__xludf.DUMMYFUNCTION("""COMPUTED_VALUE"""),45962)</f>
        <v>45962</v>
      </c>
      <c r="B968" s="1" t="str">
        <f ca="1">IFERROR(__xludf.DUMMYFUNCTION("""COMPUTED_VALUE"""),"-")</f>
        <v>-</v>
      </c>
      <c r="C968" s="1" t="str">
        <f ca="1">IFERROR(__xludf.DUMMYFUNCTION("""COMPUTED_VALUE"""),"Shopee")</f>
        <v>Shopee</v>
      </c>
      <c r="D968" s="2">
        <f ca="1">IFERROR(__xludf.DUMMYFUNCTION("""COMPUTED_VALUE"""),43.5)</f>
        <v>43.5</v>
      </c>
      <c r="E968" s="1" t="str">
        <f ca="1">IFERROR(__xludf.DUMMYFUNCTION("""COMPUTED_VALUE"""),"-")</f>
        <v>-</v>
      </c>
      <c r="F968" s="1" t="str">
        <f ca="1">IFERROR(__xludf.DUMMYFUNCTION("""COMPUTED_VALUE"""),"Shopee")</f>
        <v>Shopee</v>
      </c>
      <c r="G968" s="1" t="str">
        <f ca="1">IFERROR(__xludf.DUMMYFUNCTION("""COMPUTED_VALUE"""),"Compras")</f>
        <v>Compras</v>
      </c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6">
        <f ca="1">IFERROR(__xludf.DUMMYFUNCTION("""COMPUTED_VALUE"""),45962)</f>
        <v>45962</v>
      </c>
      <c r="B969" s="1" t="str">
        <f ca="1">IFERROR(__xludf.DUMMYFUNCTION("""COMPUTED_VALUE"""),"-")</f>
        <v>-</v>
      </c>
      <c r="C969" s="1" t="str">
        <f ca="1">IFERROR(__xludf.DUMMYFUNCTION("""COMPUTED_VALUE"""),"Panif Mendes Sion")</f>
        <v>Panif Mendes Sion</v>
      </c>
      <c r="D969" s="2">
        <f ca="1">IFERROR(__xludf.DUMMYFUNCTION("""COMPUTED_VALUE"""),2.85)</f>
        <v>2.85</v>
      </c>
      <c r="E969" s="1" t="str">
        <f ca="1">IFERROR(__xludf.DUMMYFUNCTION("""COMPUTED_VALUE"""),"-")</f>
        <v>-</v>
      </c>
      <c r="F969" s="1" t="str">
        <f ca="1">IFERROR(__xludf.DUMMYFUNCTION("""COMPUTED_VALUE"""),"Panif Mendes Sion")</f>
        <v>Panif Mendes Sion</v>
      </c>
      <c r="G969" s="1" t="str">
        <f ca="1">IFERROR(__xludf.DUMMYFUNCTION("""COMPUTED_VALUE"""),"Comida")</f>
        <v>Comida</v>
      </c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6">
        <f ca="1">IFERROR(__xludf.DUMMYFUNCTION("""COMPUTED_VALUE"""),45962)</f>
        <v>45962</v>
      </c>
      <c r="B970" s="1" t="str">
        <f ca="1">IFERROR(__xludf.DUMMYFUNCTION("""COMPUTED_VALUE"""),"-")</f>
        <v>-</v>
      </c>
      <c r="C970" s="1" t="str">
        <f ca="1">IFERROR(__xludf.DUMMYFUNCTION("""COMPUTED_VALUE"""),"Dma Distribuidora Sa")</f>
        <v>Dma Distribuidora Sa</v>
      </c>
      <c r="D970" s="2">
        <f ca="1">IFERROR(__xludf.DUMMYFUNCTION("""COMPUTED_VALUE"""),24.78)</f>
        <v>24.78</v>
      </c>
      <c r="E970" s="1" t="str">
        <f ca="1">IFERROR(__xludf.DUMMYFUNCTION("""COMPUTED_VALUE"""),"-")</f>
        <v>-</v>
      </c>
      <c r="F970" s="1" t="str">
        <f ca="1">IFERROR(__xludf.DUMMYFUNCTION("""COMPUTED_VALUE"""),"Dma Distribuidora Sa")</f>
        <v>Dma Distribuidora Sa</v>
      </c>
      <c r="G970" s="1" t="str">
        <f ca="1">IFERROR(__xludf.DUMMYFUNCTION("""COMPUTED_VALUE"""),"Supermercado")</f>
        <v>Supermercado</v>
      </c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6">
        <f ca="1">IFERROR(__xludf.DUMMYFUNCTION("""COMPUTED_VALUE"""),45962)</f>
        <v>45962</v>
      </c>
      <c r="B971" s="1" t="str">
        <f ca="1">IFERROR(__xludf.DUMMYFUNCTION("""COMPUTED_VALUE"""),"-")</f>
        <v>-</v>
      </c>
      <c r="C971" s="1" t="str">
        <f ca="1">IFERROR(__xludf.DUMMYFUNCTION("""COMPUTED_VALUE"""),"Drogaria Ara Araujo")</f>
        <v>Drogaria Ara Araujo</v>
      </c>
      <c r="D971" s="2">
        <f ca="1">IFERROR(__xludf.DUMMYFUNCTION("""COMPUTED_VALUE"""),18.99)</f>
        <v>18.989999999999998</v>
      </c>
      <c r="E971" s="1" t="str">
        <f ca="1">IFERROR(__xludf.DUMMYFUNCTION("""COMPUTED_VALUE"""),"-")</f>
        <v>-</v>
      </c>
      <c r="F971" s="1" t="str">
        <f ca="1">IFERROR(__xludf.DUMMYFUNCTION("""COMPUTED_VALUE"""),"Drogaria Ara Araujo")</f>
        <v>Drogaria Ara Araujo</v>
      </c>
      <c r="G971" s="1" t="str">
        <f ca="1">IFERROR(__xludf.DUMMYFUNCTION("""COMPUTED_VALUE"""),"Farmácia")</f>
        <v>Farmácia</v>
      </c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6">
        <f ca="1">IFERROR(__xludf.DUMMYFUNCTION("""COMPUTED_VALUE"""),45962)</f>
        <v>45962</v>
      </c>
      <c r="B972" s="1" t="str">
        <f ca="1">IFERROR(__xludf.DUMMYFUNCTION("""COMPUTED_VALUE"""),"-")</f>
        <v>-</v>
      </c>
      <c r="C972" s="1" t="str">
        <f ca="1">IFERROR(__xludf.DUMMYFUNCTION("""COMPUTED_VALUE"""),"Amazon Digital Br")</f>
        <v>Amazon Digital Br</v>
      </c>
      <c r="D972" s="2">
        <f ca="1">IFERROR(__xludf.DUMMYFUNCTION("""COMPUTED_VALUE"""),34.9)</f>
        <v>34.9</v>
      </c>
      <c r="E972" s="1" t="str">
        <f ca="1">IFERROR(__xludf.DUMMYFUNCTION("""COMPUTED_VALUE"""),"-")</f>
        <v>-</v>
      </c>
      <c r="F972" s="1" t="str">
        <f ca="1">IFERROR(__xludf.DUMMYFUNCTION("""COMPUTED_VALUE"""),"Amazon Digital Br")</f>
        <v>Amazon Digital Br</v>
      </c>
      <c r="G972" s="1" t="str">
        <f ca="1">IFERROR(__xludf.DUMMYFUNCTION("""COMPUTED_VALUE"""),"Compras")</f>
        <v>Compras</v>
      </c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6">
        <f ca="1">IFERROR(__xludf.DUMMYFUNCTION("""COMPUTED_VALUE"""),45962)</f>
        <v>45962</v>
      </c>
      <c r="B973" s="1" t="str">
        <f ca="1">IFERROR(__xludf.DUMMYFUNCTION("""COMPUTED_VALUE"""),"-")</f>
        <v>-</v>
      </c>
      <c r="C973" s="1" t="str">
        <f ca="1">IFERROR(__xludf.DUMMYFUNCTION("""COMPUTED_VALUE"""),"Amazon")</f>
        <v>Amazon</v>
      </c>
      <c r="D973" s="2">
        <f ca="1">IFERROR(__xludf.DUMMYFUNCTION("""COMPUTED_VALUE"""),49.77)</f>
        <v>49.77</v>
      </c>
      <c r="E973" s="1" t="str">
        <f ca="1">IFERROR(__xludf.DUMMYFUNCTION("""COMPUTED_VALUE"""),"-")</f>
        <v>-</v>
      </c>
      <c r="F973" s="1" t="str">
        <f ca="1">IFERROR(__xludf.DUMMYFUNCTION("""COMPUTED_VALUE"""),"Amazon")</f>
        <v>Amazon</v>
      </c>
      <c r="G973" s="1" t="str">
        <f ca="1">IFERROR(__xludf.DUMMYFUNCTION("""COMPUTED_VALUE"""),"Compras")</f>
        <v>Compras</v>
      </c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6">
        <f ca="1">IFERROR(__xludf.DUMMYFUNCTION("""COMPUTED_VALUE"""),45962)</f>
        <v>45962</v>
      </c>
      <c r="B974" s="1" t="str">
        <f ca="1">IFERROR(__xludf.DUMMYFUNCTION("""COMPUTED_VALUE"""),"-")</f>
        <v>-</v>
      </c>
      <c r="C974" s="1" t="str">
        <f ca="1">IFERROR(__xludf.DUMMYFUNCTION("""COMPUTED_VALUE"""),"Super Nosso")</f>
        <v>Super Nosso</v>
      </c>
      <c r="D974" s="2">
        <f ca="1">IFERROR(__xludf.DUMMYFUNCTION("""COMPUTED_VALUE"""),157.61)</f>
        <v>157.61000000000001</v>
      </c>
      <c r="E974" s="1" t="str">
        <f ca="1">IFERROR(__xludf.DUMMYFUNCTION("""COMPUTED_VALUE"""),"-")</f>
        <v>-</v>
      </c>
      <c r="F974" s="1" t="str">
        <f ca="1">IFERROR(__xludf.DUMMYFUNCTION("""COMPUTED_VALUE"""),"Super Nosso")</f>
        <v>Super Nosso</v>
      </c>
      <c r="G974" s="1" t="str">
        <f ca="1">IFERROR(__xludf.DUMMYFUNCTION("""COMPUTED_VALUE"""),"Supermercado")</f>
        <v>Supermercado</v>
      </c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6">
        <f ca="1">IFERROR(__xludf.DUMMYFUNCTION("""COMPUTED_VALUE"""),45962)</f>
        <v>45962</v>
      </c>
      <c r="B975" s="1" t="str">
        <f ca="1">IFERROR(__xludf.DUMMYFUNCTION("""COMPUTED_VALUE"""),"-")</f>
        <v>-</v>
      </c>
      <c r="C975" s="1" t="str">
        <f ca="1">IFERROR(__xludf.DUMMYFUNCTION("""COMPUTED_VALUE"""),"Petz")</f>
        <v>Petz</v>
      </c>
      <c r="D975" s="2">
        <f ca="1">IFERROR(__xludf.DUMMYFUNCTION("""COMPUTED_VALUE"""),27.98)</f>
        <v>27.98</v>
      </c>
      <c r="E975" s="1" t="str">
        <f ca="1">IFERROR(__xludf.DUMMYFUNCTION("""COMPUTED_VALUE"""),"-")</f>
        <v>-</v>
      </c>
      <c r="F975" s="1" t="str">
        <f ca="1">IFERROR(__xludf.DUMMYFUNCTION("""COMPUTED_VALUE"""),"Petz")</f>
        <v>Petz</v>
      </c>
      <c r="G975" s="1" t="str">
        <f ca="1">IFERROR(__xludf.DUMMYFUNCTION("""COMPUTED_VALUE"""),"-")</f>
        <v>-</v>
      </c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6">
        <f ca="1">IFERROR(__xludf.DUMMYFUNCTION("""COMPUTED_VALUE"""),45962)</f>
        <v>45962</v>
      </c>
      <c r="B976" s="1" t="str">
        <f ca="1">IFERROR(__xludf.DUMMYFUNCTION("""COMPUTED_VALUE"""),"-")</f>
        <v>-</v>
      </c>
      <c r="C976" s="1" t="str">
        <f ca="1">IFERROR(__xludf.DUMMYFUNCTION("""COMPUTED_VALUE"""),"Uber")</f>
        <v>Uber</v>
      </c>
      <c r="D976" s="2">
        <f ca="1">IFERROR(__xludf.DUMMYFUNCTION("""COMPUTED_VALUE"""),10.73)</f>
        <v>10.73</v>
      </c>
      <c r="E976" s="1" t="str">
        <f ca="1">IFERROR(__xludf.DUMMYFUNCTION("""COMPUTED_VALUE"""),"-")</f>
        <v>-</v>
      </c>
      <c r="F976" s="1" t="str">
        <f ca="1">IFERROR(__xludf.DUMMYFUNCTION("""COMPUTED_VALUE"""),"Uber")</f>
        <v>Uber</v>
      </c>
      <c r="G976" s="1" t="str">
        <f ca="1">IFERROR(__xludf.DUMMYFUNCTION("""COMPUTED_VALUE"""),"Uber/99")</f>
        <v>Uber/99</v>
      </c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6">
        <f ca="1">IFERROR(__xludf.DUMMYFUNCTION("""COMPUTED_VALUE"""),45962)</f>
        <v>45962</v>
      </c>
      <c r="B977" s="1" t="str">
        <f ca="1">IFERROR(__xludf.DUMMYFUNCTION("""COMPUTED_VALUE"""),"-")</f>
        <v>-</v>
      </c>
      <c r="C977" s="1" t="str">
        <f ca="1">IFERROR(__xludf.DUMMYFUNCTION("""COMPUTED_VALUE"""),"Drogaria Araujo")</f>
        <v>Drogaria Araujo</v>
      </c>
      <c r="D977" s="2">
        <f ca="1">IFERROR(__xludf.DUMMYFUNCTION("""COMPUTED_VALUE"""),4.98)</f>
        <v>4.9800000000000004</v>
      </c>
      <c r="E977" s="1" t="str">
        <f ca="1">IFERROR(__xludf.DUMMYFUNCTION("""COMPUTED_VALUE"""),"-")</f>
        <v>-</v>
      </c>
      <c r="F977" s="1" t="str">
        <f ca="1">IFERROR(__xludf.DUMMYFUNCTION("""COMPUTED_VALUE"""),"Drogaria Araujo")</f>
        <v>Drogaria Araujo</v>
      </c>
      <c r="G977" s="1" t="str">
        <f ca="1">IFERROR(__xludf.DUMMYFUNCTION("""COMPUTED_VALUE"""),"Farmácia")</f>
        <v>Farmácia</v>
      </c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6">
        <f ca="1">IFERROR(__xludf.DUMMYFUNCTION("""COMPUTED_VALUE"""),45962)</f>
        <v>45962</v>
      </c>
      <c r="B978" s="1" t="str">
        <f ca="1">IFERROR(__xludf.DUMMYFUNCTION("""COMPUTED_VALUE"""),"-")</f>
        <v>-</v>
      </c>
      <c r="C978" s="1" t="str">
        <f ca="1">IFERROR(__xludf.DUMMYFUNCTION("""COMPUTED_VALUE"""),"Panif Mendes Sion")</f>
        <v>Panif Mendes Sion</v>
      </c>
      <c r="D978" s="2">
        <f ca="1">IFERROR(__xludf.DUMMYFUNCTION("""COMPUTED_VALUE"""),4.41)</f>
        <v>4.41</v>
      </c>
      <c r="E978" s="1" t="str">
        <f ca="1">IFERROR(__xludf.DUMMYFUNCTION("""COMPUTED_VALUE"""),"-")</f>
        <v>-</v>
      </c>
      <c r="F978" s="1" t="str">
        <f ca="1">IFERROR(__xludf.DUMMYFUNCTION("""COMPUTED_VALUE"""),"Panif Mendes Sion")</f>
        <v>Panif Mendes Sion</v>
      </c>
      <c r="G978" s="1" t="str">
        <f ca="1">IFERROR(__xludf.DUMMYFUNCTION("""COMPUTED_VALUE"""),"Comida")</f>
        <v>Comida</v>
      </c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6">
        <f ca="1">IFERROR(__xludf.DUMMYFUNCTION("""COMPUTED_VALUE"""),45962)</f>
        <v>45962</v>
      </c>
      <c r="B979" s="1" t="str">
        <f ca="1">IFERROR(__xludf.DUMMYFUNCTION("""COMPUTED_VALUE"""),"-")</f>
        <v>-</v>
      </c>
      <c r="C979" s="1" t="str">
        <f ca="1">IFERROR(__xludf.DUMMYFUNCTION("""COMPUTED_VALUE"""),"Uber")</f>
        <v>Uber</v>
      </c>
      <c r="D979" s="2">
        <f ca="1">IFERROR(__xludf.DUMMYFUNCTION("""COMPUTED_VALUE"""),13.98)</f>
        <v>13.98</v>
      </c>
      <c r="E979" s="1" t="str">
        <f ca="1">IFERROR(__xludf.DUMMYFUNCTION("""COMPUTED_VALUE"""),"-")</f>
        <v>-</v>
      </c>
      <c r="F979" s="1" t="str">
        <f ca="1">IFERROR(__xludf.DUMMYFUNCTION("""COMPUTED_VALUE"""),"Uber")</f>
        <v>Uber</v>
      </c>
      <c r="G979" s="1" t="str">
        <f ca="1">IFERROR(__xludf.DUMMYFUNCTION("""COMPUTED_VALUE"""),"Uber/99")</f>
        <v>Uber/99</v>
      </c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6">
        <f ca="1">IFERROR(__xludf.DUMMYFUNCTION("""COMPUTED_VALUE"""),45962)</f>
        <v>45962</v>
      </c>
      <c r="B980" s="1" t="str">
        <f ca="1">IFERROR(__xludf.DUMMYFUNCTION("""COMPUTED_VALUE"""),"-")</f>
        <v>-</v>
      </c>
      <c r="C980" s="1" t="str">
        <f ca="1">IFERROR(__xludf.DUMMYFUNCTION("""COMPUTED_VALUE"""),"Super Nosso")</f>
        <v>Super Nosso</v>
      </c>
      <c r="D980" s="2">
        <f ca="1">IFERROR(__xludf.DUMMYFUNCTION("""COMPUTED_VALUE"""),8.85)</f>
        <v>8.85</v>
      </c>
      <c r="E980" s="1" t="str">
        <f ca="1">IFERROR(__xludf.DUMMYFUNCTION("""COMPUTED_VALUE"""),"-")</f>
        <v>-</v>
      </c>
      <c r="F980" s="1" t="str">
        <f ca="1">IFERROR(__xludf.DUMMYFUNCTION("""COMPUTED_VALUE"""),"Super Nosso")</f>
        <v>Super Nosso</v>
      </c>
      <c r="G980" s="1" t="str">
        <f ca="1">IFERROR(__xludf.DUMMYFUNCTION("""COMPUTED_VALUE"""),"Supermercado")</f>
        <v>Supermercado</v>
      </c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6">
        <f ca="1">IFERROR(__xludf.DUMMYFUNCTION("""COMPUTED_VALUE"""),45962)</f>
        <v>45962</v>
      </c>
      <c r="B981" s="1" t="str">
        <f ca="1">IFERROR(__xludf.DUMMYFUNCTION("""COMPUTED_VALUE"""),"-")</f>
        <v>-</v>
      </c>
      <c r="C981" s="1" t="str">
        <f ca="1">IFERROR(__xludf.DUMMYFUNCTION("""COMPUTED_VALUE"""),"Uber")</f>
        <v>Uber</v>
      </c>
      <c r="D981" s="2">
        <f ca="1">IFERROR(__xludf.DUMMYFUNCTION("""COMPUTED_VALUE"""),14.91)</f>
        <v>14.91</v>
      </c>
      <c r="E981" s="1" t="str">
        <f ca="1">IFERROR(__xludf.DUMMYFUNCTION("""COMPUTED_VALUE"""),"-")</f>
        <v>-</v>
      </c>
      <c r="F981" s="1" t="str">
        <f ca="1">IFERROR(__xludf.DUMMYFUNCTION("""COMPUTED_VALUE"""),"Uber")</f>
        <v>Uber</v>
      </c>
      <c r="G981" s="1" t="str">
        <f ca="1">IFERROR(__xludf.DUMMYFUNCTION("""COMPUTED_VALUE"""),"Uber/99")</f>
        <v>Uber/99</v>
      </c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6">
        <f ca="1">IFERROR(__xludf.DUMMYFUNCTION("""COMPUTED_VALUE"""),45962)</f>
        <v>45962</v>
      </c>
      <c r="B982" s="1" t="str">
        <f ca="1">IFERROR(__xludf.DUMMYFUNCTION("""COMPUTED_VALUE"""),"-")</f>
        <v>-</v>
      </c>
      <c r="C982" s="1" t="str">
        <f ca="1">IFERROR(__xludf.DUMMYFUNCTION("""COMPUTED_VALUE"""),"Amazon")</f>
        <v>Amazon</v>
      </c>
      <c r="D982" s="2">
        <f ca="1">IFERROR(__xludf.DUMMYFUNCTION("""COMPUTED_VALUE"""),58.9)</f>
        <v>58.9</v>
      </c>
      <c r="E982" s="1" t="str">
        <f ca="1">IFERROR(__xludf.DUMMYFUNCTION("""COMPUTED_VALUE"""),"-")</f>
        <v>-</v>
      </c>
      <c r="F982" s="1" t="str">
        <f ca="1">IFERROR(__xludf.DUMMYFUNCTION("""COMPUTED_VALUE"""),"Amazon")</f>
        <v>Amazon</v>
      </c>
      <c r="G982" s="1" t="str">
        <f ca="1">IFERROR(__xludf.DUMMYFUNCTION("""COMPUTED_VALUE"""),"Compras")</f>
        <v>Compras</v>
      </c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6">
        <f ca="1">IFERROR(__xludf.DUMMYFUNCTION("""COMPUTED_VALUE"""),45962)</f>
        <v>45962</v>
      </c>
      <c r="B983" s="1" t="str">
        <f ca="1">IFERROR(__xludf.DUMMYFUNCTION("""COMPUTED_VALUE"""),"-")</f>
        <v>-</v>
      </c>
      <c r="C983" s="1" t="str">
        <f ca="1">IFERROR(__xludf.DUMMYFUNCTION("""COMPUTED_VALUE"""),"Drogaria Araujo")</f>
        <v>Drogaria Araujo</v>
      </c>
      <c r="D983" s="2">
        <f ca="1">IFERROR(__xludf.DUMMYFUNCTION("""COMPUTED_VALUE"""),8.98)</f>
        <v>8.98</v>
      </c>
      <c r="E983" s="1" t="str">
        <f ca="1">IFERROR(__xludf.DUMMYFUNCTION("""COMPUTED_VALUE"""),"-")</f>
        <v>-</v>
      </c>
      <c r="F983" s="1" t="str">
        <f ca="1">IFERROR(__xludf.DUMMYFUNCTION("""COMPUTED_VALUE"""),"Drogaria Araujo")</f>
        <v>Drogaria Araujo</v>
      </c>
      <c r="G983" s="1" t="str">
        <f ca="1">IFERROR(__xludf.DUMMYFUNCTION("""COMPUTED_VALUE"""),"Farmácia")</f>
        <v>Farmácia</v>
      </c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6">
        <f ca="1">IFERROR(__xludf.DUMMYFUNCTION("""COMPUTED_VALUE"""),45962)</f>
        <v>45962</v>
      </c>
      <c r="B984" s="1" t="str">
        <f ca="1">IFERROR(__xludf.DUMMYFUNCTION("""COMPUTED_VALUE"""),"-")</f>
        <v>-</v>
      </c>
      <c r="C984" s="1" t="str">
        <f ca="1">IFERROR(__xludf.DUMMYFUNCTION("""COMPUTED_VALUE"""),"Supermercado &amp; Padaria")</f>
        <v>Supermercado &amp; Padaria</v>
      </c>
      <c r="D984" s="2">
        <f ca="1">IFERROR(__xludf.DUMMYFUNCTION("""COMPUTED_VALUE"""),74.92)</f>
        <v>74.92</v>
      </c>
      <c r="E984" s="1" t="str">
        <f ca="1">IFERROR(__xludf.DUMMYFUNCTION("""COMPUTED_VALUE"""),"-")</f>
        <v>-</v>
      </c>
      <c r="F984" s="1" t="str">
        <f ca="1">IFERROR(__xludf.DUMMYFUNCTION("""COMPUTED_VALUE"""),"Supermercado &amp; Padaria")</f>
        <v>Supermercado &amp; Padaria</v>
      </c>
      <c r="G984" s="1" t="str">
        <f ca="1">IFERROR(__xludf.DUMMYFUNCTION("""COMPUTED_VALUE"""),"Comida")</f>
        <v>Comida</v>
      </c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6">
        <f ca="1">IFERROR(__xludf.DUMMYFUNCTION("""COMPUTED_VALUE"""),45962)</f>
        <v>45962</v>
      </c>
      <c r="B985" s="1" t="str">
        <f ca="1">IFERROR(__xludf.DUMMYFUNCTION("""COMPUTED_VALUE"""),"-")</f>
        <v>-</v>
      </c>
      <c r="C985" s="1" t="str">
        <f ca="1">IFERROR(__xludf.DUMMYFUNCTION("""COMPUTED_VALUE"""),"Amazon")</f>
        <v>Amazon</v>
      </c>
      <c r="D985" s="2">
        <f ca="1">IFERROR(__xludf.DUMMYFUNCTION("""COMPUTED_VALUE"""),31.78)</f>
        <v>31.78</v>
      </c>
      <c r="E985" s="1" t="str">
        <f ca="1">IFERROR(__xludf.DUMMYFUNCTION("""COMPUTED_VALUE"""),"-")</f>
        <v>-</v>
      </c>
      <c r="F985" s="1" t="str">
        <f ca="1">IFERROR(__xludf.DUMMYFUNCTION("""COMPUTED_VALUE"""),"Amazon")</f>
        <v>Amazon</v>
      </c>
      <c r="G985" s="1" t="str">
        <f ca="1">IFERROR(__xludf.DUMMYFUNCTION("""COMPUTED_VALUE"""),"Compras")</f>
        <v>Compras</v>
      </c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6">
        <f ca="1">IFERROR(__xludf.DUMMYFUNCTION("""COMPUTED_VALUE"""),45962)</f>
        <v>45962</v>
      </c>
      <c r="B986" s="1" t="str">
        <f ca="1">IFERROR(__xludf.DUMMYFUNCTION("""COMPUTED_VALUE"""),"-")</f>
        <v>-</v>
      </c>
      <c r="C986" s="1" t="str">
        <f ca="1">IFERROR(__xludf.DUMMYFUNCTION("""COMPUTED_VALUE"""),"Petlove (3/3)")</f>
        <v>Petlove (3/3)</v>
      </c>
      <c r="D986" s="2">
        <f ca="1">IFERROR(__xludf.DUMMYFUNCTION("""COMPUTED_VALUE"""),90.12)</f>
        <v>90.12</v>
      </c>
      <c r="E986" s="1" t="str">
        <f ca="1">IFERROR(__xludf.DUMMYFUNCTION("""COMPUTED_VALUE"""),"-")</f>
        <v>-</v>
      </c>
      <c r="F986" s="1" t="str">
        <f ca="1">IFERROR(__xludf.DUMMYFUNCTION("""COMPUTED_VALUE"""),"Petlove")</f>
        <v>Petlove</v>
      </c>
      <c r="G986" s="1" t="str">
        <f ca="1">IFERROR(__xludf.DUMMYFUNCTION("""COMPUTED_VALUE"""),"Hulk")</f>
        <v>Hulk</v>
      </c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6">
        <f ca="1">IFERROR(__xludf.DUMMYFUNCTION("""COMPUTED_VALUE"""),45962)</f>
        <v>45962</v>
      </c>
      <c r="B987" s="1" t="str">
        <f ca="1">IFERROR(__xludf.DUMMYFUNCTION("""COMPUTED_VALUE"""),"-")</f>
        <v>-</v>
      </c>
      <c r="C987" s="1" t="str">
        <f ca="1">IFERROR(__xludf.DUMMYFUNCTION("""COMPUTED_VALUE"""),"Petlove (2/3)")</f>
        <v>Petlove (2/3)</v>
      </c>
      <c r="D987" s="2">
        <f ca="1">IFERROR(__xludf.DUMMYFUNCTION("""COMPUTED_VALUE"""),90.12)</f>
        <v>90.12</v>
      </c>
      <c r="E987" s="1" t="str">
        <f ca="1">IFERROR(__xludf.DUMMYFUNCTION("""COMPUTED_VALUE"""),"-")</f>
        <v>-</v>
      </c>
      <c r="F987" s="1" t="str">
        <f ca="1">IFERROR(__xludf.DUMMYFUNCTION("""COMPUTED_VALUE"""),"Petlove")</f>
        <v>Petlove</v>
      </c>
      <c r="G987" s="1" t="str">
        <f ca="1">IFERROR(__xludf.DUMMYFUNCTION("""COMPUTED_VALUE"""),"Hulk")</f>
        <v>Hulk</v>
      </c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6">
        <f ca="1">IFERROR(__xludf.DUMMYFUNCTION("""COMPUTED_VALUE"""),45962)</f>
        <v>45962</v>
      </c>
      <c r="B988" s="1" t="str">
        <f ca="1">IFERROR(__xludf.DUMMYFUNCTION("""COMPUTED_VALUE"""),"-")</f>
        <v>-</v>
      </c>
      <c r="C988" s="1" t="str">
        <f ca="1">IFERROR(__xludf.DUMMYFUNCTION("""COMPUTED_VALUE"""),"Petlove (1/3)")</f>
        <v>Petlove (1/3)</v>
      </c>
      <c r="D988" s="2">
        <f ca="1">IFERROR(__xludf.DUMMYFUNCTION("""COMPUTED_VALUE"""),90.13)</f>
        <v>90.13</v>
      </c>
      <c r="E988" s="1" t="str">
        <f ca="1">IFERROR(__xludf.DUMMYFUNCTION("""COMPUTED_VALUE"""),"-")</f>
        <v>-</v>
      </c>
      <c r="F988" s="1" t="str">
        <f ca="1">IFERROR(__xludf.DUMMYFUNCTION("""COMPUTED_VALUE"""),"Petlove")</f>
        <v>Petlove</v>
      </c>
      <c r="G988" s="1" t="str">
        <f ca="1">IFERROR(__xludf.DUMMYFUNCTION("""COMPUTED_VALUE"""),"Hulk")</f>
        <v>Hulk</v>
      </c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6">
        <f ca="1">IFERROR(__xludf.DUMMYFUNCTION("""COMPUTED_VALUE"""),45962)</f>
        <v>45962</v>
      </c>
      <c r="B989" s="1" t="str">
        <f ca="1">IFERROR(__xludf.DUMMYFUNCTION("""COMPUTED_VALUE"""),"-")</f>
        <v>-</v>
      </c>
      <c r="C989" s="1" t="str">
        <f ca="1">IFERROR(__xludf.DUMMYFUNCTION("""COMPUTED_VALUE"""),"Uber")</f>
        <v>Uber</v>
      </c>
      <c r="D989" s="2">
        <f ca="1">IFERROR(__xludf.DUMMYFUNCTION("""COMPUTED_VALUE"""),12.99)</f>
        <v>12.99</v>
      </c>
      <c r="E989" s="1" t="str">
        <f ca="1">IFERROR(__xludf.DUMMYFUNCTION("""COMPUTED_VALUE"""),"-")</f>
        <v>-</v>
      </c>
      <c r="F989" s="1" t="str">
        <f ca="1">IFERROR(__xludf.DUMMYFUNCTION("""COMPUTED_VALUE"""),"Uber")</f>
        <v>Uber</v>
      </c>
      <c r="G989" s="1" t="str">
        <f ca="1">IFERROR(__xludf.DUMMYFUNCTION("""COMPUTED_VALUE"""),"Uber/99")</f>
        <v>Uber/99</v>
      </c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6">
        <f ca="1">IFERROR(__xludf.DUMMYFUNCTION("""COMPUTED_VALUE"""),45962)</f>
        <v>45962</v>
      </c>
      <c r="B990" s="1" t="str">
        <f ca="1">IFERROR(__xludf.DUMMYFUNCTION("""COMPUTED_VALUE"""),"-")</f>
        <v>-</v>
      </c>
      <c r="C990" s="1" t="str">
        <f ca="1">IFERROR(__xludf.DUMMYFUNCTION("""COMPUTED_VALUE"""),"Farmácias Pa 324 (5/5)")</f>
        <v>Farmácias Pa 324 (5/5)</v>
      </c>
      <c r="D990" s="2">
        <f ca="1">IFERROR(__xludf.DUMMYFUNCTION("""COMPUTED_VALUE"""),45.8)</f>
        <v>45.8</v>
      </c>
      <c r="E990" s="1" t="str">
        <f ca="1">IFERROR(__xludf.DUMMYFUNCTION("""COMPUTED_VALUE"""),"-")</f>
        <v>-</v>
      </c>
      <c r="F990" s="1" t="str">
        <f ca="1">IFERROR(__xludf.DUMMYFUNCTION("""COMPUTED_VALUE"""),"Farmácias Pa 324")</f>
        <v>Farmácias Pa 324</v>
      </c>
      <c r="G990" s="1" t="str">
        <f ca="1">IFERROR(__xludf.DUMMYFUNCTION("""COMPUTED_VALUE"""),"Compras")</f>
        <v>Compras</v>
      </c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6">
        <f ca="1">IFERROR(__xludf.DUMMYFUNCTION("""COMPUTED_VALUE"""),45962)</f>
        <v>45962</v>
      </c>
      <c r="B991" s="1" t="str">
        <f ca="1">IFERROR(__xludf.DUMMYFUNCTION("""COMPUTED_VALUE"""),"-")</f>
        <v>-</v>
      </c>
      <c r="C991" s="1" t="str">
        <f ca="1">IFERROR(__xludf.DUMMYFUNCTION("""COMPUTED_VALUE"""),"Farmácias Pa 324 (4/5)")</f>
        <v>Farmácias Pa 324 (4/5)</v>
      </c>
      <c r="D991" s="2">
        <f ca="1">IFERROR(__xludf.DUMMYFUNCTION("""COMPUTED_VALUE"""),45.8)</f>
        <v>45.8</v>
      </c>
      <c r="E991" s="1" t="str">
        <f ca="1">IFERROR(__xludf.DUMMYFUNCTION("""COMPUTED_VALUE"""),"-")</f>
        <v>-</v>
      </c>
      <c r="F991" s="1" t="str">
        <f ca="1">IFERROR(__xludf.DUMMYFUNCTION("""COMPUTED_VALUE"""),"Farmácias Pa 324")</f>
        <v>Farmácias Pa 324</v>
      </c>
      <c r="G991" s="1" t="str">
        <f ca="1">IFERROR(__xludf.DUMMYFUNCTION("""COMPUTED_VALUE"""),"Compras")</f>
        <v>Compras</v>
      </c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6">
        <f ca="1">IFERROR(__xludf.DUMMYFUNCTION("""COMPUTED_VALUE"""),45962)</f>
        <v>45962</v>
      </c>
      <c r="B992" s="1" t="str">
        <f ca="1">IFERROR(__xludf.DUMMYFUNCTION("""COMPUTED_VALUE"""),"-")</f>
        <v>-</v>
      </c>
      <c r="C992" s="1" t="str">
        <f ca="1">IFERROR(__xludf.DUMMYFUNCTION("""COMPUTED_VALUE"""),"Farmácias Pa 324 (3/5)")</f>
        <v>Farmácias Pa 324 (3/5)</v>
      </c>
      <c r="D992" s="2">
        <f ca="1">IFERROR(__xludf.DUMMYFUNCTION("""COMPUTED_VALUE"""),45.8)</f>
        <v>45.8</v>
      </c>
      <c r="E992" s="1" t="str">
        <f ca="1">IFERROR(__xludf.DUMMYFUNCTION("""COMPUTED_VALUE"""),"-")</f>
        <v>-</v>
      </c>
      <c r="F992" s="1" t="str">
        <f ca="1">IFERROR(__xludf.DUMMYFUNCTION("""COMPUTED_VALUE"""),"Farmácias Pa 324")</f>
        <v>Farmácias Pa 324</v>
      </c>
      <c r="G992" s="1" t="str">
        <f ca="1">IFERROR(__xludf.DUMMYFUNCTION("""COMPUTED_VALUE"""),"Compras")</f>
        <v>Compras</v>
      </c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6">
        <f ca="1">IFERROR(__xludf.DUMMYFUNCTION("""COMPUTED_VALUE"""),45962)</f>
        <v>45962</v>
      </c>
      <c r="B993" s="1" t="str">
        <f ca="1">IFERROR(__xludf.DUMMYFUNCTION("""COMPUTED_VALUE"""),"-")</f>
        <v>-</v>
      </c>
      <c r="C993" s="1" t="str">
        <f ca="1">IFERROR(__xludf.DUMMYFUNCTION("""COMPUTED_VALUE"""),"Farmácias Pa 324 (2/5)")</f>
        <v>Farmácias Pa 324 (2/5)</v>
      </c>
      <c r="D993" s="2">
        <f ca="1">IFERROR(__xludf.DUMMYFUNCTION("""COMPUTED_VALUE"""),45.8)</f>
        <v>45.8</v>
      </c>
      <c r="E993" s="1" t="str">
        <f ca="1">IFERROR(__xludf.DUMMYFUNCTION("""COMPUTED_VALUE"""),"-")</f>
        <v>-</v>
      </c>
      <c r="F993" s="1" t="str">
        <f ca="1">IFERROR(__xludf.DUMMYFUNCTION("""COMPUTED_VALUE"""),"Farmácias Pa 324")</f>
        <v>Farmácias Pa 324</v>
      </c>
      <c r="G993" s="1" t="str">
        <f ca="1">IFERROR(__xludf.DUMMYFUNCTION("""COMPUTED_VALUE"""),"Compras")</f>
        <v>Compras</v>
      </c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6">
        <f ca="1">IFERROR(__xludf.DUMMYFUNCTION("""COMPUTED_VALUE"""),45962)</f>
        <v>45962</v>
      </c>
      <c r="B994" s="1" t="str">
        <f ca="1">IFERROR(__xludf.DUMMYFUNCTION("""COMPUTED_VALUE"""),"-")</f>
        <v>-</v>
      </c>
      <c r="C994" s="1" t="str">
        <f ca="1">IFERROR(__xludf.DUMMYFUNCTION("""COMPUTED_VALUE"""),"Farmácias Pa 324 (1/5)")</f>
        <v>Farmácias Pa 324 (1/5)</v>
      </c>
      <c r="D994" s="2">
        <f ca="1">IFERROR(__xludf.DUMMYFUNCTION("""COMPUTED_VALUE"""),45.8)</f>
        <v>45.8</v>
      </c>
      <c r="E994" s="1" t="str">
        <f ca="1">IFERROR(__xludf.DUMMYFUNCTION("""COMPUTED_VALUE"""),"-")</f>
        <v>-</v>
      </c>
      <c r="F994" s="1" t="str">
        <f ca="1">IFERROR(__xludf.DUMMYFUNCTION("""COMPUTED_VALUE"""),"Farmácias Pa 324")</f>
        <v>Farmácias Pa 324</v>
      </c>
      <c r="G994" s="1" t="str">
        <f ca="1">IFERROR(__xludf.DUMMYFUNCTION("""COMPUTED_VALUE"""),"Compras")</f>
        <v>Compras</v>
      </c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6">
        <f ca="1">IFERROR(__xludf.DUMMYFUNCTION("""COMPUTED_VALUE"""),45962)</f>
        <v>45962</v>
      </c>
      <c r="B995" s="1" t="str">
        <f ca="1">IFERROR(__xludf.DUMMYFUNCTION("""COMPUTED_VALUE"""),"-")</f>
        <v>-</v>
      </c>
      <c r="C995" s="1" t="str">
        <f ca="1">IFERROR(__xludf.DUMMYFUNCTION("""COMPUTED_VALUE"""),"Uber")</f>
        <v>Uber</v>
      </c>
      <c r="D995" s="2">
        <f ca="1">IFERROR(__xludf.DUMMYFUNCTION("""COMPUTED_VALUE"""),15.94)</f>
        <v>15.94</v>
      </c>
      <c r="E995" s="1" t="str">
        <f ca="1">IFERROR(__xludf.DUMMYFUNCTION("""COMPUTED_VALUE"""),"-")</f>
        <v>-</v>
      </c>
      <c r="F995" s="1" t="str">
        <f ca="1">IFERROR(__xludf.DUMMYFUNCTION("""COMPUTED_VALUE"""),"Uber")</f>
        <v>Uber</v>
      </c>
      <c r="G995" s="1" t="str">
        <f ca="1">IFERROR(__xludf.DUMMYFUNCTION("""COMPUTED_VALUE"""),"Uber/99")</f>
        <v>Uber/99</v>
      </c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6">
        <f ca="1">IFERROR(__xludf.DUMMYFUNCTION("""COMPUTED_VALUE"""),45962)</f>
        <v>45962</v>
      </c>
      <c r="B996" s="1" t="str">
        <f ca="1">IFERROR(__xludf.DUMMYFUNCTION("""COMPUTED_VALUE"""),"-")</f>
        <v>-</v>
      </c>
      <c r="C996" s="1">
        <f ca="1">IFERROR(__xludf.DUMMYFUNCTION("""COMPUTED_VALUE"""),99)</f>
        <v>99</v>
      </c>
      <c r="D996" s="2">
        <f ca="1">IFERROR(__xludf.DUMMYFUNCTION("""COMPUTED_VALUE"""),9.18)</f>
        <v>9.18</v>
      </c>
      <c r="E996" s="1" t="str">
        <f ca="1">IFERROR(__xludf.DUMMYFUNCTION("""COMPUTED_VALUE"""),"-")</f>
        <v>-</v>
      </c>
      <c r="F996" s="1" t="str">
        <f ca="1">IFERROR(__xludf.DUMMYFUNCTION("""COMPUTED_VALUE"""),"99")</f>
        <v>99</v>
      </c>
      <c r="G996" s="1" t="str">
        <f ca="1">IFERROR(__xludf.DUMMYFUNCTION("""COMPUTED_VALUE"""),"Uber/99")</f>
        <v>Uber/99</v>
      </c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6">
        <f ca="1">IFERROR(__xludf.DUMMYFUNCTION("""COMPUTED_VALUE"""),45962)</f>
        <v>45962</v>
      </c>
      <c r="B997" s="1" t="str">
        <f ca="1">IFERROR(__xludf.DUMMYFUNCTION("""COMPUTED_VALUE"""),"-")</f>
        <v>-</v>
      </c>
      <c r="C997" s="1" t="str">
        <f ca="1">IFERROR(__xludf.DUMMYFUNCTION("""COMPUTED_VALUE"""),"Gelateria Mfps Mg2")</f>
        <v>Gelateria Mfps Mg2</v>
      </c>
      <c r="D997" s="2">
        <f ca="1">IFERROR(__xludf.DUMMYFUNCTION("""COMPUTED_VALUE"""),20.5)</f>
        <v>20.5</v>
      </c>
      <c r="E997" s="1" t="str">
        <f ca="1">IFERROR(__xludf.DUMMYFUNCTION("""COMPUTED_VALUE"""),"-")</f>
        <v>-</v>
      </c>
      <c r="F997" s="1" t="str">
        <f ca="1">IFERROR(__xludf.DUMMYFUNCTION("""COMPUTED_VALUE"""),"Gelateria Mfps Mg2")</f>
        <v>Gelateria Mfps Mg2</v>
      </c>
      <c r="G997" s="1" t="str">
        <f ca="1">IFERROR(__xludf.DUMMYFUNCTION("""COMPUTED_VALUE"""),"-")</f>
        <v>-</v>
      </c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6">
        <f ca="1">IFERROR(__xludf.DUMMYFUNCTION("""COMPUTED_VALUE"""),45962)</f>
        <v>45962</v>
      </c>
      <c r="B998" s="1" t="str">
        <f ca="1">IFERROR(__xludf.DUMMYFUNCTION("""COMPUTED_VALUE"""),"-")</f>
        <v>-</v>
      </c>
      <c r="C998" s="1">
        <f ca="1">IFERROR(__xludf.DUMMYFUNCTION("""COMPUTED_VALUE"""),99)</f>
        <v>99</v>
      </c>
      <c r="D998" s="2">
        <f ca="1">IFERROR(__xludf.DUMMYFUNCTION("""COMPUTED_VALUE"""),11.5)</f>
        <v>11.5</v>
      </c>
      <c r="E998" s="1" t="str">
        <f ca="1">IFERROR(__xludf.DUMMYFUNCTION("""COMPUTED_VALUE"""),"-")</f>
        <v>-</v>
      </c>
      <c r="F998" s="1" t="str">
        <f ca="1">IFERROR(__xludf.DUMMYFUNCTION("""COMPUTED_VALUE"""),"99")</f>
        <v>99</v>
      </c>
      <c r="G998" s="1" t="str">
        <f ca="1">IFERROR(__xludf.DUMMYFUNCTION("""COMPUTED_VALUE"""),"Uber/99")</f>
        <v>Uber/99</v>
      </c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6">
        <f ca="1">IFERROR(__xludf.DUMMYFUNCTION("""COMPUTED_VALUE"""),45962)</f>
        <v>45962</v>
      </c>
      <c r="B999" s="1" t="str">
        <f ca="1">IFERROR(__xludf.DUMMYFUNCTION("""COMPUTED_VALUE"""),"-")</f>
        <v>-</v>
      </c>
      <c r="C999" s="1" t="str">
        <f ca="1">IFERROR(__xludf.DUMMYFUNCTION("""COMPUTED_VALUE"""),"Thais Ruas De Araujo")</f>
        <v>Thais Ruas De Araujo</v>
      </c>
      <c r="D999" s="2">
        <f ca="1">IFERROR(__xludf.DUMMYFUNCTION("""COMPUTED_VALUE"""),83)</f>
        <v>83</v>
      </c>
      <c r="E999" s="1" t="str">
        <f ca="1">IFERROR(__xludf.DUMMYFUNCTION("""COMPUTED_VALUE"""),"-")</f>
        <v>-</v>
      </c>
      <c r="F999" s="1" t="str">
        <f ca="1">IFERROR(__xludf.DUMMYFUNCTION("""COMPUTED_VALUE"""),"Thais Ruas De Araujo")</f>
        <v>Thais Ruas De Araujo</v>
      </c>
      <c r="G999" s="1" t="str">
        <f ca="1">IFERROR(__xludf.DUMMYFUNCTION("""COMPUTED_VALUE"""),"-")</f>
        <v>-</v>
      </c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6">
        <f ca="1">IFERROR(__xludf.DUMMYFUNCTION("""COMPUTED_VALUE"""),45962)</f>
        <v>45962</v>
      </c>
      <c r="B1000" s="1" t="str">
        <f ca="1">IFERROR(__xludf.DUMMYFUNCTION("""COMPUTED_VALUE"""),"-")</f>
        <v>-</v>
      </c>
      <c r="C1000" s="1" t="str">
        <f ca="1">IFERROR(__xludf.DUMMYFUNCTION("""COMPUTED_VALUE"""),"Supermercado &amp; Padaria")</f>
        <v>Supermercado &amp; Padaria</v>
      </c>
      <c r="D1000" s="2">
        <f ca="1">IFERROR(__xludf.DUMMYFUNCTION("""COMPUTED_VALUE"""),114.31)</f>
        <v>114.31</v>
      </c>
      <c r="E1000" s="1" t="str">
        <f ca="1">IFERROR(__xludf.DUMMYFUNCTION("""COMPUTED_VALUE"""),"-")</f>
        <v>-</v>
      </c>
      <c r="F1000" s="1" t="str">
        <f ca="1">IFERROR(__xludf.DUMMYFUNCTION("""COMPUTED_VALUE"""),"Supermercado &amp; Padaria")</f>
        <v>Supermercado &amp; Padaria</v>
      </c>
      <c r="G1000" s="1" t="str">
        <f ca="1">IFERROR(__xludf.DUMMYFUNCTION("""COMPUTED_VALUE"""),"Comida")</f>
        <v>Comida</v>
      </c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2">
      <c r="A1001" s="6">
        <f ca="1">IFERROR(__xludf.DUMMYFUNCTION("""COMPUTED_VALUE"""),45962)</f>
        <v>45962</v>
      </c>
      <c r="B1001" s="1" t="str">
        <f ca="1">IFERROR(__xludf.DUMMYFUNCTION("""COMPUTED_VALUE"""),"-")</f>
        <v>-</v>
      </c>
      <c r="C1001" s="1">
        <f ca="1">IFERROR(__xludf.DUMMYFUNCTION("""COMPUTED_VALUE"""),99)</f>
        <v>99</v>
      </c>
      <c r="D1001" s="2">
        <f ca="1">IFERROR(__xludf.DUMMYFUNCTION("""COMPUTED_VALUE"""),14.4)</f>
        <v>14.4</v>
      </c>
      <c r="E1001" s="1" t="str">
        <f ca="1">IFERROR(__xludf.DUMMYFUNCTION("""COMPUTED_VALUE"""),"-")</f>
        <v>-</v>
      </c>
      <c r="F1001" s="1" t="str">
        <f ca="1">IFERROR(__xludf.DUMMYFUNCTION("""COMPUTED_VALUE"""),"99")</f>
        <v>99</v>
      </c>
      <c r="G1001" s="1" t="str">
        <f ca="1">IFERROR(__xludf.DUMMYFUNCTION("""COMPUTED_VALUE"""),"Uber/99")</f>
        <v>Uber/99</v>
      </c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x14ac:dyDescent="0.2">
      <c r="A1002" s="6">
        <f ca="1">IFERROR(__xludf.DUMMYFUNCTION("""COMPUTED_VALUE"""),45962)</f>
        <v>45962</v>
      </c>
      <c r="B1002" s="1" t="str">
        <f ca="1">IFERROR(__xludf.DUMMYFUNCTION("""COMPUTED_VALUE"""),"-")</f>
        <v>-</v>
      </c>
      <c r="C1002" s="1" t="str">
        <f ca="1">IFERROR(__xludf.DUMMYFUNCTION("""COMPUTED_VALUE"""),"Watts Bh")</f>
        <v>Watts Bh</v>
      </c>
      <c r="D1002" s="2">
        <f ca="1">IFERROR(__xludf.DUMMYFUNCTION("""COMPUTED_VALUE"""),649.9)</f>
        <v>649.9</v>
      </c>
      <c r="E1002" s="1" t="str">
        <f ca="1">IFERROR(__xludf.DUMMYFUNCTION("""COMPUTED_VALUE"""),"-")</f>
        <v>-</v>
      </c>
      <c r="F1002" s="1" t="str">
        <f ca="1">IFERROR(__xludf.DUMMYFUNCTION("""COMPUTED_VALUE"""),"Watts Bh")</f>
        <v>Watts Bh</v>
      </c>
      <c r="G1002" s="1" t="str">
        <f ca="1">IFERROR(__xludf.DUMMYFUNCTION("""COMPUTED_VALUE"""),"-")</f>
        <v>-</v>
      </c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x14ac:dyDescent="0.2">
      <c r="A1003" s="6">
        <f ca="1">IFERROR(__xludf.DUMMYFUNCTION("""COMPUTED_VALUE"""),45962)</f>
        <v>45962</v>
      </c>
      <c r="B1003" s="1" t="str">
        <f ca="1">IFERROR(__xludf.DUMMYFUNCTION("""COMPUTED_VALUE"""),"-")</f>
        <v>-</v>
      </c>
      <c r="C1003" s="1" t="str">
        <f ca="1">IFERROR(__xludf.DUMMYFUNCTION("""COMPUTED_VALUE"""),"Posto E Restaurante Ma")</f>
        <v>Posto E Restaurante Ma</v>
      </c>
      <c r="D1003" s="2">
        <f ca="1">IFERROR(__xludf.DUMMYFUNCTION("""COMPUTED_VALUE"""),13.5)</f>
        <v>13.5</v>
      </c>
      <c r="E1003" s="1" t="str">
        <f ca="1">IFERROR(__xludf.DUMMYFUNCTION("""COMPUTED_VALUE"""),"-")</f>
        <v>-</v>
      </c>
      <c r="F1003" s="1" t="str">
        <f ca="1">IFERROR(__xludf.DUMMYFUNCTION("""COMPUTED_VALUE"""),"Posto E Restaurante Ma")</f>
        <v>Posto E Restaurante Ma</v>
      </c>
      <c r="G1003" s="1" t="str">
        <f ca="1">IFERROR(__xludf.DUMMYFUNCTION("""COMPUTED_VALUE"""),"-")</f>
        <v>-</v>
      </c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x14ac:dyDescent="0.2">
      <c r="A1004" s="6">
        <f ca="1">IFERROR(__xludf.DUMMYFUNCTION("""COMPUTED_VALUE"""),45962)</f>
        <v>45962</v>
      </c>
      <c r="B1004" s="1" t="str">
        <f ca="1">IFERROR(__xludf.DUMMYFUNCTION("""COMPUTED_VALUE"""),"-")</f>
        <v>-</v>
      </c>
      <c r="C1004" s="1" t="str">
        <f ca="1">IFERROR(__xludf.DUMMYFUNCTION("""COMPUTED_VALUE"""),"Auto Posto Rdg")</f>
        <v>Auto Posto Rdg</v>
      </c>
      <c r="D1004" s="2">
        <f ca="1">IFERROR(__xludf.DUMMYFUNCTION("""COMPUTED_VALUE"""),74.58)</f>
        <v>74.58</v>
      </c>
      <c r="E1004" s="1" t="str">
        <f ca="1">IFERROR(__xludf.DUMMYFUNCTION("""COMPUTED_VALUE"""),"-")</f>
        <v>-</v>
      </c>
      <c r="F1004" s="1" t="str">
        <f ca="1">IFERROR(__xludf.DUMMYFUNCTION("""COMPUTED_VALUE"""),"Auto Posto Rdg")</f>
        <v>Auto Posto Rdg</v>
      </c>
      <c r="G1004" s="1" t="str">
        <f ca="1">IFERROR(__xludf.DUMMYFUNCTION("""COMPUTED_VALUE"""),"-")</f>
        <v>-</v>
      </c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x14ac:dyDescent="0.2">
      <c r="A1005" s="6">
        <f ca="1">IFERROR(__xludf.DUMMYFUNCTION("""COMPUTED_VALUE"""),45962)</f>
        <v>45962</v>
      </c>
      <c r="B1005" s="1" t="str">
        <f ca="1">IFERROR(__xludf.DUMMYFUNCTION("""COMPUTED_VALUE"""),"-")</f>
        <v>-</v>
      </c>
      <c r="C1005" s="1" t="str">
        <f ca="1">IFERROR(__xludf.DUMMYFUNCTION("""COMPUTED_VALUE"""),"Sushi Gourmet")</f>
        <v>Sushi Gourmet</v>
      </c>
      <c r="D1005" s="2">
        <f ca="1">IFERROR(__xludf.DUMMYFUNCTION("""COMPUTED_VALUE"""),48.28)</f>
        <v>48.28</v>
      </c>
      <c r="E1005" s="1" t="str">
        <f ca="1">IFERROR(__xludf.DUMMYFUNCTION("""COMPUTED_VALUE"""),"-")</f>
        <v>-</v>
      </c>
      <c r="F1005" s="1" t="str">
        <f ca="1">IFERROR(__xludf.DUMMYFUNCTION("""COMPUTED_VALUE"""),"Sushi Gourmet")</f>
        <v>Sushi Gourmet</v>
      </c>
      <c r="G1005" s="1" t="str">
        <f ca="1">IFERROR(__xludf.DUMMYFUNCTION("""COMPUTED_VALUE"""),"-")</f>
        <v>-</v>
      </c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x14ac:dyDescent="0.2">
      <c r="A1006" s="6">
        <f ca="1">IFERROR(__xludf.DUMMYFUNCTION("""COMPUTED_VALUE"""),45962)</f>
        <v>45962</v>
      </c>
      <c r="B1006" s="1" t="str">
        <f ca="1">IFERROR(__xludf.DUMMYFUNCTION("""COMPUTED_VALUE"""),"-")</f>
        <v>-</v>
      </c>
      <c r="C1006" s="1" t="str">
        <f ca="1">IFERROR(__xludf.DUMMYFUNCTION("""COMPUTED_VALUE"""),"Chaplin Restaurante")</f>
        <v>Chaplin Restaurante</v>
      </c>
      <c r="D1006" s="2">
        <f ca="1">IFERROR(__xludf.DUMMYFUNCTION("""COMPUTED_VALUE"""),30.46)</f>
        <v>30.46</v>
      </c>
      <c r="E1006" s="1" t="str">
        <f ca="1">IFERROR(__xludf.DUMMYFUNCTION("""COMPUTED_VALUE"""),"-")</f>
        <v>-</v>
      </c>
      <c r="F1006" s="1" t="str">
        <f ca="1">IFERROR(__xludf.DUMMYFUNCTION("""COMPUTED_VALUE"""),"Chaplin Restaurante")</f>
        <v>Chaplin Restaurante</v>
      </c>
      <c r="G1006" s="1" t="str">
        <f ca="1">IFERROR(__xludf.DUMMYFUNCTION("""COMPUTED_VALUE"""),"-")</f>
        <v>-</v>
      </c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x14ac:dyDescent="0.2">
      <c r="A1007" s="6">
        <f ca="1">IFERROR(__xludf.DUMMYFUNCTION("""COMPUTED_VALUE"""),45962)</f>
        <v>45962</v>
      </c>
      <c r="B1007" s="1" t="str">
        <f ca="1">IFERROR(__xludf.DUMMYFUNCTION("""COMPUTED_VALUE"""),"-")</f>
        <v>-</v>
      </c>
      <c r="C1007" s="1" t="str">
        <f ca="1">IFERROR(__xludf.DUMMYFUNCTION("""COMPUTED_VALUE"""),"Costa Atacadão")</f>
        <v>Costa Atacadão</v>
      </c>
      <c r="D1007" s="2">
        <f ca="1">IFERROR(__xludf.DUMMYFUNCTION("""COMPUTED_VALUE"""),55.66)</f>
        <v>55.66</v>
      </c>
      <c r="E1007" s="1" t="str">
        <f ca="1">IFERROR(__xludf.DUMMYFUNCTION("""COMPUTED_VALUE"""),"-")</f>
        <v>-</v>
      </c>
      <c r="F1007" s="1" t="str">
        <f ca="1">IFERROR(__xludf.DUMMYFUNCTION("""COMPUTED_VALUE"""),"Costa Atacadão")</f>
        <v>Costa Atacadão</v>
      </c>
      <c r="G1007" s="1" t="str">
        <f ca="1">IFERROR(__xludf.DUMMYFUNCTION("""COMPUTED_VALUE"""),"-")</f>
        <v>-</v>
      </c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x14ac:dyDescent="0.2">
      <c r="A1008" s="6">
        <f ca="1">IFERROR(__xludf.DUMMYFUNCTION("""COMPUTED_VALUE"""),45962)</f>
        <v>45962</v>
      </c>
      <c r="B1008" s="1" t="str">
        <f ca="1">IFERROR(__xludf.DUMMYFUNCTION("""COMPUTED_VALUE"""),"-")</f>
        <v>-</v>
      </c>
      <c r="C1008" s="1" t="str">
        <f ca="1">IFERROR(__xludf.DUMMYFUNCTION("""COMPUTED_VALUE"""),"O Rei Do Pao")</f>
        <v>O Rei Do Pao</v>
      </c>
      <c r="D1008" s="2">
        <f ca="1">IFERROR(__xludf.DUMMYFUNCTION("""COMPUTED_VALUE"""),16.6)</f>
        <v>16.600000000000001</v>
      </c>
      <c r="E1008" s="1" t="str">
        <f ca="1">IFERROR(__xludf.DUMMYFUNCTION("""COMPUTED_VALUE"""),"-")</f>
        <v>-</v>
      </c>
      <c r="F1008" s="1" t="str">
        <f ca="1">IFERROR(__xludf.DUMMYFUNCTION("""COMPUTED_VALUE"""),"O Rei Do Pao")</f>
        <v>O Rei Do Pao</v>
      </c>
      <c r="G1008" s="1" t="str">
        <f ca="1">IFERROR(__xludf.DUMMYFUNCTION("""COMPUTED_VALUE"""),"-")</f>
        <v>-</v>
      </c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x14ac:dyDescent="0.2">
      <c r="A1009" s="6">
        <f ca="1">IFERROR(__xludf.DUMMYFUNCTION("""COMPUTED_VALUE"""),45962)</f>
        <v>45962</v>
      </c>
      <c r="B1009" s="1" t="str">
        <f ca="1">IFERROR(__xludf.DUMMYFUNCTION("""COMPUTED_VALUE"""),"-")</f>
        <v>-</v>
      </c>
      <c r="C1009" s="1" t="str">
        <f ca="1">IFERROR(__xludf.DUMMYFUNCTION("""COMPUTED_VALUE"""),"Auto Posto Chaves Ltd")</f>
        <v>Auto Posto Chaves Ltd</v>
      </c>
      <c r="D1009" s="2">
        <f ca="1">IFERROR(__xludf.DUMMYFUNCTION("""COMPUTED_VALUE"""),201.65)</f>
        <v>201.65</v>
      </c>
      <c r="E1009" s="1" t="str">
        <f ca="1">IFERROR(__xludf.DUMMYFUNCTION("""COMPUTED_VALUE"""),"-")</f>
        <v>-</v>
      </c>
      <c r="F1009" s="1" t="str">
        <f ca="1">IFERROR(__xludf.DUMMYFUNCTION("""COMPUTED_VALUE"""),"Auto Posto Chaves Ltd")</f>
        <v>Auto Posto Chaves Ltd</v>
      </c>
      <c r="G1009" s="1" t="str">
        <f ca="1">IFERROR(__xludf.DUMMYFUNCTION("""COMPUTED_VALUE"""),"-")</f>
        <v>-</v>
      </c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x14ac:dyDescent="0.2">
      <c r="A1010" s="6">
        <f ca="1">IFERROR(__xludf.DUMMYFUNCTION("""COMPUTED_VALUE"""),45962)</f>
        <v>45962</v>
      </c>
      <c r="B1010" s="1" t="str">
        <f ca="1">IFERROR(__xludf.DUMMYFUNCTION("""COMPUTED_VALUE"""),"-")</f>
        <v>-</v>
      </c>
      <c r="C1010" s="1" t="str">
        <f ca="1">IFERROR(__xludf.DUMMYFUNCTION("""COMPUTED_VALUE"""),"Tip Top")</f>
        <v>Tip Top</v>
      </c>
      <c r="D1010" s="2">
        <f ca="1">IFERROR(__xludf.DUMMYFUNCTION("""COMPUTED_VALUE"""),39.9)</f>
        <v>39.9</v>
      </c>
      <c r="E1010" s="1" t="str">
        <f ca="1">IFERROR(__xludf.DUMMYFUNCTION("""COMPUTED_VALUE"""),"-")</f>
        <v>-</v>
      </c>
      <c r="F1010" s="1" t="str">
        <f ca="1">IFERROR(__xludf.DUMMYFUNCTION("""COMPUTED_VALUE"""),"Tip Top")</f>
        <v>Tip Top</v>
      </c>
      <c r="G1010" s="1" t="str">
        <f ca="1">IFERROR(__xludf.DUMMYFUNCTION("""COMPUTED_VALUE"""),"-")</f>
        <v>-</v>
      </c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x14ac:dyDescent="0.2">
      <c r="A1011" s="6">
        <f ca="1">IFERROR(__xludf.DUMMYFUNCTION("""COMPUTED_VALUE"""),45962)</f>
        <v>45962</v>
      </c>
      <c r="B1011" s="1" t="str">
        <f ca="1">IFERROR(__xludf.DUMMYFUNCTION("""COMPUTED_VALUE"""),"-")</f>
        <v>-</v>
      </c>
      <c r="C1011" s="1" t="str">
        <f ca="1">IFERROR(__xludf.DUMMYFUNCTION("""COMPUTED_VALUE"""),"Shoulder (1/5)")</f>
        <v>Shoulder (1/5)</v>
      </c>
      <c r="D1011" s="2">
        <f ca="1">IFERROR(__xludf.DUMMYFUNCTION("""COMPUTED_VALUE"""),197.23)</f>
        <v>197.23</v>
      </c>
      <c r="E1011" s="1" t="str">
        <f ca="1">IFERROR(__xludf.DUMMYFUNCTION("""COMPUTED_VALUE"""),"-")</f>
        <v>-</v>
      </c>
      <c r="F1011" s="1" t="str">
        <f ca="1">IFERROR(__xludf.DUMMYFUNCTION("""COMPUTED_VALUE"""),"Shoulder")</f>
        <v>Shoulder</v>
      </c>
      <c r="G1011" s="1" t="str">
        <f ca="1">IFERROR(__xludf.DUMMYFUNCTION("""COMPUTED_VALUE"""),"Compras")</f>
        <v>Compras</v>
      </c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x14ac:dyDescent="0.2">
      <c r="A1012" s="6">
        <f ca="1">IFERROR(__xludf.DUMMYFUNCTION("""COMPUTED_VALUE"""),45962)</f>
        <v>45962</v>
      </c>
      <c r="B1012" s="1" t="str">
        <f ca="1">IFERROR(__xludf.DUMMYFUNCTION("""COMPUTED_VALUE"""),"-")</f>
        <v>-</v>
      </c>
      <c r="C1012" s="1" t="str">
        <f ca="1">IFERROR(__xludf.DUMMYFUNCTION("""COMPUTED_VALUE"""),"Estoque (2/2)")</f>
        <v>Estoque (2/2)</v>
      </c>
      <c r="D1012" s="2">
        <f ca="1">IFERROR(__xludf.DUMMYFUNCTION("""COMPUTED_VALUE"""),134.4)</f>
        <v>134.4</v>
      </c>
      <c r="E1012" s="1" t="str">
        <f ca="1">IFERROR(__xludf.DUMMYFUNCTION("""COMPUTED_VALUE"""),"-")</f>
        <v>-</v>
      </c>
      <c r="F1012" s="1" t="str">
        <f ca="1">IFERROR(__xludf.DUMMYFUNCTION("""COMPUTED_VALUE"""),"Estoque")</f>
        <v>Estoque</v>
      </c>
      <c r="G1012" s="1" t="str">
        <f ca="1">IFERROR(__xludf.DUMMYFUNCTION("""COMPUTED_VALUE"""),"Compras")</f>
        <v>Compras</v>
      </c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x14ac:dyDescent="0.2">
      <c r="A1013" s="6">
        <f ca="1">IFERROR(__xludf.DUMMYFUNCTION("""COMPUTED_VALUE"""),45962)</f>
        <v>45962</v>
      </c>
      <c r="B1013" s="1" t="str">
        <f ca="1">IFERROR(__xludf.DUMMYFUNCTION("""COMPUTED_VALUE"""),"-")</f>
        <v>-</v>
      </c>
      <c r="C1013" s="1" t="str">
        <f ca="1">IFERROR(__xludf.DUMMYFUNCTION("""COMPUTED_VALUE"""),"Estoque (1/2)")</f>
        <v>Estoque (1/2)</v>
      </c>
      <c r="D1013" s="2">
        <f ca="1">IFERROR(__xludf.DUMMYFUNCTION("""COMPUTED_VALUE"""),134.4)</f>
        <v>134.4</v>
      </c>
      <c r="E1013" s="1" t="str">
        <f ca="1">IFERROR(__xludf.DUMMYFUNCTION("""COMPUTED_VALUE"""),"-")</f>
        <v>-</v>
      </c>
      <c r="F1013" s="1" t="str">
        <f ca="1">IFERROR(__xludf.DUMMYFUNCTION("""COMPUTED_VALUE"""),"Estoque")</f>
        <v>Estoque</v>
      </c>
      <c r="G1013" s="1" t="str">
        <f ca="1">IFERROR(__xludf.DUMMYFUNCTION("""COMPUTED_VALUE"""),"Compras")</f>
        <v>Compras</v>
      </c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x14ac:dyDescent="0.2">
      <c r="A1014" s="6">
        <f ca="1">IFERROR(__xludf.DUMMYFUNCTION("""COMPUTED_VALUE"""),45962)</f>
        <v>45962</v>
      </c>
      <c r="B1014" s="1" t="str">
        <f ca="1">IFERROR(__xludf.DUMMYFUNCTION("""COMPUTED_VALUE"""),"-")</f>
        <v>-</v>
      </c>
      <c r="C1014" s="1" t="str">
        <f ca="1">IFERROR(__xludf.DUMMYFUNCTION("""COMPUTED_VALUE"""),"Surfco (4/4)")</f>
        <v>Surfco (4/4)</v>
      </c>
      <c r="D1014" s="2">
        <f ca="1">IFERROR(__xludf.DUMMYFUNCTION("""COMPUTED_VALUE"""),49.97)</f>
        <v>49.97</v>
      </c>
      <c r="E1014" s="1" t="str">
        <f ca="1">IFERROR(__xludf.DUMMYFUNCTION("""COMPUTED_VALUE"""),"-")</f>
        <v>-</v>
      </c>
      <c r="F1014" s="1" t="str">
        <f ca="1">IFERROR(__xludf.DUMMYFUNCTION("""COMPUTED_VALUE"""),"Surfco")</f>
        <v>Surfco</v>
      </c>
      <c r="G1014" s="1" t="str">
        <f ca="1">IFERROR(__xludf.DUMMYFUNCTION("""COMPUTED_VALUE"""),"Compras")</f>
        <v>Compras</v>
      </c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x14ac:dyDescent="0.2">
      <c r="A1015" s="6">
        <f ca="1">IFERROR(__xludf.DUMMYFUNCTION("""COMPUTED_VALUE"""),45962)</f>
        <v>45962</v>
      </c>
      <c r="B1015" s="1" t="str">
        <f ca="1">IFERROR(__xludf.DUMMYFUNCTION("""COMPUTED_VALUE"""),"-")</f>
        <v>-</v>
      </c>
      <c r="C1015" s="1" t="str">
        <f ca="1">IFERROR(__xludf.DUMMYFUNCTION("""COMPUTED_VALUE"""),"Surfco (3/4)")</f>
        <v>Surfco (3/4)</v>
      </c>
      <c r="D1015" s="2">
        <f ca="1">IFERROR(__xludf.DUMMYFUNCTION("""COMPUTED_VALUE"""),49.97)</f>
        <v>49.97</v>
      </c>
      <c r="E1015" s="1" t="str">
        <f ca="1">IFERROR(__xludf.DUMMYFUNCTION("""COMPUTED_VALUE"""),"-")</f>
        <v>-</v>
      </c>
      <c r="F1015" s="1" t="str">
        <f ca="1">IFERROR(__xludf.DUMMYFUNCTION("""COMPUTED_VALUE"""),"Surfco")</f>
        <v>Surfco</v>
      </c>
      <c r="G1015" s="1" t="str">
        <f ca="1">IFERROR(__xludf.DUMMYFUNCTION("""COMPUTED_VALUE"""),"Compras")</f>
        <v>Compras</v>
      </c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x14ac:dyDescent="0.2">
      <c r="A1016" s="6">
        <f ca="1">IFERROR(__xludf.DUMMYFUNCTION("""COMPUTED_VALUE"""),45962)</f>
        <v>45962</v>
      </c>
      <c r="B1016" s="1" t="str">
        <f ca="1">IFERROR(__xludf.DUMMYFUNCTION("""COMPUTED_VALUE"""),"-")</f>
        <v>-</v>
      </c>
      <c r="C1016" s="1" t="str">
        <f ca="1">IFERROR(__xludf.DUMMYFUNCTION("""COMPUTED_VALUE"""),"Surfco (2/4)")</f>
        <v>Surfco (2/4)</v>
      </c>
      <c r="D1016" s="2">
        <f ca="1">IFERROR(__xludf.DUMMYFUNCTION("""COMPUTED_VALUE"""),49.97)</f>
        <v>49.97</v>
      </c>
      <c r="E1016" s="1" t="str">
        <f ca="1">IFERROR(__xludf.DUMMYFUNCTION("""COMPUTED_VALUE"""),"-")</f>
        <v>-</v>
      </c>
      <c r="F1016" s="1" t="str">
        <f ca="1">IFERROR(__xludf.DUMMYFUNCTION("""COMPUTED_VALUE"""),"Surfco")</f>
        <v>Surfco</v>
      </c>
      <c r="G1016" s="1" t="str">
        <f ca="1">IFERROR(__xludf.DUMMYFUNCTION("""COMPUTED_VALUE"""),"Compras")</f>
        <v>Compras</v>
      </c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x14ac:dyDescent="0.2">
      <c r="A1017" s="6">
        <f ca="1">IFERROR(__xludf.DUMMYFUNCTION("""COMPUTED_VALUE"""),45962)</f>
        <v>45962</v>
      </c>
      <c r="B1017" s="1" t="str">
        <f ca="1">IFERROR(__xludf.DUMMYFUNCTION("""COMPUTED_VALUE"""),"-")</f>
        <v>-</v>
      </c>
      <c r="C1017" s="1" t="str">
        <f ca="1">IFERROR(__xludf.DUMMYFUNCTION("""COMPUTED_VALUE"""),"Surfco (1/4)")</f>
        <v>Surfco (1/4)</v>
      </c>
      <c r="D1017" s="2">
        <f ca="1">IFERROR(__xludf.DUMMYFUNCTION("""COMPUTED_VALUE"""),49.99)</f>
        <v>49.99</v>
      </c>
      <c r="E1017" s="1" t="str">
        <f ca="1">IFERROR(__xludf.DUMMYFUNCTION("""COMPUTED_VALUE"""),"-")</f>
        <v>-</v>
      </c>
      <c r="F1017" s="1" t="str">
        <f ca="1">IFERROR(__xludf.DUMMYFUNCTION("""COMPUTED_VALUE"""),"Surfco")</f>
        <v>Surfco</v>
      </c>
      <c r="G1017" s="1" t="str">
        <f ca="1">IFERROR(__xludf.DUMMYFUNCTION("""COMPUTED_VALUE"""),"Compras")</f>
        <v>Compras</v>
      </c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x14ac:dyDescent="0.2">
      <c r="A1018" s="6">
        <f ca="1">IFERROR(__xludf.DUMMYFUNCTION("""COMPUTED_VALUE"""),45962)</f>
        <v>45962</v>
      </c>
      <c r="B1018" s="1" t="str">
        <f ca="1">IFERROR(__xludf.DUMMYFUNCTION("""COMPUTED_VALUE"""),"-")</f>
        <v>-</v>
      </c>
      <c r="C1018" s="1" t="str">
        <f ca="1">IFERROR(__xludf.DUMMYFUNCTION("""COMPUTED_VALUE"""),"Grupo Qmais Bsb")</f>
        <v>Grupo Qmais Bsb</v>
      </c>
      <c r="D1018" s="2">
        <f ca="1">IFERROR(__xludf.DUMMYFUNCTION("""COMPUTED_VALUE"""),99.98)</f>
        <v>99.98</v>
      </c>
      <c r="E1018" s="1" t="str">
        <f ca="1">IFERROR(__xludf.DUMMYFUNCTION("""COMPUTED_VALUE"""),"-")</f>
        <v>-</v>
      </c>
      <c r="F1018" s="1" t="str">
        <f ca="1">IFERROR(__xludf.DUMMYFUNCTION("""COMPUTED_VALUE"""),"Grupo Qmais Bsb")</f>
        <v>Grupo Qmais Bsb</v>
      </c>
      <c r="G1018" s="1" t="str">
        <f ca="1">IFERROR(__xludf.DUMMYFUNCTION("""COMPUTED_VALUE"""),"-")</f>
        <v>-</v>
      </c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x14ac:dyDescent="0.2">
      <c r="A1019" s="6">
        <f ca="1">IFERROR(__xludf.DUMMYFUNCTION("""COMPUTED_VALUE"""),45962)</f>
        <v>45962</v>
      </c>
      <c r="B1019" s="1" t="str">
        <f ca="1">IFERROR(__xludf.DUMMYFUNCTION("""COMPUTED_VALUE"""),"-")</f>
        <v>-</v>
      </c>
      <c r="C1019" s="1" t="str">
        <f ca="1">IFERROR(__xludf.DUMMYFUNCTION("""COMPUTED_VALUE"""),"Malharia Cristina Alex")</f>
        <v>Malharia Cristina Alex</v>
      </c>
      <c r="D1019" s="2">
        <f ca="1">IFERROR(__xludf.DUMMYFUNCTION("""COMPUTED_VALUE"""),134.9)</f>
        <v>134.9</v>
      </c>
      <c r="E1019" s="1" t="str">
        <f ca="1">IFERROR(__xludf.DUMMYFUNCTION("""COMPUTED_VALUE"""),"-")</f>
        <v>-</v>
      </c>
      <c r="F1019" s="1" t="str">
        <f ca="1">IFERROR(__xludf.DUMMYFUNCTION("""COMPUTED_VALUE"""),"Malharia Cristina Alex")</f>
        <v>Malharia Cristina Alex</v>
      </c>
      <c r="G1019" s="1" t="str">
        <f ca="1">IFERROR(__xludf.DUMMYFUNCTION("""COMPUTED_VALUE"""),"-")</f>
        <v>-</v>
      </c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x14ac:dyDescent="0.2">
      <c r="A1020" s="6">
        <f ca="1">IFERROR(__xludf.DUMMYFUNCTION("""COMPUTED_VALUE"""),45962)</f>
        <v>45962</v>
      </c>
      <c r="B1020" s="1" t="str">
        <f ca="1">IFERROR(__xludf.DUMMYFUNCTION("""COMPUTED_VALUE"""),"-")</f>
        <v>-</v>
      </c>
      <c r="C1020" s="1" t="str">
        <f ca="1">IFERROR(__xludf.DUMMYFUNCTION("""COMPUTED_VALUE"""),"Sorveteria Aguas Clara")</f>
        <v>Sorveteria Aguas Clara</v>
      </c>
      <c r="D1020" s="2">
        <f ca="1">IFERROR(__xludf.DUMMYFUNCTION("""COMPUTED_VALUE"""),59.41)</f>
        <v>59.41</v>
      </c>
      <c r="E1020" s="1" t="str">
        <f ca="1">IFERROR(__xludf.DUMMYFUNCTION("""COMPUTED_VALUE"""),"-")</f>
        <v>-</v>
      </c>
      <c r="F1020" s="1" t="str">
        <f ca="1">IFERROR(__xludf.DUMMYFUNCTION("""COMPUTED_VALUE"""),"Sorveteria Aguas Clara")</f>
        <v>Sorveteria Aguas Clara</v>
      </c>
      <c r="G1020" s="1" t="str">
        <f ca="1">IFERROR(__xludf.DUMMYFUNCTION("""COMPUTED_VALUE"""),"-")</f>
        <v>-</v>
      </c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x14ac:dyDescent="0.2">
      <c r="A1021" s="6">
        <f ca="1">IFERROR(__xludf.DUMMYFUNCTION("""COMPUTED_VALUE"""),45962)</f>
        <v>45962</v>
      </c>
      <c r="B1021" s="1" t="str">
        <f ca="1">IFERROR(__xludf.DUMMYFUNCTION("""COMPUTED_VALUE"""),"-")</f>
        <v>-</v>
      </c>
      <c r="C1021" s="1" t="str">
        <f ca="1">IFERROR(__xludf.DUMMYFUNCTION("""COMPUTED_VALUE"""),"Unisant")</f>
        <v>Unisant</v>
      </c>
      <c r="D1021" s="2">
        <f ca="1">IFERROR(__xludf.DUMMYFUNCTION("""COMPUTED_VALUE"""),225.52)</f>
        <v>225.52</v>
      </c>
      <c r="E1021" s="1" t="str">
        <f ca="1">IFERROR(__xludf.DUMMYFUNCTION("""COMPUTED_VALUE"""),"-")</f>
        <v>-</v>
      </c>
      <c r="F1021" s="1" t="str">
        <f ca="1">IFERROR(__xludf.DUMMYFUNCTION("""COMPUTED_VALUE"""),"Unisant")</f>
        <v>Unisant</v>
      </c>
      <c r="G1021" s="1" t="str">
        <f ca="1">IFERROR(__xludf.DUMMYFUNCTION("""COMPUTED_VALUE"""),"-")</f>
        <v>-</v>
      </c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x14ac:dyDescent="0.2">
      <c r="A1022" s="6">
        <f ca="1">IFERROR(__xludf.DUMMYFUNCTION("""COMPUTED_VALUE"""),45962)</f>
        <v>45962</v>
      </c>
      <c r="B1022" s="1" t="str">
        <f ca="1">IFERROR(__xludf.DUMMYFUNCTION("""COMPUTED_VALUE"""),"-")</f>
        <v>-</v>
      </c>
      <c r="C1022" s="1" t="str">
        <f ca="1">IFERROR(__xludf.DUMMYFUNCTION("""COMPUTED_VALUE"""),"Amazonmktplc Raquelmor")</f>
        <v>Amazonmktplc Raquelmor</v>
      </c>
      <c r="D1022" s="2">
        <f ca="1">IFERROR(__xludf.DUMMYFUNCTION("""COMPUTED_VALUE"""),61)</f>
        <v>61</v>
      </c>
      <c r="E1022" s="1" t="str">
        <f ca="1">IFERROR(__xludf.DUMMYFUNCTION("""COMPUTED_VALUE"""),"-")</f>
        <v>-</v>
      </c>
      <c r="F1022" s="1" t="str">
        <f ca="1">IFERROR(__xludf.DUMMYFUNCTION("""COMPUTED_VALUE"""),"Amazonmktplc")</f>
        <v>Amazonmktplc</v>
      </c>
      <c r="G1022" s="1" t="str">
        <f ca="1">IFERROR(__xludf.DUMMYFUNCTION("""COMPUTED_VALUE"""),"Compras")</f>
        <v>Compras</v>
      </c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x14ac:dyDescent="0.2">
      <c r="A1023" s="6">
        <f ca="1">IFERROR(__xludf.DUMMYFUNCTION("""COMPUTED_VALUE"""),45962)</f>
        <v>45962</v>
      </c>
      <c r="B1023" s="1" t="str">
        <f ca="1">IFERROR(__xludf.DUMMYFUNCTION("""COMPUTED_VALUE"""),"-")</f>
        <v>-</v>
      </c>
      <c r="C1023" s="1" t="str">
        <f ca="1">IFERROR(__xludf.DUMMYFUNCTION("""COMPUTED_VALUE"""),"Comper")</f>
        <v>Comper</v>
      </c>
      <c r="D1023" s="2">
        <f ca="1">IFERROR(__xludf.DUMMYFUNCTION("""COMPUTED_VALUE"""),1.59)</f>
        <v>1.59</v>
      </c>
      <c r="E1023" s="1" t="str">
        <f ca="1">IFERROR(__xludf.DUMMYFUNCTION("""COMPUTED_VALUE"""),"-")</f>
        <v>-</v>
      </c>
      <c r="F1023" s="1" t="str">
        <f ca="1">IFERROR(__xludf.DUMMYFUNCTION("""COMPUTED_VALUE"""),"Comper")</f>
        <v>Comper</v>
      </c>
      <c r="G1023" s="1" t="str">
        <f ca="1">IFERROR(__xludf.DUMMYFUNCTION("""COMPUTED_VALUE"""),"-")</f>
        <v>-</v>
      </c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x14ac:dyDescent="0.2">
      <c r="A1024" s="6">
        <f ca="1">IFERROR(__xludf.DUMMYFUNCTION("""COMPUTED_VALUE"""),45962)</f>
        <v>45962</v>
      </c>
      <c r="B1024" s="1" t="str">
        <f ca="1">IFERROR(__xludf.DUMMYFUNCTION("""COMPUTED_VALUE"""),"-")</f>
        <v>-</v>
      </c>
      <c r="C1024" s="1" t="str">
        <f ca="1">IFERROR(__xludf.DUMMYFUNCTION("""COMPUTED_VALUE"""),"Amazon Digital Br")</f>
        <v>Amazon Digital Br</v>
      </c>
      <c r="D1024" s="2">
        <f ca="1">IFERROR(__xludf.DUMMYFUNCTION("""COMPUTED_VALUE"""),15.7)</f>
        <v>15.7</v>
      </c>
      <c r="E1024" s="1" t="str">
        <f ca="1">IFERROR(__xludf.DUMMYFUNCTION("""COMPUTED_VALUE"""),"-")</f>
        <v>-</v>
      </c>
      <c r="F1024" s="1" t="str">
        <f ca="1">IFERROR(__xludf.DUMMYFUNCTION("""COMPUTED_VALUE"""),"Amazon Digital Br")</f>
        <v>Amazon Digital Br</v>
      </c>
      <c r="G1024" s="1" t="str">
        <f ca="1">IFERROR(__xludf.DUMMYFUNCTION("""COMPUTED_VALUE"""),"Compras")</f>
        <v>Compras</v>
      </c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x14ac:dyDescent="0.2">
      <c r="A1025" s="6">
        <f ca="1">IFERROR(__xludf.DUMMYFUNCTION("""COMPUTED_VALUE"""),45962)</f>
        <v>45962</v>
      </c>
      <c r="B1025" s="1" t="str">
        <f ca="1">IFERROR(__xludf.DUMMYFUNCTION("""COMPUTED_VALUE"""),"-")</f>
        <v>-</v>
      </c>
      <c r="C1025" s="1" t="str">
        <f ca="1">IFERROR(__xludf.DUMMYFUNCTION("""COMPUTED_VALUE"""),"Balaio Caipira")</f>
        <v>Balaio Caipira</v>
      </c>
      <c r="D1025" s="2">
        <f ca="1">IFERROR(__xludf.DUMMYFUNCTION("""COMPUTED_VALUE"""),26)</f>
        <v>26</v>
      </c>
      <c r="E1025" s="1" t="str">
        <f ca="1">IFERROR(__xludf.DUMMYFUNCTION("""COMPUTED_VALUE"""),"-")</f>
        <v>-</v>
      </c>
      <c r="F1025" s="1" t="str">
        <f ca="1">IFERROR(__xludf.DUMMYFUNCTION("""COMPUTED_VALUE"""),"Balaio Caipira")</f>
        <v>Balaio Caipira</v>
      </c>
      <c r="G1025" s="1" t="str">
        <f ca="1">IFERROR(__xludf.DUMMYFUNCTION("""COMPUTED_VALUE"""),"-")</f>
        <v>-</v>
      </c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x14ac:dyDescent="0.2">
      <c r="A1026" s="6">
        <f ca="1">IFERROR(__xludf.DUMMYFUNCTION("""COMPUTED_VALUE"""),45962)</f>
        <v>45962</v>
      </c>
      <c r="B1026" s="1" t="str">
        <f ca="1">IFERROR(__xludf.DUMMYFUNCTION("""COMPUTED_VALUE"""),"-")</f>
        <v>-</v>
      </c>
      <c r="C1026" s="1" t="str">
        <f ca="1">IFERROR(__xludf.DUMMYFUNCTION("""COMPUTED_VALUE"""),"Biscoitos Mineiros")</f>
        <v>Biscoitos Mineiros</v>
      </c>
      <c r="D1026" s="2">
        <f ca="1">IFERROR(__xludf.DUMMYFUNCTION("""COMPUTED_VALUE"""),36.64)</f>
        <v>36.64</v>
      </c>
      <c r="E1026" s="1" t="str">
        <f ca="1">IFERROR(__xludf.DUMMYFUNCTION("""COMPUTED_VALUE"""),"-")</f>
        <v>-</v>
      </c>
      <c r="F1026" s="1" t="str">
        <f ca="1">IFERROR(__xludf.DUMMYFUNCTION("""COMPUTED_VALUE"""),"Biscoitos Mineiros")</f>
        <v>Biscoitos Mineiros</v>
      </c>
      <c r="G1026" s="1" t="str">
        <f ca="1">IFERROR(__xludf.DUMMYFUNCTION("""COMPUTED_VALUE"""),"-")</f>
        <v>-</v>
      </c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x14ac:dyDescent="0.2">
      <c r="A1027" s="6">
        <f ca="1">IFERROR(__xludf.DUMMYFUNCTION("""COMPUTED_VALUE"""),45962)</f>
        <v>45962</v>
      </c>
      <c r="B1027" s="1" t="str">
        <f ca="1">IFERROR(__xludf.DUMMYFUNCTION("""COMPUTED_VALUE"""),"-")</f>
        <v>-</v>
      </c>
      <c r="C1027" s="1" t="str">
        <f ca="1">IFERROR(__xludf.DUMMYFUNCTION("""COMPUTED_VALUE"""),"Zig Vamo Beach Club")</f>
        <v>Zig Vamo Beach Club</v>
      </c>
      <c r="D1027" s="2">
        <f ca="1">IFERROR(__xludf.DUMMYFUNCTION("""COMPUTED_VALUE"""),13)</f>
        <v>13</v>
      </c>
      <c r="E1027" s="1" t="str">
        <f ca="1">IFERROR(__xludf.DUMMYFUNCTION("""COMPUTED_VALUE"""),"-")</f>
        <v>-</v>
      </c>
      <c r="F1027" s="1" t="str">
        <f ca="1">IFERROR(__xludf.DUMMYFUNCTION("""COMPUTED_VALUE"""),"Zig Vamo Beach Club")</f>
        <v>Zig Vamo Beach Club</v>
      </c>
      <c r="G1027" s="1" t="str">
        <f ca="1">IFERROR(__xludf.DUMMYFUNCTION("""COMPUTED_VALUE"""),"-")</f>
        <v>-</v>
      </c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x14ac:dyDescent="0.2">
      <c r="A1028" s="6">
        <f ca="1">IFERROR(__xludf.DUMMYFUNCTION("""COMPUTED_VALUE"""),45962)</f>
        <v>45962</v>
      </c>
      <c r="B1028" s="1" t="str">
        <f ca="1">IFERROR(__xludf.DUMMYFUNCTION("""COMPUTED_VALUE"""),"-")</f>
        <v>-</v>
      </c>
      <c r="C1028" s="1" t="str">
        <f ca="1">IFERROR(__xludf.DUMMYFUNCTION("""COMPUTED_VALUE"""),"Esmalteria Camaleoa")</f>
        <v>Esmalteria Camaleoa</v>
      </c>
      <c r="D1028" s="2">
        <f ca="1">IFERROR(__xludf.DUMMYFUNCTION("""COMPUTED_VALUE"""),60)</f>
        <v>60</v>
      </c>
      <c r="E1028" s="1" t="str">
        <f ca="1">IFERROR(__xludf.DUMMYFUNCTION("""COMPUTED_VALUE"""),"-")</f>
        <v>-</v>
      </c>
      <c r="F1028" s="1" t="str">
        <f ca="1">IFERROR(__xludf.DUMMYFUNCTION("""COMPUTED_VALUE"""),"Esmalteria Camaleoa")</f>
        <v>Esmalteria Camaleoa</v>
      </c>
      <c r="G1028" s="1" t="str">
        <f ca="1">IFERROR(__xludf.DUMMYFUNCTION("""COMPUTED_VALUE"""),"-")</f>
        <v>-</v>
      </c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x14ac:dyDescent="0.2">
      <c r="A1029" s="6">
        <f ca="1">IFERROR(__xludf.DUMMYFUNCTION("""COMPUTED_VALUE"""),45962)</f>
        <v>45962</v>
      </c>
      <c r="B1029" s="1" t="str">
        <f ca="1">IFERROR(__xludf.DUMMYFUNCTION("""COMPUTED_VALUE"""),"-")</f>
        <v>-</v>
      </c>
      <c r="C1029" s="1" t="str">
        <f ca="1">IFERROR(__xludf.DUMMYFUNCTION("""COMPUTED_VALUE"""),"Weryc Andre Luiz")</f>
        <v>Weryc Andre Luiz</v>
      </c>
      <c r="D1029" s="2">
        <f ca="1">IFERROR(__xludf.DUMMYFUNCTION("""COMPUTED_VALUE"""),29)</f>
        <v>29</v>
      </c>
      <c r="E1029" s="1" t="str">
        <f ca="1">IFERROR(__xludf.DUMMYFUNCTION("""COMPUTED_VALUE"""),"-")</f>
        <v>-</v>
      </c>
      <c r="F1029" s="1" t="str">
        <f ca="1">IFERROR(__xludf.DUMMYFUNCTION("""COMPUTED_VALUE"""),"Weryc Andre Luiz")</f>
        <v>Weryc Andre Luiz</v>
      </c>
      <c r="G1029" s="1" t="str">
        <f ca="1">IFERROR(__xludf.DUMMYFUNCTION("""COMPUTED_VALUE"""),"-")</f>
        <v>-</v>
      </c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x14ac:dyDescent="0.2">
      <c r="A1030" s="6">
        <f ca="1">IFERROR(__xludf.DUMMYFUNCTION("""COMPUTED_VALUE"""),45962)</f>
        <v>45962</v>
      </c>
      <c r="B1030" s="1" t="str">
        <f ca="1">IFERROR(__xludf.DUMMYFUNCTION("""COMPUTED_VALUE"""),"-")</f>
        <v>-</v>
      </c>
      <c r="C1030" s="1" t="str">
        <f ca="1">IFERROR(__xludf.DUMMYFUNCTION("""COMPUTED_VALUE"""),"Sams Aguas Claras 4953")</f>
        <v>Sams Aguas Claras 4953</v>
      </c>
      <c r="D1030" s="2">
        <f ca="1">IFERROR(__xludf.DUMMYFUNCTION("""COMPUTED_VALUE"""),154.13)</f>
        <v>154.13</v>
      </c>
      <c r="E1030" s="1" t="str">
        <f ca="1">IFERROR(__xludf.DUMMYFUNCTION("""COMPUTED_VALUE"""),"-")</f>
        <v>-</v>
      </c>
      <c r="F1030" s="1" t="str">
        <f ca="1">IFERROR(__xludf.DUMMYFUNCTION("""COMPUTED_VALUE"""),"Sams Aguas Claras 4953")</f>
        <v>Sams Aguas Claras 4953</v>
      </c>
      <c r="G1030" s="1" t="str">
        <f ca="1">IFERROR(__xludf.DUMMYFUNCTION("""COMPUTED_VALUE"""),"-")</f>
        <v>-</v>
      </c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x14ac:dyDescent="0.2">
      <c r="A1031" s="6">
        <f ca="1">IFERROR(__xludf.DUMMYFUNCTION("""COMPUTED_VALUE"""),45962)</f>
        <v>45962</v>
      </c>
      <c r="B1031" s="1" t="str">
        <f ca="1">IFERROR(__xludf.DUMMYFUNCTION("""COMPUTED_VALUE"""),"-")</f>
        <v>-</v>
      </c>
      <c r="C1031" s="1" t="str">
        <f ca="1">IFERROR(__xludf.DUMMYFUNCTION("""COMPUTED_VALUE"""),"Ciatoy Brinquedos (1/5)")</f>
        <v>Ciatoy Brinquedos (1/5)</v>
      </c>
      <c r="D1031" s="2">
        <f ca="1">IFERROR(__xludf.DUMMYFUNCTION("""COMPUTED_VALUE"""),55.8)</f>
        <v>55.8</v>
      </c>
      <c r="E1031" s="1" t="str">
        <f ca="1">IFERROR(__xludf.DUMMYFUNCTION("""COMPUTED_VALUE"""),"-")</f>
        <v>-</v>
      </c>
      <c r="F1031" s="1" t="str">
        <f ca="1">IFERROR(__xludf.DUMMYFUNCTION("""COMPUTED_VALUE"""),"Ciatoy Brinquedos")</f>
        <v>Ciatoy Brinquedos</v>
      </c>
      <c r="G1031" s="1" t="str">
        <f ca="1">IFERROR(__xludf.DUMMYFUNCTION("""COMPUTED_VALUE"""),"Compras")</f>
        <v>Compras</v>
      </c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x14ac:dyDescent="0.2">
      <c r="A1032" s="6">
        <f ca="1">IFERROR(__xludf.DUMMYFUNCTION("""COMPUTED_VALUE"""),45962)</f>
        <v>45962</v>
      </c>
      <c r="B1032" s="1" t="str">
        <f ca="1">IFERROR(__xludf.DUMMYFUNCTION("""COMPUTED_VALUE"""),"-")</f>
        <v>-</v>
      </c>
      <c r="C1032" s="1" t="str">
        <f ca="1">IFERROR(__xludf.DUMMYFUNCTION("""COMPUTED_VALUE"""),"Nau Terraco")</f>
        <v>Nau Terraco</v>
      </c>
      <c r="D1032" s="2">
        <f ca="1">IFERROR(__xludf.DUMMYFUNCTION("""COMPUTED_VALUE"""),335.9)</f>
        <v>335.9</v>
      </c>
      <c r="E1032" s="1" t="str">
        <f ca="1">IFERROR(__xludf.DUMMYFUNCTION("""COMPUTED_VALUE"""),"-")</f>
        <v>-</v>
      </c>
      <c r="F1032" s="1" t="str">
        <f ca="1">IFERROR(__xludf.DUMMYFUNCTION("""COMPUTED_VALUE"""),"Nau Terraco")</f>
        <v>Nau Terraco</v>
      </c>
      <c r="G1032" s="1" t="str">
        <f ca="1">IFERROR(__xludf.DUMMYFUNCTION("""COMPUTED_VALUE"""),"-")</f>
        <v>-</v>
      </c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x14ac:dyDescent="0.2">
      <c r="A1033" s="6">
        <f ca="1">IFERROR(__xludf.DUMMYFUNCTION("""COMPUTED_VALUE"""),45962)</f>
        <v>45962</v>
      </c>
      <c r="B1033" s="1" t="str">
        <f ca="1">IFERROR(__xludf.DUMMYFUNCTION("""COMPUTED_VALUE"""),"-")</f>
        <v>-</v>
      </c>
      <c r="C1033" s="1" t="str">
        <f ca="1">IFERROR(__xludf.DUMMYFUNCTION("""COMPUTED_VALUE"""),"Daiso")</f>
        <v>Daiso</v>
      </c>
      <c r="D1033" s="2">
        <f ca="1">IFERROR(__xludf.DUMMYFUNCTION("""COMPUTED_VALUE"""),40.98)</f>
        <v>40.98</v>
      </c>
      <c r="E1033" s="1" t="str">
        <f ca="1">IFERROR(__xludf.DUMMYFUNCTION("""COMPUTED_VALUE"""),"-")</f>
        <v>-</v>
      </c>
      <c r="F1033" s="1" t="str">
        <f ca="1">IFERROR(__xludf.DUMMYFUNCTION("""COMPUTED_VALUE"""),"Daiso")</f>
        <v>Daiso</v>
      </c>
      <c r="G1033" s="1" t="str">
        <f ca="1">IFERROR(__xludf.DUMMYFUNCTION("""COMPUTED_VALUE"""),"-")</f>
        <v>-</v>
      </c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x14ac:dyDescent="0.2">
      <c r="A1034" s="6">
        <f ca="1">IFERROR(__xludf.DUMMYFUNCTION("""COMPUTED_VALUE"""),45962)</f>
        <v>45962</v>
      </c>
      <c r="B1034" s="1" t="str">
        <f ca="1">IFERROR(__xludf.DUMMYFUNCTION("""COMPUTED_VALUE"""),"-")</f>
        <v>-</v>
      </c>
      <c r="C1034" s="1" t="str">
        <f ca="1">IFERROR(__xludf.DUMMYFUNCTION("""COMPUTED_VALUE"""),"Drogasil")</f>
        <v>Drogasil</v>
      </c>
      <c r="D1034" s="2">
        <f ca="1">IFERROR(__xludf.DUMMYFUNCTION("""COMPUTED_VALUE"""),7.98)</f>
        <v>7.98</v>
      </c>
      <c r="E1034" s="1" t="str">
        <f ca="1">IFERROR(__xludf.DUMMYFUNCTION("""COMPUTED_VALUE"""),"-")</f>
        <v>-</v>
      </c>
      <c r="F1034" s="1" t="str">
        <f ca="1">IFERROR(__xludf.DUMMYFUNCTION("""COMPUTED_VALUE"""),"Drogasil")</f>
        <v>Drogasil</v>
      </c>
      <c r="G1034" s="1" t="str">
        <f ca="1">IFERROR(__xludf.DUMMYFUNCTION("""COMPUTED_VALUE"""),"-")</f>
        <v>-</v>
      </c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x14ac:dyDescent="0.2">
      <c r="A1035" s="6">
        <f ca="1">IFERROR(__xludf.DUMMYFUNCTION("""COMPUTED_VALUE"""),45962)</f>
        <v>45962</v>
      </c>
      <c r="B1035" s="1" t="str">
        <f ca="1">IFERROR(__xludf.DUMMYFUNCTION("""COMPUTED_VALUE"""),"-")</f>
        <v>-</v>
      </c>
      <c r="C1035" s="1" t="str">
        <f ca="1">IFERROR(__xludf.DUMMYFUNCTION("""COMPUTED_VALUE"""),"O Rei Do Pao")</f>
        <v>O Rei Do Pao</v>
      </c>
      <c r="D1035" s="2">
        <f ca="1">IFERROR(__xludf.DUMMYFUNCTION("""COMPUTED_VALUE"""),23.7)</f>
        <v>23.7</v>
      </c>
      <c r="E1035" s="1" t="str">
        <f ca="1">IFERROR(__xludf.DUMMYFUNCTION("""COMPUTED_VALUE"""),"-")</f>
        <v>-</v>
      </c>
      <c r="F1035" s="1" t="str">
        <f ca="1">IFERROR(__xludf.DUMMYFUNCTION("""COMPUTED_VALUE"""),"O Rei Do Pao")</f>
        <v>O Rei Do Pao</v>
      </c>
      <c r="G1035" s="1" t="str">
        <f ca="1">IFERROR(__xludf.DUMMYFUNCTION("""COMPUTED_VALUE"""),"-")</f>
        <v>-</v>
      </c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x14ac:dyDescent="0.2">
      <c r="A1036" s="6">
        <f ca="1">IFERROR(__xludf.DUMMYFUNCTION("""COMPUTED_VALUE"""),45962)</f>
        <v>45962</v>
      </c>
      <c r="B1036" s="1" t="str">
        <f ca="1">IFERROR(__xludf.DUMMYFUNCTION("""COMPUTED_VALUE"""),"-")</f>
        <v>-</v>
      </c>
      <c r="C1036" s="1" t="str">
        <f ca="1">IFERROR(__xludf.DUMMYFUNCTION("""COMPUTED_VALUE"""),"Bonnapan")</f>
        <v>Bonnapan</v>
      </c>
      <c r="D1036" s="2">
        <f ca="1">IFERROR(__xludf.DUMMYFUNCTION("""COMPUTED_VALUE"""),27.48)</f>
        <v>27.48</v>
      </c>
      <c r="E1036" s="1" t="str">
        <f ca="1">IFERROR(__xludf.DUMMYFUNCTION("""COMPUTED_VALUE"""),"-")</f>
        <v>-</v>
      </c>
      <c r="F1036" s="1" t="str">
        <f ca="1">IFERROR(__xludf.DUMMYFUNCTION("""COMPUTED_VALUE"""),"Bonnapan")</f>
        <v>Bonnapan</v>
      </c>
      <c r="G1036" s="1" t="str">
        <f ca="1">IFERROR(__xludf.DUMMYFUNCTION("""COMPUTED_VALUE"""),"-")</f>
        <v>-</v>
      </c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x14ac:dyDescent="0.2">
      <c r="A1037" s="6">
        <f ca="1">IFERROR(__xludf.DUMMYFUNCTION("""COMPUTED_VALUE"""),45962)</f>
        <v>45962</v>
      </c>
      <c r="B1037" s="1" t="str">
        <f ca="1">IFERROR(__xludf.DUMMYFUNCTION("""COMPUTED_VALUE"""),"-")</f>
        <v>-</v>
      </c>
      <c r="C1037" s="1" t="str">
        <f ca="1">IFERROR(__xludf.DUMMYFUNCTION("""COMPUTED_VALUE"""),"Cinco Estrelas")</f>
        <v>Cinco Estrelas</v>
      </c>
      <c r="D1037" s="2">
        <f ca="1">IFERROR(__xludf.DUMMYFUNCTION("""COMPUTED_VALUE"""),16.55)</f>
        <v>16.55</v>
      </c>
      <c r="E1037" s="1" t="str">
        <f ca="1">IFERROR(__xludf.DUMMYFUNCTION("""COMPUTED_VALUE"""),"-")</f>
        <v>-</v>
      </c>
      <c r="F1037" s="1" t="str">
        <f ca="1">IFERROR(__xludf.DUMMYFUNCTION("""COMPUTED_VALUE"""),"Cinco Estrelas")</f>
        <v>Cinco Estrelas</v>
      </c>
      <c r="G1037" s="1" t="str">
        <f ca="1">IFERROR(__xludf.DUMMYFUNCTION("""COMPUTED_VALUE"""),"-")</f>
        <v>-</v>
      </c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x14ac:dyDescent="0.2">
      <c r="A1038" s="6">
        <f ca="1">IFERROR(__xludf.DUMMYFUNCTION("""COMPUTED_VALUE"""),45962)</f>
        <v>45962</v>
      </c>
      <c r="B1038" s="1" t="str">
        <f ca="1">IFERROR(__xludf.DUMMYFUNCTION("""COMPUTED_VALUE"""),"-")</f>
        <v>-</v>
      </c>
      <c r="C1038" s="1" t="str">
        <f ca="1">IFERROR(__xludf.DUMMYFUNCTION("""COMPUTED_VALUE"""),"Sos Casa")</f>
        <v>Sos Casa</v>
      </c>
      <c r="D1038" s="2">
        <f ca="1">IFERROR(__xludf.DUMMYFUNCTION("""COMPUTED_VALUE"""),19.9)</f>
        <v>19.899999999999999</v>
      </c>
      <c r="E1038" s="1" t="str">
        <f ca="1">IFERROR(__xludf.DUMMYFUNCTION("""COMPUTED_VALUE"""),"-")</f>
        <v>-</v>
      </c>
      <c r="F1038" s="1" t="str">
        <f ca="1">IFERROR(__xludf.DUMMYFUNCTION("""COMPUTED_VALUE"""),"Sos Casa")</f>
        <v>Sos Casa</v>
      </c>
      <c r="G1038" s="1" t="str">
        <f ca="1">IFERROR(__xludf.DUMMYFUNCTION("""COMPUTED_VALUE"""),"-")</f>
        <v>-</v>
      </c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x14ac:dyDescent="0.2">
      <c r="A1039" s="6">
        <f ca="1">IFERROR(__xludf.DUMMYFUNCTION("""COMPUTED_VALUE"""),45962)</f>
        <v>45962</v>
      </c>
      <c r="B1039" s="1" t="str">
        <f ca="1">IFERROR(__xludf.DUMMYFUNCTION("""COMPUTED_VALUE"""),"-")</f>
        <v>-</v>
      </c>
      <c r="C1039" s="1" t="str">
        <f ca="1">IFERROR(__xludf.DUMMYFUNCTION("""COMPUTED_VALUE"""),"O Rei Do Pao")</f>
        <v>O Rei Do Pao</v>
      </c>
      <c r="D1039" s="2">
        <f ca="1">IFERROR(__xludf.DUMMYFUNCTION("""COMPUTED_VALUE"""),9.5)</f>
        <v>9.5</v>
      </c>
      <c r="E1039" s="1" t="str">
        <f ca="1">IFERROR(__xludf.DUMMYFUNCTION("""COMPUTED_VALUE"""),"-")</f>
        <v>-</v>
      </c>
      <c r="F1039" s="1" t="str">
        <f ca="1">IFERROR(__xludf.DUMMYFUNCTION("""COMPUTED_VALUE"""),"O Rei Do Pao")</f>
        <v>O Rei Do Pao</v>
      </c>
      <c r="G1039" s="1" t="str">
        <f ca="1">IFERROR(__xludf.DUMMYFUNCTION("""COMPUTED_VALUE"""),"-")</f>
        <v>-</v>
      </c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x14ac:dyDescent="0.2">
      <c r="A1040" s="6">
        <f ca="1">IFERROR(__xludf.DUMMYFUNCTION("""COMPUTED_VALUE"""),45962)</f>
        <v>45962</v>
      </c>
      <c r="B1040" s="1" t="str">
        <f ca="1">IFERROR(__xludf.DUMMYFUNCTION("""COMPUTED_VALUE"""),"-")</f>
        <v>-</v>
      </c>
      <c r="C1040" s="1" t="str">
        <f ca="1">IFERROR(__xludf.DUMMYFUNCTION("""COMPUTED_VALUE"""),"Pé Na Areia Restaurant")</f>
        <v>Pé Na Areia Restaurant</v>
      </c>
      <c r="D1040" s="2">
        <f ca="1">IFERROR(__xludf.DUMMYFUNCTION("""COMPUTED_VALUE"""),24)</f>
        <v>24</v>
      </c>
      <c r="E1040" s="1" t="str">
        <f ca="1">IFERROR(__xludf.DUMMYFUNCTION("""COMPUTED_VALUE"""),"-")</f>
        <v>-</v>
      </c>
      <c r="F1040" s="1" t="str">
        <f ca="1">IFERROR(__xludf.DUMMYFUNCTION("""COMPUTED_VALUE"""),"Pé Na Areia Restaurant")</f>
        <v>Pé Na Areia Restaurant</v>
      </c>
      <c r="G1040" s="1" t="str">
        <f ca="1">IFERROR(__xludf.DUMMYFUNCTION("""COMPUTED_VALUE"""),"-")</f>
        <v>-</v>
      </c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x14ac:dyDescent="0.2">
      <c r="A1041" s="6">
        <f ca="1">IFERROR(__xludf.DUMMYFUNCTION("""COMPUTED_VALUE"""),45962)</f>
        <v>45962</v>
      </c>
      <c r="B1041" s="1" t="str">
        <f ca="1">IFERROR(__xludf.DUMMYFUNCTION("""COMPUTED_VALUE"""),"-")</f>
        <v>-</v>
      </c>
      <c r="C1041" s="1" t="str">
        <f ca="1">IFERROR(__xludf.DUMMYFUNCTION("""COMPUTED_VALUE"""),"Felipeaerobar")</f>
        <v>Felipeaerobar</v>
      </c>
      <c r="D1041" s="2">
        <f ca="1">IFERROR(__xludf.DUMMYFUNCTION("""COMPUTED_VALUE"""),15)</f>
        <v>15</v>
      </c>
      <c r="E1041" s="1" t="str">
        <f ca="1">IFERROR(__xludf.DUMMYFUNCTION("""COMPUTED_VALUE"""),"-")</f>
        <v>-</v>
      </c>
      <c r="F1041" s="1" t="str">
        <f ca="1">IFERROR(__xludf.DUMMYFUNCTION("""COMPUTED_VALUE"""),"Felipeaerobar")</f>
        <v>Felipeaerobar</v>
      </c>
      <c r="G1041" s="1" t="str">
        <f ca="1">IFERROR(__xludf.DUMMYFUNCTION("""COMPUTED_VALUE"""),"-")</f>
        <v>-</v>
      </c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x14ac:dyDescent="0.2">
      <c r="A1042" s="6">
        <f ca="1">IFERROR(__xludf.DUMMYFUNCTION("""COMPUTED_VALUE"""),45962)</f>
        <v>45962</v>
      </c>
      <c r="B1042" s="1" t="str">
        <f ca="1">IFERROR(__xludf.DUMMYFUNCTION("""COMPUTED_VALUE"""),"-")</f>
        <v>-</v>
      </c>
      <c r="C1042" s="1" t="str">
        <f ca="1">IFERROR(__xludf.DUMMYFUNCTION("""COMPUTED_VALUE"""),"Pé Na Areia Restaurant")</f>
        <v>Pé Na Areia Restaurant</v>
      </c>
      <c r="D1042" s="2">
        <f ca="1">IFERROR(__xludf.DUMMYFUNCTION("""COMPUTED_VALUE"""),22)</f>
        <v>22</v>
      </c>
      <c r="E1042" s="1" t="str">
        <f ca="1">IFERROR(__xludf.DUMMYFUNCTION("""COMPUTED_VALUE"""),"-")</f>
        <v>-</v>
      </c>
      <c r="F1042" s="1" t="str">
        <f ca="1">IFERROR(__xludf.DUMMYFUNCTION("""COMPUTED_VALUE"""),"Pé Na Areia Restaurant")</f>
        <v>Pé Na Areia Restaurant</v>
      </c>
      <c r="G1042" s="1" t="str">
        <f ca="1">IFERROR(__xludf.DUMMYFUNCTION("""COMPUTED_VALUE"""),"-")</f>
        <v>-</v>
      </c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x14ac:dyDescent="0.2">
      <c r="A1043" s="6">
        <f ca="1">IFERROR(__xludf.DUMMYFUNCTION("""COMPUTED_VALUE"""),45962)</f>
        <v>45962</v>
      </c>
      <c r="B1043" s="1" t="str">
        <f ca="1">IFERROR(__xludf.DUMMYFUNCTION("""COMPUTED_VALUE"""),"-")</f>
        <v>-</v>
      </c>
      <c r="C1043" s="1" t="str">
        <f ca="1">IFERROR(__xludf.DUMMYFUNCTION("""COMPUTED_VALUE"""),"Pé Na Areia Restaurant")</f>
        <v>Pé Na Areia Restaurant</v>
      </c>
      <c r="D1043" s="2">
        <f ca="1">IFERROR(__xludf.DUMMYFUNCTION("""COMPUTED_VALUE"""),40)</f>
        <v>40</v>
      </c>
      <c r="E1043" s="1" t="str">
        <f ca="1">IFERROR(__xludf.DUMMYFUNCTION("""COMPUTED_VALUE"""),"-")</f>
        <v>-</v>
      </c>
      <c r="F1043" s="1" t="str">
        <f ca="1">IFERROR(__xludf.DUMMYFUNCTION("""COMPUTED_VALUE"""),"Pé Na Areia Restaurant")</f>
        <v>Pé Na Areia Restaurant</v>
      </c>
      <c r="G1043" s="1" t="str">
        <f ca="1">IFERROR(__xludf.DUMMYFUNCTION("""COMPUTED_VALUE"""),"-")</f>
        <v>-</v>
      </c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x14ac:dyDescent="0.2">
      <c r="A1044" s="6">
        <f ca="1">IFERROR(__xludf.DUMMYFUNCTION("""COMPUTED_VALUE"""),45992)</f>
        <v>45992</v>
      </c>
      <c r="B1044" s="1" t="str">
        <f ca="1">IFERROR(__xludf.DUMMYFUNCTION("""COMPUTED_VALUE"""),"Dezembro")</f>
        <v>Dezembro</v>
      </c>
      <c r="C1044" s="1" t="str">
        <f ca="1">IFERROR(__xludf.DUMMYFUNCTION("""COMPUTED_VALUE"""),"Cancelamento - Amazonmktplc Raquelmor")</f>
        <v>Cancelamento - Amazonmktplc Raquelmor</v>
      </c>
      <c r="D1044" s="2">
        <f ca="1">IFERROR(__xludf.DUMMYFUNCTION("""COMPUTED_VALUE"""),-61)</f>
        <v>-61</v>
      </c>
      <c r="E1044" s="1" t="str">
        <f ca="1">IFERROR(__xludf.DUMMYFUNCTION("""COMPUTED_VALUE"""),"-")</f>
        <v>-</v>
      </c>
      <c r="F1044" s="1" t="str">
        <f ca="1">IFERROR(__xludf.DUMMYFUNCTION("""COMPUTED_VALUE"""),"Amazonmktplc")</f>
        <v>Amazonmktplc</v>
      </c>
      <c r="G1044" s="1" t="str">
        <f ca="1">IFERROR(__xludf.DUMMYFUNCTION("""COMPUTED_VALUE"""),"Compras")</f>
        <v>Compras</v>
      </c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x14ac:dyDescent="0.2">
      <c r="A1045" s="6">
        <f ca="1">IFERROR(__xludf.DUMMYFUNCTION("""COMPUTED_VALUE"""),45992)</f>
        <v>45992</v>
      </c>
      <c r="B1045" s="1"/>
      <c r="C1045" s="1" t="str">
        <f ca="1">IFERROR(__xludf.DUMMYFUNCTION("""COMPUTED_VALUE"""),"Desconto Na Parcela 5 De 5 Ciatoy Brinquedos")</f>
        <v>Desconto Na Parcela 5 De 5 Ciatoy Brinquedos</v>
      </c>
      <c r="D1045" s="2">
        <f ca="1">IFERROR(__xludf.DUMMYFUNCTION("""COMPUTED_VALUE"""),-0.61)</f>
        <v>-0.61</v>
      </c>
      <c r="E1045" s="1" t="str">
        <f ca="1">IFERROR(__xludf.DUMMYFUNCTION("""COMPUTED_VALUE"""),"-")</f>
        <v>-</v>
      </c>
      <c r="F1045" s="1" t="str">
        <f ca="1">IFERROR(__xludf.DUMMYFUNCTION("""COMPUTED_VALUE"""),"Desconto Na Parcela 5 De 5 Ciatoy Brinquedos")</f>
        <v>Desconto Na Parcela 5 De 5 Ciatoy Brinquedos</v>
      </c>
      <c r="G1045" s="1" t="str">
        <f ca="1">IFERROR(__xludf.DUMMYFUNCTION("""COMPUTED_VALUE"""),"-")</f>
        <v>-</v>
      </c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x14ac:dyDescent="0.2">
      <c r="A1046" s="6">
        <f ca="1">IFERROR(__xludf.DUMMYFUNCTION("""COMPUTED_VALUE"""),45992)</f>
        <v>45992</v>
      </c>
      <c r="B1046" s="1"/>
      <c r="C1046" s="1" t="str">
        <f ca="1">IFERROR(__xludf.DUMMYFUNCTION("""COMPUTED_VALUE"""),"Desconto Na Parcela 5 De 5 Shoulder")</f>
        <v>Desconto Na Parcela 5 De 5 Shoulder</v>
      </c>
      <c r="D1046" s="2">
        <f ca="1">IFERROR(__xludf.DUMMYFUNCTION("""COMPUTED_VALUE"""),-2.14)</f>
        <v>-2.14</v>
      </c>
      <c r="E1046" s="1" t="str">
        <f ca="1">IFERROR(__xludf.DUMMYFUNCTION("""COMPUTED_VALUE"""),"-")</f>
        <v>-</v>
      </c>
      <c r="F1046" s="1" t="str">
        <f ca="1">IFERROR(__xludf.DUMMYFUNCTION("""COMPUTED_VALUE"""),"Desconto Na Parcela 5 De 5 Shoulder")</f>
        <v>Desconto Na Parcela 5 De 5 Shoulder</v>
      </c>
      <c r="G1046" s="1" t="str">
        <f ca="1">IFERROR(__xludf.DUMMYFUNCTION("""COMPUTED_VALUE"""),"-")</f>
        <v>-</v>
      </c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x14ac:dyDescent="0.2">
      <c r="A1047" s="6">
        <f ca="1">IFERROR(__xludf.DUMMYFUNCTION("""COMPUTED_VALUE"""),45992)</f>
        <v>45992</v>
      </c>
      <c r="B1047" s="1"/>
      <c r="C1047" s="1" t="str">
        <f ca="1">IFERROR(__xludf.DUMMYFUNCTION("""COMPUTED_VALUE"""),"Desconto Na Parcela 4 De 5 Shoulder")</f>
        <v>Desconto Na Parcela 4 De 5 Shoulder</v>
      </c>
      <c r="D1047" s="2">
        <f ca="1">IFERROR(__xludf.DUMMYFUNCTION("""COMPUTED_VALUE"""),-1.48)</f>
        <v>-1.48</v>
      </c>
      <c r="E1047" s="1" t="str">
        <f ca="1">IFERROR(__xludf.DUMMYFUNCTION("""COMPUTED_VALUE"""),"-")</f>
        <v>-</v>
      </c>
      <c r="F1047" s="1" t="str">
        <f ca="1">IFERROR(__xludf.DUMMYFUNCTION("""COMPUTED_VALUE"""),"Desconto Na Parcela 4 De 5 Shoulder")</f>
        <v>Desconto Na Parcela 4 De 5 Shoulder</v>
      </c>
      <c r="G1047" s="1" t="str">
        <f ca="1">IFERROR(__xludf.DUMMYFUNCTION("""COMPUTED_VALUE"""),"-")</f>
        <v>-</v>
      </c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x14ac:dyDescent="0.2">
      <c r="A1048" s="6">
        <f ca="1">IFERROR(__xludf.DUMMYFUNCTION("""COMPUTED_VALUE"""),45992)</f>
        <v>45992</v>
      </c>
      <c r="B1048" s="1"/>
      <c r="C1048" s="1" t="str">
        <f ca="1">IFERROR(__xludf.DUMMYFUNCTION("""COMPUTED_VALUE"""),"Desconto Na Parcela 4 De 5 Ciatoy Brinquedos")</f>
        <v>Desconto Na Parcela 4 De 5 Ciatoy Brinquedos</v>
      </c>
      <c r="D1048" s="2">
        <f ca="1">IFERROR(__xludf.DUMMYFUNCTION("""COMPUTED_VALUE"""),-0.42)</f>
        <v>-0.42</v>
      </c>
      <c r="E1048" s="1" t="str">
        <f ca="1">IFERROR(__xludf.DUMMYFUNCTION("""COMPUTED_VALUE"""),"-")</f>
        <v>-</v>
      </c>
      <c r="F1048" s="1" t="str">
        <f ca="1">IFERROR(__xludf.DUMMYFUNCTION("""COMPUTED_VALUE"""),"Desconto Na Parcela 4 De 5 Ciatoy Brinquedos")</f>
        <v>Desconto Na Parcela 4 De 5 Ciatoy Brinquedos</v>
      </c>
      <c r="G1048" s="1" t="str">
        <f ca="1">IFERROR(__xludf.DUMMYFUNCTION("""COMPUTED_VALUE"""),"-")</f>
        <v>-</v>
      </c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x14ac:dyDescent="0.2">
      <c r="A1049" s="6">
        <f ca="1">IFERROR(__xludf.DUMMYFUNCTION("""COMPUTED_VALUE"""),45992)</f>
        <v>45992</v>
      </c>
      <c r="B1049" s="1"/>
      <c r="C1049" s="1" t="str">
        <f ca="1">IFERROR(__xludf.DUMMYFUNCTION("""COMPUTED_VALUE"""),"Desconto Na Parcela 3 De 5 Ciatoy Brinquedos")</f>
        <v>Desconto Na Parcela 3 De 5 Ciatoy Brinquedos</v>
      </c>
      <c r="D1049" s="2">
        <f ca="1">IFERROR(__xludf.DUMMYFUNCTION("""COMPUTED_VALUE"""),-0.21)</f>
        <v>-0.21</v>
      </c>
      <c r="E1049" s="1" t="str">
        <f ca="1">IFERROR(__xludf.DUMMYFUNCTION("""COMPUTED_VALUE"""),"-")</f>
        <v>-</v>
      </c>
      <c r="F1049" s="1" t="str">
        <f ca="1">IFERROR(__xludf.DUMMYFUNCTION("""COMPUTED_VALUE"""),"Desconto Na Parcela 3 De 5 Ciatoy Brinquedos")</f>
        <v>Desconto Na Parcela 3 De 5 Ciatoy Brinquedos</v>
      </c>
      <c r="G1049" s="1" t="str">
        <f ca="1">IFERROR(__xludf.DUMMYFUNCTION("""COMPUTED_VALUE"""),"-")</f>
        <v>-</v>
      </c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x14ac:dyDescent="0.2">
      <c r="A1050" s="6">
        <f ca="1">IFERROR(__xludf.DUMMYFUNCTION("""COMPUTED_VALUE"""),45992)</f>
        <v>45992</v>
      </c>
      <c r="B1050" s="1"/>
      <c r="C1050" s="1" t="str">
        <f ca="1">IFERROR(__xludf.DUMMYFUNCTION("""COMPUTED_VALUE"""),"Desconto Na Parcela 3 De 5 Shoulder")</f>
        <v>Desconto Na Parcela 3 De 5 Shoulder</v>
      </c>
      <c r="D1050" s="2">
        <f ca="1">IFERROR(__xludf.DUMMYFUNCTION("""COMPUTED_VALUE"""),-0.74)</f>
        <v>-0.74</v>
      </c>
      <c r="E1050" s="1" t="str">
        <f ca="1">IFERROR(__xludf.DUMMYFUNCTION("""COMPUTED_VALUE"""),"-")</f>
        <v>-</v>
      </c>
      <c r="F1050" s="1" t="str">
        <f ca="1">IFERROR(__xludf.DUMMYFUNCTION("""COMPUTED_VALUE"""),"Desconto Na Parcela 3 De 5 Shoulder")</f>
        <v>Desconto Na Parcela 3 De 5 Shoulder</v>
      </c>
      <c r="G1050" s="1" t="str">
        <f ca="1">IFERROR(__xludf.DUMMYFUNCTION("""COMPUTED_VALUE"""),"-")</f>
        <v>-</v>
      </c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x14ac:dyDescent="0.2">
      <c r="A1051" s="6">
        <f ca="1">IFERROR(__xludf.DUMMYFUNCTION("""COMPUTED_VALUE"""),45992)</f>
        <v>45992</v>
      </c>
      <c r="B1051" s="1"/>
      <c r="C1051" s="1" t="str">
        <f ca="1">IFERROR(__xludf.DUMMYFUNCTION("""COMPUTED_VALUE"""),"Desconto Na Parcela 3 De 4 Cristiane Greice Costa")</f>
        <v>Desconto Na Parcela 3 De 4 Cristiane Greice Costa</v>
      </c>
      <c r="D1051" s="2">
        <f ca="1">IFERROR(__xludf.DUMMYFUNCTION("""COMPUTED_VALUE"""),-2.53)</f>
        <v>-2.5299999999999998</v>
      </c>
      <c r="E1051" s="1" t="str">
        <f ca="1">IFERROR(__xludf.DUMMYFUNCTION("""COMPUTED_VALUE"""),"-")</f>
        <v>-</v>
      </c>
      <c r="F1051" s="1" t="str">
        <f ca="1">IFERROR(__xludf.DUMMYFUNCTION("""COMPUTED_VALUE"""),"Desconto Na Parcela 3 De 4 Cristiane Greice Costa")</f>
        <v>Desconto Na Parcela 3 De 4 Cristiane Greice Costa</v>
      </c>
      <c r="G1051" s="1" t="str">
        <f ca="1">IFERROR(__xludf.DUMMYFUNCTION("""COMPUTED_VALUE"""),"-")</f>
        <v>-</v>
      </c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x14ac:dyDescent="0.2">
      <c r="A1052" s="6">
        <f ca="1">IFERROR(__xludf.DUMMYFUNCTION("""COMPUTED_VALUE"""),45992)</f>
        <v>45992</v>
      </c>
      <c r="B1052" s="1"/>
      <c r="C1052" s="1" t="str">
        <f ca="1">IFERROR(__xludf.DUMMYFUNCTION("""COMPUTED_VALUE"""),"Desconto Na Parcela 4 De 4 Cristiane Greice Costa")</f>
        <v>Desconto Na Parcela 4 De 4 Cristiane Greice Costa</v>
      </c>
      <c r="D1052" s="2">
        <f ca="1">IFERROR(__xludf.DUMMYFUNCTION("""COMPUTED_VALUE"""),-3.67)</f>
        <v>-3.67</v>
      </c>
      <c r="E1052" s="1" t="str">
        <f ca="1">IFERROR(__xludf.DUMMYFUNCTION("""COMPUTED_VALUE"""),"-")</f>
        <v>-</v>
      </c>
      <c r="F1052" s="1" t="str">
        <f ca="1">IFERROR(__xludf.DUMMYFUNCTION("""COMPUTED_VALUE"""),"Desconto Na Parcela 4 De 4 Cristiane Greice Costa")</f>
        <v>Desconto Na Parcela 4 De 4 Cristiane Greice Costa</v>
      </c>
      <c r="G1052" s="1" t="str">
        <f ca="1">IFERROR(__xludf.DUMMYFUNCTION("""COMPUTED_VALUE"""),"-")</f>
        <v>-</v>
      </c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x14ac:dyDescent="0.2">
      <c r="A1053" s="6">
        <f ca="1">IFERROR(__xludf.DUMMYFUNCTION("""COMPUTED_VALUE"""),45992)</f>
        <v>45992</v>
      </c>
      <c r="B1053" s="1"/>
      <c r="C1053" s="1" t="str">
        <f ca="1">IFERROR(__xludf.DUMMYFUNCTION("""COMPUTED_VALUE"""),"Desconto Na Parcela 2 De 4 Cristiane Greice Costa")</f>
        <v>Desconto Na Parcela 2 De 4 Cristiane Greice Costa</v>
      </c>
      <c r="D1053" s="2">
        <f ca="1">IFERROR(__xludf.DUMMYFUNCTION("""COMPUTED_VALUE"""),-1.27)</f>
        <v>-1.27</v>
      </c>
      <c r="E1053" s="1" t="str">
        <f ca="1">IFERROR(__xludf.DUMMYFUNCTION("""COMPUTED_VALUE"""),"-")</f>
        <v>-</v>
      </c>
      <c r="F1053" s="1" t="str">
        <f ca="1">IFERROR(__xludf.DUMMYFUNCTION("""COMPUTED_VALUE"""),"Desconto Na Parcela 2 De 4 Cristiane Greice Costa")</f>
        <v>Desconto Na Parcela 2 De 4 Cristiane Greice Costa</v>
      </c>
      <c r="G1053" s="1" t="str">
        <f ca="1">IFERROR(__xludf.DUMMYFUNCTION("""COMPUTED_VALUE"""),"-")</f>
        <v>-</v>
      </c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x14ac:dyDescent="0.2">
      <c r="A1054" s="6">
        <f ca="1">IFERROR(__xludf.DUMMYFUNCTION("""COMPUTED_VALUE"""),45992)</f>
        <v>45992</v>
      </c>
      <c r="B1054" s="1"/>
      <c r="C1054" s="1" t="str">
        <f ca="1">IFERROR(__xludf.DUMMYFUNCTION("""COMPUTED_VALUE"""),"Desconto Na Parcela 2 De 2 Lupo")</f>
        <v>Desconto Na Parcela 2 De 2 Lupo</v>
      </c>
      <c r="D1054" s="2">
        <f ca="1">IFERROR(__xludf.DUMMYFUNCTION("""COMPUTED_VALUE"""),-0.21)</f>
        <v>-0.21</v>
      </c>
      <c r="E1054" s="1" t="str">
        <f ca="1">IFERROR(__xludf.DUMMYFUNCTION("""COMPUTED_VALUE"""),"-")</f>
        <v>-</v>
      </c>
      <c r="F1054" s="1" t="str">
        <f ca="1">IFERROR(__xludf.DUMMYFUNCTION("""COMPUTED_VALUE"""),"Desconto Na Parcela 2 De 2 Lupo")</f>
        <v>Desconto Na Parcela 2 De 2 Lupo</v>
      </c>
      <c r="G1054" s="1" t="str">
        <f ca="1">IFERROR(__xludf.DUMMYFUNCTION("""COMPUTED_VALUE"""),"-")</f>
        <v>-</v>
      </c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x14ac:dyDescent="0.2">
      <c r="A1055" s="6">
        <f ca="1">IFERROR(__xludf.DUMMYFUNCTION("""COMPUTED_VALUE"""),45992)</f>
        <v>45992</v>
      </c>
      <c r="B1055" s="1"/>
      <c r="C1055" s="1" t="str">
        <f ca="1">IFERROR(__xludf.DUMMYFUNCTION("""COMPUTED_VALUE"""),"Desconto Na Parcela 3 De 3 Dma Distribuidora Sa")</f>
        <v>Desconto Na Parcela 3 De 3 Dma Distribuidora Sa</v>
      </c>
      <c r="D1055" s="2">
        <f ca="1">IFERROR(__xludf.DUMMYFUNCTION("""COMPUTED_VALUE"""),-0.64)</f>
        <v>-0.64</v>
      </c>
      <c r="E1055" s="1" t="str">
        <f ca="1">IFERROR(__xludf.DUMMYFUNCTION("""COMPUTED_VALUE"""),"-")</f>
        <v>-</v>
      </c>
      <c r="F1055" s="1" t="str">
        <f ca="1">IFERROR(__xludf.DUMMYFUNCTION("""COMPUTED_VALUE"""),"Desconto Na Parcela 3 De 3 Dma Distribuidora Sa")</f>
        <v>Desconto Na Parcela 3 De 3 Dma Distribuidora Sa</v>
      </c>
      <c r="G1055" s="1" t="str">
        <f ca="1">IFERROR(__xludf.DUMMYFUNCTION("""COMPUTED_VALUE"""),"-")</f>
        <v>-</v>
      </c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x14ac:dyDescent="0.2">
      <c r="A1056" s="6">
        <f ca="1">IFERROR(__xludf.DUMMYFUNCTION("""COMPUTED_VALUE"""),45992)</f>
        <v>45992</v>
      </c>
      <c r="B1056" s="1"/>
      <c r="C1056" s="1" t="str">
        <f ca="1">IFERROR(__xludf.DUMMYFUNCTION("""COMPUTED_VALUE"""),"Desconto Na Parcela 2 De 3 Dma Distribuidora Sa")</f>
        <v>Desconto Na Parcela 2 De 3 Dma Distribuidora Sa</v>
      </c>
      <c r="D1056" s="2">
        <f ca="1">IFERROR(__xludf.DUMMYFUNCTION("""COMPUTED_VALUE"""),-0.32)</f>
        <v>-0.32</v>
      </c>
      <c r="E1056" s="1" t="str">
        <f ca="1">IFERROR(__xludf.DUMMYFUNCTION("""COMPUTED_VALUE"""),"-")</f>
        <v>-</v>
      </c>
      <c r="F1056" s="1" t="str">
        <f ca="1">IFERROR(__xludf.DUMMYFUNCTION("""COMPUTED_VALUE"""),"Desconto Na Parcela 2 De 3 Dma Distribuidora Sa")</f>
        <v>Desconto Na Parcela 2 De 3 Dma Distribuidora Sa</v>
      </c>
      <c r="G1056" s="1" t="str">
        <f ca="1">IFERROR(__xludf.DUMMYFUNCTION("""COMPUTED_VALUE"""),"-")</f>
        <v>-</v>
      </c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x14ac:dyDescent="0.2">
      <c r="A1057" s="6">
        <f ca="1">IFERROR(__xludf.DUMMYFUNCTION("""COMPUTED_VALUE"""),45992)</f>
        <v>45992</v>
      </c>
      <c r="B1057" s="1"/>
      <c r="C1057" s="1" t="str">
        <f ca="1">IFERROR(__xludf.DUMMYFUNCTION("""COMPUTED_VALUE"""),"Desconto Na Parcela 4 De 4 Drogaria Ara Araujo")</f>
        <v>Desconto Na Parcela 4 De 4 Drogaria Ara Araujo</v>
      </c>
      <c r="D1057" s="2">
        <f ca="1">IFERROR(__xludf.DUMMYFUNCTION("""COMPUTED_VALUE"""),-0.72)</f>
        <v>-0.72</v>
      </c>
      <c r="E1057" s="1" t="str">
        <f ca="1">IFERROR(__xludf.DUMMYFUNCTION("""COMPUTED_VALUE"""),"-")</f>
        <v>-</v>
      </c>
      <c r="F1057" s="1" t="str">
        <f ca="1">IFERROR(__xludf.DUMMYFUNCTION("""COMPUTED_VALUE"""),"Desconto Na Parcela 4 De 4 Drogaria Ara Araujo")</f>
        <v>Desconto Na Parcela 4 De 4 Drogaria Ara Araujo</v>
      </c>
      <c r="G1057" s="1" t="str">
        <f ca="1">IFERROR(__xludf.DUMMYFUNCTION("""COMPUTED_VALUE"""),"-")</f>
        <v>-</v>
      </c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x14ac:dyDescent="0.2">
      <c r="A1058" s="6">
        <f ca="1">IFERROR(__xludf.DUMMYFUNCTION("""COMPUTED_VALUE"""),45992)</f>
        <v>45992</v>
      </c>
      <c r="B1058" s="1"/>
      <c r="C1058" s="1" t="str">
        <f ca="1">IFERROR(__xludf.DUMMYFUNCTION("""COMPUTED_VALUE"""),"Desconto Na Parcela 3 De 4 Drogaria Ara Araujo")</f>
        <v>Desconto Na Parcela 3 De 4 Drogaria Ara Araujo</v>
      </c>
      <c r="D1058" s="2">
        <f ca="1">IFERROR(__xludf.DUMMYFUNCTION("""COMPUTED_VALUE"""),-0.5)</f>
        <v>-0.5</v>
      </c>
      <c r="E1058" s="1" t="str">
        <f ca="1">IFERROR(__xludf.DUMMYFUNCTION("""COMPUTED_VALUE"""),"-")</f>
        <v>-</v>
      </c>
      <c r="F1058" s="1" t="str">
        <f ca="1">IFERROR(__xludf.DUMMYFUNCTION("""COMPUTED_VALUE"""),"Desconto Na Parcela 3 De 4 Drogaria Ara Araujo")</f>
        <v>Desconto Na Parcela 3 De 4 Drogaria Ara Araujo</v>
      </c>
      <c r="G1058" s="1" t="str">
        <f ca="1">IFERROR(__xludf.DUMMYFUNCTION("""COMPUTED_VALUE"""),"-")</f>
        <v>-</v>
      </c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x14ac:dyDescent="0.2">
      <c r="A1059" s="6">
        <f ca="1">IFERROR(__xludf.DUMMYFUNCTION("""COMPUTED_VALUE"""),45992)</f>
        <v>45992</v>
      </c>
      <c r="B1059" s="1"/>
      <c r="C1059" s="1" t="str">
        <f ca="1">IFERROR(__xludf.DUMMYFUNCTION("""COMPUTED_VALUE"""),"Desconto Na Parcela 2 De 4 Drogaria Ara Araujo")</f>
        <v>Desconto Na Parcela 2 De 4 Drogaria Ara Araujo</v>
      </c>
      <c r="D1059" s="2">
        <f ca="1">IFERROR(__xludf.DUMMYFUNCTION("""COMPUTED_VALUE"""),-0.25)</f>
        <v>-0.25</v>
      </c>
      <c r="E1059" s="1" t="str">
        <f ca="1">IFERROR(__xludf.DUMMYFUNCTION("""COMPUTED_VALUE"""),"-")</f>
        <v>-</v>
      </c>
      <c r="F1059" s="1" t="str">
        <f ca="1">IFERROR(__xludf.DUMMYFUNCTION("""COMPUTED_VALUE"""),"Desconto Na Parcela 2 De 4 Drogaria Ara Araujo")</f>
        <v>Desconto Na Parcela 2 De 4 Drogaria Ara Araujo</v>
      </c>
      <c r="G1059" s="1" t="str">
        <f ca="1">IFERROR(__xludf.DUMMYFUNCTION("""COMPUTED_VALUE"""),"-")</f>
        <v>-</v>
      </c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x14ac:dyDescent="0.2">
      <c r="A1060" s="6">
        <f ca="1">IFERROR(__xludf.DUMMYFUNCTION("""COMPUTED_VALUE"""),45992)</f>
        <v>45992</v>
      </c>
      <c r="B1060" s="1"/>
      <c r="C1060" s="1" t="str">
        <f ca="1">IFERROR(__xludf.DUMMYFUNCTION("""COMPUTED_VALUE"""),"Desconto Na Parcela 3 De 3 Mercado Livre")</f>
        <v>Desconto Na Parcela 3 De 3 Mercado Livre</v>
      </c>
      <c r="D1060" s="2">
        <f ca="1">IFERROR(__xludf.DUMMYFUNCTION("""COMPUTED_VALUE"""),-0.54)</f>
        <v>-0.54</v>
      </c>
      <c r="E1060" s="1" t="str">
        <f ca="1">IFERROR(__xludf.DUMMYFUNCTION("""COMPUTED_VALUE"""),"-")</f>
        <v>-</v>
      </c>
      <c r="F1060" s="1" t="str">
        <f ca="1">IFERROR(__xludf.DUMMYFUNCTION("""COMPUTED_VALUE"""),"Desconto Na Parcela 3 De 3 Mercado Livre")</f>
        <v>Desconto Na Parcela 3 De 3 Mercado Livre</v>
      </c>
      <c r="G1060" s="1" t="str">
        <f ca="1">IFERROR(__xludf.DUMMYFUNCTION("""COMPUTED_VALUE"""),"-")</f>
        <v>-</v>
      </c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x14ac:dyDescent="0.2">
      <c r="A1061" s="6">
        <f ca="1">IFERROR(__xludf.DUMMYFUNCTION("""COMPUTED_VALUE"""),45992)</f>
        <v>45992</v>
      </c>
      <c r="B1061" s="1"/>
      <c r="C1061" s="1" t="str">
        <f ca="1">IFERROR(__xludf.DUMMYFUNCTION("""COMPUTED_VALUE"""),"Desconto Na Parcela 2 De 3 Mercado Livre")</f>
        <v>Desconto Na Parcela 2 De 3 Mercado Livre</v>
      </c>
      <c r="D1061" s="2">
        <f ca="1">IFERROR(__xludf.DUMMYFUNCTION("""COMPUTED_VALUE"""),-0.27)</f>
        <v>-0.27</v>
      </c>
      <c r="E1061" s="1" t="str">
        <f ca="1">IFERROR(__xludf.DUMMYFUNCTION("""COMPUTED_VALUE"""),"-")</f>
        <v>-</v>
      </c>
      <c r="F1061" s="1" t="str">
        <f ca="1">IFERROR(__xludf.DUMMYFUNCTION("""COMPUTED_VALUE"""),"Desconto Na Parcela 2 De 3 Mercado Livre")</f>
        <v>Desconto Na Parcela 2 De 3 Mercado Livre</v>
      </c>
      <c r="G1061" s="1" t="str">
        <f ca="1">IFERROR(__xludf.DUMMYFUNCTION("""COMPUTED_VALUE"""),"-")</f>
        <v>-</v>
      </c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x14ac:dyDescent="0.2">
      <c r="A1062" s="6">
        <f ca="1">IFERROR(__xludf.DUMMYFUNCTION("""COMPUTED_VALUE"""),45992)</f>
        <v>45992</v>
      </c>
      <c r="B1062" s="1"/>
      <c r="C1062" s="1" t="str">
        <f ca="1">IFERROR(__xludf.DUMMYFUNCTION("""COMPUTED_VALUE"""),"Desconto Na Parcela 3 De 3 Mercado Livre")</f>
        <v>Desconto Na Parcela 3 De 3 Mercado Livre</v>
      </c>
      <c r="D1062" s="2">
        <f ca="1">IFERROR(__xludf.DUMMYFUNCTION("""COMPUTED_VALUE"""),-0.37)</f>
        <v>-0.37</v>
      </c>
      <c r="E1062" s="1" t="str">
        <f ca="1">IFERROR(__xludf.DUMMYFUNCTION("""COMPUTED_VALUE"""),"-")</f>
        <v>-</v>
      </c>
      <c r="F1062" s="1" t="str">
        <f ca="1">IFERROR(__xludf.DUMMYFUNCTION("""COMPUTED_VALUE"""),"Desconto Na Parcela 3 De 3 Mercado Livre")</f>
        <v>Desconto Na Parcela 3 De 3 Mercado Livre</v>
      </c>
      <c r="G1062" s="1" t="str">
        <f ca="1">IFERROR(__xludf.DUMMYFUNCTION("""COMPUTED_VALUE"""),"-")</f>
        <v>-</v>
      </c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x14ac:dyDescent="0.2">
      <c r="A1063" s="6">
        <f ca="1">IFERROR(__xludf.DUMMYFUNCTION("""COMPUTED_VALUE"""),45992)</f>
        <v>45992</v>
      </c>
      <c r="B1063" s="1"/>
      <c r="C1063" s="1" t="str">
        <f ca="1">IFERROR(__xludf.DUMMYFUNCTION("""COMPUTED_VALUE"""),"Desconto Na Parcela 2 De 3 Mercado Livre")</f>
        <v>Desconto Na Parcela 2 De 3 Mercado Livre</v>
      </c>
      <c r="D1063" s="2">
        <f ca="1">IFERROR(__xludf.DUMMYFUNCTION("""COMPUTED_VALUE"""),-0.19)</f>
        <v>-0.19</v>
      </c>
      <c r="E1063" s="1" t="str">
        <f ca="1">IFERROR(__xludf.DUMMYFUNCTION("""COMPUTED_VALUE"""),"-")</f>
        <v>-</v>
      </c>
      <c r="F1063" s="1" t="str">
        <f ca="1">IFERROR(__xludf.DUMMYFUNCTION("""COMPUTED_VALUE"""),"Desconto Na Parcela 2 De 3 Mercado Livre")</f>
        <v>Desconto Na Parcela 2 De 3 Mercado Livre</v>
      </c>
      <c r="G1063" s="1" t="str">
        <f ca="1">IFERROR(__xludf.DUMMYFUNCTION("""COMPUTED_VALUE"""),"-")</f>
        <v>-</v>
      </c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x14ac:dyDescent="0.2">
      <c r="A1064" s="6">
        <f ca="1">IFERROR(__xludf.DUMMYFUNCTION("""COMPUTED_VALUE"""),45992)</f>
        <v>45992</v>
      </c>
      <c r="B1064" s="1"/>
      <c r="C1064" s="1" t="str">
        <f ca="1">IFERROR(__xludf.DUMMYFUNCTION("""COMPUTED_VALUE"""),"Shoulder (5/5)")</f>
        <v>Shoulder (5/5)</v>
      </c>
      <c r="D1064" s="2">
        <f ca="1">IFERROR(__xludf.DUMMYFUNCTION("""COMPUTED_VALUE"""),197.19)</f>
        <v>197.19</v>
      </c>
      <c r="E1064" s="1" t="str">
        <f ca="1">IFERROR(__xludf.DUMMYFUNCTION("""COMPUTED_VALUE"""),"-")</f>
        <v>-</v>
      </c>
      <c r="F1064" s="1" t="str">
        <f ca="1">IFERROR(__xludf.DUMMYFUNCTION("""COMPUTED_VALUE"""),"Shoulder")</f>
        <v>Shoulder</v>
      </c>
      <c r="G1064" s="1" t="str">
        <f ca="1">IFERROR(__xludf.DUMMYFUNCTION("""COMPUTED_VALUE"""),"Compras")</f>
        <v>Compras</v>
      </c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x14ac:dyDescent="0.2">
      <c r="A1065" s="6">
        <f ca="1">IFERROR(__xludf.DUMMYFUNCTION("""COMPUTED_VALUE"""),45992)</f>
        <v>45992</v>
      </c>
      <c r="B1065" s="1"/>
      <c r="C1065" s="1" t="str">
        <f ca="1">IFERROR(__xludf.DUMMYFUNCTION("""COMPUTED_VALUE"""),"Shoulder (4/5)")</f>
        <v>Shoulder (4/5)</v>
      </c>
      <c r="D1065" s="2">
        <f ca="1">IFERROR(__xludf.DUMMYFUNCTION("""COMPUTED_VALUE"""),197.19)</f>
        <v>197.19</v>
      </c>
      <c r="E1065" s="1" t="str">
        <f ca="1">IFERROR(__xludf.DUMMYFUNCTION("""COMPUTED_VALUE"""),"-")</f>
        <v>-</v>
      </c>
      <c r="F1065" s="1" t="str">
        <f ca="1">IFERROR(__xludf.DUMMYFUNCTION("""COMPUTED_VALUE"""),"Shoulder")</f>
        <v>Shoulder</v>
      </c>
      <c r="G1065" s="1" t="str">
        <f ca="1">IFERROR(__xludf.DUMMYFUNCTION("""COMPUTED_VALUE"""),"Compras")</f>
        <v>Compras</v>
      </c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x14ac:dyDescent="0.2">
      <c r="A1066" s="6">
        <f ca="1">IFERROR(__xludf.DUMMYFUNCTION("""COMPUTED_VALUE"""),45992)</f>
        <v>45992</v>
      </c>
      <c r="B1066" s="1"/>
      <c r="C1066" s="1" t="str">
        <f ca="1">IFERROR(__xludf.DUMMYFUNCTION("""COMPUTED_VALUE"""),"Shoulder (3/5)")</f>
        <v>Shoulder (3/5)</v>
      </c>
      <c r="D1066" s="2">
        <f ca="1">IFERROR(__xludf.DUMMYFUNCTION("""COMPUTED_VALUE"""),197.19)</f>
        <v>197.19</v>
      </c>
      <c r="E1066" s="1" t="str">
        <f ca="1">IFERROR(__xludf.DUMMYFUNCTION("""COMPUTED_VALUE"""),"-")</f>
        <v>-</v>
      </c>
      <c r="F1066" s="1" t="str">
        <f ca="1">IFERROR(__xludf.DUMMYFUNCTION("""COMPUTED_VALUE"""),"Shoulder")</f>
        <v>Shoulder</v>
      </c>
      <c r="G1066" s="1" t="str">
        <f ca="1">IFERROR(__xludf.DUMMYFUNCTION("""COMPUTED_VALUE"""),"Compras")</f>
        <v>Compras</v>
      </c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x14ac:dyDescent="0.2">
      <c r="A1067" s="6">
        <f ca="1">IFERROR(__xludf.DUMMYFUNCTION("""COMPUTED_VALUE"""),45992)</f>
        <v>45992</v>
      </c>
      <c r="B1067" s="1"/>
      <c r="C1067" s="1" t="str">
        <f ca="1">IFERROR(__xludf.DUMMYFUNCTION("""COMPUTED_VALUE"""),"Shoulder (2/5)")</f>
        <v>Shoulder (2/5)</v>
      </c>
      <c r="D1067" s="2">
        <f ca="1">IFERROR(__xludf.DUMMYFUNCTION("""COMPUTED_VALUE"""),197.19)</f>
        <v>197.19</v>
      </c>
      <c r="E1067" s="1" t="str">
        <f ca="1">IFERROR(__xludf.DUMMYFUNCTION("""COMPUTED_VALUE"""),"-")</f>
        <v>-</v>
      </c>
      <c r="F1067" s="1" t="str">
        <f ca="1">IFERROR(__xludf.DUMMYFUNCTION("""COMPUTED_VALUE"""),"Shoulder")</f>
        <v>Shoulder</v>
      </c>
      <c r="G1067" s="1" t="str">
        <f ca="1">IFERROR(__xludf.DUMMYFUNCTION("""COMPUTED_VALUE"""),"Compras")</f>
        <v>Compras</v>
      </c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x14ac:dyDescent="0.2">
      <c r="A1068" s="6">
        <f ca="1">IFERROR(__xludf.DUMMYFUNCTION("""COMPUTED_VALUE"""),45992)</f>
        <v>45992</v>
      </c>
      <c r="B1068" s="1"/>
      <c r="C1068" s="1" t="str">
        <f ca="1">IFERROR(__xludf.DUMMYFUNCTION("""COMPUTED_VALUE"""),"Ciatoy Brinquedos (5/5)")</f>
        <v>Ciatoy Brinquedos (5/5)</v>
      </c>
      <c r="D1068" s="2">
        <f ca="1">IFERROR(__xludf.DUMMYFUNCTION("""COMPUTED_VALUE"""),55.8)</f>
        <v>55.8</v>
      </c>
      <c r="E1068" s="1" t="str">
        <f ca="1">IFERROR(__xludf.DUMMYFUNCTION("""COMPUTED_VALUE"""),"-")</f>
        <v>-</v>
      </c>
      <c r="F1068" s="1" t="str">
        <f ca="1">IFERROR(__xludf.DUMMYFUNCTION("""COMPUTED_VALUE"""),"Ciatoy Brinquedos")</f>
        <v>Ciatoy Brinquedos</v>
      </c>
      <c r="G1068" s="1" t="str">
        <f ca="1">IFERROR(__xludf.DUMMYFUNCTION("""COMPUTED_VALUE"""),"Compras")</f>
        <v>Compras</v>
      </c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x14ac:dyDescent="0.2">
      <c r="A1069" s="6">
        <f ca="1">IFERROR(__xludf.DUMMYFUNCTION("""COMPUTED_VALUE"""),45992)</f>
        <v>45992</v>
      </c>
      <c r="B1069" s="1"/>
      <c r="C1069" s="1" t="str">
        <f ca="1">IFERROR(__xludf.DUMMYFUNCTION("""COMPUTED_VALUE"""),"Ciatoy Brinquedos (4/5)")</f>
        <v>Ciatoy Brinquedos (4/5)</v>
      </c>
      <c r="D1069" s="2">
        <f ca="1">IFERROR(__xludf.DUMMYFUNCTION("""COMPUTED_VALUE"""),55.8)</f>
        <v>55.8</v>
      </c>
      <c r="E1069" s="1" t="str">
        <f ca="1">IFERROR(__xludf.DUMMYFUNCTION("""COMPUTED_VALUE"""),"-")</f>
        <v>-</v>
      </c>
      <c r="F1069" s="1" t="str">
        <f ca="1">IFERROR(__xludf.DUMMYFUNCTION("""COMPUTED_VALUE"""),"Ciatoy Brinquedos")</f>
        <v>Ciatoy Brinquedos</v>
      </c>
      <c r="G1069" s="1" t="str">
        <f ca="1">IFERROR(__xludf.DUMMYFUNCTION("""COMPUTED_VALUE"""),"Compras")</f>
        <v>Compras</v>
      </c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x14ac:dyDescent="0.2">
      <c r="A1070" s="6">
        <f ca="1">IFERROR(__xludf.DUMMYFUNCTION("""COMPUTED_VALUE"""),45992)</f>
        <v>45992</v>
      </c>
      <c r="B1070" s="1"/>
      <c r="C1070" s="1" t="str">
        <f ca="1">IFERROR(__xludf.DUMMYFUNCTION("""COMPUTED_VALUE"""),"Ciatoy Brinquedos (3/5)")</f>
        <v>Ciatoy Brinquedos (3/5)</v>
      </c>
      <c r="D1070" s="2">
        <f ca="1">IFERROR(__xludf.DUMMYFUNCTION("""COMPUTED_VALUE"""),55.8)</f>
        <v>55.8</v>
      </c>
      <c r="E1070" s="1" t="str">
        <f ca="1">IFERROR(__xludf.DUMMYFUNCTION("""COMPUTED_VALUE"""),"-")</f>
        <v>-</v>
      </c>
      <c r="F1070" s="1" t="str">
        <f ca="1">IFERROR(__xludf.DUMMYFUNCTION("""COMPUTED_VALUE"""),"Ciatoy Brinquedos")</f>
        <v>Ciatoy Brinquedos</v>
      </c>
      <c r="G1070" s="1" t="str">
        <f ca="1">IFERROR(__xludf.DUMMYFUNCTION("""COMPUTED_VALUE"""),"Compras")</f>
        <v>Compras</v>
      </c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x14ac:dyDescent="0.2">
      <c r="A1071" s="6">
        <f ca="1">IFERROR(__xludf.DUMMYFUNCTION("""COMPUTED_VALUE"""),45992)</f>
        <v>45992</v>
      </c>
      <c r="B1071" s="1"/>
      <c r="C1071" s="1" t="str">
        <f ca="1">IFERROR(__xludf.DUMMYFUNCTION("""COMPUTED_VALUE"""),"Ciatoy Brinquedos (2/5)")</f>
        <v>Ciatoy Brinquedos (2/5)</v>
      </c>
      <c r="D1071" s="2">
        <f ca="1">IFERROR(__xludf.DUMMYFUNCTION("""COMPUTED_VALUE"""),55.8)</f>
        <v>55.8</v>
      </c>
      <c r="E1071" s="1" t="str">
        <f ca="1">IFERROR(__xludf.DUMMYFUNCTION("""COMPUTED_VALUE"""),"-")</f>
        <v>-</v>
      </c>
      <c r="F1071" s="1" t="str">
        <f ca="1">IFERROR(__xludf.DUMMYFUNCTION("""COMPUTED_VALUE"""),"Ciatoy Brinquedos")</f>
        <v>Ciatoy Brinquedos</v>
      </c>
      <c r="G1071" s="1" t="str">
        <f ca="1">IFERROR(__xludf.DUMMYFUNCTION("""COMPUTED_VALUE"""),"Compras")</f>
        <v>Compras</v>
      </c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x14ac:dyDescent="0.2">
      <c r="A1072" s="6">
        <f ca="1">IFERROR(__xludf.DUMMYFUNCTION("""COMPUTED_VALUE"""),45992)</f>
        <v>45992</v>
      </c>
      <c r="B1072" s="1"/>
      <c r="C1072" s="1" t="str">
        <f ca="1">IFERROR(__xludf.DUMMYFUNCTION("""COMPUTED_VALUE"""),"Quality Eptg")</f>
        <v>Quality Eptg</v>
      </c>
      <c r="D1072" s="2">
        <f ca="1">IFERROR(__xludf.DUMMYFUNCTION("""COMPUTED_VALUE"""),181.45)</f>
        <v>181.45</v>
      </c>
      <c r="E1072" s="1" t="str">
        <f ca="1">IFERROR(__xludf.DUMMYFUNCTION("""COMPUTED_VALUE"""),"-")</f>
        <v>-</v>
      </c>
      <c r="F1072" s="1" t="str">
        <f ca="1">IFERROR(__xludf.DUMMYFUNCTION("""COMPUTED_VALUE"""),"Quality Eptg")</f>
        <v>Quality Eptg</v>
      </c>
      <c r="G1072" s="1" t="str">
        <f ca="1">IFERROR(__xludf.DUMMYFUNCTION("""COMPUTED_VALUE"""),"-")</f>
        <v>-</v>
      </c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x14ac:dyDescent="0.2">
      <c r="A1073" s="6">
        <f ca="1">IFERROR(__xludf.DUMMYFUNCTION("""COMPUTED_VALUE"""),45992)</f>
        <v>45992</v>
      </c>
      <c r="B1073" s="1"/>
      <c r="C1073" s="1" t="str">
        <f ca="1">IFERROR(__xludf.DUMMYFUNCTION("""COMPUTED_VALUE"""),"Empório Fazenda Velha")</f>
        <v>Empório Fazenda Velha</v>
      </c>
      <c r="D1073" s="2">
        <f ca="1">IFERROR(__xludf.DUMMYFUNCTION("""COMPUTED_VALUE"""),106)</f>
        <v>106</v>
      </c>
      <c r="E1073" s="1" t="str">
        <f ca="1">IFERROR(__xludf.DUMMYFUNCTION("""COMPUTED_VALUE"""),"-")</f>
        <v>-</v>
      </c>
      <c r="F1073" s="1" t="str">
        <f ca="1">IFERROR(__xludf.DUMMYFUNCTION("""COMPUTED_VALUE"""),"Empório Fazenda Velha")</f>
        <v>Empório Fazenda Velha</v>
      </c>
      <c r="G1073" s="1" t="str">
        <f ca="1">IFERROR(__xludf.DUMMYFUNCTION("""COMPUTED_VALUE"""),"Comida")</f>
        <v>Comida</v>
      </c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x14ac:dyDescent="0.2">
      <c r="A1074" s="6">
        <f ca="1">IFERROR(__xludf.DUMMYFUNCTION("""COMPUTED_VALUE"""),45992)</f>
        <v>45992</v>
      </c>
      <c r="B1074" s="1"/>
      <c r="C1074" s="1" t="str">
        <f ca="1">IFERROR(__xludf.DUMMYFUNCTION("""COMPUTED_VALUE"""),"Auto Posto Maquine")</f>
        <v>Auto Posto Maquine</v>
      </c>
      <c r="D1074" s="2">
        <f ca="1">IFERROR(__xludf.DUMMYFUNCTION("""COMPUTED_VALUE"""),153.95)</f>
        <v>153.94999999999999</v>
      </c>
      <c r="E1074" s="1" t="str">
        <f ca="1">IFERROR(__xludf.DUMMYFUNCTION("""COMPUTED_VALUE"""),"-")</f>
        <v>-</v>
      </c>
      <c r="F1074" s="1" t="str">
        <f ca="1">IFERROR(__xludf.DUMMYFUNCTION("""COMPUTED_VALUE"""),"Auto Posto Maquine")</f>
        <v>Auto Posto Maquine</v>
      </c>
      <c r="G1074" s="1" t="str">
        <f ca="1">IFERROR(__xludf.DUMMYFUNCTION("""COMPUTED_VALUE"""),"Carro")</f>
        <v>Carro</v>
      </c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x14ac:dyDescent="0.2">
      <c r="A1075" s="6">
        <f ca="1">IFERROR(__xludf.DUMMYFUNCTION("""COMPUTED_VALUE"""),45992)</f>
        <v>45992</v>
      </c>
      <c r="B1075" s="1"/>
      <c r="C1075" s="1" t="str">
        <f ca="1">IFERROR(__xludf.DUMMYFUNCTION("""COMPUTED_VALUE"""),"Delicias Da Mandy")</f>
        <v>Delicias Da Mandy</v>
      </c>
      <c r="D1075" s="2">
        <f ca="1">IFERROR(__xludf.DUMMYFUNCTION("""COMPUTED_VALUE"""),23.5)</f>
        <v>23.5</v>
      </c>
      <c r="E1075" s="1" t="str">
        <f ca="1">IFERROR(__xludf.DUMMYFUNCTION("""COMPUTED_VALUE"""),"-")</f>
        <v>-</v>
      </c>
      <c r="F1075" s="1" t="str">
        <f ca="1">IFERROR(__xludf.DUMMYFUNCTION("""COMPUTED_VALUE"""),"Delicias Da Mandy")</f>
        <v>Delicias Da Mandy</v>
      </c>
      <c r="G1075" s="1" t="str">
        <f ca="1">IFERROR(__xludf.DUMMYFUNCTION("""COMPUTED_VALUE"""),"Comida")</f>
        <v>Comida</v>
      </c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x14ac:dyDescent="0.2">
      <c r="A1076" s="6">
        <f ca="1">IFERROR(__xludf.DUMMYFUNCTION("""COMPUTED_VALUE"""),45992)</f>
        <v>45992</v>
      </c>
      <c r="B1076" s="1"/>
      <c r="C1076" s="1" t="str">
        <f ca="1">IFERROR(__xludf.DUMMYFUNCTION("""COMPUTED_VALUE"""),"Romerito")</f>
        <v>Romerito</v>
      </c>
      <c r="D1076" s="2">
        <f ca="1">IFERROR(__xludf.DUMMYFUNCTION("""COMPUTED_VALUE"""),150)</f>
        <v>150</v>
      </c>
      <c r="E1076" s="1" t="str">
        <f ca="1">IFERROR(__xludf.DUMMYFUNCTION("""COMPUTED_VALUE"""),"-")</f>
        <v>-</v>
      </c>
      <c r="F1076" s="1" t="str">
        <f ca="1">IFERROR(__xludf.DUMMYFUNCTION("""COMPUTED_VALUE"""),"Romerito")</f>
        <v>Romerito</v>
      </c>
      <c r="G1076" s="1" t="str">
        <f ca="1">IFERROR(__xludf.DUMMYFUNCTION("""COMPUTED_VALUE"""),"-")</f>
        <v>-</v>
      </c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x14ac:dyDescent="0.2">
      <c r="A1077" s="6">
        <f ca="1">IFERROR(__xludf.DUMMYFUNCTION("""COMPUTED_VALUE"""),45992)</f>
        <v>45992</v>
      </c>
      <c r="B1077" s="1"/>
      <c r="C1077" s="1" t="str">
        <f ca="1">IFERROR(__xludf.DUMMYFUNCTION("""COMPUTED_VALUE"""),"Mercado Livre")</f>
        <v>Mercado Livre</v>
      </c>
      <c r="D1077" s="2">
        <f ca="1">IFERROR(__xludf.DUMMYFUNCTION("""COMPUTED_VALUE"""),38.9)</f>
        <v>38.9</v>
      </c>
      <c r="E1077" s="1" t="str">
        <f ca="1">IFERROR(__xludf.DUMMYFUNCTION("""COMPUTED_VALUE"""),"-")</f>
        <v>-</v>
      </c>
      <c r="F1077" s="1" t="str">
        <f ca="1">IFERROR(__xludf.DUMMYFUNCTION("""COMPUTED_VALUE"""),"Mercado Livre")</f>
        <v>Mercado Livre</v>
      </c>
      <c r="G1077" s="1" t="str">
        <f ca="1">IFERROR(__xludf.DUMMYFUNCTION("""COMPUTED_VALUE"""),"Compras")</f>
        <v>Compras</v>
      </c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x14ac:dyDescent="0.2">
      <c r="A1078" s="6">
        <f ca="1">IFERROR(__xludf.DUMMYFUNCTION("""COMPUTED_VALUE"""),45992)</f>
        <v>45992</v>
      </c>
      <c r="B1078" s="1"/>
      <c r="C1078" s="1" t="str">
        <f ca="1">IFERROR(__xludf.DUMMYFUNCTION("""COMPUTED_VALUE"""),"Cristiane Greice Costa (4/4)")</f>
        <v>Cristiane Greice Costa (4/4)</v>
      </c>
      <c r="D1078" s="2">
        <f ca="1">IFERROR(__xludf.DUMMYFUNCTION("""COMPUTED_VALUE"""),337.5)</f>
        <v>337.5</v>
      </c>
      <c r="E1078" s="1" t="str">
        <f ca="1">IFERROR(__xludf.DUMMYFUNCTION("""COMPUTED_VALUE"""),"-")</f>
        <v>-</v>
      </c>
      <c r="F1078" s="1" t="str">
        <f ca="1">IFERROR(__xludf.DUMMYFUNCTION("""COMPUTED_VALUE"""),"Cristiane Greice Costa")</f>
        <v>Cristiane Greice Costa</v>
      </c>
      <c r="G1078" s="1" t="str">
        <f ca="1">IFERROR(__xludf.DUMMYFUNCTION("""COMPUTED_VALUE"""),"Saúde")</f>
        <v>Saúde</v>
      </c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x14ac:dyDescent="0.2">
      <c r="A1079" s="6">
        <f ca="1">IFERROR(__xludf.DUMMYFUNCTION("""COMPUTED_VALUE"""),45992)</f>
        <v>45992</v>
      </c>
      <c r="B1079" s="1"/>
      <c r="C1079" s="1" t="str">
        <f ca="1">IFERROR(__xludf.DUMMYFUNCTION("""COMPUTED_VALUE"""),"Cristiane Greice Costa (3/4)")</f>
        <v>Cristiane Greice Costa (3/4)</v>
      </c>
      <c r="D1079" s="2">
        <f ca="1">IFERROR(__xludf.DUMMYFUNCTION("""COMPUTED_VALUE"""),337.5)</f>
        <v>337.5</v>
      </c>
      <c r="E1079" s="1" t="str">
        <f ca="1">IFERROR(__xludf.DUMMYFUNCTION("""COMPUTED_VALUE"""),"-")</f>
        <v>-</v>
      </c>
      <c r="F1079" s="1" t="str">
        <f ca="1">IFERROR(__xludf.DUMMYFUNCTION("""COMPUTED_VALUE"""),"Cristiane Greice Costa")</f>
        <v>Cristiane Greice Costa</v>
      </c>
      <c r="G1079" s="1" t="str">
        <f ca="1">IFERROR(__xludf.DUMMYFUNCTION("""COMPUTED_VALUE"""),"Saúde")</f>
        <v>Saúde</v>
      </c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x14ac:dyDescent="0.2">
      <c r="A1080" s="6">
        <f ca="1">IFERROR(__xludf.DUMMYFUNCTION("""COMPUTED_VALUE"""),45992)</f>
        <v>45992</v>
      </c>
      <c r="B1080" s="1"/>
      <c r="C1080" s="1" t="str">
        <f ca="1">IFERROR(__xludf.DUMMYFUNCTION("""COMPUTED_VALUE"""),"Cristiane Greice Costa (2/4)")</f>
        <v>Cristiane Greice Costa (2/4)</v>
      </c>
      <c r="D1080" s="2">
        <f ca="1">IFERROR(__xludf.DUMMYFUNCTION("""COMPUTED_VALUE"""),337.5)</f>
        <v>337.5</v>
      </c>
      <c r="E1080" s="1" t="str">
        <f ca="1">IFERROR(__xludf.DUMMYFUNCTION("""COMPUTED_VALUE"""),"-")</f>
        <v>-</v>
      </c>
      <c r="F1080" s="1" t="str">
        <f ca="1">IFERROR(__xludf.DUMMYFUNCTION("""COMPUTED_VALUE"""),"Cristiane Greice Costa")</f>
        <v>Cristiane Greice Costa</v>
      </c>
      <c r="G1080" s="1" t="str">
        <f ca="1">IFERROR(__xludf.DUMMYFUNCTION("""COMPUTED_VALUE"""),"Saúde")</f>
        <v>Saúde</v>
      </c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x14ac:dyDescent="0.2">
      <c r="A1081" s="6">
        <f ca="1">IFERROR(__xludf.DUMMYFUNCTION("""COMPUTED_VALUE"""),45992)</f>
        <v>45992</v>
      </c>
      <c r="B1081" s="1"/>
      <c r="C1081" s="1" t="str">
        <f ca="1">IFERROR(__xludf.DUMMYFUNCTION("""COMPUTED_VALUE"""),"Cristiane Greice Costa (1/4)")</f>
        <v>Cristiane Greice Costa (1/4)</v>
      </c>
      <c r="D1081" s="2">
        <f ca="1">IFERROR(__xludf.DUMMYFUNCTION("""COMPUTED_VALUE"""),337.5)</f>
        <v>337.5</v>
      </c>
      <c r="E1081" s="1" t="str">
        <f ca="1">IFERROR(__xludf.DUMMYFUNCTION("""COMPUTED_VALUE"""),"-")</f>
        <v>-</v>
      </c>
      <c r="F1081" s="1" t="str">
        <f ca="1">IFERROR(__xludf.DUMMYFUNCTION("""COMPUTED_VALUE"""),"Cristiane Greice Costa")</f>
        <v>Cristiane Greice Costa</v>
      </c>
      <c r="G1081" s="1" t="str">
        <f ca="1">IFERROR(__xludf.DUMMYFUNCTION("""COMPUTED_VALUE"""),"Saúde")</f>
        <v>Saúde</v>
      </c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x14ac:dyDescent="0.2">
      <c r="A1082" s="6">
        <f ca="1">IFERROR(__xludf.DUMMYFUNCTION("""COMPUTED_VALUE"""),45992)</f>
        <v>45992</v>
      </c>
      <c r="B1082" s="1"/>
      <c r="C1082" s="1" t="str">
        <f ca="1">IFERROR(__xludf.DUMMYFUNCTION("""COMPUTED_VALUE"""),"Amazon Digital Br")</f>
        <v>Amazon Digital Br</v>
      </c>
      <c r="D1082" s="2">
        <f ca="1">IFERROR(__xludf.DUMMYFUNCTION("""COMPUTED_VALUE"""),27.93)</f>
        <v>27.93</v>
      </c>
      <c r="E1082" s="1" t="str">
        <f ca="1">IFERROR(__xludf.DUMMYFUNCTION("""COMPUTED_VALUE"""),"-")</f>
        <v>-</v>
      </c>
      <c r="F1082" s="1" t="str">
        <f ca="1">IFERROR(__xludf.DUMMYFUNCTION("""COMPUTED_VALUE"""),"Amazon Digital Br")</f>
        <v>Amazon Digital Br</v>
      </c>
      <c r="G1082" s="1" t="str">
        <f ca="1">IFERROR(__xludf.DUMMYFUNCTION("""COMPUTED_VALUE"""),"Compras")</f>
        <v>Compras</v>
      </c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x14ac:dyDescent="0.2">
      <c r="A1083" s="6">
        <f ca="1">IFERROR(__xludf.DUMMYFUNCTION("""COMPUTED_VALUE"""),45992)</f>
        <v>45992</v>
      </c>
      <c r="B1083" s="1"/>
      <c r="C1083" s="1" t="str">
        <f ca="1">IFERROR(__xludf.DUMMYFUNCTION("""COMPUTED_VALUE"""),"Amazon")</f>
        <v>Amazon</v>
      </c>
      <c r="D1083" s="2">
        <f ca="1">IFERROR(__xludf.DUMMYFUNCTION("""COMPUTED_VALUE"""),89.2)</f>
        <v>89.2</v>
      </c>
      <c r="E1083" s="1" t="str">
        <f ca="1">IFERROR(__xludf.DUMMYFUNCTION("""COMPUTED_VALUE"""),"-")</f>
        <v>-</v>
      </c>
      <c r="F1083" s="1" t="str">
        <f ca="1">IFERROR(__xludf.DUMMYFUNCTION("""COMPUTED_VALUE"""),"Amazon")</f>
        <v>Amazon</v>
      </c>
      <c r="G1083" s="1" t="str">
        <f ca="1">IFERROR(__xludf.DUMMYFUNCTION("""COMPUTED_VALUE"""),"Compras")</f>
        <v>Compras</v>
      </c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x14ac:dyDescent="0.2">
      <c r="A1084" s="6">
        <f ca="1">IFERROR(__xludf.DUMMYFUNCTION("""COMPUTED_VALUE"""),45992)</f>
        <v>45992</v>
      </c>
      <c r="B1084" s="1"/>
      <c r="C1084" s="1" t="str">
        <f ca="1">IFERROR(__xludf.DUMMYFUNCTION("""COMPUTED_VALUE"""),"Amazon")</f>
        <v>Amazon</v>
      </c>
      <c r="D1084" s="2">
        <f ca="1">IFERROR(__xludf.DUMMYFUNCTION("""COMPUTED_VALUE"""),21.47)</f>
        <v>21.47</v>
      </c>
      <c r="E1084" s="1" t="str">
        <f ca="1">IFERROR(__xludf.DUMMYFUNCTION("""COMPUTED_VALUE"""),"-")</f>
        <v>-</v>
      </c>
      <c r="F1084" s="1" t="str">
        <f ca="1">IFERROR(__xludf.DUMMYFUNCTION("""COMPUTED_VALUE"""),"Amazon")</f>
        <v>Amazon</v>
      </c>
      <c r="G1084" s="1" t="str">
        <f ca="1">IFERROR(__xludf.DUMMYFUNCTION("""COMPUTED_VALUE"""),"Compras")</f>
        <v>Compras</v>
      </c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x14ac:dyDescent="0.2">
      <c r="A1085" s="6">
        <f ca="1">IFERROR(__xludf.DUMMYFUNCTION("""COMPUTED_VALUE"""),45992)</f>
        <v>45992</v>
      </c>
      <c r="B1085" s="1"/>
      <c r="C1085" s="1" t="str">
        <f ca="1">IFERROR(__xludf.DUMMYFUNCTION("""COMPUTED_VALUE"""),"Amazon")</f>
        <v>Amazon</v>
      </c>
      <c r="D1085" s="2">
        <f ca="1">IFERROR(__xludf.DUMMYFUNCTION("""COMPUTED_VALUE"""),38)</f>
        <v>38</v>
      </c>
      <c r="E1085" s="1" t="str">
        <f ca="1">IFERROR(__xludf.DUMMYFUNCTION("""COMPUTED_VALUE"""),"-")</f>
        <v>-</v>
      </c>
      <c r="F1085" s="1" t="str">
        <f ca="1">IFERROR(__xludf.DUMMYFUNCTION("""COMPUTED_VALUE"""),"Amazon")</f>
        <v>Amazon</v>
      </c>
      <c r="G1085" s="1" t="str">
        <f ca="1">IFERROR(__xludf.DUMMYFUNCTION("""COMPUTED_VALUE"""),"Compras")</f>
        <v>Compras</v>
      </c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x14ac:dyDescent="0.2">
      <c r="A1086" s="6">
        <f ca="1">IFERROR(__xludf.DUMMYFUNCTION("""COMPUTED_VALUE"""),45992)</f>
        <v>45992</v>
      </c>
      <c r="B1086" s="1"/>
      <c r="C1086" s="1" t="str">
        <f ca="1">IFERROR(__xludf.DUMMYFUNCTION("""COMPUTED_VALUE"""),"Uber")</f>
        <v>Uber</v>
      </c>
      <c r="D1086" s="2">
        <f ca="1">IFERROR(__xludf.DUMMYFUNCTION("""COMPUTED_VALUE"""),26.95)</f>
        <v>26.95</v>
      </c>
      <c r="E1086" s="1" t="str">
        <f ca="1">IFERROR(__xludf.DUMMYFUNCTION("""COMPUTED_VALUE"""),"-")</f>
        <v>-</v>
      </c>
      <c r="F1086" s="1" t="str">
        <f ca="1">IFERROR(__xludf.DUMMYFUNCTION("""COMPUTED_VALUE"""),"Uber")</f>
        <v>Uber</v>
      </c>
      <c r="G1086" s="1" t="str">
        <f ca="1">IFERROR(__xludf.DUMMYFUNCTION("""COMPUTED_VALUE"""),"Uber/99")</f>
        <v>Uber/99</v>
      </c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x14ac:dyDescent="0.2">
      <c r="A1087" s="6">
        <f ca="1">IFERROR(__xludf.DUMMYFUNCTION("""COMPUTED_VALUE"""),45992)</f>
        <v>45992</v>
      </c>
      <c r="B1087" s="1"/>
      <c r="C1087" s="1" t="str">
        <f ca="1">IFERROR(__xludf.DUMMYFUNCTION("""COMPUTED_VALUE"""),"Uber")</f>
        <v>Uber</v>
      </c>
      <c r="D1087" s="2">
        <f ca="1">IFERROR(__xludf.DUMMYFUNCTION("""COMPUTED_VALUE"""),15.94)</f>
        <v>15.94</v>
      </c>
      <c r="E1087" s="1" t="str">
        <f ca="1">IFERROR(__xludf.DUMMYFUNCTION("""COMPUTED_VALUE"""),"-")</f>
        <v>-</v>
      </c>
      <c r="F1087" s="1" t="str">
        <f ca="1">IFERROR(__xludf.DUMMYFUNCTION("""COMPUTED_VALUE"""),"Uber")</f>
        <v>Uber</v>
      </c>
      <c r="G1087" s="1" t="str">
        <f ca="1">IFERROR(__xludf.DUMMYFUNCTION("""COMPUTED_VALUE"""),"Uber/99")</f>
        <v>Uber/99</v>
      </c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x14ac:dyDescent="0.2">
      <c r="A1088" s="6">
        <f ca="1">IFERROR(__xludf.DUMMYFUNCTION("""COMPUTED_VALUE"""),45992)</f>
        <v>45992</v>
      </c>
      <c r="B1088" s="1"/>
      <c r="C1088" s="1" t="str">
        <f ca="1">IFERROR(__xludf.DUMMYFUNCTION("""COMPUTED_VALUE"""),"Drogaria Araujo")</f>
        <v>Drogaria Araujo</v>
      </c>
      <c r="D1088" s="2">
        <f ca="1">IFERROR(__xludf.DUMMYFUNCTION("""COMPUTED_VALUE"""),13.59)</f>
        <v>13.59</v>
      </c>
      <c r="E1088" s="1" t="str">
        <f ca="1">IFERROR(__xludf.DUMMYFUNCTION("""COMPUTED_VALUE"""),"-")</f>
        <v>-</v>
      </c>
      <c r="F1088" s="1" t="str">
        <f ca="1">IFERROR(__xludf.DUMMYFUNCTION("""COMPUTED_VALUE"""),"Drogaria Araujo")</f>
        <v>Drogaria Araujo</v>
      </c>
      <c r="G1088" s="1" t="str">
        <f ca="1">IFERROR(__xludf.DUMMYFUNCTION("""COMPUTED_VALUE"""),"Farmácia")</f>
        <v>Farmácia</v>
      </c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x14ac:dyDescent="0.2">
      <c r="A1089" s="6">
        <f ca="1">IFERROR(__xludf.DUMMYFUNCTION("""COMPUTED_VALUE"""),45992)</f>
        <v>45992</v>
      </c>
      <c r="B1089" s="1"/>
      <c r="C1089" s="1" t="str">
        <f ca="1">IFERROR(__xludf.DUMMYFUNCTION("""COMPUTED_VALUE"""),"Drogaria Araujo")</f>
        <v>Drogaria Araujo</v>
      </c>
      <c r="D1089" s="2">
        <f ca="1">IFERROR(__xludf.DUMMYFUNCTION("""COMPUTED_VALUE"""),8.89)</f>
        <v>8.89</v>
      </c>
      <c r="E1089" s="1" t="str">
        <f ca="1">IFERROR(__xludf.DUMMYFUNCTION("""COMPUTED_VALUE"""),"-")</f>
        <v>-</v>
      </c>
      <c r="F1089" s="1" t="str">
        <f ca="1">IFERROR(__xludf.DUMMYFUNCTION("""COMPUTED_VALUE"""),"Drogaria Araujo")</f>
        <v>Drogaria Araujo</v>
      </c>
      <c r="G1089" s="1" t="str">
        <f ca="1">IFERROR(__xludf.DUMMYFUNCTION("""COMPUTED_VALUE"""),"Farmácia")</f>
        <v>Farmácia</v>
      </c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x14ac:dyDescent="0.2">
      <c r="A1090" s="6">
        <f ca="1">IFERROR(__xludf.DUMMYFUNCTION("""COMPUTED_VALUE"""),45992)</f>
        <v>45992</v>
      </c>
      <c r="B1090" s="1"/>
      <c r="C1090" s="1" t="str">
        <f ca="1">IFERROR(__xludf.DUMMYFUNCTION("""COMPUTED_VALUE"""),"Panif Mendes Sion")</f>
        <v>Panif Mendes Sion</v>
      </c>
      <c r="D1090" s="2">
        <f ca="1">IFERROR(__xludf.DUMMYFUNCTION("""COMPUTED_VALUE"""),3.5)</f>
        <v>3.5</v>
      </c>
      <c r="E1090" s="1" t="str">
        <f ca="1">IFERROR(__xludf.DUMMYFUNCTION("""COMPUTED_VALUE"""),"-")</f>
        <v>-</v>
      </c>
      <c r="F1090" s="1" t="str">
        <f ca="1">IFERROR(__xludf.DUMMYFUNCTION("""COMPUTED_VALUE"""),"Panif Mendes Sion")</f>
        <v>Panif Mendes Sion</v>
      </c>
      <c r="G1090" s="1" t="str">
        <f ca="1">IFERROR(__xludf.DUMMYFUNCTION("""COMPUTED_VALUE"""),"Comida")</f>
        <v>Comida</v>
      </c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x14ac:dyDescent="0.2">
      <c r="A1091" s="6">
        <f ca="1">IFERROR(__xludf.DUMMYFUNCTION("""COMPUTED_VALUE"""),45992)</f>
        <v>45992</v>
      </c>
      <c r="B1091" s="1"/>
      <c r="C1091" s="1" t="str">
        <f ca="1">IFERROR(__xludf.DUMMYFUNCTION("""COMPUTED_VALUE"""),"Lupo (2/2)")</f>
        <v>Lupo (2/2)</v>
      </c>
      <c r="D1091" s="2">
        <f ca="1">IFERROR(__xludf.DUMMYFUNCTION("""COMPUTED_VALUE"""),55.95)</f>
        <v>55.95</v>
      </c>
      <c r="E1091" s="1" t="str">
        <f ca="1">IFERROR(__xludf.DUMMYFUNCTION("""COMPUTED_VALUE"""),"-")</f>
        <v>-</v>
      </c>
      <c r="F1091" s="1" t="str">
        <f ca="1">IFERROR(__xludf.DUMMYFUNCTION("""COMPUTED_VALUE"""),"Lupo")</f>
        <v>Lupo</v>
      </c>
      <c r="G1091" s="1" t="str">
        <f ca="1">IFERROR(__xludf.DUMMYFUNCTION("""COMPUTED_VALUE"""),"Compras")</f>
        <v>Compras</v>
      </c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x14ac:dyDescent="0.2">
      <c r="A1092" s="6">
        <f ca="1">IFERROR(__xludf.DUMMYFUNCTION("""COMPUTED_VALUE"""),45992)</f>
        <v>45992</v>
      </c>
      <c r="B1092" s="1"/>
      <c r="C1092" s="1" t="str">
        <f ca="1">IFERROR(__xludf.DUMMYFUNCTION("""COMPUTED_VALUE"""),"Lupo (1/2)")</f>
        <v>Lupo (1/2)</v>
      </c>
      <c r="D1092" s="2">
        <f ca="1">IFERROR(__xludf.DUMMYFUNCTION("""COMPUTED_VALUE"""),55.95)</f>
        <v>55.95</v>
      </c>
      <c r="E1092" s="1" t="str">
        <f ca="1">IFERROR(__xludf.DUMMYFUNCTION("""COMPUTED_VALUE"""),"-")</f>
        <v>-</v>
      </c>
      <c r="F1092" s="1" t="str">
        <f ca="1">IFERROR(__xludf.DUMMYFUNCTION("""COMPUTED_VALUE"""),"Lupo")</f>
        <v>Lupo</v>
      </c>
      <c r="G1092" s="1" t="str">
        <f ca="1">IFERROR(__xludf.DUMMYFUNCTION("""COMPUTED_VALUE"""),"Compras")</f>
        <v>Compras</v>
      </c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x14ac:dyDescent="0.2">
      <c r="A1093" s="6">
        <f ca="1">IFERROR(__xludf.DUMMYFUNCTION("""COMPUTED_VALUE"""),45992)</f>
        <v>45992</v>
      </c>
      <c r="B1093" s="1"/>
      <c r="C1093" s="1" t="str">
        <f ca="1">IFERROR(__xludf.DUMMYFUNCTION("""COMPUTED_VALUE"""),"Panif Mendes Sion")</f>
        <v>Panif Mendes Sion</v>
      </c>
      <c r="D1093" s="2">
        <f ca="1">IFERROR(__xludf.DUMMYFUNCTION("""COMPUTED_VALUE"""),3.5)</f>
        <v>3.5</v>
      </c>
      <c r="E1093" s="1" t="str">
        <f ca="1">IFERROR(__xludf.DUMMYFUNCTION("""COMPUTED_VALUE"""),"-")</f>
        <v>-</v>
      </c>
      <c r="F1093" s="1" t="str">
        <f ca="1">IFERROR(__xludf.DUMMYFUNCTION("""COMPUTED_VALUE"""),"Panif Mendes Sion")</f>
        <v>Panif Mendes Sion</v>
      </c>
      <c r="G1093" s="1" t="str">
        <f ca="1">IFERROR(__xludf.DUMMYFUNCTION("""COMPUTED_VALUE"""),"Comida")</f>
        <v>Comida</v>
      </c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x14ac:dyDescent="0.2">
      <c r="A1094" s="6">
        <f ca="1">IFERROR(__xludf.DUMMYFUNCTION("""COMPUTED_VALUE"""),45992)</f>
        <v>45992</v>
      </c>
      <c r="B1094" s="1"/>
      <c r="C1094" s="1" t="str">
        <f ca="1">IFERROR(__xludf.DUMMYFUNCTION("""COMPUTED_VALUE"""),"Amazon Digital Br")</f>
        <v>Amazon Digital Br</v>
      </c>
      <c r="D1094" s="2">
        <f ca="1">IFERROR(__xludf.DUMMYFUNCTION("""COMPUTED_VALUE"""),34.9)</f>
        <v>34.9</v>
      </c>
      <c r="E1094" s="1" t="str">
        <f ca="1">IFERROR(__xludf.DUMMYFUNCTION("""COMPUTED_VALUE"""),"-")</f>
        <v>-</v>
      </c>
      <c r="F1094" s="1" t="str">
        <f ca="1">IFERROR(__xludf.DUMMYFUNCTION("""COMPUTED_VALUE"""),"Amazon Digital Br")</f>
        <v>Amazon Digital Br</v>
      </c>
      <c r="G1094" s="1" t="str">
        <f ca="1">IFERROR(__xludf.DUMMYFUNCTION("""COMPUTED_VALUE"""),"Compras")</f>
        <v>Compras</v>
      </c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x14ac:dyDescent="0.2">
      <c r="A1095" s="6">
        <f ca="1">IFERROR(__xludf.DUMMYFUNCTION("""COMPUTED_VALUE"""),45992)</f>
        <v>45992</v>
      </c>
      <c r="B1095" s="1"/>
      <c r="C1095" s="1" t="str">
        <f ca="1">IFERROR(__xludf.DUMMYFUNCTION("""COMPUTED_VALUE"""),"Supermercado &amp; Padaria")</f>
        <v>Supermercado &amp; Padaria</v>
      </c>
      <c r="D1095" s="2">
        <f ca="1">IFERROR(__xludf.DUMMYFUNCTION("""COMPUTED_VALUE"""),241.57)</f>
        <v>241.57</v>
      </c>
      <c r="E1095" s="1" t="str">
        <f ca="1">IFERROR(__xludf.DUMMYFUNCTION("""COMPUTED_VALUE"""),"-")</f>
        <v>-</v>
      </c>
      <c r="F1095" s="1" t="str">
        <f ca="1">IFERROR(__xludf.DUMMYFUNCTION("""COMPUTED_VALUE"""),"Supermercado &amp; Padaria")</f>
        <v>Supermercado &amp; Padaria</v>
      </c>
      <c r="G1095" s="1" t="str">
        <f ca="1">IFERROR(__xludf.DUMMYFUNCTION("""COMPUTED_VALUE"""),"Comida")</f>
        <v>Comida</v>
      </c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x14ac:dyDescent="0.2">
      <c r="A1096" s="6">
        <f ca="1">IFERROR(__xludf.DUMMYFUNCTION("""COMPUTED_VALUE"""),45992)</f>
        <v>45992</v>
      </c>
      <c r="B1096" s="1"/>
      <c r="C1096" s="1" t="str">
        <f ca="1">IFERROR(__xludf.DUMMYFUNCTION("""COMPUTED_VALUE"""),"Dma Distribuidora Sa (3/3)")</f>
        <v>Dma Distribuidora Sa (3/3)</v>
      </c>
      <c r="D1096" s="2">
        <f ca="1">IFERROR(__xludf.DUMMYFUNCTION("""COMPUTED_VALUE"""),85.95)</f>
        <v>85.95</v>
      </c>
      <c r="E1096" s="1" t="str">
        <f ca="1">IFERROR(__xludf.DUMMYFUNCTION("""COMPUTED_VALUE"""),"-")</f>
        <v>-</v>
      </c>
      <c r="F1096" s="1" t="str">
        <f ca="1">IFERROR(__xludf.DUMMYFUNCTION("""COMPUTED_VALUE"""),"Dma Distribuidora Sa")</f>
        <v>Dma Distribuidora Sa</v>
      </c>
      <c r="G1096" s="1" t="str">
        <f ca="1">IFERROR(__xludf.DUMMYFUNCTION("""COMPUTED_VALUE"""),"Supermercado")</f>
        <v>Supermercado</v>
      </c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x14ac:dyDescent="0.2">
      <c r="A1097" s="6">
        <f ca="1">IFERROR(__xludf.DUMMYFUNCTION("""COMPUTED_VALUE"""),45992)</f>
        <v>45992</v>
      </c>
      <c r="B1097" s="1"/>
      <c r="C1097" s="1" t="str">
        <f ca="1">IFERROR(__xludf.DUMMYFUNCTION("""COMPUTED_VALUE"""),"Dma Distribuidora Sa (2/3)")</f>
        <v>Dma Distribuidora Sa (2/3)</v>
      </c>
      <c r="D1097" s="2">
        <f ca="1">IFERROR(__xludf.DUMMYFUNCTION("""COMPUTED_VALUE"""),85.95)</f>
        <v>85.95</v>
      </c>
      <c r="E1097" s="1" t="str">
        <f ca="1">IFERROR(__xludf.DUMMYFUNCTION("""COMPUTED_VALUE"""),"-")</f>
        <v>-</v>
      </c>
      <c r="F1097" s="1" t="str">
        <f ca="1">IFERROR(__xludf.DUMMYFUNCTION("""COMPUTED_VALUE"""),"Dma Distribuidora Sa")</f>
        <v>Dma Distribuidora Sa</v>
      </c>
      <c r="G1097" s="1" t="str">
        <f ca="1">IFERROR(__xludf.DUMMYFUNCTION("""COMPUTED_VALUE"""),"Supermercado")</f>
        <v>Supermercado</v>
      </c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x14ac:dyDescent="0.2">
      <c r="A1098" s="6">
        <f ca="1">IFERROR(__xludf.DUMMYFUNCTION("""COMPUTED_VALUE"""),45992)</f>
        <v>45992</v>
      </c>
      <c r="B1098" s="1"/>
      <c r="C1098" s="1" t="str">
        <f ca="1">IFERROR(__xludf.DUMMYFUNCTION("""COMPUTED_VALUE"""),"Dma Distribuidora Sa (1/3)")</f>
        <v>Dma Distribuidora Sa (1/3)</v>
      </c>
      <c r="D1098" s="2">
        <f ca="1">IFERROR(__xludf.DUMMYFUNCTION("""COMPUTED_VALUE"""),85.95)</f>
        <v>85.95</v>
      </c>
      <c r="E1098" s="1" t="str">
        <f ca="1">IFERROR(__xludf.DUMMYFUNCTION("""COMPUTED_VALUE"""),"-")</f>
        <v>-</v>
      </c>
      <c r="F1098" s="1" t="str">
        <f ca="1">IFERROR(__xludf.DUMMYFUNCTION("""COMPUTED_VALUE"""),"Dma Distribuidora Sa")</f>
        <v>Dma Distribuidora Sa</v>
      </c>
      <c r="G1098" s="1" t="str">
        <f ca="1">IFERROR(__xludf.DUMMYFUNCTION("""COMPUTED_VALUE"""),"Supermercado")</f>
        <v>Supermercado</v>
      </c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x14ac:dyDescent="0.2">
      <c r="A1099" s="6">
        <f ca="1">IFERROR(__xludf.DUMMYFUNCTION("""COMPUTED_VALUE"""),45992)</f>
        <v>45992</v>
      </c>
      <c r="B1099" s="1"/>
      <c r="C1099" s="1" t="str">
        <f ca="1">IFERROR(__xludf.DUMMYFUNCTION("""COMPUTED_VALUE"""),"Shopee")</f>
        <v>Shopee</v>
      </c>
      <c r="D1099" s="2">
        <f ca="1">IFERROR(__xludf.DUMMYFUNCTION("""COMPUTED_VALUE"""),19.95)</f>
        <v>19.95</v>
      </c>
      <c r="E1099" s="1" t="str">
        <f ca="1">IFERROR(__xludf.DUMMYFUNCTION("""COMPUTED_VALUE"""),"-")</f>
        <v>-</v>
      </c>
      <c r="F1099" s="1" t="str">
        <f ca="1">IFERROR(__xludf.DUMMYFUNCTION("""COMPUTED_VALUE"""),"Shopee")</f>
        <v>Shopee</v>
      </c>
      <c r="G1099" s="1" t="str">
        <f ca="1">IFERROR(__xludf.DUMMYFUNCTION("""COMPUTED_VALUE"""),"Compras")</f>
        <v>Compras</v>
      </c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x14ac:dyDescent="0.2">
      <c r="A1100" s="6">
        <f ca="1">IFERROR(__xludf.DUMMYFUNCTION("""COMPUTED_VALUE"""),45992)</f>
        <v>45992</v>
      </c>
      <c r="B1100" s="1"/>
      <c r="C1100" s="1" t="str">
        <f ca="1">IFERROR(__xludf.DUMMYFUNCTION("""COMPUTED_VALUE"""),"Amazon")</f>
        <v>Amazon</v>
      </c>
      <c r="D1100" s="2">
        <f ca="1">IFERROR(__xludf.DUMMYFUNCTION("""COMPUTED_VALUE"""),19.9)</f>
        <v>19.899999999999999</v>
      </c>
      <c r="E1100" s="1" t="str">
        <f ca="1">IFERROR(__xludf.DUMMYFUNCTION("""COMPUTED_VALUE"""),"-")</f>
        <v>-</v>
      </c>
      <c r="F1100" s="1" t="str">
        <f ca="1">IFERROR(__xludf.DUMMYFUNCTION("""COMPUTED_VALUE"""),"Amazon")</f>
        <v>Amazon</v>
      </c>
      <c r="G1100" s="1" t="str">
        <f ca="1">IFERROR(__xludf.DUMMYFUNCTION("""COMPUTED_VALUE"""),"Compras")</f>
        <v>Compras</v>
      </c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x14ac:dyDescent="0.2">
      <c r="A1101" s="6">
        <f ca="1">IFERROR(__xludf.DUMMYFUNCTION("""COMPUTED_VALUE"""),45992)</f>
        <v>45992</v>
      </c>
      <c r="B1101" s="1"/>
      <c r="C1101" s="1" t="str">
        <f ca="1">IFERROR(__xludf.DUMMYFUNCTION("""COMPUTED_VALUE"""),"Maria De Fatima Costa")</f>
        <v>Maria De Fatima Costa</v>
      </c>
      <c r="D1101" s="2">
        <f ca="1">IFERROR(__xludf.DUMMYFUNCTION("""COMPUTED_VALUE"""),132)</f>
        <v>132</v>
      </c>
      <c r="E1101" s="1" t="str">
        <f ca="1">IFERROR(__xludf.DUMMYFUNCTION("""COMPUTED_VALUE"""),"-")</f>
        <v>-</v>
      </c>
      <c r="F1101" s="1" t="str">
        <f ca="1">IFERROR(__xludf.DUMMYFUNCTION("""COMPUTED_VALUE"""),"Maria De Fatima Costa")</f>
        <v>Maria De Fatima Costa</v>
      </c>
      <c r="G1101" s="1" t="str">
        <f ca="1">IFERROR(__xludf.DUMMYFUNCTION("""COMPUTED_VALUE"""),"-")</f>
        <v>-</v>
      </c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x14ac:dyDescent="0.2">
      <c r="A1102" s="6">
        <f ca="1">IFERROR(__xludf.DUMMYFUNCTION("""COMPUTED_VALUE"""),45992)</f>
        <v>45992</v>
      </c>
      <c r="B1102" s="1"/>
      <c r="C1102" s="1" t="str">
        <f ca="1">IFERROR(__xludf.DUMMYFUNCTION("""COMPUTED_VALUE"""),"Amazonmktplc Luisvicen")</f>
        <v>Amazonmktplc Luisvicen</v>
      </c>
      <c r="D1102" s="2">
        <f ca="1">IFERROR(__xludf.DUMMYFUNCTION("""COMPUTED_VALUE"""),23.59)</f>
        <v>23.59</v>
      </c>
      <c r="E1102" s="1" t="str">
        <f ca="1">IFERROR(__xludf.DUMMYFUNCTION("""COMPUTED_VALUE"""),"-")</f>
        <v>-</v>
      </c>
      <c r="F1102" s="1" t="str">
        <f ca="1">IFERROR(__xludf.DUMMYFUNCTION("""COMPUTED_VALUE"""),"Amazonmktplc")</f>
        <v>Amazonmktplc</v>
      </c>
      <c r="G1102" s="1" t="str">
        <f ca="1">IFERROR(__xludf.DUMMYFUNCTION("""COMPUTED_VALUE"""),"Compras")</f>
        <v>Compras</v>
      </c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x14ac:dyDescent="0.2">
      <c r="A1103" s="6">
        <f ca="1">IFERROR(__xludf.DUMMYFUNCTION("""COMPUTED_VALUE"""),45992)</f>
        <v>45992</v>
      </c>
      <c r="B1103" s="1"/>
      <c r="C1103" s="1" t="str">
        <f ca="1">IFERROR(__xludf.DUMMYFUNCTION("""COMPUTED_VALUE"""),"Drogaria Ara Araujo (4/4)")</f>
        <v>Drogaria Ara Araujo (4/4)</v>
      </c>
      <c r="D1103" s="2">
        <f ca="1">IFERROR(__xludf.DUMMYFUNCTION("""COMPUTED_VALUE"""),65.99)</f>
        <v>65.989999999999995</v>
      </c>
      <c r="E1103" s="1" t="str">
        <f ca="1">IFERROR(__xludf.DUMMYFUNCTION("""COMPUTED_VALUE"""),"-")</f>
        <v>-</v>
      </c>
      <c r="F1103" s="1" t="str">
        <f ca="1">IFERROR(__xludf.DUMMYFUNCTION("""COMPUTED_VALUE"""),"Drogaria Ara Araujo")</f>
        <v>Drogaria Ara Araujo</v>
      </c>
      <c r="G1103" s="1" t="str">
        <f ca="1">IFERROR(__xludf.DUMMYFUNCTION("""COMPUTED_VALUE"""),"Farmácia")</f>
        <v>Farmácia</v>
      </c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x14ac:dyDescent="0.2">
      <c r="A1104" s="6">
        <f ca="1">IFERROR(__xludf.DUMMYFUNCTION("""COMPUTED_VALUE"""),45992)</f>
        <v>45992</v>
      </c>
      <c r="B1104" s="1"/>
      <c r="C1104" s="1" t="str">
        <f ca="1">IFERROR(__xludf.DUMMYFUNCTION("""COMPUTED_VALUE"""),"Drogaria Ara Araujo (3/4)")</f>
        <v>Drogaria Ara Araujo (3/4)</v>
      </c>
      <c r="D1104" s="2">
        <f ca="1">IFERROR(__xludf.DUMMYFUNCTION("""COMPUTED_VALUE"""),65.99)</f>
        <v>65.989999999999995</v>
      </c>
      <c r="E1104" s="1" t="str">
        <f ca="1">IFERROR(__xludf.DUMMYFUNCTION("""COMPUTED_VALUE"""),"-")</f>
        <v>-</v>
      </c>
      <c r="F1104" s="1" t="str">
        <f ca="1">IFERROR(__xludf.DUMMYFUNCTION("""COMPUTED_VALUE"""),"Drogaria Ara Araujo")</f>
        <v>Drogaria Ara Araujo</v>
      </c>
      <c r="G1104" s="1" t="str">
        <f ca="1">IFERROR(__xludf.DUMMYFUNCTION("""COMPUTED_VALUE"""),"Farmácia")</f>
        <v>Farmácia</v>
      </c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x14ac:dyDescent="0.2">
      <c r="A1105" s="6">
        <f ca="1">IFERROR(__xludf.DUMMYFUNCTION("""COMPUTED_VALUE"""),45992)</f>
        <v>45992</v>
      </c>
      <c r="B1105" s="1"/>
      <c r="C1105" s="1" t="str">
        <f ca="1">IFERROR(__xludf.DUMMYFUNCTION("""COMPUTED_VALUE"""),"Drogaria Ara Araujo (2/4)")</f>
        <v>Drogaria Ara Araujo (2/4)</v>
      </c>
      <c r="D1105" s="2">
        <f ca="1">IFERROR(__xludf.DUMMYFUNCTION("""COMPUTED_VALUE"""),65.99)</f>
        <v>65.989999999999995</v>
      </c>
      <c r="E1105" s="1" t="str">
        <f ca="1">IFERROR(__xludf.DUMMYFUNCTION("""COMPUTED_VALUE"""),"-")</f>
        <v>-</v>
      </c>
      <c r="F1105" s="1" t="str">
        <f ca="1">IFERROR(__xludf.DUMMYFUNCTION("""COMPUTED_VALUE"""),"Drogaria Ara Araujo")</f>
        <v>Drogaria Ara Araujo</v>
      </c>
      <c r="G1105" s="1" t="str">
        <f ca="1">IFERROR(__xludf.DUMMYFUNCTION("""COMPUTED_VALUE"""),"Farmácia")</f>
        <v>Farmácia</v>
      </c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x14ac:dyDescent="0.2">
      <c r="A1106" s="6">
        <f ca="1">IFERROR(__xludf.DUMMYFUNCTION("""COMPUTED_VALUE"""),45992)</f>
        <v>45992</v>
      </c>
      <c r="B1106" s="1"/>
      <c r="C1106" s="1" t="str">
        <f ca="1">IFERROR(__xludf.DUMMYFUNCTION("""COMPUTED_VALUE"""),"Drogaria Ara Araujo (1/4)")</f>
        <v>Drogaria Ara Araujo (1/4)</v>
      </c>
      <c r="D1106" s="2">
        <f ca="1">IFERROR(__xludf.DUMMYFUNCTION("""COMPUTED_VALUE"""),66.02)</f>
        <v>66.02</v>
      </c>
      <c r="E1106" s="1" t="str">
        <f ca="1">IFERROR(__xludf.DUMMYFUNCTION("""COMPUTED_VALUE"""),"-")</f>
        <v>-</v>
      </c>
      <c r="F1106" s="1" t="str">
        <f ca="1">IFERROR(__xludf.DUMMYFUNCTION("""COMPUTED_VALUE"""),"Drogaria Ara Araujo")</f>
        <v>Drogaria Ara Araujo</v>
      </c>
      <c r="G1106" s="1" t="str">
        <f ca="1">IFERROR(__xludf.DUMMYFUNCTION("""COMPUTED_VALUE"""),"Farmácia")</f>
        <v>Farmácia</v>
      </c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x14ac:dyDescent="0.2">
      <c r="A1107" s="6">
        <f ca="1">IFERROR(__xludf.DUMMYFUNCTION("""COMPUTED_VALUE"""),45992)</f>
        <v>45992</v>
      </c>
      <c r="B1107" s="1"/>
      <c r="C1107" s="1" t="str">
        <f ca="1">IFERROR(__xludf.DUMMYFUNCTION("""COMPUTED_VALUE"""),"Drogaria Ara Araujo")</f>
        <v>Drogaria Ara Araujo</v>
      </c>
      <c r="D1107" s="2">
        <f ca="1">IFERROR(__xludf.DUMMYFUNCTION("""COMPUTED_VALUE"""),45.99)</f>
        <v>45.99</v>
      </c>
      <c r="E1107" s="1" t="str">
        <f ca="1">IFERROR(__xludf.DUMMYFUNCTION("""COMPUTED_VALUE"""),"-")</f>
        <v>-</v>
      </c>
      <c r="F1107" s="1" t="str">
        <f ca="1">IFERROR(__xludf.DUMMYFUNCTION("""COMPUTED_VALUE"""),"Drogaria Ara Araujo")</f>
        <v>Drogaria Ara Araujo</v>
      </c>
      <c r="G1107" s="1" t="str">
        <f ca="1">IFERROR(__xludf.DUMMYFUNCTION("""COMPUTED_VALUE"""),"Farmácia")</f>
        <v>Farmácia</v>
      </c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x14ac:dyDescent="0.2">
      <c r="A1108" s="6">
        <f ca="1">IFERROR(__xludf.DUMMYFUNCTION("""COMPUTED_VALUE"""),45992)</f>
        <v>45992</v>
      </c>
      <c r="B1108" s="1"/>
      <c r="C1108" s="1" t="str">
        <f ca="1">IFERROR(__xludf.DUMMYFUNCTION("""COMPUTED_VALUE"""),"Drogaria Ara Araujo")</f>
        <v>Drogaria Ara Araujo</v>
      </c>
      <c r="D1108" s="2">
        <f ca="1">IFERROR(__xludf.DUMMYFUNCTION("""COMPUTED_VALUE"""),21.59)</f>
        <v>21.59</v>
      </c>
      <c r="E1108" s="1" t="str">
        <f ca="1">IFERROR(__xludf.DUMMYFUNCTION("""COMPUTED_VALUE"""),"-")</f>
        <v>-</v>
      </c>
      <c r="F1108" s="1" t="str">
        <f ca="1">IFERROR(__xludf.DUMMYFUNCTION("""COMPUTED_VALUE"""),"Drogaria Ara Araujo")</f>
        <v>Drogaria Ara Araujo</v>
      </c>
      <c r="G1108" s="1" t="str">
        <f ca="1">IFERROR(__xludf.DUMMYFUNCTION("""COMPUTED_VALUE"""),"Farmácia")</f>
        <v>Farmácia</v>
      </c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x14ac:dyDescent="0.2">
      <c r="A1109" s="6">
        <f ca="1">IFERROR(__xludf.DUMMYFUNCTION("""COMPUTED_VALUE"""),45992)</f>
        <v>45992</v>
      </c>
      <c r="B1109" s="1"/>
      <c r="C1109" s="1" t="str">
        <f ca="1">IFERROR(__xludf.DUMMYFUNCTION("""COMPUTED_VALUE"""),"Amazon")</f>
        <v>Amazon</v>
      </c>
      <c r="D1109" s="2">
        <f ca="1">IFERROR(__xludf.DUMMYFUNCTION("""COMPUTED_VALUE"""),28.49)</f>
        <v>28.49</v>
      </c>
      <c r="E1109" s="1" t="str">
        <f ca="1">IFERROR(__xludf.DUMMYFUNCTION("""COMPUTED_VALUE"""),"-")</f>
        <v>-</v>
      </c>
      <c r="F1109" s="1" t="str">
        <f ca="1">IFERROR(__xludf.DUMMYFUNCTION("""COMPUTED_VALUE"""),"Amazon")</f>
        <v>Amazon</v>
      </c>
      <c r="G1109" s="1" t="str">
        <f ca="1">IFERROR(__xludf.DUMMYFUNCTION("""COMPUTED_VALUE"""),"Compras")</f>
        <v>Compras</v>
      </c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x14ac:dyDescent="0.2">
      <c r="A1110" s="6">
        <f ca="1">IFERROR(__xludf.DUMMYFUNCTION("""COMPUTED_VALUE"""),45992)</f>
        <v>45992</v>
      </c>
      <c r="B1110" s="1"/>
      <c r="C1110" s="1" t="str">
        <f ca="1">IFERROR(__xludf.DUMMYFUNCTION("""COMPUTED_VALUE"""),"Uber")</f>
        <v>Uber</v>
      </c>
      <c r="D1110" s="2">
        <f ca="1">IFERROR(__xludf.DUMMYFUNCTION("""COMPUTED_VALUE"""),22.95)</f>
        <v>22.95</v>
      </c>
      <c r="E1110" s="1" t="str">
        <f ca="1">IFERROR(__xludf.DUMMYFUNCTION("""COMPUTED_VALUE"""),"-")</f>
        <v>-</v>
      </c>
      <c r="F1110" s="1" t="str">
        <f ca="1">IFERROR(__xludf.DUMMYFUNCTION("""COMPUTED_VALUE"""),"Uber")</f>
        <v>Uber</v>
      </c>
      <c r="G1110" s="1" t="str">
        <f ca="1">IFERROR(__xludf.DUMMYFUNCTION("""COMPUTED_VALUE"""),"Uber/99")</f>
        <v>Uber/99</v>
      </c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x14ac:dyDescent="0.2">
      <c r="A1111" s="6">
        <f ca="1">IFERROR(__xludf.DUMMYFUNCTION("""COMPUTED_VALUE"""),45992)</f>
        <v>45992</v>
      </c>
      <c r="B1111" s="1"/>
      <c r="C1111" s="1" t="str">
        <f ca="1">IFERROR(__xludf.DUMMYFUNCTION("""COMPUTED_VALUE"""),"Uber")</f>
        <v>Uber</v>
      </c>
      <c r="D1111" s="2">
        <f ca="1">IFERROR(__xludf.DUMMYFUNCTION("""COMPUTED_VALUE"""),19.93)</f>
        <v>19.93</v>
      </c>
      <c r="E1111" s="1" t="str">
        <f ca="1">IFERROR(__xludf.DUMMYFUNCTION("""COMPUTED_VALUE"""),"-")</f>
        <v>-</v>
      </c>
      <c r="F1111" s="1" t="str">
        <f ca="1">IFERROR(__xludf.DUMMYFUNCTION("""COMPUTED_VALUE"""),"Uber")</f>
        <v>Uber</v>
      </c>
      <c r="G1111" s="1" t="str">
        <f ca="1">IFERROR(__xludf.DUMMYFUNCTION("""COMPUTED_VALUE"""),"Uber/99")</f>
        <v>Uber/99</v>
      </c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x14ac:dyDescent="0.2">
      <c r="A1112" s="6">
        <f ca="1">IFERROR(__xludf.DUMMYFUNCTION("""COMPUTED_VALUE"""),45992)</f>
        <v>45992</v>
      </c>
      <c r="B1112" s="1"/>
      <c r="C1112" s="1" t="str">
        <f ca="1">IFERROR(__xludf.DUMMYFUNCTION("""COMPUTED_VALUE"""),"Amazon")</f>
        <v>Amazon</v>
      </c>
      <c r="D1112" s="2">
        <f ca="1">IFERROR(__xludf.DUMMYFUNCTION("""COMPUTED_VALUE"""),16.12)</f>
        <v>16.12</v>
      </c>
      <c r="E1112" s="1" t="str">
        <f ca="1">IFERROR(__xludf.DUMMYFUNCTION("""COMPUTED_VALUE"""),"-")</f>
        <v>-</v>
      </c>
      <c r="F1112" s="1" t="str">
        <f ca="1">IFERROR(__xludf.DUMMYFUNCTION("""COMPUTED_VALUE"""),"Amazon")</f>
        <v>Amazon</v>
      </c>
      <c r="G1112" s="1" t="str">
        <f ca="1">IFERROR(__xludf.DUMMYFUNCTION("""COMPUTED_VALUE"""),"Compras")</f>
        <v>Compras</v>
      </c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x14ac:dyDescent="0.2">
      <c r="A1113" s="6">
        <f ca="1">IFERROR(__xludf.DUMMYFUNCTION("""COMPUTED_VALUE"""),45992)</f>
        <v>45992</v>
      </c>
      <c r="B1113" s="1"/>
      <c r="C1113" s="1" t="str">
        <f ca="1">IFERROR(__xludf.DUMMYFUNCTION("""COMPUTED_VALUE"""),"Spotify")</f>
        <v>Spotify</v>
      </c>
      <c r="D1113" s="2">
        <f ca="1">IFERROR(__xludf.DUMMYFUNCTION("""COMPUTED_VALUE"""),40.9)</f>
        <v>40.9</v>
      </c>
      <c r="E1113" s="1" t="str">
        <f ca="1">IFERROR(__xludf.DUMMYFUNCTION("""COMPUTED_VALUE"""),"-")</f>
        <v>-</v>
      </c>
      <c r="F1113" s="1" t="str">
        <f ca="1">IFERROR(__xludf.DUMMYFUNCTION("""COMPUTED_VALUE"""),"Spotify")</f>
        <v>Spotify</v>
      </c>
      <c r="G1113" s="1" t="str">
        <f ca="1">IFERROR(__xludf.DUMMYFUNCTION("""COMPUTED_VALUE"""),"Assinatura")</f>
        <v>Assinatura</v>
      </c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x14ac:dyDescent="0.2">
      <c r="A1114" s="6">
        <f ca="1">IFERROR(__xludf.DUMMYFUNCTION("""COMPUTED_VALUE"""),45992)</f>
        <v>45992</v>
      </c>
      <c r="B1114" s="1"/>
      <c r="C1114" s="1" t="str">
        <f ca="1">IFERROR(__xludf.DUMMYFUNCTION("""COMPUTED_VALUE"""),"Amazon")</f>
        <v>Amazon</v>
      </c>
      <c r="D1114" s="2">
        <f ca="1">IFERROR(__xludf.DUMMYFUNCTION("""COMPUTED_VALUE"""),27.99)</f>
        <v>27.99</v>
      </c>
      <c r="E1114" s="1" t="str">
        <f ca="1">IFERROR(__xludf.DUMMYFUNCTION("""COMPUTED_VALUE"""),"-")</f>
        <v>-</v>
      </c>
      <c r="F1114" s="1" t="str">
        <f ca="1">IFERROR(__xludf.DUMMYFUNCTION("""COMPUTED_VALUE"""),"Amazon")</f>
        <v>Amazon</v>
      </c>
      <c r="G1114" s="1" t="str">
        <f ca="1">IFERROR(__xludf.DUMMYFUNCTION("""COMPUTED_VALUE"""),"Compras")</f>
        <v>Compras</v>
      </c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x14ac:dyDescent="0.2">
      <c r="A1115" s="6">
        <f ca="1">IFERROR(__xludf.DUMMYFUNCTION("""COMPUTED_VALUE"""),45992)</f>
        <v>45992</v>
      </c>
      <c r="B1115" s="1"/>
      <c r="C1115" s="1" t="str">
        <f ca="1">IFERROR(__xludf.DUMMYFUNCTION("""COMPUTED_VALUE"""),"Panif Mendes Sion")</f>
        <v>Panif Mendes Sion</v>
      </c>
      <c r="D1115" s="2">
        <f ca="1">IFERROR(__xludf.DUMMYFUNCTION("""COMPUTED_VALUE"""),4.41)</f>
        <v>4.41</v>
      </c>
      <c r="E1115" s="1" t="str">
        <f ca="1">IFERROR(__xludf.DUMMYFUNCTION("""COMPUTED_VALUE"""),"-")</f>
        <v>-</v>
      </c>
      <c r="F1115" s="1" t="str">
        <f ca="1">IFERROR(__xludf.DUMMYFUNCTION("""COMPUTED_VALUE"""),"Panif Mendes Sion")</f>
        <v>Panif Mendes Sion</v>
      </c>
      <c r="G1115" s="1" t="str">
        <f ca="1">IFERROR(__xludf.DUMMYFUNCTION("""COMPUTED_VALUE"""),"Comida")</f>
        <v>Comida</v>
      </c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x14ac:dyDescent="0.2">
      <c r="A1116" s="6">
        <f ca="1">IFERROR(__xludf.DUMMYFUNCTION("""COMPUTED_VALUE"""),45992)</f>
        <v>45992</v>
      </c>
      <c r="B1116" s="1"/>
      <c r="C1116" s="1" t="str">
        <f ca="1">IFERROR(__xludf.DUMMYFUNCTION("""COMPUTED_VALUE"""),"Shopee")</f>
        <v>Shopee</v>
      </c>
      <c r="D1116" s="2">
        <f ca="1">IFERROR(__xludf.DUMMYFUNCTION("""COMPUTED_VALUE"""),10.95)</f>
        <v>10.95</v>
      </c>
      <c r="E1116" s="1" t="str">
        <f ca="1">IFERROR(__xludf.DUMMYFUNCTION("""COMPUTED_VALUE"""),"-")</f>
        <v>-</v>
      </c>
      <c r="F1116" s="1" t="str">
        <f ca="1">IFERROR(__xludf.DUMMYFUNCTION("""COMPUTED_VALUE"""),"Shopee")</f>
        <v>Shopee</v>
      </c>
      <c r="G1116" s="1" t="str">
        <f ca="1">IFERROR(__xludf.DUMMYFUNCTION("""COMPUTED_VALUE"""),"Compras")</f>
        <v>Compras</v>
      </c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x14ac:dyDescent="0.2">
      <c r="A1117" s="6">
        <f ca="1">IFERROR(__xludf.DUMMYFUNCTION("""COMPUTED_VALUE"""),45992)</f>
        <v>45992</v>
      </c>
      <c r="B1117" s="1"/>
      <c r="C1117" s="1" t="str">
        <f ca="1">IFERROR(__xludf.DUMMYFUNCTION("""COMPUTED_VALUE"""),"Drogaria Araujo")</f>
        <v>Drogaria Araujo</v>
      </c>
      <c r="D1117" s="2">
        <f ca="1">IFERROR(__xludf.DUMMYFUNCTION("""COMPUTED_VALUE"""),12.78)</f>
        <v>12.78</v>
      </c>
      <c r="E1117" s="1" t="str">
        <f ca="1">IFERROR(__xludf.DUMMYFUNCTION("""COMPUTED_VALUE"""),"-")</f>
        <v>-</v>
      </c>
      <c r="F1117" s="1" t="str">
        <f ca="1">IFERROR(__xludf.DUMMYFUNCTION("""COMPUTED_VALUE"""),"Drogaria Araujo")</f>
        <v>Drogaria Araujo</v>
      </c>
      <c r="G1117" s="1" t="str">
        <f ca="1">IFERROR(__xludf.DUMMYFUNCTION("""COMPUTED_VALUE"""),"Farmácia")</f>
        <v>Farmácia</v>
      </c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x14ac:dyDescent="0.2">
      <c r="A1118" s="6">
        <f ca="1">IFERROR(__xludf.DUMMYFUNCTION("""COMPUTED_VALUE"""),45992)</f>
        <v>45992</v>
      </c>
      <c r="B1118" s="1"/>
      <c r="C1118" s="1" t="str">
        <f ca="1">IFERROR(__xludf.DUMMYFUNCTION("""COMPUTED_VALUE"""),"Amazon Marketplace")</f>
        <v>Amazon Marketplace</v>
      </c>
      <c r="D1118" s="2">
        <f ca="1">IFERROR(__xludf.DUMMYFUNCTION("""COMPUTED_VALUE"""),35.41)</f>
        <v>35.409999999999997</v>
      </c>
      <c r="E1118" s="1" t="str">
        <f ca="1">IFERROR(__xludf.DUMMYFUNCTION("""COMPUTED_VALUE"""),"-")</f>
        <v>-</v>
      </c>
      <c r="F1118" s="1" t="str">
        <f ca="1">IFERROR(__xludf.DUMMYFUNCTION("""COMPUTED_VALUE"""),"Amazon Marketplace")</f>
        <v>Amazon Marketplace</v>
      </c>
      <c r="G1118" s="1" t="str">
        <f ca="1">IFERROR(__xludf.DUMMYFUNCTION("""COMPUTED_VALUE"""),"Compras")</f>
        <v>Compras</v>
      </c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x14ac:dyDescent="0.2">
      <c r="A1119" s="6">
        <f ca="1">IFERROR(__xludf.DUMMYFUNCTION("""COMPUTED_VALUE"""),45992)</f>
        <v>45992</v>
      </c>
      <c r="B1119" s="1"/>
      <c r="C1119" s="1" t="str">
        <f ca="1">IFERROR(__xludf.DUMMYFUNCTION("""COMPUTED_VALUE"""),"Amazon")</f>
        <v>Amazon</v>
      </c>
      <c r="D1119" s="2">
        <f ca="1">IFERROR(__xludf.DUMMYFUNCTION("""COMPUTED_VALUE"""),15.56)</f>
        <v>15.56</v>
      </c>
      <c r="E1119" s="1" t="str">
        <f ca="1">IFERROR(__xludf.DUMMYFUNCTION("""COMPUTED_VALUE"""),"-")</f>
        <v>-</v>
      </c>
      <c r="F1119" s="1" t="str">
        <f ca="1">IFERROR(__xludf.DUMMYFUNCTION("""COMPUTED_VALUE"""),"Amazon")</f>
        <v>Amazon</v>
      </c>
      <c r="G1119" s="1" t="str">
        <f ca="1">IFERROR(__xludf.DUMMYFUNCTION("""COMPUTED_VALUE"""),"Compras")</f>
        <v>Compras</v>
      </c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x14ac:dyDescent="0.2">
      <c r="A1120" s="6">
        <f ca="1">IFERROR(__xludf.DUMMYFUNCTION("""COMPUTED_VALUE"""),45992)</f>
        <v>45992</v>
      </c>
      <c r="B1120" s="1"/>
      <c r="C1120" s="1" t="str">
        <f ca="1">IFERROR(__xludf.DUMMYFUNCTION("""COMPUTED_VALUE"""),"Youtube")</f>
        <v>Youtube</v>
      </c>
      <c r="D1120" s="2">
        <f ca="1">IFERROR(__xludf.DUMMYFUNCTION("""COMPUTED_VALUE"""),19.99)</f>
        <v>19.989999999999998</v>
      </c>
      <c r="E1120" s="1" t="str">
        <f ca="1">IFERROR(__xludf.DUMMYFUNCTION("""COMPUTED_VALUE"""),"-")</f>
        <v>-</v>
      </c>
      <c r="F1120" s="1" t="str">
        <f ca="1">IFERROR(__xludf.DUMMYFUNCTION("""COMPUTED_VALUE"""),"Youtube")</f>
        <v>Youtube</v>
      </c>
      <c r="G1120" s="1" t="str">
        <f ca="1">IFERROR(__xludf.DUMMYFUNCTION("""COMPUTED_VALUE"""),"Assinatura")</f>
        <v>Assinatura</v>
      </c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x14ac:dyDescent="0.2">
      <c r="A1121" s="6">
        <f ca="1">IFERROR(__xludf.DUMMYFUNCTION("""COMPUTED_VALUE"""),45992)</f>
        <v>45992</v>
      </c>
      <c r="B1121" s="1"/>
      <c r="C1121" s="1">
        <f ca="1">IFERROR(__xludf.DUMMYFUNCTION("""COMPUTED_VALUE"""),99)</f>
        <v>99</v>
      </c>
      <c r="D1121" s="2">
        <f ca="1">IFERROR(__xludf.DUMMYFUNCTION("""COMPUTED_VALUE"""),10.62)</f>
        <v>10.62</v>
      </c>
      <c r="E1121" s="1" t="str">
        <f ca="1">IFERROR(__xludf.DUMMYFUNCTION("""COMPUTED_VALUE"""),"-")</f>
        <v>-</v>
      </c>
      <c r="F1121" s="1" t="str">
        <f ca="1">IFERROR(__xludf.DUMMYFUNCTION("""COMPUTED_VALUE"""),"99")</f>
        <v>99</v>
      </c>
      <c r="G1121" s="1" t="str">
        <f ca="1">IFERROR(__xludf.DUMMYFUNCTION("""COMPUTED_VALUE"""),"Uber/99")</f>
        <v>Uber/99</v>
      </c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x14ac:dyDescent="0.2">
      <c r="A1122" s="6">
        <f ca="1">IFERROR(__xludf.DUMMYFUNCTION("""COMPUTED_VALUE"""),45992)</f>
        <v>45992</v>
      </c>
      <c r="B1122" s="1"/>
      <c r="C1122" s="1" t="str">
        <f ca="1">IFERROR(__xludf.DUMMYFUNCTION("""COMPUTED_VALUE"""),"Barnabe Emporio")</f>
        <v>Barnabe Emporio</v>
      </c>
      <c r="D1122" s="2">
        <f ca="1">IFERROR(__xludf.DUMMYFUNCTION("""COMPUTED_VALUE"""),24.9)</f>
        <v>24.9</v>
      </c>
      <c r="E1122" s="1" t="str">
        <f ca="1">IFERROR(__xludf.DUMMYFUNCTION("""COMPUTED_VALUE"""),"-")</f>
        <v>-</v>
      </c>
      <c r="F1122" s="1" t="str">
        <f ca="1">IFERROR(__xludf.DUMMYFUNCTION("""COMPUTED_VALUE"""),"Barnabe Emporio")</f>
        <v>Barnabe Emporio</v>
      </c>
      <c r="G1122" s="1" t="str">
        <f ca="1">IFERROR(__xludf.DUMMYFUNCTION("""COMPUTED_VALUE"""),"Comida")</f>
        <v>Comida</v>
      </c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x14ac:dyDescent="0.2">
      <c r="A1123" s="6">
        <f ca="1">IFERROR(__xludf.DUMMYFUNCTION("""COMPUTED_VALUE"""),45992)</f>
        <v>45992</v>
      </c>
      <c r="B1123" s="1"/>
      <c r="C1123" s="1" t="str">
        <f ca="1">IFERROR(__xludf.DUMMYFUNCTION("""COMPUTED_VALUE"""),"Santissimo Pao")</f>
        <v>Santissimo Pao</v>
      </c>
      <c r="D1123" s="2">
        <f ca="1">IFERROR(__xludf.DUMMYFUNCTION("""COMPUTED_VALUE"""),4.6)</f>
        <v>4.5999999999999996</v>
      </c>
      <c r="E1123" s="1" t="str">
        <f ca="1">IFERROR(__xludf.DUMMYFUNCTION("""COMPUTED_VALUE"""),"-")</f>
        <v>-</v>
      </c>
      <c r="F1123" s="1" t="str">
        <f ca="1">IFERROR(__xludf.DUMMYFUNCTION("""COMPUTED_VALUE"""),"Santissimo Pao")</f>
        <v>Santissimo Pao</v>
      </c>
      <c r="G1123" s="1" t="str">
        <f ca="1">IFERROR(__xludf.DUMMYFUNCTION("""COMPUTED_VALUE"""),"Comida")</f>
        <v>Comida</v>
      </c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x14ac:dyDescent="0.2">
      <c r="A1124" s="6">
        <f ca="1">IFERROR(__xludf.DUMMYFUNCTION("""COMPUTED_VALUE"""),45992)</f>
        <v>45992</v>
      </c>
      <c r="B1124" s="1"/>
      <c r="C1124" s="1">
        <f ca="1">IFERROR(__xludf.DUMMYFUNCTION("""COMPUTED_VALUE"""),99)</f>
        <v>99</v>
      </c>
      <c r="D1124" s="2">
        <f ca="1">IFERROR(__xludf.DUMMYFUNCTION("""COMPUTED_VALUE"""),16.47)</f>
        <v>16.47</v>
      </c>
      <c r="E1124" s="1" t="str">
        <f ca="1">IFERROR(__xludf.DUMMYFUNCTION("""COMPUTED_VALUE"""),"-")</f>
        <v>-</v>
      </c>
      <c r="F1124" s="1" t="str">
        <f ca="1">IFERROR(__xludf.DUMMYFUNCTION("""COMPUTED_VALUE"""),"99")</f>
        <v>99</v>
      </c>
      <c r="G1124" s="1" t="str">
        <f ca="1">IFERROR(__xludf.DUMMYFUNCTION("""COMPUTED_VALUE"""),"Uber/99")</f>
        <v>Uber/99</v>
      </c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x14ac:dyDescent="0.2">
      <c r="A1125" s="6">
        <f ca="1">IFERROR(__xludf.DUMMYFUNCTION("""COMPUTED_VALUE"""),45992)</f>
        <v>45992</v>
      </c>
      <c r="B1125" s="1"/>
      <c r="C1125" s="1" t="str">
        <f ca="1">IFERROR(__xludf.DUMMYFUNCTION("""COMPUTED_VALUE"""),"Panif Mendes Sion")</f>
        <v>Panif Mendes Sion</v>
      </c>
      <c r="D1125" s="2">
        <f ca="1">IFERROR(__xludf.DUMMYFUNCTION("""COMPUTED_VALUE"""),8)</f>
        <v>8</v>
      </c>
      <c r="E1125" s="1" t="str">
        <f ca="1">IFERROR(__xludf.DUMMYFUNCTION("""COMPUTED_VALUE"""),"-")</f>
        <v>-</v>
      </c>
      <c r="F1125" s="1" t="str">
        <f ca="1">IFERROR(__xludf.DUMMYFUNCTION("""COMPUTED_VALUE"""),"Panif Mendes Sion")</f>
        <v>Panif Mendes Sion</v>
      </c>
      <c r="G1125" s="1" t="str">
        <f ca="1">IFERROR(__xludf.DUMMYFUNCTION("""COMPUTED_VALUE"""),"Comida")</f>
        <v>Comida</v>
      </c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x14ac:dyDescent="0.2">
      <c r="A1126" s="6">
        <f ca="1">IFERROR(__xludf.DUMMYFUNCTION("""COMPUTED_VALUE"""),45992)</f>
        <v>45992</v>
      </c>
      <c r="B1126" s="1"/>
      <c r="C1126" s="1" t="str">
        <f ca="1">IFERROR(__xludf.DUMMYFUNCTION("""COMPUTED_VALUE"""),"Empório Fazenda Velh")</f>
        <v>Empório Fazenda Velh</v>
      </c>
      <c r="D1126" s="2">
        <f ca="1">IFERROR(__xludf.DUMMYFUNCTION("""COMPUTED_VALUE"""),72)</f>
        <v>72</v>
      </c>
      <c r="E1126" s="1" t="str">
        <f ca="1">IFERROR(__xludf.DUMMYFUNCTION("""COMPUTED_VALUE"""),"-")</f>
        <v>-</v>
      </c>
      <c r="F1126" s="1" t="str">
        <f ca="1">IFERROR(__xludf.DUMMYFUNCTION("""COMPUTED_VALUE"""),"Empório Fazenda Velh")</f>
        <v>Empório Fazenda Velh</v>
      </c>
      <c r="G1126" s="1" t="str">
        <f ca="1">IFERROR(__xludf.DUMMYFUNCTION("""COMPUTED_VALUE"""),"Comida")</f>
        <v>Comida</v>
      </c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x14ac:dyDescent="0.2">
      <c r="A1127" s="6">
        <f ca="1">IFERROR(__xludf.DUMMYFUNCTION("""COMPUTED_VALUE"""),45992)</f>
        <v>45992</v>
      </c>
      <c r="B1127" s="1"/>
      <c r="C1127" s="1" t="str">
        <f ca="1">IFERROR(__xludf.DUMMYFUNCTION("""COMPUTED_VALUE"""),"Marcus Vinicius")</f>
        <v>Marcus Vinicius</v>
      </c>
      <c r="D1127" s="2">
        <f ca="1">IFERROR(__xludf.DUMMYFUNCTION("""COMPUTED_VALUE"""),264.8)</f>
        <v>264.8</v>
      </c>
      <c r="E1127" s="1" t="str">
        <f ca="1">IFERROR(__xludf.DUMMYFUNCTION("""COMPUTED_VALUE"""),"-")</f>
        <v>-</v>
      </c>
      <c r="F1127" s="1" t="str">
        <f ca="1">IFERROR(__xludf.DUMMYFUNCTION("""COMPUTED_VALUE"""),"Marcus Vinicius")</f>
        <v>Marcus Vinicius</v>
      </c>
      <c r="G1127" s="1" t="str">
        <f ca="1">IFERROR(__xludf.DUMMYFUNCTION("""COMPUTED_VALUE"""),"-")</f>
        <v>-</v>
      </c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x14ac:dyDescent="0.2">
      <c r="A1128" s="6">
        <f ca="1">IFERROR(__xludf.DUMMYFUNCTION("""COMPUTED_VALUE"""),45992)</f>
        <v>45992</v>
      </c>
      <c r="B1128" s="1"/>
      <c r="C1128" s="1" t="str">
        <f ca="1">IFERROR(__xludf.DUMMYFUNCTION("""COMPUTED_VALUE"""),"Melimais")</f>
        <v>Melimais</v>
      </c>
      <c r="D1128" s="2">
        <f ca="1">IFERROR(__xludf.DUMMYFUNCTION("""COMPUTED_VALUE"""),24.9)</f>
        <v>24.9</v>
      </c>
      <c r="E1128" s="1" t="str">
        <f ca="1">IFERROR(__xludf.DUMMYFUNCTION("""COMPUTED_VALUE"""),"-")</f>
        <v>-</v>
      </c>
      <c r="F1128" s="1" t="str">
        <f ca="1">IFERROR(__xludf.DUMMYFUNCTION("""COMPUTED_VALUE"""),"Melimais")</f>
        <v>Melimais</v>
      </c>
      <c r="G1128" s="1" t="str">
        <f ca="1">IFERROR(__xludf.DUMMYFUNCTION("""COMPUTED_VALUE"""),"-")</f>
        <v>-</v>
      </c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x14ac:dyDescent="0.2">
      <c r="A1129" s="6">
        <f ca="1">IFERROR(__xludf.DUMMYFUNCTION("""COMPUTED_VALUE"""),45992)</f>
        <v>45992</v>
      </c>
      <c r="B1129" s="1"/>
      <c r="C1129" s="1" t="str">
        <f ca="1">IFERROR(__xludf.DUMMYFUNCTION("""COMPUTED_VALUE"""),"Posto Volkssete Iii")</f>
        <v>Posto Volkssete Iii</v>
      </c>
      <c r="D1129" s="2">
        <f ca="1">IFERROR(__xludf.DUMMYFUNCTION("""COMPUTED_VALUE"""),204.59)</f>
        <v>204.59</v>
      </c>
      <c r="E1129" s="1" t="str">
        <f ca="1">IFERROR(__xludf.DUMMYFUNCTION("""COMPUTED_VALUE"""),"-")</f>
        <v>-</v>
      </c>
      <c r="F1129" s="1" t="str">
        <f ca="1">IFERROR(__xludf.DUMMYFUNCTION("""COMPUTED_VALUE"""),"Posto Volkssete Iii")</f>
        <v>Posto Volkssete Iii</v>
      </c>
      <c r="G1129" s="1" t="str">
        <f ca="1">IFERROR(__xludf.DUMMYFUNCTION("""COMPUTED_VALUE"""),"Carro")</f>
        <v>Carro</v>
      </c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x14ac:dyDescent="0.2">
      <c r="A1130" s="6">
        <f ca="1">IFERROR(__xludf.DUMMYFUNCTION("""COMPUTED_VALUE"""),45992)</f>
        <v>45992</v>
      </c>
      <c r="B1130" s="1"/>
      <c r="C1130" s="1" t="str">
        <f ca="1">IFERROR(__xludf.DUMMYFUNCTION("""COMPUTED_VALUE"""),"Empório Fazenda Velh")</f>
        <v>Empório Fazenda Velh</v>
      </c>
      <c r="D1130" s="2">
        <f ca="1">IFERROR(__xludf.DUMMYFUNCTION("""COMPUTED_VALUE"""),26)</f>
        <v>26</v>
      </c>
      <c r="E1130" s="1" t="str">
        <f ca="1">IFERROR(__xludf.DUMMYFUNCTION("""COMPUTED_VALUE"""),"-")</f>
        <v>-</v>
      </c>
      <c r="F1130" s="1" t="str">
        <f ca="1">IFERROR(__xludf.DUMMYFUNCTION("""COMPUTED_VALUE"""),"Empório Fazenda Velh")</f>
        <v>Empório Fazenda Velh</v>
      </c>
      <c r="G1130" s="1" t="str">
        <f ca="1">IFERROR(__xludf.DUMMYFUNCTION("""COMPUTED_VALUE"""),"Comida")</f>
        <v>Comida</v>
      </c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x14ac:dyDescent="0.2">
      <c r="A1131" s="6">
        <f ca="1">IFERROR(__xludf.DUMMYFUNCTION("""COMPUTED_VALUE"""),45992)</f>
        <v>45992</v>
      </c>
      <c r="B1131" s="1"/>
      <c r="C1131" s="1" t="str">
        <f ca="1">IFERROR(__xludf.DUMMYFUNCTION("""COMPUTED_VALUE"""),"Amazon Digital Br")</f>
        <v>Amazon Digital Br</v>
      </c>
      <c r="D1131" s="2">
        <f ca="1">IFERROR(__xludf.DUMMYFUNCTION("""COMPUTED_VALUE"""),28.57)</f>
        <v>28.57</v>
      </c>
      <c r="E1131" s="1" t="str">
        <f ca="1">IFERROR(__xludf.DUMMYFUNCTION("""COMPUTED_VALUE"""),"-")</f>
        <v>-</v>
      </c>
      <c r="F1131" s="1" t="str">
        <f ca="1">IFERROR(__xludf.DUMMYFUNCTION("""COMPUTED_VALUE"""),"Amazon Digital Br")</f>
        <v>Amazon Digital Br</v>
      </c>
      <c r="G1131" s="1" t="str">
        <f ca="1">IFERROR(__xludf.DUMMYFUNCTION("""COMPUTED_VALUE"""),"Compras")</f>
        <v>Compras</v>
      </c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x14ac:dyDescent="0.2">
      <c r="A1132" s="6">
        <f ca="1">IFERROR(__xludf.DUMMYFUNCTION("""COMPUTED_VALUE"""),45992)</f>
        <v>45992</v>
      </c>
      <c r="B1132" s="1"/>
      <c r="C1132" s="1" t="str">
        <f ca="1">IFERROR(__xludf.DUMMYFUNCTION("""COMPUTED_VALUE"""),"Supermercado &amp; Padaria")</f>
        <v>Supermercado &amp; Padaria</v>
      </c>
      <c r="D1132" s="2">
        <f ca="1">IFERROR(__xludf.DUMMYFUNCTION("""COMPUTED_VALUE"""),315.13)</f>
        <v>315.13</v>
      </c>
      <c r="E1132" s="1" t="str">
        <f ca="1">IFERROR(__xludf.DUMMYFUNCTION("""COMPUTED_VALUE"""),"-")</f>
        <v>-</v>
      </c>
      <c r="F1132" s="1" t="str">
        <f ca="1">IFERROR(__xludf.DUMMYFUNCTION("""COMPUTED_VALUE"""),"Supermercado &amp; Padaria")</f>
        <v>Supermercado &amp; Padaria</v>
      </c>
      <c r="G1132" s="1" t="str">
        <f ca="1">IFERROR(__xludf.DUMMYFUNCTION("""COMPUTED_VALUE"""),"Comida")</f>
        <v>Comida</v>
      </c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x14ac:dyDescent="0.2">
      <c r="A1133" s="6">
        <f ca="1">IFERROR(__xludf.DUMMYFUNCTION("""COMPUTED_VALUE"""),45992)</f>
        <v>45992</v>
      </c>
      <c r="B1133" s="1"/>
      <c r="C1133" s="1" t="str">
        <f ca="1">IFERROR(__xludf.DUMMYFUNCTION("""COMPUTED_VALUE"""),"Amazonmktplc Hcwebltda")</f>
        <v>Amazonmktplc Hcwebltda</v>
      </c>
      <c r="D1133" s="2">
        <f ca="1">IFERROR(__xludf.DUMMYFUNCTION("""COMPUTED_VALUE"""),112.5)</f>
        <v>112.5</v>
      </c>
      <c r="E1133" s="1" t="str">
        <f ca="1">IFERROR(__xludf.DUMMYFUNCTION("""COMPUTED_VALUE"""),"-")</f>
        <v>-</v>
      </c>
      <c r="F1133" s="1" t="str">
        <f ca="1">IFERROR(__xludf.DUMMYFUNCTION("""COMPUTED_VALUE"""),"Amazonmktplc")</f>
        <v>Amazonmktplc</v>
      </c>
      <c r="G1133" s="1" t="str">
        <f ca="1">IFERROR(__xludf.DUMMYFUNCTION("""COMPUTED_VALUE"""),"Compras")</f>
        <v>Compras</v>
      </c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x14ac:dyDescent="0.2">
      <c r="A1134" s="6">
        <f ca="1">IFERROR(__xludf.DUMMYFUNCTION("""COMPUTED_VALUE"""),45992)</f>
        <v>45992</v>
      </c>
      <c r="B1134" s="1"/>
      <c r="C1134" s="1" t="str">
        <f ca="1">IFERROR(__xludf.DUMMYFUNCTION("""COMPUTED_VALUE"""),"Amazon")</f>
        <v>Amazon</v>
      </c>
      <c r="D1134" s="2">
        <f ca="1">IFERROR(__xludf.DUMMYFUNCTION("""COMPUTED_VALUE"""),46.66)</f>
        <v>46.66</v>
      </c>
      <c r="E1134" s="1" t="str">
        <f ca="1">IFERROR(__xludf.DUMMYFUNCTION("""COMPUTED_VALUE"""),"-")</f>
        <v>-</v>
      </c>
      <c r="F1134" s="1" t="str">
        <f ca="1">IFERROR(__xludf.DUMMYFUNCTION("""COMPUTED_VALUE"""),"Amazon")</f>
        <v>Amazon</v>
      </c>
      <c r="G1134" s="1" t="str">
        <f ca="1">IFERROR(__xludf.DUMMYFUNCTION("""COMPUTED_VALUE"""),"Compras")</f>
        <v>Compras</v>
      </c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x14ac:dyDescent="0.2">
      <c r="A1135" s="6">
        <f ca="1">IFERROR(__xludf.DUMMYFUNCTION("""COMPUTED_VALUE"""),45992)</f>
        <v>45992</v>
      </c>
      <c r="B1135" s="1"/>
      <c r="C1135" s="1" t="str">
        <f ca="1">IFERROR(__xludf.DUMMYFUNCTION("""COMPUTED_VALUE"""),"Amazon")</f>
        <v>Amazon</v>
      </c>
      <c r="D1135" s="2">
        <f ca="1">IFERROR(__xludf.DUMMYFUNCTION("""COMPUTED_VALUE"""),15.8)</f>
        <v>15.8</v>
      </c>
      <c r="E1135" s="1" t="str">
        <f ca="1">IFERROR(__xludf.DUMMYFUNCTION("""COMPUTED_VALUE"""),"-")</f>
        <v>-</v>
      </c>
      <c r="F1135" s="1" t="str">
        <f ca="1">IFERROR(__xludf.DUMMYFUNCTION("""COMPUTED_VALUE"""),"Amazon")</f>
        <v>Amazon</v>
      </c>
      <c r="G1135" s="1" t="str">
        <f ca="1">IFERROR(__xludf.DUMMYFUNCTION("""COMPUTED_VALUE"""),"Compras")</f>
        <v>Compras</v>
      </c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x14ac:dyDescent="0.2">
      <c r="A1136" s="6">
        <f ca="1">IFERROR(__xludf.DUMMYFUNCTION("""COMPUTED_VALUE"""),45992)</f>
        <v>45992</v>
      </c>
      <c r="B1136" s="1"/>
      <c r="C1136" s="1" t="str">
        <f ca="1">IFERROR(__xludf.DUMMYFUNCTION("""COMPUTED_VALUE"""),"Panif Mendes Sion")</f>
        <v>Panif Mendes Sion</v>
      </c>
      <c r="D1136" s="2">
        <f ca="1">IFERROR(__xludf.DUMMYFUNCTION("""COMPUTED_VALUE"""),2.91)</f>
        <v>2.91</v>
      </c>
      <c r="E1136" s="1" t="str">
        <f ca="1">IFERROR(__xludf.DUMMYFUNCTION("""COMPUTED_VALUE"""),"-")</f>
        <v>-</v>
      </c>
      <c r="F1136" s="1" t="str">
        <f ca="1">IFERROR(__xludf.DUMMYFUNCTION("""COMPUTED_VALUE"""),"Panif Mendes Sion")</f>
        <v>Panif Mendes Sion</v>
      </c>
      <c r="G1136" s="1" t="str">
        <f ca="1">IFERROR(__xludf.DUMMYFUNCTION("""COMPUTED_VALUE"""),"Comida")</f>
        <v>Comida</v>
      </c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x14ac:dyDescent="0.2">
      <c r="A1137" s="6">
        <f ca="1">IFERROR(__xludf.DUMMYFUNCTION("""COMPUTED_VALUE"""),45992)</f>
        <v>45992</v>
      </c>
      <c r="B1137" s="1"/>
      <c r="C1137" s="1" t="str">
        <f ca="1">IFERROR(__xludf.DUMMYFUNCTION("""COMPUTED_VALUE"""),"Farmácias Pa 324")</f>
        <v>Farmácias Pa 324</v>
      </c>
      <c r="D1137" s="2">
        <f ca="1">IFERROR(__xludf.DUMMYFUNCTION("""COMPUTED_VALUE"""),229)</f>
        <v>229</v>
      </c>
      <c r="E1137" s="1" t="str">
        <f ca="1">IFERROR(__xludf.DUMMYFUNCTION("""COMPUTED_VALUE"""),"-")</f>
        <v>-</v>
      </c>
      <c r="F1137" s="1" t="str">
        <f ca="1">IFERROR(__xludf.DUMMYFUNCTION("""COMPUTED_VALUE"""),"Farmácias Pa 324")</f>
        <v>Farmácias Pa 324</v>
      </c>
      <c r="G1137" s="1" t="str">
        <f ca="1">IFERROR(__xludf.DUMMYFUNCTION("""COMPUTED_VALUE"""),"Compras")</f>
        <v>Compras</v>
      </c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x14ac:dyDescent="0.2">
      <c r="A1138" s="6">
        <f ca="1">IFERROR(__xludf.DUMMYFUNCTION("""COMPUTED_VALUE"""),45992)</f>
        <v>45992</v>
      </c>
      <c r="B1138" s="1"/>
      <c r="C1138" s="1" t="str">
        <f ca="1">IFERROR(__xludf.DUMMYFUNCTION("""COMPUTED_VALUE"""),"Rodrigo De Souza")</f>
        <v>Rodrigo De Souza</v>
      </c>
      <c r="D1138" s="2">
        <f ca="1">IFERROR(__xludf.DUMMYFUNCTION("""COMPUTED_VALUE"""),75)</f>
        <v>75</v>
      </c>
      <c r="E1138" s="1" t="str">
        <f ca="1">IFERROR(__xludf.DUMMYFUNCTION("""COMPUTED_VALUE"""),"-")</f>
        <v>-</v>
      </c>
      <c r="F1138" s="1" t="str">
        <f ca="1">IFERROR(__xludf.DUMMYFUNCTION("""COMPUTED_VALUE"""),"Rodrigo De Souza")</f>
        <v>Rodrigo De Souza</v>
      </c>
      <c r="G1138" s="1" t="str">
        <f ca="1">IFERROR(__xludf.DUMMYFUNCTION("""COMPUTED_VALUE"""),"-")</f>
        <v>-</v>
      </c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x14ac:dyDescent="0.2">
      <c r="A1139" s="6">
        <f ca="1">IFERROR(__xludf.DUMMYFUNCTION("""COMPUTED_VALUE"""),45992)</f>
        <v>45992</v>
      </c>
      <c r="B1139" s="1"/>
      <c r="C1139" s="1" t="str">
        <f ca="1">IFERROR(__xludf.DUMMYFUNCTION("""COMPUTED_VALUE"""),"Belo Horizont Bra")</f>
        <v>Belo Horizont Bra</v>
      </c>
      <c r="D1139" s="2">
        <f ca="1">IFERROR(__xludf.DUMMYFUNCTION("""COMPUTED_VALUE"""),279.28)</f>
        <v>279.27999999999997</v>
      </c>
      <c r="E1139" s="1" t="str">
        <f ca="1">IFERROR(__xludf.DUMMYFUNCTION("""COMPUTED_VALUE"""),"-")</f>
        <v>-</v>
      </c>
      <c r="F1139" s="1" t="str">
        <f ca="1">IFERROR(__xludf.DUMMYFUNCTION("""COMPUTED_VALUE"""),"Belo Horizont Bra")</f>
        <v>Belo Horizont Bra</v>
      </c>
      <c r="G1139" s="1" t="str">
        <f ca="1">IFERROR(__xludf.DUMMYFUNCTION("""COMPUTED_VALUE"""),"-")</f>
        <v>-</v>
      </c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x14ac:dyDescent="0.2">
      <c r="A1140" s="6">
        <f ca="1">IFERROR(__xludf.DUMMYFUNCTION("""COMPUTED_VALUE"""),45992)</f>
        <v>45992</v>
      </c>
      <c r="B1140" s="1"/>
      <c r="C1140" s="1" t="str">
        <f ca="1">IFERROR(__xludf.DUMMYFUNCTION("""COMPUTED_VALUE"""),"Supermercado &amp; Padaria")</f>
        <v>Supermercado &amp; Padaria</v>
      </c>
      <c r="D1140" s="2">
        <f ca="1">IFERROR(__xludf.DUMMYFUNCTION("""COMPUTED_VALUE"""),270.16)</f>
        <v>270.16000000000003</v>
      </c>
      <c r="E1140" s="1" t="str">
        <f ca="1">IFERROR(__xludf.DUMMYFUNCTION("""COMPUTED_VALUE"""),"-")</f>
        <v>-</v>
      </c>
      <c r="F1140" s="1" t="str">
        <f ca="1">IFERROR(__xludf.DUMMYFUNCTION("""COMPUTED_VALUE"""),"Supermercado &amp; Padaria")</f>
        <v>Supermercado &amp; Padaria</v>
      </c>
      <c r="G1140" s="1" t="str">
        <f ca="1">IFERROR(__xludf.DUMMYFUNCTION("""COMPUTED_VALUE"""),"Comida")</f>
        <v>Comida</v>
      </c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x14ac:dyDescent="0.2">
      <c r="A1141" s="6">
        <f ca="1">IFERROR(__xludf.DUMMYFUNCTION("""COMPUTED_VALUE"""),45992)</f>
        <v>45992</v>
      </c>
      <c r="B1141" s="1"/>
      <c r="C1141" s="1" t="str">
        <f ca="1">IFERROR(__xludf.DUMMYFUNCTION("""COMPUTED_VALUE"""),"Amazon Marketplace")</f>
        <v>Amazon Marketplace</v>
      </c>
      <c r="D1141" s="2">
        <f ca="1">IFERROR(__xludf.DUMMYFUNCTION("""COMPUTED_VALUE"""),10.95)</f>
        <v>10.95</v>
      </c>
      <c r="E1141" s="1" t="str">
        <f ca="1">IFERROR(__xludf.DUMMYFUNCTION("""COMPUTED_VALUE"""),"-")</f>
        <v>-</v>
      </c>
      <c r="F1141" s="1" t="str">
        <f ca="1">IFERROR(__xludf.DUMMYFUNCTION("""COMPUTED_VALUE"""),"Amazon Marketplace")</f>
        <v>Amazon Marketplace</v>
      </c>
      <c r="G1141" s="1" t="str">
        <f ca="1">IFERROR(__xludf.DUMMYFUNCTION("""COMPUTED_VALUE"""),"Compras")</f>
        <v>Compras</v>
      </c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x14ac:dyDescent="0.2">
      <c r="A1142" s="6">
        <f ca="1">IFERROR(__xludf.DUMMYFUNCTION("""COMPUTED_VALUE"""),45992)</f>
        <v>45992</v>
      </c>
      <c r="B1142" s="1"/>
      <c r="C1142" s="1" t="str">
        <f ca="1">IFERROR(__xludf.DUMMYFUNCTION("""COMPUTED_VALUE"""),"My Hair Escovaria Band")</f>
        <v>My Hair Escovaria Band</v>
      </c>
      <c r="D1142" s="2">
        <f ca="1">IFERROR(__xludf.DUMMYFUNCTION("""COMPUTED_VALUE"""),146)</f>
        <v>146</v>
      </c>
      <c r="E1142" s="1" t="str">
        <f ca="1">IFERROR(__xludf.DUMMYFUNCTION("""COMPUTED_VALUE"""),"-")</f>
        <v>-</v>
      </c>
      <c r="F1142" s="1" t="str">
        <f ca="1">IFERROR(__xludf.DUMMYFUNCTION("""COMPUTED_VALUE"""),"My Hair Escovaria Band")</f>
        <v>My Hair Escovaria Band</v>
      </c>
      <c r="G1142" s="1" t="str">
        <f ca="1">IFERROR(__xludf.DUMMYFUNCTION("""COMPUTED_VALUE"""),"-")</f>
        <v>-</v>
      </c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x14ac:dyDescent="0.2">
      <c r="A1143" s="6">
        <f ca="1">IFERROR(__xludf.DUMMYFUNCTION("""COMPUTED_VALUE"""),45992)</f>
        <v>45992</v>
      </c>
      <c r="B1143" s="1"/>
      <c r="C1143" s="1" t="str">
        <f ca="1">IFERROR(__xludf.DUMMYFUNCTION("""COMPUTED_VALUE"""),"Supermercado &amp; Padaria")</f>
        <v>Supermercado &amp; Padaria</v>
      </c>
      <c r="D1143" s="2">
        <f ca="1">IFERROR(__xludf.DUMMYFUNCTION("""COMPUTED_VALUE"""),50.33)</f>
        <v>50.33</v>
      </c>
      <c r="E1143" s="1" t="str">
        <f ca="1">IFERROR(__xludf.DUMMYFUNCTION("""COMPUTED_VALUE"""),"-")</f>
        <v>-</v>
      </c>
      <c r="F1143" s="1" t="str">
        <f ca="1">IFERROR(__xludf.DUMMYFUNCTION("""COMPUTED_VALUE"""),"Supermercado &amp; Padaria")</f>
        <v>Supermercado &amp; Padaria</v>
      </c>
      <c r="G1143" s="1" t="str">
        <f ca="1">IFERROR(__xludf.DUMMYFUNCTION("""COMPUTED_VALUE"""),"Comida")</f>
        <v>Comida</v>
      </c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x14ac:dyDescent="0.2">
      <c r="A1144" s="6">
        <f ca="1">IFERROR(__xludf.DUMMYFUNCTION("""COMPUTED_VALUE"""),45992)</f>
        <v>45992</v>
      </c>
      <c r="B1144" s="1"/>
      <c r="C1144" s="1" t="str">
        <f ca="1">IFERROR(__xludf.DUMMYFUNCTION("""COMPUTED_VALUE"""),"Posto Leste")</f>
        <v>Posto Leste</v>
      </c>
      <c r="D1144" s="2">
        <f ca="1">IFERROR(__xludf.DUMMYFUNCTION("""COMPUTED_VALUE"""),108.8)</f>
        <v>108.8</v>
      </c>
      <c r="E1144" s="1" t="str">
        <f ca="1">IFERROR(__xludf.DUMMYFUNCTION("""COMPUTED_VALUE"""),"-")</f>
        <v>-</v>
      </c>
      <c r="F1144" s="1" t="str">
        <f ca="1">IFERROR(__xludf.DUMMYFUNCTION("""COMPUTED_VALUE"""),"Posto Leste")</f>
        <v>Posto Leste</v>
      </c>
      <c r="G1144" s="1" t="str">
        <f ca="1">IFERROR(__xludf.DUMMYFUNCTION("""COMPUTED_VALUE"""),"Carro")</f>
        <v>Carro</v>
      </c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x14ac:dyDescent="0.2">
      <c r="A1145" s="6">
        <f ca="1">IFERROR(__xludf.DUMMYFUNCTION("""COMPUTED_VALUE"""),45992)</f>
        <v>45992</v>
      </c>
      <c r="B1145" s="1"/>
      <c r="C1145" s="1" t="str">
        <f ca="1">IFERROR(__xludf.DUMMYFUNCTION("""COMPUTED_VALUE"""),"Sacolao Abc Noroeste")</f>
        <v>Sacolao Abc Noroeste</v>
      </c>
      <c r="D1145" s="2">
        <f ca="1">IFERROR(__xludf.DUMMYFUNCTION("""COMPUTED_VALUE"""),64.24)</f>
        <v>64.239999999999995</v>
      </c>
      <c r="E1145" s="1" t="str">
        <f ca="1">IFERROR(__xludf.DUMMYFUNCTION("""COMPUTED_VALUE"""),"-")</f>
        <v>-</v>
      </c>
      <c r="F1145" s="1" t="str">
        <f ca="1">IFERROR(__xludf.DUMMYFUNCTION("""COMPUTED_VALUE"""),"Sacolao Abc Noroeste")</f>
        <v>Sacolao Abc Noroeste</v>
      </c>
      <c r="G1145" s="1" t="str">
        <f ca="1">IFERROR(__xludf.DUMMYFUNCTION("""COMPUTED_VALUE"""),"Comida")</f>
        <v>Comida</v>
      </c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x14ac:dyDescent="0.2">
      <c r="A1146" s="6">
        <f ca="1">IFERROR(__xludf.DUMMYFUNCTION("""COMPUTED_VALUE"""),45992)</f>
        <v>45992</v>
      </c>
      <c r="B1146" s="1"/>
      <c r="C1146" s="1" t="str">
        <f ca="1">IFERROR(__xludf.DUMMYFUNCTION("""COMPUTED_VALUE"""),"Sacolao Abc Noroeste")</f>
        <v>Sacolao Abc Noroeste</v>
      </c>
      <c r="D1146" s="2">
        <f ca="1">IFERROR(__xludf.DUMMYFUNCTION("""COMPUTED_VALUE"""),26.31)</f>
        <v>26.31</v>
      </c>
      <c r="E1146" s="1" t="str">
        <f ca="1">IFERROR(__xludf.DUMMYFUNCTION("""COMPUTED_VALUE"""),"-")</f>
        <v>-</v>
      </c>
      <c r="F1146" s="1" t="str">
        <f ca="1">IFERROR(__xludf.DUMMYFUNCTION("""COMPUTED_VALUE"""),"Sacolao Abc Noroeste")</f>
        <v>Sacolao Abc Noroeste</v>
      </c>
      <c r="G1146" s="1" t="str">
        <f ca="1">IFERROR(__xludf.DUMMYFUNCTION("""COMPUTED_VALUE"""),"Comida")</f>
        <v>Comida</v>
      </c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x14ac:dyDescent="0.2">
      <c r="A1147" s="6">
        <f ca="1">IFERROR(__xludf.DUMMYFUNCTION("""COMPUTED_VALUE"""),45992)</f>
        <v>45992</v>
      </c>
      <c r="B1147" s="1"/>
      <c r="C1147" s="1" t="str">
        <f ca="1">IFERROR(__xludf.DUMMYFUNCTION("""COMPUTED_VALUE"""),"Supermercado &amp; Padaria")</f>
        <v>Supermercado &amp; Padaria</v>
      </c>
      <c r="D1147" s="2">
        <f ca="1">IFERROR(__xludf.DUMMYFUNCTION("""COMPUTED_VALUE"""),163.59)</f>
        <v>163.59</v>
      </c>
      <c r="E1147" s="1" t="str">
        <f ca="1">IFERROR(__xludf.DUMMYFUNCTION("""COMPUTED_VALUE"""),"-")</f>
        <v>-</v>
      </c>
      <c r="F1147" s="1" t="str">
        <f ca="1">IFERROR(__xludf.DUMMYFUNCTION("""COMPUTED_VALUE"""),"Supermercado &amp; Padaria")</f>
        <v>Supermercado &amp; Padaria</v>
      </c>
      <c r="G1147" s="1" t="str">
        <f ca="1">IFERROR(__xludf.DUMMYFUNCTION("""COMPUTED_VALUE"""),"Comida")</f>
        <v>Comida</v>
      </c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x14ac:dyDescent="0.2">
      <c r="A1148" s="6">
        <f ca="1">IFERROR(__xludf.DUMMYFUNCTION("""COMPUTED_VALUE"""),45992)</f>
        <v>45992</v>
      </c>
      <c r="B1148" s="1"/>
      <c r="C1148" s="1" t="str">
        <f ca="1">IFERROR(__xludf.DUMMYFUNCTION("""COMPUTED_VALUE"""),"Golden Pet")</f>
        <v>Golden Pet</v>
      </c>
      <c r="D1148" s="2">
        <f ca="1">IFERROR(__xludf.DUMMYFUNCTION("""COMPUTED_VALUE"""),68)</f>
        <v>68</v>
      </c>
      <c r="E1148" s="1" t="str">
        <f ca="1">IFERROR(__xludf.DUMMYFUNCTION("""COMPUTED_VALUE"""),"-")</f>
        <v>-</v>
      </c>
      <c r="F1148" s="1" t="str">
        <f ca="1">IFERROR(__xludf.DUMMYFUNCTION("""COMPUTED_VALUE"""),"Golden Pet")</f>
        <v>Golden Pet</v>
      </c>
      <c r="G1148" s="1" t="str">
        <f ca="1">IFERROR(__xludf.DUMMYFUNCTION("""COMPUTED_VALUE"""),"Hulk")</f>
        <v>Hulk</v>
      </c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x14ac:dyDescent="0.2">
      <c r="A1149" s="6">
        <f ca="1">IFERROR(__xludf.DUMMYFUNCTION("""COMPUTED_VALUE"""),45992)</f>
        <v>45992</v>
      </c>
      <c r="B1149" s="1"/>
      <c r="C1149" s="1" t="str">
        <f ca="1">IFERROR(__xludf.DUMMYFUNCTION("""COMPUTED_VALUE"""),"Drogaria Araujo")</f>
        <v>Drogaria Araujo</v>
      </c>
      <c r="D1149" s="2">
        <f ca="1">IFERROR(__xludf.DUMMYFUNCTION("""COMPUTED_VALUE"""),45.25)</f>
        <v>45.25</v>
      </c>
      <c r="E1149" s="1" t="str">
        <f ca="1">IFERROR(__xludf.DUMMYFUNCTION("""COMPUTED_VALUE"""),"-")</f>
        <v>-</v>
      </c>
      <c r="F1149" s="1" t="str">
        <f ca="1">IFERROR(__xludf.DUMMYFUNCTION("""COMPUTED_VALUE"""),"Drogaria Araujo")</f>
        <v>Drogaria Araujo</v>
      </c>
      <c r="G1149" s="1" t="str">
        <f ca="1">IFERROR(__xludf.DUMMYFUNCTION("""COMPUTED_VALUE"""),"Farmácia")</f>
        <v>Farmácia</v>
      </c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x14ac:dyDescent="0.2">
      <c r="A1150" s="6">
        <f ca="1">IFERROR(__xludf.DUMMYFUNCTION("""COMPUTED_VALUE"""),45992)</f>
        <v>45992</v>
      </c>
      <c r="B1150" s="1"/>
      <c r="C1150" s="1" t="str">
        <f ca="1">IFERROR(__xludf.DUMMYFUNCTION("""COMPUTED_VALUE"""),"Amazonmktplc Gustavoam")</f>
        <v>Amazonmktplc Gustavoam</v>
      </c>
      <c r="D1150" s="2">
        <f ca="1">IFERROR(__xludf.DUMMYFUNCTION("""COMPUTED_VALUE"""),11.3)</f>
        <v>11.3</v>
      </c>
      <c r="E1150" s="1" t="str">
        <f ca="1">IFERROR(__xludf.DUMMYFUNCTION("""COMPUTED_VALUE"""),"-")</f>
        <v>-</v>
      </c>
      <c r="F1150" s="1" t="str">
        <f ca="1">IFERROR(__xludf.DUMMYFUNCTION("""COMPUTED_VALUE"""),"Amazonmktplc")</f>
        <v>Amazonmktplc</v>
      </c>
      <c r="G1150" s="1" t="str">
        <f ca="1">IFERROR(__xludf.DUMMYFUNCTION("""COMPUTED_VALUE"""),"Compras")</f>
        <v>Compras</v>
      </c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x14ac:dyDescent="0.2">
      <c r="A1151" s="6">
        <f ca="1">IFERROR(__xludf.DUMMYFUNCTION("""COMPUTED_VALUE"""),45992)</f>
        <v>45992</v>
      </c>
      <c r="B1151" s="1"/>
      <c r="C1151" s="1" t="str">
        <f ca="1">IFERROR(__xludf.DUMMYFUNCTION("""COMPUTED_VALUE"""),"Lojas Rede")</f>
        <v>Lojas Rede</v>
      </c>
      <c r="D1151" s="2">
        <f ca="1">IFERROR(__xludf.DUMMYFUNCTION("""COMPUTED_VALUE"""),13.9)</f>
        <v>13.9</v>
      </c>
      <c r="E1151" s="1" t="str">
        <f ca="1">IFERROR(__xludf.DUMMYFUNCTION("""COMPUTED_VALUE"""),"-")</f>
        <v>-</v>
      </c>
      <c r="F1151" s="1" t="str">
        <f ca="1">IFERROR(__xludf.DUMMYFUNCTION("""COMPUTED_VALUE"""),"Lojas Rede")</f>
        <v>Lojas Rede</v>
      </c>
      <c r="G1151" s="1" t="str">
        <f ca="1">IFERROR(__xludf.DUMMYFUNCTION("""COMPUTED_VALUE"""),"Compras")</f>
        <v>Compras</v>
      </c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x14ac:dyDescent="0.2">
      <c r="A1152" s="6">
        <f ca="1">IFERROR(__xludf.DUMMYFUNCTION("""COMPUTED_VALUE"""),45992)</f>
        <v>45992</v>
      </c>
      <c r="B1152" s="1"/>
      <c r="C1152" s="1" t="str">
        <f ca="1">IFERROR(__xludf.DUMMYFUNCTION("""COMPUTED_VALUE"""),"Oscar Restaurante")</f>
        <v>Oscar Restaurante</v>
      </c>
      <c r="D1152" s="2">
        <f ca="1">IFERROR(__xludf.DUMMYFUNCTION("""COMPUTED_VALUE"""),26.97)</f>
        <v>26.97</v>
      </c>
      <c r="E1152" s="1" t="str">
        <f ca="1">IFERROR(__xludf.DUMMYFUNCTION("""COMPUTED_VALUE"""),"-")</f>
        <v>-</v>
      </c>
      <c r="F1152" s="1" t="str">
        <f ca="1">IFERROR(__xludf.DUMMYFUNCTION("""COMPUTED_VALUE"""),"Oscar Restaurante")</f>
        <v>Oscar Restaurante</v>
      </c>
      <c r="G1152" s="1" t="str">
        <f ca="1">IFERROR(__xludf.DUMMYFUNCTION("""COMPUTED_VALUE"""),"Comida")</f>
        <v>Comida</v>
      </c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x14ac:dyDescent="0.2">
      <c r="A1153" s="6">
        <f ca="1">IFERROR(__xludf.DUMMYFUNCTION("""COMPUTED_VALUE"""),45992)</f>
        <v>45992</v>
      </c>
      <c r="B1153" s="1"/>
      <c r="C1153" s="1">
        <f ca="1">IFERROR(__xludf.DUMMYFUNCTION("""COMPUTED_VALUE"""),99)</f>
        <v>99</v>
      </c>
      <c r="D1153" s="2">
        <f ca="1">IFERROR(__xludf.DUMMYFUNCTION("""COMPUTED_VALUE"""),21)</f>
        <v>21</v>
      </c>
      <c r="E1153" s="1" t="str">
        <f ca="1">IFERROR(__xludf.DUMMYFUNCTION("""COMPUTED_VALUE"""),"-")</f>
        <v>-</v>
      </c>
      <c r="F1153" s="1" t="str">
        <f ca="1">IFERROR(__xludf.DUMMYFUNCTION("""COMPUTED_VALUE"""),"99")</f>
        <v>99</v>
      </c>
      <c r="G1153" s="1" t="str">
        <f ca="1">IFERROR(__xludf.DUMMYFUNCTION("""COMPUTED_VALUE"""),"Uber/99")</f>
        <v>Uber/99</v>
      </c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x14ac:dyDescent="0.2">
      <c r="A1154" s="6">
        <f ca="1">IFERROR(__xludf.DUMMYFUNCTION("""COMPUTED_VALUE"""),45992)</f>
        <v>45992</v>
      </c>
      <c r="B1154" s="1"/>
      <c r="C1154" s="1" t="str">
        <f ca="1">IFERROR(__xludf.DUMMYFUNCTION("""COMPUTED_VALUE"""),"Mercado Livre")</f>
        <v>Mercado Livre</v>
      </c>
      <c r="D1154" s="2">
        <f ca="1">IFERROR(__xludf.DUMMYFUNCTION("""COMPUTED_VALUE"""),96.6)</f>
        <v>96.6</v>
      </c>
      <c r="E1154" s="1" t="str">
        <f ca="1">IFERROR(__xludf.DUMMYFUNCTION("""COMPUTED_VALUE"""),"-")</f>
        <v>-</v>
      </c>
      <c r="F1154" s="1" t="str">
        <f ca="1">IFERROR(__xludf.DUMMYFUNCTION("""COMPUTED_VALUE"""),"Mercado Livre")</f>
        <v>Mercado Livre</v>
      </c>
      <c r="G1154" s="1" t="str">
        <f ca="1">IFERROR(__xludf.DUMMYFUNCTION("""COMPUTED_VALUE"""),"Compras")</f>
        <v>Compras</v>
      </c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x14ac:dyDescent="0.2">
      <c r="A1155" s="6">
        <f ca="1">IFERROR(__xludf.DUMMYFUNCTION("""COMPUTED_VALUE"""),45992)</f>
        <v>45992</v>
      </c>
      <c r="B1155" s="1"/>
      <c r="C1155" s="1" t="str">
        <f ca="1">IFERROR(__xludf.DUMMYFUNCTION("""COMPUTED_VALUE"""),"Ebn Amazon Retail")</f>
        <v>Ebn Amazon Retail</v>
      </c>
      <c r="D1155" s="2">
        <f ca="1">IFERROR(__xludf.DUMMYFUNCTION("""COMPUTED_VALUE"""),91.94)</f>
        <v>91.94</v>
      </c>
      <c r="E1155" s="1" t="str">
        <f ca="1">IFERROR(__xludf.DUMMYFUNCTION("""COMPUTED_VALUE"""),"-")</f>
        <v>-</v>
      </c>
      <c r="F1155" s="1" t="str">
        <f ca="1">IFERROR(__xludf.DUMMYFUNCTION("""COMPUTED_VALUE"""),"Ebn Amazon Retail")</f>
        <v>Ebn Amazon Retail</v>
      </c>
      <c r="G1155" s="1" t="str">
        <f ca="1">IFERROR(__xludf.DUMMYFUNCTION("""COMPUTED_VALUE"""),"Compras")</f>
        <v>Compras</v>
      </c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x14ac:dyDescent="0.2">
      <c r="A1156" s="6">
        <f ca="1">IFERROR(__xludf.DUMMYFUNCTION("""COMPUTED_VALUE"""),45992)</f>
        <v>45992</v>
      </c>
      <c r="B1156" s="1"/>
      <c r="C1156" s="1" t="str">
        <f ca="1">IFERROR(__xludf.DUMMYFUNCTION("""COMPUTED_VALUE"""),"Unisant")</f>
        <v>Unisant</v>
      </c>
      <c r="D1156" s="2">
        <f ca="1">IFERROR(__xludf.DUMMYFUNCTION("""COMPUTED_VALUE"""),225.52)</f>
        <v>225.52</v>
      </c>
      <c r="E1156" s="1" t="str">
        <f ca="1">IFERROR(__xludf.DUMMYFUNCTION("""COMPUTED_VALUE"""),"-")</f>
        <v>-</v>
      </c>
      <c r="F1156" s="1" t="str">
        <f ca="1">IFERROR(__xludf.DUMMYFUNCTION("""COMPUTED_VALUE"""),"Unisant")</f>
        <v>Unisant</v>
      </c>
      <c r="G1156" s="1" t="str">
        <f ca="1">IFERROR(__xludf.DUMMYFUNCTION("""COMPUTED_VALUE"""),"-")</f>
        <v>-</v>
      </c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x14ac:dyDescent="0.2">
      <c r="A1157" s="6">
        <f ca="1">IFERROR(__xludf.DUMMYFUNCTION("""COMPUTED_VALUE"""),45992)</f>
        <v>45992</v>
      </c>
      <c r="B1157" s="1"/>
      <c r="C1157" s="1" t="str">
        <f ca="1">IFERROR(__xludf.DUMMYFUNCTION("""COMPUTED_VALUE"""),"Super Nosso")</f>
        <v>Super Nosso</v>
      </c>
      <c r="D1157" s="2">
        <f ca="1">IFERROR(__xludf.DUMMYFUNCTION("""COMPUTED_VALUE"""),13.99)</f>
        <v>13.99</v>
      </c>
      <c r="E1157" s="1" t="str">
        <f ca="1">IFERROR(__xludf.DUMMYFUNCTION("""COMPUTED_VALUE"""),"-")</f>
        <v>-</v>
      </c>
      <c r="F1157" s="1" t="str">
        <f ca="1">IFERROR(__xludf.DUMMYFUNCTION("""COMPUTED_VALUE"""),"Super Nosso")</f>
        <v>Super Nosso</v>
      </c>
      <c r="G1157" s="1" t="str">
        <f ca="1">IFERROR(__xludf.DUMMYFUNCTION("""COMPUTED_VALUE"""),"Supermercado")</f>
        <v>Supermercado</v>
      </c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x14ac:dyDescent="0.2">
      <c r="A1158" s="6">
        <f ca="1">IFERROR(__xludf.DUMMYFUNCTION("""COMPUTED_VALUE"""),45992)</f>
        <v>45992</v>
      </c>
      <c r="B1158" s="1"/>
      <c r="C1158" s="1">
        <f ca="1">IFERROR(__xludf.DUMMYFUNCTION("""COMPUTED_VALUE"""),99)</f>
        <v>99</v>
      </c>
      <c r="D1158" s="2">
        <f ca="1">IFERROR(__xludf.DUMMYFUNCTION("""COMPUTED_VALUE"""),23.7)</f>
        <v>23.7</v>
      </c>
      <c r="E1158" s="1" t="str">
        <f ca="1">IFERROR(__xludf.DUMMYFUNCTION("""COMPUTED_VALUE"""),"-")</f>
        <v>-</v>
      </c>
      <c r="F1158" s="1" t="str">
        <f ca="1">IFERROR(__xludf.DUMMYFUNCTION("""COMPUTED_VALUE"""),"99")</f>
        <v>99</v>
      </c>
      <c r="G1158" s="1" t="str">
        <f ca="1">IFERROR(__xludf.DUMMYFUNCTION("""COMPUTED_VALUE"""),"Uber/99")</f>
        <v>Uber/99</v>
      </c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x14ac:dyDescent="0.2">
      <c r="A1159" s="6">
        <f ca="1">IFERROR(__xludf.DUMMYFUNCTION("""COMPUTED_VALUE"""),45992)</f>
        <v>45992</v>
      </c>
      <c r="B1159" s="1"/>
      <c r="C1159" s="1" t="str">
        <f ca="1">IFERROR(__xludf.DUMMYFUNCTION("""COMPUTED_VALUE"""),"Drogaria Ara Araujo")</f>
        <v>Drogaria Ara Araujo</v>
      </c>
      <c r="D1159" s="2">
        <f ca="1">IFERROR(__xludf.DUMMYFUNCTION("""COMPUTED_VALUE"""),55.17)</f>
        <v>55.17</v>
      </c>
      <c r="E1159" s="1" t="str">
        <f ca="1">IFERROR(__xludf.DUMMYFUNCTION("""COMPUTED_VALUE"""),"-")</f>
        <v>-</v>
      </c>
      <c r="F1159" s="1" t="str">
        <f ca="1">IFERROR(__xludf.DUMMYFUNCTION("""COMPUTED_VALUE"""),"Drogaria Ara Araujo")</f>
        <v>Drogaria Ara Araujo</v>
      </c>
      <c r="G1159" s="1" t="str">
        <f ca="1">IFERROR(__xludf.DUMMYFUNCTION("""COMPUTED_VALUE"""),"Farmácia")</f>
        <v>Farmácia</v>
      </c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x14ac:dyDescent="0.2">
      <c r="A1160" s="6">
        <f ca="1">IFERROR(__xludf.DUMMYFUNCTION("""COMPUTED_VALUE"""),45992)</f>
        <v>45992</v>
      </c>
      <c r="B1160" s="1"/>
      <c r="C1160" s="1" t="str">
        <f ca="1">IFERROR(__xludf.DUMMYFUNCTION("""COMPUTED_VALUE"""),"Mercado Livre (3/3)")</f>
        <v>Mercado Livre (3/3)</v>
      </c>
      <c r="D1160" s="2">
        <f ca="1">IFERROR(__xludf.DUMMYFUNCTION("""COMPUTED_VALUE"""),72)</f>
        <v>72</v>
      </c>
      <c r="E1160" s="1" t="str">
        <f ca="1">IFERROR(__xludf.DUMMYFUNCTION("""COMPUTED_VALUE"""),"-")</f>
        <v>-</v>
      </c>
      <c r="F1160" s="1" t="str">
        <f ca="1">IFERROR(__xludf.DUMMYFUNCTION("""COMPUTED_VALUE"""),"Mercado Livre")</f>
        <v>Mercado Livre</v>
      </c>
      <c r="G1160" s="1" t="str">
        <f ca="1">IFERROR(__xludf.DUMMYFUNCTION("""COMPUTED_VALUE"""),"Compras")</f>
        <v>Compras</v>
      </c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x14ac:dyDescent="0.2">
      <c r="A1161" s="6">
        <f ca="1">IFERROR(__xludf.DUMMYFUNCTION("""COMPUTED_VALUE"""),45992)</f>
        <v>45992</v>
      </c>
      <c r="B1161" s="1"/>
      <c r="C1161" s="1" t="str">
        <f ca="1">IFERROR(__xludf.DUMMYFUNCTION("""COMPUTED_VALUE"""),"Mercado Livre (2/3)")</f>
        <v>Mercado Livre (2/3)</v>
      </c>
      <c r="D1161" s="2">
        <f ca="1">IFERROR(__xludf.DUMMYFUNCTION("""COMPUTED_VALUE"""),72)</f>
        <v>72</v>
      </c>
      <c r="E1161" s="1" t="str">
        <f ca="1">IFERROR(__xludf.DUMMYFUNCTION("""COMPUTED_VALUE"""),"-")</f>
        <v>-</v>
      </c>
      <c r="F1161" s="1" t="str">
        <f ca="1">IFERROR(__xludf.DUMMYFUNCTION("""COMPUTED_VALUE"""),"Mercado Livre")</f>
        <v>Mercado Livre</v>
      </c>
      <c r="G1161" s="1" t="str">
        <f ca="1">IFERROR(__xludf.DUMMYFUNCTION("""COMPUTED_VALUE"""),"Compras")</f>
        <v>Compras</v>
      </c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x14ac:dyDescent="0.2">
      <c r="A1162" s="6">
        <f ca="1">IFERROR(__xludf.DUMMYFUNCTION("""COMPUTED_VALUE"""),45992)</f>
        <v>45992</v>
      </c>
      <c r="B1162" s="1"/>
      <c r="C1162" s="1" t="str">
        <f ca="1">IFERROR(__xludf.DUMMYFUNCTION("""COMPUTED_VALUE"""),"Mercado Livre (1/3)")</f>
        <v>Mercado Livre (1/3)</v>
      </c>
      <c r="D1162" s="2">
        <f ca="1">IFERROR(__xludf.DUMMYFUNCTION("""COMPUTED_VALUE"""),72)</f>
        <v>72</v>
      </c>
      <c r="E1162" s="1" t="str">
        <f ca="1">IFERROR(__xludf.DUMMYFUNCTION("""COMPUTED_VALUE"""),"-")</f>
        <v>-</v>
      </c>
      <c r="F1162" s="1" t="str">
        <f ca="1">IFERROR(__xludf.DUMMYFUNCTION("""COMPUTED_VALUE"""),"Mercado Livre")</f>
        <v>Mercado Livre</v>
      </c>
      <c r="G1162" s="1" t="str">
        <f ca="1">IFERROR(__xludf.DUMMYFUNCTION("""COMPUTED_VALUE"""),"Compras")</f>
        <v>Compras</v>
      </c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x14ac:dyDescent="0.2">
      <c r="A1163" s="6">
        <f ca="1">IFERROR(__xludf.DUMMYFUNCTION("""COMPUTED_VALUE"""),45992)</f>
        <v>45992</v>
      </c>
      <c r="B1163" s="1"/>
      <c r="C1163" s="1">
        <f ca="1">IFERROR(__xludf.DUMMYFUNCTION("""COMPUTED_VALUE"""),99)</f>
        <v>99</v>
      </c>
      <c r="D1163" s="2">
        <f ca="1">IFERROR(__xludf.DUMMYFUNCTION("""COMPUTED_VALUE"""),17.5)</f>
        <v>17.5</v>
      </c>
      <c r="E1163" s="1" t="str">
        <f ca="1">IFERROR(__xludf.DUMMYFUNCTION("""COMPUTED_VALUE"""),"-")</f>
        <v>-</v>
      </c>
      <c r="F1163" s="1" t="str">
        <f ca="1">IFERROR(__xludf.DUMMYFUNCTION("""COMPUTED_VALUE"""),"99")</f>
        <v>99</v>
      </c>
      <c r="G1163" s="1" t="str">
        <f ca="1">IFERROR(__xludf.DUMMYFUNCTION("""COMPUTED_VALUE"""),"Uber/99")</f>
        <v>Uber/99</v>
      </c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x14ac:dyDescent="0.2">
      <c r="A1164" s="6">
        <f ca="1">IFERROR(__xludf.DUMMYFUNCTION("""COMPUTED_VALUE"""),45992)</f>
        <v>45992</v>
      </c>
      <c r="B1164" s="1"/>
      <c r="C1164" s="1" t="str">
        <f ca="1">IFERROR(__xludf.DUMMYFUNCTION("""COMPUTED_VALUE"""),"Amazon Digital Br")</f>
        <v>Amazon Digital Br</v>
      </c>
      <c r="D1164" s="2">
        <f ca="1">IFERROR(__xludf.DUMMYFUNCTION("""COMPUTED_VALUE"""),11.96)</f>
        <v>11.96</v>
      </c>
      <c r="E1164" s="1" t="str">
        <f ca="1">IFERROR(__xludf.DUMMYFUNCTION("""COMPUTED_VALUE"""),"-")</f>
        <v>-</v>
      </c>
      <c r="F1164" s="1" t="str">
        <f ca="1">IFERROR(__xludf.DUMMYFUNCTION("""COMPUTED_VALUE"""),"Amazon Digital Br")</f>
        <v>Amazon Digital Br</v>
      </c>
      <c r="G1164" s="1" t="str">
        <f ca="1">IFERROR(__xludf.DUMMYFUNCTION("""COMPUTED_VALUE"""),"Compras")</f>
        <v>Compras</v>
      </c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x14ac:dyDescent="0.2">
      <c r="A1165" s="6">
        <f ca="1">IFERROR(__xludf.DUMMYFUNCTION("""COMPUTED_VALUE"""),45992)</f>
        <v>45992</v>
      </c>
      <c r="B1165" s="1"/>
      <c r="C1165" s="1" t="str">
        <f ca="1">IFERROR(__xludf.DUMMYFUNCTION("""COMPUTED_VALUE"""),"Amazon")</f>
        <v>Amazon</v>
      </c>
      <c r="D1165" s="2">
        <f ca="1">IFERROR(__xludf.DUMMYFUNCTION("""COMPUTED_VALUE"""),26.39)</f>
        <v>26.39</v>
      </c>
      <c r="E1165" s="1" t="str">
        <f ca="1">IFERROR(__xludf.DUMMYFUNCTION("""COMPUTED_VALUE"""),"-")</f>
        <v>-</v>
      </c>
      <c r="F1165" s="1" t="str">
        <f ca="1">IFERROR(__xludf.DUMMYFUNCTION("""COMPUTED_VALUE"""),"Amazon")</f>
        <v>Amazon</v>
      </c>
      <c r="G1165" s="1" t="str">
        <f ca="1">IFERROR(__xludf.DUMMYFUNCTION("""COMPUTED_VALUE"""),"Compras")</f>
        <v>Compras</v>
      </c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x14ac:dyDescent="0.2">
      <c r="A1166" s="6">
        <f ca="1">IFERROR(__xludf.DUMMYFUNCTION("""COMPUTED_VALUE"""),45992)</f>
        <v>45992</v>
      </c>
      <c r="B1166" s="1"/>
      <c r="C1166" s="1">
        <f ca="1">IFERROR(__xludf.DUMMYFUNCTION("""COMPUTED_VALUE"""),99)</f>
        <v>99</v>
      </c>
      <c r="D1166" s="2">
        <f ca="1">IFERROR(__xludf.DUMMYFUNCTION("""COMPUTED_VALUE"""),15.66)</f>
        <v>15.66</v>
      </c>
      <c r="E1166" s="1" t="str">
        <f ca="1">IFERROR(__xludf.DUMMYFUNCTION("""COMPUTED_VALUE"""),"-")</f>
        <v>-</v>
      </c>
      <c r="F1166" s="1" t="str">
        <f ca="1">IFERROR(__xludf.DUMMYFUNCTION("""COMPUTED_VALUE"""),"99")</f>
        <v>99</v>
      </c>
      <c r="G1166" s="1" t="str">
        <f ca="1">IFERROR(__xludf.DUMMYFUNCTION("""COMPUTED_VALUE"""),"Uber/99")</f>
        <v>Uber/99</v>
      </c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x14ac:dyDescent="0.2">
      <c r="A1167" s="6">
        <f ca="1">IFERROR(__xludf.DUMMYFUNCTION("""COMPUTED_VALUE"""),45992)</f>
        <v>45992</v>
      </c>
      <c r="B1167" s="1"/>
      <c r="C1167" s="1" t="str">
        <f ca="1">IFERROR(__xludf.DUMMYFUNCTION("""COMPUTED_VALUE"""),"Uber")</f>
        <v>Uber</v>
      </c>
      <c r="D1167" s="2">
        <f ca="1">IFERROR(__xludf.DUMMYFUNCTION("""COMPUTED_VALUE"""),9.83)</f>
        <v>9.83</v>
      </c>
      <c r="E1167" s="1" t="str">
        <f ca="1">IFERROR(__xludf.DUMMYFUNCTION("""COMPUTED_VALUE"""),"-")</f>
        <v>-</v>
      </c>
      <c r="F1167" s="1" t="str">
        <f ca="1">IFERROR(__xludf.DUMMYFUNCTION("""COMPUTED_VALUE"""),"Uber")</f>
        <v>Uber</v>
      </c>
      <c r="G1167" s="1" t="str">
        <f ca="1">IFERROR(__xludf.DUMMYFUNCTION("""COMPUTED_VALUE"""),"Uber/99")</f>
        <v>Uber/99</v>
      </c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x14ac:dyDescent="0.2">
      <c r="A1168" s="6">
        <f ca="1">IFERROR(__xludf.DUMMYFUNCTION("""COMPUTED_VALUE"""),45992)</f>
        <v>45992</v>
      </c>
      <c r="B1168" s="1"/>
      <c r="C1168" s="1" t="str">
        <f ca="1">IFERROR(__xludf.DUMMYFUNCTION("""COMPUTED_VALUE"""),"Uber")</f>
        <v>Uber</v>
      </c>
      <c r="D1168" s="2">
        <f ca="1">IFERROR(__xludf.DUMMYFUNCTION("""COMPUTED_VALUE"""),17.94)</f>
        <v>17.940000000000001</v>
      </c>
      <c r="E1168" s="1" t="str">
        <f ca="1">IFERROR(__xludf.DUMMYFUNCTION("""COMPUTED_VALUE"""),"-")</f>
        <v>-</v>
      </c>
      <c r="F1168" s="1" t="str">
        <f ca="1">IFERROR(__xludf.DUMMYFUNCTION("""COMPUTED_VALUE"""),"Uber")</f>
        <v>Uber</v>
      </c>
      <c r="G1168" s="1" t="str">
        <f ca="1">IFERROR(__xludf.DUMMYFUNCTION("""COMPUTED_VALUE"""),"Uber/99")</f>
        <v>Uber/99</v>
      </c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x14ac:dyDescent="0.2">
      <c r="A1169" s="6">
        <f ca="1">IFERROR(__xludf.DUMMYFUNCTION("""COMPUTED_VALUE"""),45992)</f>
        <v>45992</v>
      </c>
      <c r="B1169" s="1"/>
      <c r="C1169" s="1" t="str">
        <f ca="1">IFERROR(__xludf.DUMMYFUNCTION("""COMPUTED_VALUE"""),"Neckartal")</f>
        <v>Neckartal</v>
      </c>
      <c r="D1169" s="2">
        <f ca="1">IFERROR(__xludf.DUMMYFUNCTION("""COMPUTED_VALUE"""),64.9)</f>
        <v>64.900000000000006</v>
      </c>
      <c r="E1169" s="1" t="str">
        <f ca="1">IFERROR(__xludf.DUMMYFUNCTION("""COMPUTED_VALUE"""),"-")</f>
        <v>-</v>
      </c>
      <c r="F1169" s="1" t="str">
        <f ca="1">IFERROR(__xludf.DUMMYFUNCTION("""COMPUTED_VALUE"""),"Neckartal")</f>
        <v>Neckartal</v>
      </c>
      <c r="G1169" s="1" t="str">
        <f ca="1">IFERROR(__xludf.DUMMYFUNCTION("""COMPUTED_VALUE"""),"-")</f>
        <v>-</v>
      </c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x14ac:dyDescent="0.2">
      <c r="A1170" s="6">
        <f ca="1">IFERROR(__xludf.DUMMYFUNCTION("""COMPUTED_VALUE"""),45992)</f>
        <v>45992</v>
      </c>
      <c r="B1170" s="1"/>
      <c r="C1170" s="1" t="str">
        <f ca="1">IFERROR(__xludf.DUMMYFUNCTION("""COMPUTED_VALUE"""),"Amazonmktplc Icomercio")</f>
        <v>Amazonmktplc Icomercio</v>
      </c>
      <c r="D1170" s="2">
        <f ca="1">IFERROR(__xludf.DUMMYFUNCTION("""COMPUTED_VALUE"""),27.9)</f>
        <v>27.9</v>
      </c>
      <c r="E1170" s="1" t="str">
        <f ca="1">IFERROR(__xludf.DUMMYFUNCTION("""COMPUTED_VALUE"""),"-")</f>
        <v>-</v>
      </c>
      <c r="F1170" s="1" t="str">
        <f ca="1">IFERROR(__xludf.DUMMYFUNCTION("""COMPUTED_VALUE"""),"Amazonmktplc")</f>
        <v>Amazonmktplc</v>
      </c>
      <c r="G1170" s="1" t="str">
        <f ca="1">IFERROR(__xludf.DUMMYFUNCTION("""COMPUTED_VALUE"""),"Compras")</f>
        <v>Compras</v>
      </c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x14ac:dyDescent="0.2">
      <c r="A1171" s="6">
        <f ca="1">IFERROR(__xludf.DUMMYFUNCTION("""COMPUTED_VALUE"""),45992)</f>
        <v>45992</v>
      </c>
      <c r="B1171" s="1"/>
      <c r="C1171" s="1" t="str">
        <f ca="1">IFERROR(__xludf.DUMMYFUNCTION("""COMPUTED_VALUE"""),"Drogaria Araujo")</f>
        <v>Drogaria Araujo</v>
      </c>
      <c r="D1171" s="2">
        <f ca="1">IFERROR(__xludf.DUMMYFUNCTION("""COMPUTED_VALUE"""),173.21)</f>
        <v>173.21</v>
      </c>
      <c r="E1171" s="1" t="str">
        <f ca="1">IFERROR(__xludf.DUMMYFUNCTION("""COMPUTED_VALUE"""),"-")</f>
        <v>-</v>
      </c>
      <c r="F1171" s="1" t="str">
        <f ca="1">IFERROR(__xludf.DUMMYFUNCTION("""COMPUTED_VALUE"""),"Drogaria Araujo")</f>
        <v>Drogaria Araujo</v>
      </c>
      <c r="G1171" s="1" t="str">
        <f ca="1">IFERROR(__xludf.DUMMYFUNCTION("""COMPUTED_VALUE"""),"Farmácia")</f>
        <v>Farmácia</v>
      </c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x14ac:dyDescent="0.2">
      <c r="A1172" s="6">
        <f ca="1">IFERROR(__xludf.DUMMYFUNCTION("""COMPUTED_VALUE"""),45992)</f>
        <v>45992</v>
      </c>
      <c r="B1172" s="1"/>
      <c r="C1172" s="1" t="str">
        <f ca="1">IFERROR(__xludf.DUMMYFUNCTION("""COMPUTED_VALUE"""),"Mercado Livre (3/3)")</f>
        <v>Mercado Livre (3/3)</v>
      </c>
      <c r="D1172" s="2">
        <f ca="1">IFERROR(__xludf.DUMMYFUNCTION("""COMPUTED_VALUE"""),49.5)</f>
        <v>49.5</v>
      </c>
      <c r="E1172" s="1" t="str">
        <f ca="1">IFERROR(__xludf.DUMMYFUNCTION("""COMPUTED_VALUE"""),"-")</f>
        <v>-</v>
      </c>
      <c r="F1172" s="1" t="str">
        <f ca="1">IFERROR(__xludf.DUMMYFUNCTION("""COMPUTED_VALUE"""),"Mercado Livre")</f>
        <v>Mercado Livre</v>
      </c>
      <c r="G1172" s="1" t="str">
        <f ca="1">IFERROR(__xludf.DUMMYFUNCTION("""COMPUTED_VALUE"""),"Compras")</f>
        <v>Compras</v>
      </c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x14ac:dyDescent="0.2">
      <c r="A1173" s="6">
        <f ca="1">IFERROR(__xludf.DUMMYFUNCTION("""COMPUTED_VALUE"""),45992)</f>
        <v>45992</v>
      </c>
      <c r="B1173" s="1"/>
      <c r="C1173" s="1" t="str">
        <f ca="1">IFERROR(__xludf.DUMMYFUNCTION("""COMPUTED_VALUE"""),"Mercado Livre (2/3)")</f>
        <v>Mercado Livre (2/3)</v>
      </c>
      <c r="D1173" s="2">
        <f ca="1">IFERROR(__xludf.DUMMYFUNCTION("""COMPUTED_VALUE"""),49.5)</f>
        <v>49.5</v>
      </c>
      <c r="E1173" s="1" t="str">
        <f ca="1">IFERROR(__xludf.DUMMYFUNCTION("""COMPUTED_VALUE"""),"-")</f>
        <v>-</v>
      </c>
      <c r="F1173" s="1" t="str">
        <f ca="1">IFERROR(__xludf.DUMMYFUNCTION("""COMPUTED_VALUE"""),"Mercado Livre")</f>
        <v>Mercado Livre</v>
      </c>
      <c r="G1173" s="1" t="str">
        <f ca="1">IFERROR(__xludf.DUMMYFUNCTION("""COMPUTED_VALUE"""),"Compras")</f>
        <v>Compras</v>
      </c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x14ac:dyDescent="0.2">
      <c r="A1174" s="6">
        <f ca="1">IFERROR(__xludf.DUMMYFUNCTION("""COMPUTED_VALUE"""),45992)</f>
        <v>45992</v>
      </c>
      <c r="B1174" s="1"/>
      <c r="C1174" s="1" t="str">
        <f ca="1">IFERROR(__xludf.DUMMYFUNCTION("""COMPUTED_VALUE"""),"Mercado Livre (1/3)")</f>
        <v>Mercado Livre (1/3)</v>
      </c>
      <c r="D1174" s="2">
        <f ca="1">IFERROR(__xludf.DUMMYFUNCTION("""COMPUTED_VALUE"""),49.5)</f>
        <v>49.5</v>
      </c>
      <c r="E1174" s="1" t="str">
        <f ca="1">IFERROR(__xludf.DUMMYFUNCTION("""COMPUTED_VALUE"""),"-")</f>
        <v>-</v>
      </c>
      <c r="F1174" s="1" t="str">
        <f ca="1">IFERROR(__xludf.DUMMYFUNCTION("""COMPUTED_VALUE"""),"Mercado Livre")</f>
        <v>Mercado Livre</v>
      </c>
      <c r="G1174" s="1" t="str">
        <f ca="1">IFERROR(__xludf.DUMMYFUNCTION("""COMPUTED_VALUE"""),"Compras")</f>
        <v>Compras</v>
      </c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x14ac:dyDescent="0.2">
      <c r="A1175" s="6">
        <f ca="1">IFERROR(__xludf.DUMMYFUNCTION("""COMPUTED_VALUE"""),45992)</f>
        <v>45992</v>
      </c>
      <c r="B1175" s="1"/>
      <c r="C1175" s="1" t="str">
        <f ca="1">IFERROR(__xludf.DUMMYFUNCTION("""COMPUTED_VALUE"""),"Golden Pet")</f>
        <v>Golden Pet</v>
      </c>
      <c r="D1175" s="2">
        <f ca="1">IFERROR(__xludf.DUMMYFUNCTION("""COMPUTED_VALUE"""),330)</f>
        <v>330</v>
      </c>
      <c r="E1175" s="1" t="str">
        <f ca="1">IFERROR(__xludf.DUMMYFUNCTION("""COMPUTED_VALUE"""),"-")</f>
        <v>-</v>
      </c>
      <c r="F1175" s="1" t="str">
        <f ca="1">IFERROR(__xludf.DUMMYFUNCTION("""COMPUTED_VALUE"""),"Golden Pet")</f>
        <v>Golden Pet</v>
      </c>
      <c r="G1175" s="1" t="str">
        <f ca="1">IFERROR(__xludf.DUMMYFUNCTION("""COMPUTED_VALUE"""),"Hulk")</f>
        <v>Hulk</v>
      </c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x14ac:dyDescent="0.2">
      <c r="A1176" s="6">
        <f ca="1">IFERROR(__xludf.DUMMYFUNCTION("""COMPUTED_VALUE"""),45992)</f>
        <v>45992</v>
      </c>
      <c r="B1176" s="1"/>
      <c r="C1176" s="1" t="str">
        <f ca="1">IFERROR(__xludf.DUMMYFUNCTION("""COMPUTED_VALUE"""),"Drogaria Ara Araujo")</f>
        <v>Drogaria Ara Araujo</v>
      </c>
      <c r="D1176" s="2">
        <f ca="1">IFERROR(__xludf.DUMMYFUNCTION("""COMPUTED_VALUE"""),41.99)</f>
        <v>41.99</v>
      </c>
      <c r="E1176" s="1" t="str">
        <f ca="1">IFERROR(__xludf.DUMMYFUNCTION("""COMPUTED_VALUE"""),"-")</f>
        <v>-</v>
      </c>
      <c r="F1176" s="1" t="str">
        <f ca="1">IFERROR(__xludf.DUMMYFUNCTION("""COMPUTED_VALUE"""),"Drogaria Ara Araujo")</f>
        <v>Drogaria Ara Araujo</v>
      </c>
      <c r="G1176" s="1" t="str">
        <f ca="1">IFERROR(__xludf.DUMMYFUNCTION("""COMPUTED_VALUE"""),"Farmácia")</f>
        <v>Farmácia</v>
      </c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x14ac:dyDescent="0.2">
      <c r="A1177" s="6">
        <f ca="1">IFERROR(__xludf.DUMMYFUNCTION("""COMPUTED_VALUE"""),45992)</f>
        <v>45992</v>
      </c>
      <c r="B1177" s="1"/>
      <c r="C1177" s="1" t="str">
        <f ca="1">IFERROR(__xludf.DUMMYFUNCTION("""COMPUTED_VALUE"""),"Uber")</f>
        <v>Uber</v>
      </c>
      <c r="D1177" s="2">
        <f ca="1">IFERROR(__xludf.DUMMYFUNCTION("""COMPUTED_VALUE"""),11.97)</f>
        <v>11.97</v>
      </c>
      <c r="E1177" s="1" t="str">
        <f ca="1">IFERROR(__xludf.DUMMYFUNCTION("""COMPUTED_VALUE"""),"-")</f>
        <v>-</v>
      </c>
      <c r="F1177" s="1" t="str">
        <f ca="1">IFERROR(__xludf.DUMMYFUNCTION("""COMPUTED_VALUE"""),"Uber")</f>
        <v>Uber</v>
      </c>
      <c r="G1177" s="1" t="str">
        <f ca="1">IFERROR(__xludf.DUMMYFUNCTION("""COMPUTED_VALUE"""),"Uber/99")</f>
        <v>Uber/99</v>
      </c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x14ac:dyDescent="0.2">
      <c r="A1178" s="6">
        <f ca="1">IFERROR(__xludf.DUMMYFUNCTION("""COMPUTED_VALUE"""),45992)</f>
        <v>45992</v>
      </c>
      <c r="B1178" s="1"/>
      <c r="C1178" s="1" t="str">
        <f ca="1">IFERROR(__xludf.DUMMYFUNCTION("""COMPUTED_VALUE"""),"Shopee")</f>
        <v>Shopee</v>
      </c>
      <c r="D1178" s="2">
        <f ca="1">IFERROR(__xludf.DUMMYFUNCTION("""COMPUTED_VALUE"""),15.47)</f>
        <v>15.47</v>
      </c>
      <c r="E1178" s="1" t="str">
        <f ca="1">IFERROR(__xludf.DUMMYFUNCTION("""COMPUTED_VALUE"""),"-")</f>
        <v>-</v>
      </c>
      <c r="F1178" s="1" t="str">
        <f ca="1">IFERROR(__xludf.DUMMYFUNCTION("""COMPUTED_VALUE"""),"Shopee")</f>
        <v>Shopee</v>
      </c>
      <c r="G1178" s="1" t="str">
        <f ca="1">IFERROR(__xludf.DUMMYFUNCTION("""COMPUTED_VALUE"""),"Compras")</f>
        <v>Compras</v>
      </c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x14ac:dyDescent="0.2">
      <c r="A1179" s="6">
        <f ca="1">IFERROR(__xludf.DUMMYFUNCTION("""COMPUTED_VALUE"""),45992)</f>
        <v>45992</v>
      </c>
      <c r="B1179" s="1"/>
      <c r="C1179" s="1" t="str">
        <f ca="1">IFERROR(__xludf.DUMMYFUNCTION("""COMPUTED_VALUE"""),"Shopee")</f>
        <v>Shopee</v>
      </c>
      <c r="D1179" s="2">
        <f ca="1">IFERROR(__xludf.DUMMYFUNCTION("""COMPUTED_VALUE"""),27.98)</f>
        <v>27.98</v>
      </c>
      <c r="E1179" s="1" t="str">
        <f ca="1">IFERROR(__xludf.DUMMYFUNCTION("""COMPUTED_VALUE"""),"-")</f>
        <v>-</v>
      </c>
      <c r="F1179" s="1" t="str">
        <f ca="1">IFERROR(__xludf.DUMMYFUNCTION("""COMPUTED_VALUE"""),"Shopee")</f>
        <v>Shopee</v>
      </c>
      <c r="G1179" s="1" t="str">
        <f ca="1">IFERROR(__xludf.DUMMYFUNCTION("""COMPUTED_VALUE"""),"Compras")</f>
        <v>Compras</v>
      </c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x14ac:dyDescent="0.2">
      <c r="A1180" s="6">
        <f ca="1">IFERROR(__xludf.DUMMYFUNCTION("""COMPUTED_VALUE"""),45992)</f>
        <v>45992</v>
      </c>
      <c r="B1180" s="1"/>
      <c r="C1180" s="1" t="str">
        <f ca="1">IFERROR(__xludf.DUMMYFUNCTION("""COMPUTED_VALUE"""),"Mercado Livre")</f>
        <v>Mercado Livre</v>
      </c>
      <c r="D1180" s="2">
        <f ca="1">IFERROR(__xludf.DUMMYFUNCTION("""COMPUTED_VALUE"""),74.25)</f>
        <v>74.25</v>
      </c>
      <c r="E1180" s="1" t="str">
        <f ca="1">IFERROR(__xludf.DUMMYFUNCTION("""COMPUTED_VALUE"""),"-")</f>
        <v>-</v>
      </c>
      <c r="F1180" s="1" t="str">
        <f ca="1">IFERROR(__xludf.DUMMYFUNCTION("""COMPUTED_VALUE"""),"Mercado Livre")</f>
        <v>Mercado Livre</v>
      </c>
      <c r="G1180" s="1" t="str">
        <f ca="1">IFERROR(__xludf.DUMMYFUNCTION("""COMPUTED_VALUE"""),"Compras")</f>
        <v>Compras</v>
      </c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x14ac:dyDescent="0.2">
      <c r="A1181" s="6">
        <f ca="1">IFERROR(__xludf.DUMMYFUNCTION("""COMPUTED_VALUE"""),45992)</f>
        <v>45992</v>
      </c>
      <c r="B1181" s="1"/>
      <c r="C1181" s="1" t="str">
        <f ca="1">IFERROR(__xludf.DUMMYFUNCTION("""COMPUTED_VALUE"""),"Auto Posto Maquine")</f>
        <v>Auto Posto Maquine</v>
      </c>
      <c r="D1181" s="2">
        <f ca="1">IFERROR(__xludf.DUMMYFUNCTION("""COMPUTED_VALUE"""),114.85)</f>
        <v>114.85</v>
      </c>
      <c r="E1181" s="1" t="str">
        <f ca="1">IFERROR(__xludf.DUMMYFUNCTION("""COMPUTED_VALUE"""),"-")</f>
        <v>-</v>
      </c>
      <c r="F1181" s="1" t="str">
        <f ca="1">IFERROR(__xludf.DUMMYFUNCTION("""COMPUTED_VALUE"""),"Auto Posto Maquine")</f>
        <v>Auto Posto Maquine</v>
      </c>
      <c r="G1181" s="1" t="str">
        <f ca="1">IFERROR(__xludf.DUMMYFUNCTION("""COMPUTED_VALUE"""),"Carro")</f>
        <v>Carro</v>
      </c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x14ac:dyDescent="0.2">
      <c r="A1182" s="6">
        <f ca="1">IFERROR(__xludf.DUMMYFUNCTION("""COMPUTED_VALUE"""),45992)</f>
        <v>45992</v>
      </c>
      <c r="B1182" s="1"/>
      <c r="C1182" s="1" t="str">
        <f ca="1">IFERROR(__xludf.DUMMYFUNCTION("""COMPUTED_VALUE"""),"Shopee")</f>
        <v>Shopee</v>
      </c>
      <c r="D1182" s="2">
        <f ca="1">IFERROR(__xludf.DUMMYFUNCTION("""COMPUTED_VALUE"""),10.99)</f>
        <v>10.99</v>
      </c>
      <c r="E1182" s="1" t="str">
        <f ca="1">IFERROR(__xludf.DUMMYFUNCTION("""COMPUTED_VALUE"""),"-")</f>
        <v>-</v>
      </c>
      <c r="F1182" s="1" t="str">
        <f ca="1">IFERROR(__xludf.DUMMYFUNCTION("""COMPUTED_VALUE"""),"Shopee")</f>
        <v>Shopee</v>
      </c>
      <c r="G1182" s="1" t="str">
        <f ca="1">IFERROR(__xludf.DUMMYFUNCTION("""COMPUTED_VALUE"""),"Compras")</f>
        <v>Compras</v>
      </c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x14ac:dyDescent="0.2">
      <c r="A1183" s="6">
        <f ca="1">IFERROR(__xludf.DUMMYFUNCTION("""COMPUTED_VALUE"""),45992)</f>
        <v>45992</v>
      </c>
      <c r="B1183" s="1"/>
      <c r="C1183" s="1" t="str">
        <f ca="1">IFERROR(__xludf.DUMMYFUNCTION("""COMPUTED_VALUE"""),"Brastemp (1/8)")</f>
        <v>Brastemp (1/8)</v>
      </c>
      <c r="D1183" s="2">
        <f ca="1">IFERROR(__xludf.DUMMYFUNCTION("""COMPUTED_VALUE"""),203.81)</f>
        <v>203.81</v>
      </c>
      <c r="E1183" s="1" t="str">
        <f ca="1">IFERROR(__xludf.DUMMYFUNCTION("""COMPUTED_VALUE"""),"-")</f>
        <v>-</v>
      </c>
      <c r="F1183" s="1" t="str">
        <f ca="1">IFERROR(__xludf.DUMMYFUNCTION("""COMPUTED_VALUE"""),"Brastemp")</f>
        <v>Brastemp</v>
      </c>
      <c r="G1183" s="1" t="str">
        <f ca="1">IFERROR(__xludf.DUMMYFUNCTION("""COMPUTED_VALUE"""),"Compras")</f>
        <v>Compras</v>
      </c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x14ac:dyDescent="0.2">
      <c r="A1184" s="6">
        <f ca="1">IFERROR(__xludf.DUMMYFUNCTION("""COMPUTED_VALUE"""),45992)</f>
        <v>45992</v>
      </c>
      <c r="B1184" s="1"/>
      <c r="C1184" s="1" t="str">
        <f ca="1">IFERROR(__xludf.DUMMYFUNCTION("""COMPUTED_VALUE"""),"Amazon")</f>
        <v>Amazon</v>
      </c>
      <c r="D1184" s="2">
        <f ca="1">IFERROR(__xludf.DUMMYFUNCTION("""COMPUTED_VALUE"""),44.59)</f>
        <v>44.59</v>
      </c>
      <c r="E1184" s="1" t="str">
        <f ca="1">IFERROR(__xludf.DUMMYFUNCTION("""COMPUTED_VALUE"""),"-")</f>
        <v>-</v>
      </c>
      <c r="F1184" s="1" t="str">
        <f ca="1">IFERROR(__xludf.DUMMYFUNCTION("""COMPUTED_VALUE"""),"Amazon")</f>
        <v>Amazon</v>
      </c>
      <c r="G1184" s="1" t="str">
        <f ca="1">IFERROR(__xludf.DUMMYFUNCTION("""COMPUTED_VALUE"""),"Compras")</f>
        <v>Compras</v>
      </c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x14ac:dyDescent="0.2">
      <c r="A1185" s="6">
        <f ca="1">IFERROR(__xludf.DUMMYFUNCTION("""COMPUTED_VALUE"""),45992)</f>
        <v>45992</v>
      </c>
      <c r="B1185" s="1"/>
      <c r="C1185" s="1" t="str">
        <f ca="1">IFERROR(__xludf.DUMMYFUNCTION("""COMPUTED_VALUE"""),"Brastemp")</f>
        <v>Brastemp</v>
      </c>
      <c r="D1185" s="2">
        <f ca="1">IFERROR(__xludf.DUMMYFUNCTION("""COMPUTED_VALUE"""),1548.49)</f>
        <v>1548.49</v>
      </c>
      <c r="E1185" s="1" t="str">
        <f ca="1">IFERROR(__xludf.DUMMYFUNCTION("""COMPUTED_VALUE"""),"-")</f>
        <v>-</v>
      </c>
      <c r="F1185" s="1" t="str">
        <f ca="1">IFERROR(__xludf.DUMMYFUNCTION("""COMPUTED_VALUE"""),"Brastemp")</f>
        <v>Brastemp</v>
      </c>
      <c r="G1185" s="1" t="str">
        <f ca="1">IFERROR(__xludf.DUMMYFUNCTION("""COMPUTED_VALUE"""),"Compras")</f>
        <v>Compras</v>
      </c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x14ac:dyDescent="0.2">
      <c r="A1186" s="6">
        <f ca="1">IFERROR(__xludf.DUMMYFUNCTION("""COMPUTED_VALUE"""),45992)</f>
        <v>45992</v>
      </c>
      <c r="B1186" s="1"/>
      <c r="C1186" s="1">
        <f ca="1">IFERROR(__xludf.DUMMYFUNCTION("""COMPUTED_VALUE"""),99)</f>
        <v>99</v>
      </c>
      <c r="D1186" s="2">
        <f ca="1">IFERROR(__xludf.DUMMYFUNCTION("""COMPUTED_VALUE"""),9)</f>
        <v>9</v>
      </c>
      <c r="E1186" s="1" t="str">
        <f ca="1">IFERROR(__xludf.DUMMYFUNCTION("""COMPUTED_VALUE"""),"-")</f>
        <v>-</v>
      </c>
      <c r="F1186" s="1" t="str">
        <f ca="1">IFERROR(__xludf.DUMMYFUNCTION("""COMPUTED_VALUE"""),"99")</f>
        <v>99</v>
      </c>
      <c r="G1186" s="1" t="str">
        <f ca="1">IFERROR(__xludf.DUMMYFUNCTION("""COMPUTED_VALUE"""),"Uber/99")</f>
        <v>Uber/99</v>
      </c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x14ac:dyDescent="0.2">
      <c r="A1187" s="6">
        <f ca="1">IFERROR(__xludf.DUMMYFUNCTION("""COMPUTED_VALUE"""),45992)</f>
        <v>45992</v>
      </c>
      <c r="B1187" s="1"/>
      <c r="C1187" s="1" t="str">
        <f ca="1">IFERROR(__xludf.DUMMYFUNCTION("""COMPUTED_VALUE"""),"Joao Pacifico Antunes")</f>
        <v>Joao Pacifico Antunes</v>
      </c>
      <c r="D1187" s="2">
        <f ca="1">IFERROR(__xludf.DUMMYFUNCTION("""COMPUTED_VALUE"""),100)</f>
        <v>100</v>
      </c>
      <c r="E1187" s="1" t="str">
        <f ca="1">IFERROR(__xludf.DUMMYFUNCTION("""COMPUTED_VALUE"""),"-")</f>
        <v>-</v>
      </c>
      <c r="F1187" s="1" t="str">
        <f ca="1">IFERROR(__xludf.DUMMYFUNCTION("""COMPUTED_VALUE"""),"Joao Pacifico Antunes")</f>
        <v>Joao Pacifico Antunes</v>
      </c>
      <c r="G1187" s="1" t="str">
        <f ca="1">IFERROR(__xludf.DUMMYFUNCTION("""COMPUTED_VALUE"""),"-")</f>
        <v>-</v>
      </c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x14ac:dyDescent="0.2">
      <c r="A1188" s="6">
        <f ca="1">IFERROR(__xludf.DUMMYFUNCTION("""COMPUTED_VALUE"""),45992)</f>
        <v>45992</v>
      </c>
      <c r="B1188" s="1"/>
      <c r="C1188" s="1" t="str">
        <f ca="1">IFERROR(__xludf.DUMMYFUNCTION("""COMPUTED_VALUE"""),"Uber")</f>
        <v>Uber</v>
      </c>
      <c r="D1188" s="2">
        <f ca="1">IFERROR(__xludf.DUMMYFUNCTION("""COMPUTED_VALUE"""),8.14)</f>
        <v>8.14</v>
      </c>
      <c r="E1188" s="1" t="str">
        <f ca="1">IFERROR(__xludf.DUMMYFUNCTION("""COMPUTED_VALUE"""),"-")</f>
        <v>-</v>
      </c>
      <c r="F1188" s="1" t="str">
        <f ca="1">IFERROR(__xludf.DUMMYFUNCTION("""COMPUTED_VALUE"""),"Uber")</f>
        <v>Uber</v>
      </c>
      <c r="G1188" s="1" t="str">
        <f ca="1">IFERROR(__xludf.DUMMYFUNCTION("""COMPUTED_VALUE"""),"Uber/99")</f>
        <v>Uber/99</v>
      </c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x14ac:dyDescent="0.2">
      <c r="A1189" s="6">
        <f ca="1">IFERROR(__xludf.DUMMYFUNCTION("""COMPUTED_VALUE"""),45992)</f>
        <v>45992</v>
      </c>
      <c r="B1189" s="1"/>
      <c r="C1189" s="1" t="str">
        <f ca="1">IFERROR(__xludf.DUMMYFUNCTION("""COMPUTED_VALUE"""),"Uber")</f>
        <v>Uber</v>
      </c>
      <c r="D1189" s="2">
        <f ca="1">IFERROR(__xludf.DUMMYFUNCTION("""COMPUTED_VALUE"""),24.97)</f>
        <v>24.97</v>
      </c>
      <c r="E1189" s="1" t="str">
        <f ca="1">IFERROR(__xludf.DUMMYFUNCTION("""COMPUTED_VALUE"""),"-")</f>
        <v>-</v>
      </c>
      <c r="F1189" s="1" t="str">
        <f ca="1">IFERROR(__xludf.DUMMYFUNCTION("""COMPUTED_VALUE"""),"Uber")</f>
        <v>Uber</v>
      </c>
      <c r="G1189" s="1" t="str">
        <f ca="1">IFERROR(__xludf.DUMMYFUNCTION("""COMPUTED_VALUE"""),"Uber/99")</f>
        <v>Uber/99</v>
      </c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x14ac:dyDescent="0.2">
      <c r="A1190" s="6">
        <f ca="1">IFERROR(__xludf.DUMMYFUNCTION("""COMPUTED_VALUE"""),45992)</f>
        <v>45992</v>
      </c>
      <c r="B1190" s="1"/>
      <c r="C1190" s="1">
        <f ca="1">IFERROR(__xludf.DUMMYFUNCTION("""COMPUTED_VALUE"""),99)</f>
        <v>99</v>
      </c>
      <c r="D1190" s="2">
        <f ca="1">IFERROR(__xludf.DUMMYFUNCTION("""COMPUTED_VALUE"""),5.9)</f>
        <v>5.9</v>
      </c>
      <c r="E1190" s="1" t="str">
        <f ca="1">IFERROR(__xludf.DUMMYFUNCTION("""COMPUTED_VALUE"""),"-")</f>
        <v>-</v>
      </c>
      <c r="F1190" s="1" t="str">
        <f ca="1">IFERROR(__xludf.DUMMYFUNCTION("""COMPUTED_VALUE"""),"99")</f>
        <v>99</v>
      </c>
      <c r="G1190" s="1" t="str">
        <f ca="1">IFERROR(__xludf.DUMMYFUNCTION("""COMPUTED_VALUE"""),"Uber/99")</f>
        <v>Uber/99</v>
      </c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x14ac:dyDescent="0.2">
      <c r="A1191" s="6">
        <f ca="1">IFERROR(__xludf.DUMMYFUNCTION("""COMPUTED_VALUE"""),45992)</f>
        <v>45992</v>
      </c>
      <c r="B1191" s="1"/>
      <c r="C1191" s="1">
        <f ca="1">IFERROR(__xludf.DUMMYFUNCTION("""COMPUTED_VALUE"""),99)</f>
        <v>99</v>
      </c>
      <c r="D1191" s="2">
        <f ca="1">IFERROR(__xludf.DUMMYFUNCTION("""COMPUTED_VALUE"""),24.22)</f>
        <v>24.22</v>
      </c>
      <c r="E1191" s="1" t="str">
        <f ca="1">IFERROR(__xludf.DUMMYFUNCTION("""COMPUTED_VALUE"""),"-")</f>
        <v>-</v>
      </c>
      <c r="F1191" s="1" t="str">
        <f ca="1">IFERROR(__xludf.DUMMYFUNCTION("""COMPUTED_VALUE"""),"99")</f>
        <v>99</v>
      </c>
      <c r="G1191" s="1" t="str">
        <f ca="1">IFERROR(__xludf.DUMMYFUNCTION("""COMPUTED_VALUE"""),"Uber/99")</f>
        <v>Uber/99</v>
      </c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x14ac:dyDescent="0.2">
      <c r="A1192" s="6">
        <f ca="1">IFERROR(__xludf.DUMMYFUNCTION("""COMPUTED_VALUE"""),45992)</f>
        <v>45992</v>
      </c>
      <c r="B1192" s="1"/>
      <c r="C1192" s="1" t="str">
        <f ca="1">IFERROR(__xludf.DUMMYFUNCTION("""COMPUTED_VALUE"""),"Mercado Livre")</f>
        <v>Mercado Livre</v>
      </c>
      <c r="D1192" s="2">
        <f ca="1">IFERROR(__xludf.DUMMYFUNCTION("""COMPUTED_VALUE"""),21.99)</f>
        <v>21.99</v>
      </c>
      <c r="E1192" s="1" t="str">
        <f ca="1">IFERROR(__xludf.DUMMYFUNCTION("""COMPUTED_VALUE"""),"-")</f>
        <v>-</v>
      </c>
      <c r="F1192" s="1" t="str">
        <f ca="1">IFERROR(__xludf.DUMMYFUNCTION("""COMPUTED_VALUE"""),"Mercado Livre")</f>
        <v>Mercado Livre</v>
      </c>
      <c r="G1192" s="1" t="str">
        <f ca="1">IFERROR(__xludf.DUMMYFUNCTION("""COMPUTED_VALUE"""),"Compras")</f>
        <v>Compras</v>
      </c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x14ac:dyDescent="0.2">
      <c r="A1193" s="6">
        <f ca="1">IFERROR(__xludf.DUMMYFUNCTION("""COMPUTED_VALUE"""),45992)</f>
        <v>45992</v>
      </c>
      <c r="B1193" s="1"/>
      <c r="C1193" s="1" t="str">
        <f ca="1">IFERROR(__xludf.DUMMYFUNCTION("""COMPUTED_VALUE"""),"Mercado Livre")</f>
        <v>Mercado Livre</v>
      </c>
      <c r="D1193" s="2">
        <f ca="1">IFERROR(__xludf.DUMMYFUNCTION("""COMPUTED_VALUE"""),134.38)</f>
        <v>134.38</v>
      </c>
      <c r="E1193" s="1" t="str">
        <f ca="1">IFERROR(__xludf.DUMMYFUNCTION("""COMPUTED_VALUE"""),"-")</f>
        <v>-</v>
      </c>
      <c r="F1193" s="1" t="str">
        <f ca="1">IFERROR(__xludf.DUMMYFUNCTION("""COMPUTED_VALUE"""),"Mercado Livre")</f>
        <v>Mercado Livre</v>
      </c>
      <c r="G1193" s="1" t="str">
        <f ca="1">IFERROR(__xludf.DUMMYFUNCTION("""COMPUTED_VALUE"""),"Compras")</f>
        <v>Compras</v>
      </c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x14ac:dyDescent="0.2">
      <c r="A1194" s="6">
        <f ca="1">IFERROR(__xludf.DUMMYFUNCTION("""COMPUTED_VALUE"""),45992)</f>
        <v>45992</v>
      </c>
      <c r="B1194" s="1"/>
      <c r="C1194" s="1" t="str">
        <f ca="1">IFERROR(__xludf.DUMMYFUNCTION("""COMPUTED_VALUE"""),"Mapfre")</f>
        <v>Mapfre</v>
      </c>
      <c r="D1194" s="2">
        <f ca="1">IFERROR(__xludf.DUMMYFUNCTION("""COMPUTED_VALUE"""),200.99)</f>
        <v>200.99</v>
      </c>
      <c r="E1194" s="1" t="str">
        <f ca="1">IFERROR(__xludf.DUMMYFUNCTION("""COMPUTED_VALUE"""),"-")</f>
        <v>-</v>
      </c>
      <c r="F1194" s="1" t="str">
        <f ca="1">IFERROR(__xludf.DUMMYFUNCTION("""COMPUTED_VALUE"""),"Mapfre")</f>
        <v>Mapfre</v>
      </c>
      <c r="G1194" s="1" t="str">
        <f ca="1">IFERROR(__xludf.DUMMYFUNCTION("""COMPUTED_VALUE"""),"Carro")</f>
        <v>Carro</v>
      </c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x14ac:dyDescent="0.2">
      <c r="A1195" s="1"/>
      <c r="B1195" s="1"/>
      <c r="C1195" s="1"/>
      <c r="D1195" s="1"/>
      <c r="E1195" s="1" t="str">
        <f ca="1">IFERROR(__xludf.DUMMYFUNCTION("""COMPUTED_VALUE"""),"-")</f>
        <v>-</v>
      </c>
      <c r="F1195" s="1"/>
      <c r="G1195" s="1" t="str">
        <f ca="1">IFERROR(__xludf.DUMMYFUNCTION("""COMPUTED_VALUE"""),"-")</f>
        <v>-</v>
      </c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x14ac:dyDescent="0.2">
      <c r="A1196" s="1"/>
      <c r="B1196" s="1"/>
      <c r="C1196" s="1"/>
      <c r="D1196" s="1"/>
      <c r="E1196" s="1" t="str">
        <f ca="1">IFERROR(__xludf.DUMMYFUNCTION("""COMPUTED_VALUE"""),"-")</f>
        <v>-</v>
      </c>
      <c r="F1196" s="1"/>
      <c r="G1196" s="1" t="str">
        <f ca="1">IFERROR(__xludf.DUMMYFUNCTION("""COMPUTED_VALUE"""),"-")</f>
        <v>-</v>
      </c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x14ac:dyDescent="0.2">
      <c r="A1197" s="1"/>
      <c r="B1197" s="1"/>
      <c r="C1197" s="1"/>
      <c r="D1197" s="1"/>
      <c r="E1197" s="1" t="str">
        <f ca="1">IFERROR(__xludf.DUMMYFUNCTION("""COMPUTED_VALUE"""),"-")</f>
        <v>-</v>
      </c>
      <c r="F1197" s="1"/>
      <c r="G1197" s="1" t="str">
        <f ca="1">IFERROR(__xludf.DUMMYFUNCTION("""COMPUTED_VALUE"""),"-")</f>
        <v>-</v>
      </c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x14ac:dyDescent="0.2">
      <c r="A1198" s="1"/>
      <c r="B1198" s="1"/>
      <c r="C1198" s="1"/>
      <c r="D1198" s="1"/>
      <c r="E1198" s="1" t="str">
        <f ca="1">IFERROR(__xludf.DUMMYFUNCTION("""COMPUTED_VALUE"""),"-")</f>
        <v>-</v>
      </c>
      <c r="F1198" s="1"/>
      <c r="G1198" s="1" t="str">
        <f ca="1">IFERROR(__xludf.DUMMYFUNCTION("""COMPUTED_VALUE"""),"-")</f>
        <v>-</v>
      </c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x14ac:dyDescent="0.2">
      <c r="A1199" s="1"/>
      <c r="B1199" s="1"/>
      <c r="C1199" s="1"/>
      <c r="D1199" s="1"/>
      <c r="E1199" s="1" t="str">
        <f ca="1">IFERROR(__xludf.DUMMYFUNCTION("""COMPUTED_VALUE"""),"-")</f>
        <v>-</v>
      </c>
      <c r="F1199" s="1"/>
      <c r="G1199" s="1" t="str">
        <f ca="1">IFERROR(__xludf.DUMMYFUNCTION("""COMPUTED_VALUE"""),"-")</f>
        <v>-</v>
      </c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x14ac:dyDescent="0.2">
      <c r="A1200" s="1"/>
      <c r="B1200" s="1"/>
      <c r="C1200" s="1"/>
      <c r="D1200" s="1"/>
      <c r="E1200" s="1" t="str">
        <f ca="1">IFERROR(__xludf.DUMMYFUNCTION("""COMPUTED_VALUE"""),"-")</f>
        <v>-</v>
      </c>
      <c r="F1200" s="1"/>
      <c r="G1200" s="1" t="str">
        <f ca="1">IFERROR(__xludf.DUMMYFUNCTION("""COMPUTED_VALUE"""),"-")</f>
        <v>-</v>
      </c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x14ac:dyDescent="0.2">
      <c r="A1201" s="1"/>
      <c r="B1201" s="1"/>
      <c r="C1201" s="1"/>
      <c r="D1201" s="1"/>
      <c r="E1201" s="1" t="str">
        <f ca="1">IFERROR(__xludf.DUMMYFUNCTION("""COMPUTED_VALUE"""),"-")</f>
        <v>-</v>
      </c>
      <c r="F1201" s="1"/>
      <c r="G1201" s="1" t="str">
        <f ca="1">IFERROR(__xludf.DUMMYFUNCTION("""COMPUTED_VALUE"""),"-")</f>
        <v>-</v>
      </c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x14ac:dyDescent="0.2">
      <c r="A1202" s="1"/>
      <c r="B1202" s="1"/>
      <c r="C1202" s="1"/>
      <c r="D1202" s="1"/>
      <c r="E1202" s="1" t="str">
        <f ca="1">IFERROR(__xludf.DUMMYFUNCTION("""COMPUTED_VALUE"""),"-")</f>
        <v>-</v>
      </c>
      <c r="F1202" s="1"/>
      <c r="G1202" s="1" t="str">
        <f ca="1">IFERROR(__xludf.DUMMYFUNCTION("""COMPUTED_VALUE"""),"-")</f>
        <v>-</v>
      </c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x14ac:dyDescent="0.2">
      <c r="A1203" s="1"/>
      <c r="B1203" s="1"/>
      <c r="C1203" s="1"/>
      <c r="D1203" s="1"/>
      <c r="E1203" s="1" t="str">
        <f ca="1">IFERROR(__xludf.DUMMYFUNCTION("""COMPUTED_VALUE"""),"-")</f>
        <v>-</v>
      </c>
      <c r="F1203" s="1"/>
      <c r="G1203" s="1" t="str">
        <f ca="1">IFERROR(__xludf.DUMMYFUNCTION("""COMPUTED_VALUE"""),"-")</f>
        <v>-</v>
      </c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x14ac:dyDescent="0.2">
      <c r="A1204" s="1"/>
      <c r="B1204" s="1"/>
      <c r="C1204" s="1"/>
      <c r="D1204" s="1"/>
      <c r="E1204" s="1" t="str">
        <f ca="1">IFERROR(__xludf.DUMMYFUNCTION("""COMPUTED_VALUE"""),"-")</f>
        <v>-</v>
      </c>
      <c r="F1204" s="1"/>
      <c r="G1204" s="1" t="str">
        <f ca="1">IFERROR(__xludf.DUMMYFUNCTION("""COMPUTED_VALUE"""),"-")</f>
        <v>-</v>
      </c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x14ac:dyDescent="0.2">
      <c r="A1205" s="1"/>
      <c r="B1205" s="1"/>
      <c r="C1205" s="1"/>
      <c r="D1205" s="1"/>
      <c r="E1205" s="1" t="str">
        <f ca="1">IFERROR(__xludf.DUMMYFUNCTION("""COMPUTED_VALUE"""),"-")</f>
        <v>-</v>
      </c>
      <c r="F1205" s="1"/>
      <c r="G1205" s="1" t="str">
        <f ca="1">IFERROR(__xludf.DUMMYFUNCTION("""COMPUTED_VALUE"""),"-")</f>
        <v>-</v>
      </c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x14ac:dyDescent="0.2">
      <c r="A1206" s="1"/>
      <c r="B1206" s="1"/>
      <c r="C1206" s="1"/>
      <c r="D1206" s="1"/>
      <c r="E1206" s="1" t="str">
        <f ca="1">IFERROR(__xludf.DUMMYFUNCTION("""COMPUTED_VALUE"""),"-")</f>
        <v>-</v>
      </c>
      <c r="F1206" s="1"/>
      <c r="G1206" s="1" t="str">
        <f ca="1">IFERROR(__xludf.DUMMYFUNCTION("""COMPUTED_VALUE"""),"-")</f>
        <v>-</v>
      </c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x14ac:dyDescent="0.2">
      <c r="A1207" s="1"/>
      <c r="B1207" s="1"/>
      <c r="C1207" s="1"/>
      <c r="D1207" s="1"/>
      <c r="E1207" s="1" t="str">
        <f ca="1">IFERROR(__xludf.DUMMYFUNCTION("""COMPUTED_VALUE"""),"-")</f>
        <v>-</v>
      </c>
      <c r="F1207" s="1"/>
      <c r="G1207" s="1" t="str">
        <f ca="1">IFERROR(__xludf.DUMMYFUNCTION("""COMPUTED_VALUE"""),"-")</f>
        <v>-</v>
      </c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x14ac:dyDescent="0.2">
      <c r="A1208" s="1"/>
      <c r="B1208" s="1"/>
      <c r="C1208" s="1"/>
      <c r="D1208" s="1"/>
      <c r="E1208" s="1" t="str">
        <f ca="1">IFERROR(__xludf.DUMMYFUNCTION("""COMPUTED_VALUE"""),"-")</f>
        <v>-</v>
      </c>
      <c r="F1208" s="1"/>
      <c r="G1208" s="1" t="str">
        <f ca="1">IFERROR(__xludf.DUMMYFUNCTION("""COMPUTED_VALUE"""),"-")</f>
        <v>-</v>
      </c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x14ac:dyDescent="0.2">
      <c r="A1209" s="1"/>
      <c r="B1209" s="1"/>
      <c r="C1209" s="1"/>
      <c r="D1209" s="1"/>
      <c r="E1209" s="1" t="str">
        <f ca="1">IFERROR(__xludf.DUMMYFUNCTION("""COMPUTED_VALUE"""),"-")</f>
        <v>-</v>
      </c>
      <c r="F1209" s="1"/>
      <c r="G1209" s="1" t="str">
        <f ca="1">IFERROR(__xludf.DUMMYFUNCTION("""COMPUTED_VALUE"""),"-")</f>
        <v>-</v>
      </c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x14ac:dyDescent="0.2">
      <c r="A1210" s="1"/>
      <c r="B1210" s="1"/>
      <c r="C1210" s="1"/>
      <c r="D1210" s="1"/>
      <c r="E1210" s="1" t="str">
        <f ca="1">IFERROR(__xludf.DUMMYFUNCTION("""COMPUTED_VALUE"""),"-")</f>
        <v>-</v>
      </c>
      <c r="F1210" s="1"/>
      <c r="G1210" s="1" t="str">
        <f ca="1">IFERROR(__xludf.DUMMYFUNCTION("""COMPUTED_VALUE"""),"-")</f>
        <v>-</v>
      </c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x14ac:dyDescent="0.2">
      <c r="A1211" s="1"/>
      <c r="B1211" s="1"/>
      <c r="C1211" s="1"/>
      <c r="D1211" s="1"/>
      <c r="E1211" s="1" t="str">
        <f ca="1">IFERROR(__xludf.DUMMYFUNCTION("""COMPUTED_VALUE"""),"-")</f>
        <v>-</v>
      </c>
      <c r="F1211" s="1"/>
      <c r="G1211" s="1" t="str">
        <f ca="1">IFERROR(__xludf.DUMMYFUNCTION("""COMPUTED_VALUE"""),"-")</f>
        <v>-</v>
      </c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x14ac:dyDescent="0.2">
      <c r="A1212" s="1"/>
      <c r="B1212" s="1"/>
      <c r="C1212" s="1"/>
      <c r="D1212" s="1"/>
      <c r="E1212" s="1" t="str">
        <f ca="1">IFERROR(__xludf.DUMMYFUNCTION("""COMPUTED_VALUE"""),"-")</f>
        <v>-</v>
      </c>
      <c r="F1212" s="1"/>
      <c r="G1212" s="1" t="str">
        <f ca="1">IFERROR(__xludf.DUMMYFUNCTION("""COMPUTED_VALUE"""),"-")</f>
        <v>-</v>
      </c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x14ac:dyDescent="0.2">
      <c r="A1213" s="1"/>
      <c r="B1213" s="1"/>
      <c r="C1213" s="1"/>
      <c r="D1213" s="1"/>
      <c r="E1213" s="1" t="str">
        <f ca="1">IFERROR(__xludf.DUMMYFUNCTION("""COMPUTED_VALUE"""),"-")</f>
        <v>-</v>
      </c>
      <c r="F1213" s="1"/>
      <c r="G1213" s="1" t="str">
        <f ca="1">IFERROR(__xludf.DUMMYFUNCTION("""COMPUTED_VALUE"""),"-")</f>
        <v>-</v>
      </c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x14ac:dyDescent="0.2">
      <c r="A1214" s="1"/>
      <c r="B1214" s="1"/>
      <c r="C1214" s="1"/>
      <c r="D1214" s="1"/>
      <c r="E1214" s="1" t="str">
        <f ca="1">IFERROR(__xludf.DUMMYFUNCTION("""COMPUTED_VALUE"""),"-")</f>
        <v>-</v>
      </c>
      <c r="F1214" s="1"/>
      <c r="G1214" s="1" t="str">
        <f ca="1">IFERROR(__xludf.DUMMYFUNCTION("""COMPUTED_VALUE"""),"-")</f>
        <v>-</v>
      </c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x14ac:dyDescent="0.2">
      <c r="A1215" s="1"/>
      <c r="B1215" s="1"/>
      <c r="C1215" s="1"/>
      <c r="D1215" s="1"/>
      <c r="E1215" s="1" t="str">
        <f ca="1">IFERROR(__xludf.DUMMYFUNCTION("""COMPUTED_VALUE"""),"-")</f>
        <v>-</v>
      </c>
      <c r="F1215" s="1"/>
      <c r="G1215" s="1" t="str">
        <f ca="1">IFERROR(__xludf.DUMMYFUNCTION("""COMPUTED_VALUE"""),"-")</f>
        <v>-</v>
      </c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x14ac:dyDescent="0.2">
      <c r="A1216" s="1"/>
      <c r="B1216" s="1"/>
      <c r="C1216" s="1"/>
      <c r="D1216" s="1"/>
      <c r="E1216" s="1" t="str">
        <f ca="1">IFERROR(__xludf.DUMMYFUNCTION("""COMPUTED_VALUE"""),"-")</f>
        <v>-</v>
      </c>
      <c r="F1216" s="1"/>
      <c r="G1216" s="1" t="str">
        <f ca="1">IFERROR(__xludf.DUMMYFUNCTION("""COMPUTED_VALUE"""),"-")</f>
        <v>-</v>
      </c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x14ac:dyDescent="0.2">
      <c r="A1217" s="1"/>
      <c r="B1217" s="1"/>
      <c r="C1217" s="1"/>
      <c r="D1217" s="1"/>
      <c r="E1217" s="1" t="str">
        <f ca="1">IFERROR(__xludf.DUMMYFUNCTION("""COMPUTED_VALUE"""),"-")</f>
        <v>-</v>
      </c>
      <c r="F1217" s="1"/>
      <c r="G1217" s="1" t="str">
        <f ca="1">IFERROR(__xludf.DUMMYFUNCTION("""COMPUTED_VALUE"""),"-")</f>
        <v>-</v>
      </c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x14ac:dyDescent="0.2">
      <c r="A1218" s="1"/>
      <c r="B1218" s="1"/>
      <c r="C1218" s="1"/>
      <c r="D1218" s="1"/>
      <c r="E1218" s="1" t="str">
        <f ca="1">IFERROR(__xludf.DUMMYFUNCTION("""COMPUTED_VALUE"""),"-")</f>
        <v>-</v>
      </c>
      <c r="F1218" s="1"/>
      <c r="G1218" s="1" t="str">
        <f ca="1">IFERROR(__xludf.DUMMYFUNCTION("""COMPUTED_VALUE"""),"-")</f>
        <v>-</v>
      </c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x14ac:dyDescent="0.2">
      <c r="A1219" s="1"/>
      <c r="B1219" s="1"/>
      <c r="C1219" s="1"/>
      <c r="D1219" s="1"/>
      <c r="E1219" s="1" t="str">
        <f ca="1">IFERROR(__xludf.DUMMYFUNCTION("""COMPUTED_VALUE"""),"-")</f>
        <v>-</v>
      </c>
      <c r="F1219" s="1"/>
      <c r="G1219" s="1" t="str">
        <f ca="1">IFERROR(__xludf.DUMMYFUNCTION("""COMPUTED_VALUE"""),"-")</f>
        <v>-</v>
      </c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x14ac:dyDescent="0.2">
      <c r="A1220" s="1"/>
      <c r="B1220" s="1"/>
      <c r="C1220" s="1"/>
      <c r="D1220" s="1"/>
      <c r="E1220" s="1" t="str">
        <f ca="1">IFERROR(__xludf.DUMMYFUNCTION("""COMPUTED_VALUE"""),"-")</f>
        <v>-</v>
      </c>
      <c r="F1220" s="1"/>
      <c r="G1220" s="1" t="str">
        <f ca="1">IFERROR(__xludf.DUMMYFUNCTION("""COMPUTED_VALUE"""),"-")</f>
        <v>-</v>
      </c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x14ac:dyDescent="0.2">
      <c r="A1221" s="1"/>
      <c r="B1221" s="1"/>
      <c r="C1221" s="1"/>
      <c r="D1221" s="1"/>
      <c r="E1221" s="1" t="str">
        <f ca="1">IFERROR(__xludf.DUMMYFUNCTION("""COMPUTED_VALUE"""),"-")</f>
        <v>-</v>
      </c>
      <c r="F1221" s="1"/>
      <c r="G1221" s="1" t="str">
        <f ca="1">IFERROR(__xludf.DUMMYFUNCTION("""COMPUTED_VALUE"""),"-")</f>
        <v>-</v>
      </c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x14ac:dyDescent="0.2">
      <c r="A1222" s="1"/>
      <c r="B1222" s="1"/>
      <c r="C1222" s="1"/>
      <c r="D1222" s="1"/>
      <c r="E1222" s="1" t="str">
        <f ca="1">IFERROR(__xludf.DUMMYFUNCTION("""COMPUTED_VALUE"""),"-")</f>
        <v>-</v>
      </c>
      <c r="F1222" s="1"/>
      <c r="G1222" s="1" t="str">
        <f ca="1">IFERROR(__xludf.DUMMYFUNCTION("""COMPUTED_VALUE"""),"-")</f>
        <v>-</v>
      </c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x14ac:dyDescent="0.2">
      <c r="A1223" s="1"/>
      <c r="B1223" s="1"/>
      <c r="C1223" s="1"/>
      <c r="D1223" s="1"/>
      <c r="E1223" s="1" t="str">
        <f ca="1">IFERROR(__xludf.DUMMYFUNCTION("""COMPUTED_VALUE"""),"-")</f>
        <v>-</v>
      </c>
      <c r="F1223" s="1"/>
      <c r="G1223" s="1" t="str">
        <f ca="1">IFERROR(__xludf.DUMMYFUNCTION("""COMPUTED_VALUE"""),"-")</f>
        <v>-</v>
      </c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x14ac:dyDescent="0.2">
      <c r="A1224" s="1"/>
      <c r="B1224" s="1"/>
      <c r="C1224" s="1"/>
      <c r="D1224" s="1"/>
      <c r="E1224" s="1" t="str">
        <f ca="1">IFERROR(__xludf.DUMMYFUNCTION("""COMPUTED_VALUE"""),"-")</f>
        <v>-</v>
      </c>
      <c r="F1224" s="1"/>
      <c r="G1224" s="1" t="str">
        <f ca="1">IFERROR(__xludf.DUMMYFUNCTION("""COMPUTED_VALUE"""),"-")</f>
        <v>-</v>
      </c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x14ac:dyDescent="0.2">
      <c r="A1225" s="1"/>
      <c r="B1225" s="1"/>
      <c r="C1225" s="1"/>
      <c r="D1225" s="1"/>
      <c r="E1225" s="1" t="str">
        <f ca="1">IFERROR(__xludf.DUMMYFUNCTION("""COMPUTED_VALUE"""),"-")</f>
        <v>-</v>
      </c>
      <c r="F1225" s="1"/>
      <c r="G1225" s="1" t="str">
        <f ca="1">IFERROR(__xludf.DUMMYFUNCTION("""COMPUTED_VALUE"""),"-")</f>
        <v>-</v>
      </c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x14ac:dyDescent="0.2">
      <c r="A1226" s="1"/>
      <c r="B1226" s="1"/>
      <c r="C1226" s="1"/>
      <c r="D1226" s="1"/>
      <c r="E1226" s="1" t="str">
        <f ca="1">IFERROR(__xludf.DUMMYFUNCTION("""COMPUTED_VALUE"""),"-")</f>
        <v>-</v>
      </c>
      <c r="F1226" s="1"/>
      <c r="G1226" s="1" t="str">
        <f ca="1">IFERROR(__xludf.DUMMYFUNCTION("""COMPUTED_VALUE"""),"-")</f>
        <v>-</v>
      </c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x14ac:dyDescent="0.2">
      <c r="A1227" s="1"/>
      <c r="B1227" s="1"/>
      <c r="C1227" s="1"/>
      <c r="D1227" s="1"/>
      <c r="E1227" s="1" t="str">
        <f ca="1">IFERROR(__xludf.DUMMYFUNCTION("""COMPUTED_VALUE"""),"-")</f>
        <v>-</v>
      </c>
      <c r="F1227" s="1"/>
      <c r="G1227" s="1" t="str">
        <f ca="1">IFERROR(__xludf.DUMMYFUNCTION("""COMPUTED_VALUE"""),"-")</f>
        <v>-</v>
      </c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x14ac:dyDescent="0.2">
      <c r="A1228" s="1"/>
      <c r="B1228" s="1"/>
      <c r="C1228" s="1"/>
      <c r="D1228" s="1"/>
      <c r="E1228" s="1" t="str">
        <f ca="1">IFERROR(__xludf.DUMMYFUNCTION("""COMPUTED_VALUE"""),"-")</f>
        <v>-</v>
      </c>
      <c r="F1228" s="1"/>
      <c r="G1228" s="1" t="str">
        <f ca="1">IFERROR(__xludf.DUMMYFUNCTION("""COMPUTED_VALUE"""),"-")</f>
        <v>-</v>
      </c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x14ac:dyDescent="0.2">
      <c r="A1229" s="1"/>
      <c r="B1229" s="1"/>
      <c r="C1229" s="1"/>
      <c r="D1229" s="1"/>
      <c r="E1229" s="1" t="str">
        <f ca="1">IFERROR(__xludf.DUMMYFUNCTION("""COMPUTED_VALUE"""),"-")</f>
        <v>-</v>
      </c>
      <c r="F1229" s="1"/>
      <c r="G1229" s="1" t="str">
        <f ca="1">IFERROR(__xludf.DUMMYFUNCTION("""COMPUTED_VALUE"""),"-")</f>
        <v>-</v>
      </c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x14ac:dyDescent="0.2">
      <c r="A1230" s="1"/>
      <c r="B1230" s="1"/>
      <c r="C1230" s="1"/>
      <c r="D1230" s="1"/>
      <c r="E1230" s="1" t="str">
        <f ca="1">IFERROR(__xludf.DUMMYFUNCTION("""COMPUTED_VALUE"""),"-")</f>
        <v>-</v>
      </c>
      <c r="F1230" s="1"/>
      <c r="G1230" s="1" t="str">
        <f ca="1">IFERROR(__xludf.DUMMYFUNCTION("""COMPUTED_VALUE"""),"-")</f>
        <v>-</v>
      </c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x14ac:dyDescent="0.2">
      <c r="A1231" s="1"/>
      <c r="B1231" s="1"/>
      <c r="C1231" s="1"/>
      <c r="D1231" s="1"/>
      <c r="E1231" s="1" t="str">
        <f ca="1">IFERROR(__xludf.DUMMYFUNCTION("""COMPUTED_VALUE"""),"-")</f>
        <v>-</v>
      </c>
      <c r="F1231" s="1"/>
      <c r="G1231" s="1" t="str">
        <f ca="1">IFERROR(__xludf.DUMMYFUNCTION("""COMPUTED_VALUE"""),"-")</f>
        <v>-</v>
      </c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x14ac:dyDescent="0.2">
      <c r="A1232" s="1"/>
      <c r="B1232" s="1"/>
      <c r="C1232" s="1"/>
      <c r="D1232" s="1"/>
      <c r="E1232" s="1" t="str">
        <f ca="1">IFERROR(__xludf.DUMMYFUNCTION("""COMPUTED_VALUE"""),"-")</f>
        <v>-</v>
      </c>
      <c r="F1232" s="1"/>
      <c r="G1232" s="1" t="str">
        <f ca="1">IFERROR(__xludf.DUMMYFUNCTION("""COMPUTED_VALUE"""),"-")</f>
        <v>-</v>
      </c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x14ac:dyDescent="0.2">
      <c r="A1233" s="1"/>
      <c r="B1233" s="1"/>
      <c r="C1233" s="1"/>
      <c r="D1233" s="1"/>
      <c r="E1233" s="1" t="str">
        <f ca="1">IFERROR(__xludf.DUMMYFUNCTION("""COMPUTED_VALUE"""),"-")</f>
        <v>-</v>
      </c>
      <c r="F1233" s="1"/>
      <c r="G1233" s="1" t="str">
        <f ca="1">IFERROR(__xludf.DUMMYFUNCTION("""COMPUTED_VALUE"""),"-")</f>
        <v>-</v>
      </c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x14ac:dyDescent="0.2">
      <c r="A1234" s="1"/>
      <c r="B1234" s="1"/>
      <c r="C1234" s="1"/>
      <c r="D1234" s="1"/>
      <c r="E1234" s="1" t="str">
        <f ca="1">IFERROR(__xludf.DUMMYFUNCTION("""COMPUTED_VALUE"""),"-")</f>
        <v>-</v>
      </c>
      <c r="F1234" s="1"/>
      <c r="G1234" s="1" t="str">
        <f ca="1">IFERROR(__xludf.DUMMYFUNCTION("""COMPUTED_VALUE"""),"-")</f>
        <v>-</v>
      </c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x14ac:dyDescent="0.2">
      <c r="A1235" s="1"/>
      <c r="B1235" s="1"/>
      <c r="C1235" s="1"/>
      <c r="D1235" s="1"/>
      <c r="E1235" s="1" t="str">
        <f ca="1">IFERROR(__xludf.DUMMYFUNCTION("""COMPUTED_VALUE"""),"-")</f>
        <v>-</v>
      </c>
      <c r="F1235" s="1"/>
      <c r="G1235" s="1" t="str">
        <f ca="1">IFERROR(__xludf.DUMMYFUNCTION("""COMPUTED_VALUE"""),"-")</f>
        <v>-</v>
      </c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x14ac:dyDescent="0.2">
      <c r="A1236" s="1"/>
      <c r="B1236" s="1"/>
      <c r="C1236" s="1"/>
      <c r="D1236" s="1"/>
      <c r="E1236" s="1" t="str">
        <f ca="1">IFERROR(__xludf.DUMMYFUNCTION("""COMPUTED_VALUE"""),"-")</f>
        <v>-</v>
      </c>
      <c r="F1236" s="1"/>
      <c r="G1236" s="1" t="str">
        <f ca="1">IFERROR(__xludf.DUMMYFUNCTION("""COMPUTED_VALUE"""),"-")</f>
        <v>-</v>
      </c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x14ac:dyDescent="0.2">
      <c r="A1237" s="1"/>
      <c r="B1237" s="1"/>
      <c r="C1237" s="1"/>
      <c r="D1237" s="1"/>
      <c r="E1237" s="1" t="str">
        <f ca="1">IFERROR(__xludf.DUMMYFUNCTION("""COMPUTED_VALUE"""),"-")</f>
        <v>-</v>
      </c>
      <c r="F1237" s="1"/>
      <c r="G1237" s="1" t="str">
        <f ca="1">IFERROR(__xludf.DUMMYFUNCTION("""COMPUTED_VALUE"""),"-")</f>
        <v>-</v>
      </c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x14ac:dyDescent="0.2">
      <c r="A1238" s="1"/>
      <c r="B1238" s="1"/>
      <c r="C1238" s="1"/>
      <c r="D1238" s="1"/>
      <c r="E1238" s="1" t="str">
        <f ca="1">IFERROR(__xludf.DUMMYFUNCTION("""COMPUTED_VALUE"""),"-")</f>
        <v>-</v>
      </c>
      <c r="F1238" s="1"/>
      <c r="G1238" s="1" t="str">
        <f ca="1">IFERROR(__xludf.DUMMYFUNCTION("""COMPUTED_VALUE"""),"-")</f>
        <v>-</v>
      </c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x14ac:dyDescent="0.2">
      <c r="A1239" s="1"/>
      <c r="B1239" s="1"/>
      <c r="C1239" s="1"/>
      <c r="D1239" s="1"/>
      <c r="E1239" s="1" t="str">
        <f ca="1">IFERROR(__xludf.DUMMYFUNCTION("""COMPUTED_VALUE"""),"-")</f>
        <v>-</v>
      </c>
      <c r="F1239" s="1"/>
      <c r="G1239" s="1" t="str">
        <f ca="1">IFERROR(__xludf.DUMMYFUNCTION("""COMPUTED_VALUE"""),"-")</f>
        <v>-</v>
      </c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x14ac:dyDescent="0.2">
      <c r="A1240" s="1"/>
      <c r="B1240" s="1"/>
      <c r="C1240" s="1"/>
      <c r="D1240" s="1"/>
      <c r="E1240" s="1" t="str">
        <f ca="1">IFERROR(__xludf.DUMMYFUNCTION("""COMPUTED_VALUE"""),"-")</f>
        <v>-</v>
      </c>
      <c r="F1240" s="1"/>
      <c r="G1240" s="1" t="str">
        <f ca="1">IFERROR(__xludf.DUMMYFUNCTION("""COMPUTED_VALUE"""),"-")</f>
        <v>-</v>
      </c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x14ac:dyDescent="0.2">
      <c r="A1241" s="1"/>
      <c r="B1241" s="1"/>
      <c r="C1241" s="1"/>
      <c r="D1241" s="1"/>
      <c r="E1241" s="1" t="str">
        <f ca="1">IFERROR(__xludf.DUMMYFUNCTION("""COMPUTED_VALUE"""),"-")</f>
        <v>-</v>
      </c>
      <c r="F1241" s="1"/>
      <c r="G1241" s="1" t="str">
        <f ca="1">IFERROR(__xludf.DUMMYFUNCTION("""COMPUTED_VALUE"""),"-")</f>
        <v>-</v>
      </c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x14ac:dyDescent="0.2">
      <c r="A1242" s="1"/>
      <c r="B1242" s="1"/>
      <c r="C1242" s="1"/>
      <c r="D1242" s="1"/>
      <c r="E1242" s="1" t="str">
        <f ca="1">IFERROR(__xludf.DUMMYFUNCTION("""COMPUTED_VALUE"""),"-")</f>
        <v>-</v>
      </c>
      <c r="F1242" s="1"/>
      <c r="G1242" s="1" t="str">
        <f ca="1">IFERROR(__xludf.DUMMYFUNCTION("""COMPUTED_VALUE"""),"-")</f>
        <v>-</v>
      </c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x14ac:dyDescent="0.2">
      <c r="A1243" s="1"/>
      <c r="B1243" s="1"/>
      <c r="C1243" s="1"/>
      <c r="D1243" s="1"/>
      <c r="E1243" s="1" t="str">
        <f ca="1">IFERROR(__xludf.DUMMYFUNCTION("""COMPUTED_VALUE"""),"-")</f>
        <v>-</v>
      </c>
      <c r="F1243" s="1"/>
      <c r="G1243" s="1" t="str">
        <f ca="1">IFERROR(__xludf.DUMMYFUNCTION("""COMPUTED_VALUE"""),"-")</f>
        <v>-</v>
      </c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x14ac:dyDescent="0.2">
      <c r="A1244" s="1"/>
      <c r="B1244" s="1"/>
      <c r="C1244" s="1"/>
      <c r="D1244" s="1"/>
      <c r="E1244" s="1" t="str">
        <f ca="1">IFERROR(__xludf.DUMMYFUNCTION("""COMPUTED_VALUE"""),"-")</f>
        <v>-</v>
      </c>
      <c r="F1244" s="1"/>
      <c r="G1244" s="1" t="str">
        <f ca="1">IFERROR(__xludf.DUMMYFUNCTION("""COMPUTED_VALUE"""),"-")</f>
        <v>-</v>
      </c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x14ac:dyDescent="0.2">
      <c r="A1245" s="1"/>
      <c r="B1245" s="1"/>
      <c r="C1245" s="1"/>
      <c r="D1245" s="1"/>
      <c r="E1245" s="1" t="str">
        <f ca="1">IFERROR(__xludf.DUMMYFUNCTION("""COMPUTED_VALUE"""),"-")</f>
        <v>-</v>
      </c>
      <c r="F1245" s="1"/>
      <c r="G1245" s="1" t="str">
        <f ca="1">IFERROR(__xludf.DUMMYFUNCTION("""COMPUTED_VALUE"""),"-")</f>
        <v>-</v>
      </c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x14ac:dyDescent="0.2">
      <c r="A1246" s="1"/>
      <c r="B1246" s="1"/>
      <c r="C1246" s="1"/>
      <c r="D1246" s="1"/>
      <c r="E1246" s="1" t="str">
        <f ca="1">IFERROR(__xludf.DUMMYFUNCTION("""COMPUTED_VALUE"""),"-")</f>
        <v>-</v>
      </c>
      <c r="F1246" s="1"/>
      <c r="G1246" s="1" t="str">
        <f ca="1">IFERROR(__xludf.DUMMYFUNCTION("""COMPUTED_VALUE"""),"-")</f>
        <v>-</v>
      </c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x14ac:dyDescent="0.2">
      <c r="A1247" s="1"/>
      <c r="B1247" s="1"/>
      <c r="C1247" s="1"/>
      <c r="D1247" s="1"/>
      <c r="E1247" s="1" t="str">
        <f ca="1">IFERROR(__xludf.DUMMYFUNCTION("""COMPUTED_VALUE"""),"-")</f>
        <v>-</v>
      </c>
      <c r="F1247" s="1"/>
      <c r="G1247" s="1" t="str">
        <f ca="1">IFERROR(__xludf.DUMMYFUNCTION("""COMPUTED_VALUE"""),"-")</f>
        <v>-</v>
      </c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x14ac:dyDescent="0.2">
      <c r="A1248" s="1"/>
      <c r="B1248" s="1"/>
      <c r="C1248" s="1"/>
      <c r="D1248" s="1"/>
      <c r="E1248" s="1" t="str">
        <f ca="1">IFERROR(__xludf.DUMMYFUNCTION("""COMPUTED_VALUE"""),"-")</f>
        <v>-</v>
      </c>
      <c r="F1248" s="1"/>
      <c r="G1248" s="1" t="str">
        <f ca="1">IFERROR(__xludf.DUMMYFUNCTION("""COMPUTED_VALUE"""),"-")</f>
        <v>-</v>
      </c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x14ac:dyDescent="0.2">
      <c r="A1249" s="1"/>
      <c r="B1249" s="1"/>
      <c r="C1249" s="1"/>
      <c r="D1249" s="1"/>
      <c r="E1249" s="1" t="str">
        <f ca="1">IFERROR(__xludf.DUMMYFUNCTION("""COMPUTED_VALUE"""),"-")</f>
        <v>-</v>
      </c>
      <c r="F1249" s="1"/>
      <c r="G1249" s="1" t="str">
        <f ca="1">IFERROR(__xludf.DUMMYFUNCTION("""COMPUTED_VALUE"""),"-")</f>
        <v>-</v>
      </c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x14ac:dyDescent="0.2">
      <c r="A1250" s="1"/>
      <c r="B1250" s="1"/>
      <c r="C1250" s="1"/>
      <c r="D1250" s="1"/>
      <c r="E1250" s="1" t="str">
        <f ca="1">IFERROR(__xludf.DUMMYFUNCTION("""COMPUTED_VALUE"""),"-")</f>
        <v>-</v>
      </c>
      <c r="F1250" s="1"/>
      <c r="G1250" s="1" t="str">
        <f ca="1">IFERROR(__xludf.DUMMYFUNCTION("""COMPUTED_VALUE"""),"-")</f>
        <v>-</v>
      </c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x14ac:dyDescent="0.2">
      <c r="A1251" s="1"/>
      <c r="B1251" s="1"/>
      <c r="C1251" s="1"/>
      <c r="D1251" s="1"/>
      <c r="E1251" s="1" t="str">
        <f ca="1">IFERROR(__xludf.DUMMYFUNCTION("""COMPUTED_VALUE"""),"-")</f>
        <v>-</v>
      </c>
      <c r="F1251" s="1"/>
      <c r="G1251" s="1" t="str">
        <f ca="1">IFERROR(__xludf.DUMMYFUNCTION("""COMPUTED_VALUE"""),"-")</f>
        <v>-</v>
      </c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x14ac:dyDescent="0.2">
      <c r="A1252" s="1"/>
      <c r="B1252" s="1"/>
      <c r="C1252" s="1"/>
      <c r="D1252" s="1"/>
      <c r="E1252" s="1" t="str">
        <f ca="1">IFERROR(__xludf.DUMMYFUNCTION("""COMPUTED_VALUE"""),"-")</f>
        <v>-</v>
      </c>
      <c r="F1252" s="1"/>
      <c r="G1252" s="1" t="str">
        <f ca="1">IFERROR(__xludf.DUMMYFUNCTION("""COMPUTED_VALUE"""),"-")</f>
        <v>-</v>
      </c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x14ac:dyDescent="0.2">
      <c r="A1253" s="1"/>
      <c r="B1253" s="1"/>
      <c r="C1253" s="1"/>
      <c r="D1253" s="1"/>
      <c r="E1253" s="1" t="str">
        <f ca="1">IFERROR(__xludf.DUMMYFUNCTION("""COMPUTED_VALUE"""),"-")</f>
        <v>-</v>
      </c>
      <c r="F1253" s="1"/>
      <c r="G1253" s="1" t="str">
        <f ca="1">IFERROR(__xludf.DUMMYFUNCTION("""COMPUTED_VALUE"""),"-")</f>
        <v>-</v>
      </c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x14ac:dyDescent="0.2">
      <c r="A1254" s="1"/>
      <c r="B1254" s="1"/>
      <c r="C1254" s="1"/>
      <c r="D1254" s="1"/>
      <c r="E1254" s="1" t="str">
        <f ca="1">IFERROR(__xludf.DUMMYFUNCTION("""COMPUTED_VALUE"""),"-")</f>
        <v>-</v>
      </c>
      <c r="F1254" s="1"/>
      <c r="G1254" s="1" t="str">
        <f ca="1">IFERROR(__xludf.DUMMYFUNCTION("""COMPUTED_VALUE"""),"-")</f>
        <v>-</v>
      </c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x14ac:dyDescent="0.2">
      <c r="A1255" s="1"/>
      <c r="B1255" s="1"/>
      <c r="C1255" s="1"/>
      <c r="D1255" s="1"/>
      <c r="E1255" s="1" t="str">
        <f ca="1">IFERROR(__xludf.DUMMYFUNCTION("""COMPUTED_VALUE"""),"-")</f>
        <v>-</v>
      </c>
      <c r="F1255" s="1"/>
      <c r="G1255" s="1" t="str">
        <f ca="1">IFERROR(__xludf.DUMMYFUNCTION("""COMPUTED_VALUE"""),"-")</f>
        <v>-</v>
      </c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x14ac:dyDescent="0.2">
      <c r="A1256" s="1"/>
      <c r="B1256" s="1"/>
      <c r="C1256" s="1"/>
      <c r="D1256" s="1"/>
      <c r="E1256" s="1" t="str">
        <f ca="1">IFERROR(__xludf.DUMMYFUNCTION("""COMPUTED_VALUE"""),"-")</f>
        <v>-</v>
      </c>
      <c r="F1256" s="1"/>
      <c r="G1256" s="1" t="str">
        <f ca="1">IFERROR(__xludf.DUMMYFUNCTION("""COMPUTED_VALUE"""),"-")</f>
        <v>-</v>
      </c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x14ac:dyDescent="0.2">
      <c r="A1257" s="1"/>
      <c r="B1257" s="1"/>
      <c r="C1257" s="1"/>
      <c r="D1257" s="1"/>
      <c r="E1257" s="1" t="str">
        <f ca="1">IFERROR(__xludf.DUMMYFUNCTION("""COMPUTED_VALUE"""),"-")</f>
        <v>-</v>
      </c>
      <c r="F1257" s="1"/>
      <c r="G1257" s="1" t="str">
        <f ca="1">IFERROR(__xludf.DUMMYFUNCTION("""COMPUTED_VALUE"""),"-")</f>
        <v>-</v>
      </c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x14ac:dyDescent="0.2">
      <c r="A1258" s="1"/>
      <c r="B1258" s="1"/>
      <c r="C1258" s="1"/>
      <c r="D1258" s="1"/>
      <c r="E1258" s="1" t="str">
        <f ca="1">IFERROR(__xludf.DUMMYFUNCTION("""COMPUTED_VALUE"""),"-")</f>
        <v>-</v>
      </c>
      <c r="F1258" s="1"/>
      <c r="G1258" s="1" t="str">
        <f ca="1">IFERROR(__xludf.DUMMYFUNCTION("""COMPUTED_VALUE"""),"-")</f>
        <v>-</v>
      </c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x14ac:dyDescent="0.2">
      <c r="A1259" s="1"/>
      <c r="B1259" s="1"/>
      <c r="C1259" s="1"/>
      <c r="D1259" s="1"/>
      <c r="E1259" s="1" t="str">
        <f ca="1">IFERROR(__xludf.DUMMYFUNCTION("""COMPUTED_VALUE"""),"-")</f>
        <v>-</v>
      </c>
      <c r="F1259" s="1"/>
      <c r="G1259" s="1" t="str">
        <f ca="1">IFERROR(__xludf.DUMMYFUNCTION("""COMPUTED_VALUE"""),"-")</f>
        <v>-</v>
      </c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x14ac:dyDescent="0.2">
      <c r="A1260" s="1"/>
      <c r="B1260" s="1"/>
      <c r="C1260" s="1"/>
      <c r="D1260" s="1"/>
      <c r="E1260" s="1" t="str">
        <f ca="1">IFERROR(__xludf.DUMMYFUNCTION("""COMPUTED_VALUE"""),"-")</f>
        <v>-</v>
      </c>
      <c r="F1260" s="1"/>
      <c r="G1260" s="1" t="str">
        <f ca="1">IFERROR(__xludf.DUMMYFUNCTION("""COMPUTED_VALUE"""),"-")</f>
        <v>-</v>
      </c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x14ac:dyDescent="0.2">
      <c r="A1261" s="1"/>
      <c r="B1261" s="1"/>
      <c r="C1261" s="1"/>
      <c r="D1261" s="1"/>
      <c r="E1261" s="1" t="str">
        <f ca="1">IFERROR(__xludf.DUMMYFUNCTION("""COMPUTED_VALUE"""),"-")</f>
        <v>-</v>
      </c>
      <c r="F1261" s="1"/>
      <c r="G1261" s="1" t="str">
        <f ca="1">IFERROR(__xludf.DUMMYFUNCTION("""COMPUTED_VALUE"""),"-")</f>
        <v>-</v>
      </c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x14ac:dyDescent="0.2">
      <c r="A1262" s="1"/>
      <c r="B1262" s="1"/>
      <c r="C1262" s="1"/>
      <c r="D1262" s="1"/>
      <c r="E1262" s="1" t="str">
        <f ca="1">IFERROR(__xludf.DUMMYFUNCTION("""COMPUTED_VALUE"""),"-")</f>
        <v>-</v>
      </c>
      <c r="F1262" s="1"/>
      <c r="G1262" s="1" t="str">
        <f ca="1">IFERROR(__xludf.DUMMYFUNCTION("""COMPUTED_VALUE"""),"-")</f>
        <v>-</v>
      </c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x14ac:dyDescent="0.2">
      <c r="A1263" s="1"/>
      <c r="B1263" s="1"/>
      <c r="C1263" s="1"/>
      <c r="D1263" s="1"/>
      <c r="E1263" s="1" t="str">
        <f ca="1">IFERROR(__xludf.DUMMYFUNCTION("""COMPUTED_VALUE"""),"-")</f>
        <v>-</v>
      </c>
      <c r="F1263" s="1"/>
      <c r="G1263" s="1" t="str">
        <f ca="1">IFERROR(__xludf.DUMMYFUNCTION("""COMPUTED_VALUE"""),"-")</f>
        <v>-</v>
      </c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x14ac:dyDescent="0.2">
      <c r="A1264" s="1"/>
      <c r="B1264" s="1"/>
      <c r="C1264" s="1"/>
      <c r="D1264" s="1"/>
      <c r="E1264" s="1" t="str">
        <f ca="1">IFERROR(__xludf.DUMMYFUNCTION("""COMPUTED_VALUE"""),"-")</f>
        <v>-</v>
      </c>
      <c r="F1264" s="1"/>
      <c r="G1264" s="1" t="str">
        <f ca="1">IFERROR(__xludf.DUMMYFUNCTION("""COMPUTED_VALUE"""),"-")</f>
        <v>-</v>
      </c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x14ac:dyDescent="0.2">
      <c r="A1265" s="1"/>
      <c r="B1265" s="1"/>
      <c r="C1265" s="1"/>
      <c r="D1265" s="1"/>
      <c r="E1265" s="1" t="str">
        <f ca="1">IFERROR(__xludf.DUMMYFUNCTION("""COMPUTED_VALUE"""),"-")</f>
        <v>-</v>
      </c>
      <c r="F1265" s="1"/>
      <c r="G1265" s="1" t="str">
        <f ca="1">IFERROR(__xludf.DUMMYFUNCTION("""COMPUTED_VALUE"""),"-")</f>
        <v>-</v>
      </c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x14ac:dyDescent="0.2">
      <c r="A1266" s="1"/>
      <c r="B1266" s="1"/>
      <c r="C1266" s="1"/>
      <c r="D1266" s="1"/>
      <c r="E1266" s="1" t="str">
        <f ca="1">IFERROR(__xludf.DUMMYFUNCTION("""COMPUTED_VALUE"""),"-")</f>
        <v>-</v>
      </c>
      <c r="F1266" s="1"/>
      <c r="G1266" s="1" t="str">
        <f ca="1">IFERROR(__xludf.DUMMYFUNCTION("""COMPUTED_VALUE"""),"-")</f>
        <v>-</v>
      </c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x14ac:dyDescent="0.2">
      <c r="A1267" s="1"/>
      <c r="B1267" s="1"/>
      <c r="C1267" s="1"/>
      <c r="D1267" s="1"/>
      <c r="E1267" s="1" t="str">
        <f ca="1">IFERROR(__xludf.DUMMYFUNCTION("""COMPUTED_VALUE"""),"-")</f>
        <v>-</v>
      </c>
      <c r="F1267" s="1"/>
      <c r="G1267" s="1" t="str">
        <f ca="1">IFERROR(__xludf.DUMMYFUNCTION("""COMPUTED_VALUE"""),"-")</f>
        <v>-</v>
      </c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x14ac:dyDescent="0.2">
      <c r="A1268" s="1"/>
      <c r="B1268" s="1"/>
      <c r="C1268" s="1"/>
      <c r="D1268" s="1"/>
      <c r="E1268" s="1" t="str">
        <f ca="1">IFERROR(__xludf.DUMMYFUNCTION("""COMPUTED_VALUE"""),"-")</f>
        <v>-</v>
      </c>
      <c r="F1268" s="1"/>
      <c r="G1268" s="1" t="str">
        <f ca="1">IFERROR(__xludf.DUMMYFUNCTION("""COMPUTED_VALUE"""),"-")</f>
        <v>-</v>
      </c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x14ac:dyDescent="0.2">
      <c r="A1269" s="1"/>
      <c r="B1269" s="1"/>
      <c r="C1269" s="1"/>
      <c r="D1269" s="1"/>
      <c r="E1269" s="1" t="str">
        <f ca="1">IFERROR(__xludf.DUMMYFUNCTION("""COMPUTED_VALUE"""),"-")</f>
        <v>-</v>
      </c>
      <c r="F1269" s="1"/>
      <c r="G1269" s="1" t="str">
        <f ca="1">IFERROR(__xludf.DUMMYFUNCTION("""COMPUTED_VALUE"""),"-")</f>
        <v>-</v>
      </c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x14ac:dyDescent="0.2">
      <c r="A1270" s="1"/>
      <c r="B1270" s="1"/>
      <c r="C1270" s="1"/>
      <c r="D1270" s="1"/>
      <c r="E1270" s="1" t="str">
        <f ca="1">IFERROR(__xludf.DUMMYFUNCTION("""COMPUTED_VALUE"""),"-")</f>
        <v>-</v>
      </c>
      <c r="F1270" s="1"/>
      <c r="G1270" s="1" t="str">
        <f ca="1">IFERROR(__xludf.DUMMYFUNCTION("""COMPUTED_VALUE"""),"-")</f>
        <v>-</v>
      </c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x14ac:dyDescent="0.2">
      <c r="A1271" s="1"/>
      <c r="B1271" s="1"/>
      <c r="C1271" s="1"/>
      <c r="D1271" s="1"/>
      <c r="E1271" s="1" t="str">
        <f ca="1">IFERROR(__xludf.DUMMYFUNCTION("""COMPUTED_VALUE"""),"-")</f>
        <v>-</v>
      </c>
      <c r="F1271" s="1"/>
      <c r="G1271" s="1" t="str">
        <f ca="1">IFERROR(__xludf.DUMMYFUNCTION("""COMPUTED_VALUE"""),"-")</f>
        <v>-</v>
      </c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x14ac:dyDescent="0.2">
      <c r="A1272" s="1"/>
      <c r="B1272" s="1"/>
      <c r="C1272" s="1"/>
      <c r="D1272" s="1"/>
      <c r="E1272" s="1" t="str">
        <f ca="1">IFERROR(__xludf.DUMMYFUNCTION("""COMPUTED_VALUE"""),"-")</f>
        <v>-</v>
      </c>
      <c r="F1272" s="1"/>
      <c r="G1272" s="1" t="str">
        <f ca="1">IFERROR(__xludf.DUMMYFUNCTION("""COMPUTED_VALUE"""),"-")</f>
        <v>-</v>
      </c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x14ac:dyDescent="0.2">
      <c r="A1273" s="1"/>
      <c r="B1273" s="1"/>
      <c r="C1273" s="1"/>
      <c r="D1273" s="1"/>
      <c r="E1273" s="1" t="str">
        <f ca="1">IFERROR(__xludf.DUMMYFUNCTION("""COMPUTED_VALUE"""),"-")</f>
        <v>-</v>
      </c>
      <c r="F1273" s="1"/>
      <c r="G1273" s="1" t="str">
        <f ca="1">IFERROR(__xludf.DUMMYFUNCTION("""COMPUTED_VALUE"""),"-")</f>
        <v>-</v>
      </c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x14ac:dyDescent="0.2">
      <c r="A1274" s="1"/>
      <c r="B1274" s="1"/>
      <c r="C1274" s="1"/>
      <c r="D1274" s="1"/>
      <c r="E1274" s="1" t="str">
        <f ca="1">IFERROR(__xludf.DUMMYFUNCTION("""COMPUTED_VALUE"""),"-")</f>
        <v>-</v>
      </c>
      <c r="F1274" s="1"/>
      <c r="G1274" s="1" t="str">
        <f ca="1">IFERROR(__xludf.DUMMYFUNCTION("""COMPUTED_VALUE"""),"-")</f>
        <v>-</v>
      </c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x14ac:dyDescent="0.2">
      <c r="A1275" s="1"/>
      <c r="B1275" s="1"/>
      <c r="C1275" s="1"/>
      <c r="D1275" s="1"/>
      <c r="E1275" s="1" t="str">
        <f ca="1">IFERROR(__xludf.DUMMYFUNCTION("""COMPUTED_VALUE"""),"-")</f>
        <v>-</v>
      </c>
      <c r="F1275" s="1"/>
      <c r="G1275" s="1" t="str">
        <f ca="1">IFERROR(__xludf.DUMMYFUNCTION("""COMPUTED_VALUE"""),"-")</f>
        <v>-</v>
      </c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x14ac:dyDescent="0.2">
      <c r="A1276" s="1"/>
      <c r="B1276" s="1"/>
      <c r="C1276" s="1"/>
      <c r="D1276" s="1"/>
      <c r="E1276" s="1" t="str">
        <f ca="1">IFERROR(__xludf.DUMMYFUNCTION("""COMPUTED_VALUE"""),"-")</f>
        <v>-</v>
      </c>
      <c r="F1276" s="1"/>
      <c r="G1276" s="1" t="str">
        <f ca="1">IFERROR(__xludf.DUMMYFUNCTION("""COMPUTED_VALUE"""),"-")</f>
        <v>-</v>
      </c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x14ac:dyDescent="0.2">
      <c r="A1277" s="1"/>
      <c r="B1277" s="1"/>
      <c r="C1277" s="1"/>
      <c r="D1277" s="1"/>
      <c r="E1277" s="1" t="str">
        <f ca="1">IFERROR(__xludf.DUMMYFUNCTION("""COMPUTED_VALUE"""),"-")</f>
        <v>-</v>
      </c>
      <c r="F1277" s="1"/>
      <c r="G1277" s="1" t="str">
        <f ca="1">IFERROR(__xludf.DUMMYFUNCTION("""COMPUTED_VALUE"""),"-")</f>
        <v>-</v>
      </c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x14ac:dyDescent="0.2">
      <c r="A1278" s="1"/>
      <c r="B1278" s="1"/>
      <c r="C1278" s="1"/>
      <c r="D1278" s="1"/>
      <c r="E1278" s="1" t="str">
        <f ca="1">IFERROR(__xludf.DUMMYFUNCTION("""COMPUTED_VALUE"""),"-")</f>
        <v>-</v>
      </c>
      <c r="F1278" s="1"/>
      <c r="G1278" s="1" t="str">
        <f ca="1">IFERROR(__xludf.DUMMYFUNCTION("""COMPUTED_VALUE"""),"-")</f>
        <v>-</v>
      </c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x14ac:dyDescent="0.2">
      <c r="A1279" s="1"/>
      <c r="B1279" s="1"/>
      <c r="C1279" s="1"/>
      <c r="D1279" s="1"/>
      <c r="E1279" s="1" t="str">
        <f ca="1">IFERROR(__xludf.DUMMYFUNCTION("""COMPUTED_VALUE"""),"-")</f>
        <v>-</v>
      </c>
      <c r="F1279" s="1"/>
      <c r="G1279" s="1" t="str">
        <f ca="1">IFERROR(__xludf.DUMMYFUNCTION("""COMPUTED_VALUE"""),"-")</f>
        <v>-</v>
      </c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x14ac:dyDescent="0.2">
      <c r="A1280" s="1"/>
      <c r="B1280" s="1"/>
      <c r="C1280" s="1"/>
      <c r="D1280" s="1"/>
      <c r="E1280" s="1" t="str">
        <f ca="1">IFERROR(__xludf.DUMMYFUNCTION("""COMPUTED_VALUE"""),"-")</f>
        <v>-</v>
      </c>
      <c r="F1280" s="1"/>
      <c r="G1280" s="1" t="str">
        <f ca="1">IFERROR(__xludf.DUMMYFUNCTION("""COMPUTED_VALUE"""),"-")</f>
        <v>-</v>
      </c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x14ac:dyDescent="0.2">
      <c r="A1281" s="1"/>
      <c r="B1281" s="1"/>
      <c r="C1281" s="1"/>
      <c r="D1281" s="1"/>
      <c r="E1281" s="1" t="str">
        <f ca="1">IFERROR(__xludf.DUMMYFUNCTION("""COMPUTED_VALUE"""),"-")</f>
        <v>-</v>
      </c>
      <c r="F1281" s="1"/>
      <c r="G1281" s="1" t="str">
        <f ca="1">IFERROR(__xludf.DUMMYFUNCTION("""COMPUTED_VALUE"""),"-")</f>
        <v>-</v>
      </c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x14ac:dyDescent="0.2">
      <c r="A1282" s="1"/>
      <c r="B1282" s="1"/>
      <c r="C1282" s="1"/>
      <c r="D1282" s="1"/>
      <c r="E1282" s="1" t="str">
        <f ca="1">IFERROR(__xludf.DUMMYFUNCTION("""COMPUTED_VALUE"""),"-")</f>
        <v>-</v>
      </c>
      <c r="F1282" s="1"/>
      <c r="G1282" s="1" t="str">
        <f ca="1">IFERROR(__xludf.DUMMYFUNCTION("""COMPUTED_VALUE"""),"-")</f>
        <v>-</v>
      </c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x14ac:dyDescent="0.2">
      <c r="A1283" s="1"/>
      <c r="B1283" s="1"/>
      <c r="C1283" s="1"/>
      <c r="D1283" s="1"/>
      <c r="E1283" s="1" t="str">
        <f ca="1">IFERROR(__xludf.DUMMYFUNCTION("""COMPUTED_VALUE"""),"-")</f>
        <v>-</v>
      </c>
      <c r="F1283" s="1"/>
      <c r="G1283" s="1" t="str">
        <f ca="1">IFERROR(__xludf.DUMMYFUNCTION("""COMPUTED_VALUE"""),"-")</f>
        <v>-</v>
      </c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x14ac:dyDescent="0.2">
      <c r="A1284" s="1"/>
      <c r="B1284" s="1"/>
      <c r="C1284" s="1"/>
      <c r="D1284" s="1"/>
      <c r="E1284" s="1" t="str">
        <f ca="1">IFERROR(__xludf.DUMMYFUNCTION("""COMPUTED_VALUE"""),"-")</f>
        <v>-</v>
      </c>
      <c r="F1284" s="1"/>
      <c r="G1284" s="1" t="str">
        <f ca="1">IFERROR(__xludf.DUMMYFUNCTION("""COMPUTED_VALUE"""),"-")</f>
        <v>-</v>
      </c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x14ac:dyDescent="0.2">
      <c r="A1285" s="1"/>
      <c r="B1285" s="1"/>
      <c r="C1285" s="1"/>
      <c r="D1285" s="1"/>
      <c r="E1285" s="1" t="str">
        <f ca="1">IFERROR(__xludf.DUMMYFUNCTION("""COMPUTED_VALUE"""),"-")</f>
        <v>-</v>
      </c>
      <c r="F1285" s="1"/>
      <c r="G1285" s="1" t="str">
        <f ca="1">IFERROR(__xludf.DUMMYFUNCTION("""COMPUTED_VALUE"""),"-")</f>
        <v>-</v>
      </c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x14ac:dyDescent="0.2">
      <c r="A1286" s="1"/>
      <c r="B1286" s="1"/>
      <c r="C1286" s="1"/>
      <c r="D1286" s="1"/>
      <c r="E1286" s="1" t="str">
        <f ca="1">IFERROR(__xludf.DUMMYFUNCTION("""COMPUTED_VALUE"""),"-")</f>
        <v>-</v>
      </c>
      <c r="F1286" s="1"/>
      <c r="G1286" s="1" t="str">
        <f ca="1">IFERROR(__xludf.DUMMYFUNCTION("""COMPUTED_VALUE"""),"-")</f>
        <v>-</v>
      </c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x14ac:dyDescent="0.2">
      <c r="A1287" s="1"/>
      <c r="B1287" s="1"/>
      <c r="C1287" s="1"/>
      <c r="D1287" s="1"/>
      <c r="E1287" s="1" t="str">
        <f ca="1">IFERROR(__xludf.DUMMYFUNCTION("""COMPUTED_VALUE"""),"-")</f>
        <v>-</v>
      </c>
      <c r="F1287" s="1"/>
      <c r="G1287" s="1" t="str">
        <f ca="1">IFERROR(__xludf.DUMMYFUNCTION("""COMPUTED_VALUE"""),"-")</f>
        <v>-</v>
      </c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x14ac:dyDescent="0.2">
      <c r="A1288" s="1"/>
      <c r="B1288" s="1"/>
      <c r="C1288" s="1"/>
      <c r="D1288" s="1"/>
      <c r="E1288" s="1" t="str">
        <f ca="1">IFERROR(__xludf.DUMMYFUNCTION("""COMPUTED_VALUE"""),"-")</f>
        <v>-</v>
      </c>
      <c r="F1288" s="1"/>
      <c r="G1288" s="1" t="str">
        <f ca="1">IFERROR(__xludf.DUMMYFUNCTION("""COMPUTED_VALUE"""),"-")</f>
        <v>-</v>
      </c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x14ac:dyDescent="0.2">
      <c r="A1289" s="1"/>
      <c r="B1289" s="1"/>
      <c r="C1289" s="1"/>
      <c r="D1289" s="1"/>
      <c r="E1289" s="1" t="str">
        <f ca="1">IFERROR(__xludf.DUMMYFUNCTION("""COMPUTED_VALUE"""),"-")</f>
        <v>-</v>
      </c>
      <c r="F1289" s="1"/>
      <c r="G1289" s="1" t="str">
        <f ca="1">IFERROR(__xludf.DUMMYFUNCTION("""COMPUTED_VALUE"""),"-")</f>
        <v>-</v>
      </c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x14ac:dyDescent="0.2">
      <c r="A1290" s="1"/>
      <c r="B1290" s="1"/>
      <c r="C1290" s="1"/>
      <c r="D1290" s="1"/>
      <c r="E1290" s="1" t="str">
        <f ca="1">IFERROR(__xludf.DUMMYFUNCTION("""COMPUTED_VALUE"""),"-")</f>
        <v>-</v>
      </c>
      <c r="F1290" s="1"/>
      <c r="G1290" s="1" t="str">
        <f ca="1">IFERROR(__xludf.DUMMYFUNCTION("""COMPUTED_VALUE"""),"-")</f>
        <v>-</v>
      </c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x14ac:dyDescent="0.2">
      <c r="A1291" s="1"/>
      <c r="B1291" s="1"/>
      <c r="C1291" s="1"/>
      <c r="D1291" s="1"/>
      <c r="E1291" s="1" t="str">
        <f ca="1">IFERROR(__xludf.DUMMYFUNCTION("""COMPUTED_VALUE"""),"-")</f>
        <v>-</v>
      </c>
      <c r="F1291" s="1"/>
      <c r="G1291" s="1" t="str">
        <f ca="1">IFERROR(__xludf.DUMMYFUNCTION("""COMPUTED_VALUE"""),"-")</f>
        <v>-</v>
      </c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x14ac:dyDescent="0.2">
      <c r="A1292" s="1"/>
      <c r="B1292" s="1"/>
      <c r="C1292" s="1"/>
      <c r="D1292" s="1"/>
      <c r="E1292" s="1" t="str">
        <f ca="1">IFERROR(__xludf.DUMMYFUNCTION("""COMPUTED_VALUE"""),"-")</f>
        <v>-</v>
      </c>
      <c r="F1292" s="1"/>
      <c r="G1292" s="1" t="str">
        <f ca="1">IFERROR(__xludf.DUMMYFUNCTION("""COMPUTED_VALUE"""),"-")</f>
        <v>-</v>
      </c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x14ac:dyDescent="0.2">
      <c r="A1293" s="1"/>
      <c r="B1293" s="1"/>
      <c r="C1293" s="1"/>
      <c r="D1293" s="1"/>
      <c r="E1293" s="1" t="str">
        <f ca="1">IFERROR(__xludf.DUMMYFUNCTION("""COMPUTED_VALUE"""),"-")</f>
        <v>-</v>
      </c>
      <c r="F1293" s="1"/>
      <c r="G1293" s="1" t="str">
        <f ca="1">IFERROR(__xludf.DUMMYFUNCTION("""COMPUTED_VALUE"""),"-")</f>
        <v>-</v>
      </c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x14ac:dyDescent="0.2">
      <c r="A1294" s="1"/>
      <c r="B1294" s="1"/>
      <c r="C1294" s="1"/>
      <c r="D1294" s="1"/>
      <c r="E1294" s="1" t="str">
        <f ca="1">IFERROR(__xludf.DUMMYFUNCTION("""COMPUTED_VALUE"""),"-")</f>
        <v>-</v>
      </c>
      <c r="F1294" s="1"/>
      <c r="G1294" s="1" t="str">
        <f ca="1">IFERROR(__xludf.DUMMYFUNCTION("""COMPUTED_VALUE"""),"-")</f>
        <v>-</v>
      </c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x14ac:dyDescent="0.2">
      <c r="A1295" s="1"/>
      <c r="B1295" s="1"/>
      <c r="C1295" s="1"/>
      <c r="D1295" s="1"/>
      <c r="E1295" s="1" t="str">
        <f ca="1">IFERROR(__xludf.DUMMYFUNCTION("""COMPUTED_VALUE"""),"-")</f>
        <v>-</v>
      </c>
      <c r="F1295" s="1"/>
      <c r="G1295" s="1" t="str">
        <f ca="1">IFERROR(__xludf.DUMMYFUNCTION("""COMPUTED_VALUE"""),"-")</f>
        <v>-</v>
      </c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x14ac:dyDescent="0.2">
      <c r="A1296" s="1"/>
      <c r="B1296" s="1"/>
      <c r="C1296" s="1"/>
      <c r="D1296" s="1"/>
      <c r="E1296" s="1" t="str">
        <f ca="1">IFERROR(__xludf.DUMMYFUNCTION("""COMPUTED_VALUE"""),"-")</f>
        <v>-</v>
      </c>
      <c r="F1296" s="1"/>
      <c r="G1296" s="1" t="str">
        <f ca="1">IFERROR(__xludf.DUMMYFUNCTION("""COMPUTED_VALUE"""),"-")</f>
        <v>-</v>
      </c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x14ac:dyDescent="0.2">
      <c r="A1297" s="1"/>
      <c r="B1297" s="1"/>
      <c r="C1297" s="1"/>
      <c r="D1297" s="1"/>
      <c r="E1297" s="1" t="str">
        <f ca="1">IFERROR(__xludf.DUMMYFUNCTION("""COMPUTED_VALUE"""),"-")</f>
        <v>-</v>
      </c>
      <c r="F1297" s="1"/>
      <c r="G1297" s="1" t="str">
        <f ca="1">IFERROR(__xludf.DUMMYFUNCTION("""COMPUTED_VALUE"""),"-")</f>
        <v>-</v>
      </c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x14ac:dyDescent="0.2">
      <c r="A1298" s="1"/>
      <c r="B1298" s="1"/>
      <c r="C1298" s="1"/>
      <c r="D1298" s="1"/>
      <c r="E1298" s="1" t="str">
        <f ca="1">IFERROR(__xludf.DUMMYFUNCTION("""COMPUTED_VALUE"""),"-")</f>
        <v>-</v>
      </c>
      <c r="F1298" s="1"/>
      <c r="G1298" s="1" t="str">
        <f ca="1">IFERROR(__xludf.DUMMYFUNCTION("""COMPUTED_VALUE"""),"-")</f>
        <v>-</v>
      </c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x14ac:dyDescent="0.2">
      <c r="A1299" s="1"/>
      <c r="B1299" s="1"/>
      <c r="C1299" s="1"/>
      <c r="D1299" s="1"/>
      <c r="E1299" s="1" t="str">
        <f ca="1">IFERROR(__xludf.DUMMYFUNCTION("""COMPUTED_VALUE"""),"-")</f>
        <v>-</v>
      </c>
      <c r="F1299" s="1"/>
      <c r="G1299" s="1" t="str">
        <f ca="1">IFERROR(__xludf.DUMMYFUNCTION("""COMPUTED_VALUE"""),"-")</f>
        <v>-</v>
      </c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x14ac:dyDescent="0.2">
      <c r="A1300" s="1"/>
      <c r="B1300" s="1"/>
      <c r="C1300" s="1"/>
      <c r="D1300" s="1"/>
      <c r="E1300" s="1" t="str">
        <f ca="1">IFERROR(__xludf.DUMMYFUNCTION("""COMPUTED_VALUE"""),"-")</f>
        <v>-</v>
      </c>
      <c r="F1300" s="1"/>
      <c r="G1300" s="1" t="str">
        <f ca="1">IFERROR(__xludf.DUMMYFUNCTION("""COMPUTED_VALUE"""),"-")</f>
        <v>-</v>
      </c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  <row r="1301" spans="1:26" x14ac:dyDescent="0.2">
      <c r="A1301" s="1"/>
      <c r="B1301" s="1"/>
      <c r="C1301" s="1"/>
      <c r="D1301" s="1"/>
      <c r="E1301" s="1" t="str">
        <f ca="1">IFERROR(__xludf.DUMMYFUNCTION("""COMPUTED_VALUE"""),"-")</f>
        <v>-</v>
      </c>
      <c r="F1301" s="1"/>
      <c r="G1301" s="1" t="str">
        <f ca="1">IFERROR(__xludf.DUMMYFUNCTION("""COMPUTED_VALUE"""),"-")</f>
        <v>-</v>
      </c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</row>
    <row r="1302" spans="1:26" x14ac:dyDescent="0.2">
      <c r="A1302" s="1"/>
      <c r="B1302" s="1"/>
      <c r="C1302" s="1"/>
      <c r="D1302" s="1"/>
      <c r="E1302" s="1" t="str">
        <f ca="1">IFERROR(__xludf.DUMMYFUNCTION("""COMPUTED_VALUE"""),"-")</f>
        <v>-</v>
      </c>
      <c r="F1302" s="1"/>
      <c r="G1302" s="1" t="str">
        <f ca="1">IFERROR(__xludf.DUMMYFUNCTION("""COMPUTED_VALUE"""),"-")</f>
        <v>-</v>
      </c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</row>
    <row r="1303" spans="1:26" x14ac:dyDescent="0.2">
      <c r="A1303" s="1"/>
      <c r="B1303" s="1"/>
      <c r="C1303" s="1"/>
      <c r="D1303" s="1"/>
      <c r="E1303" s="1" t="str">
        <f ca="1">IFERROR(__xludf.DUMMYFUNCTION("""COMPUTED_VALUE"""),"-")</f>
        <v>-</v>
      </c>
      <c r="F1303" s="1"/>
      <c r="G1303" s="1" t="str">
        <f ca="1">IFERROR(__xludf.DUMMYFUNCTION("""COMPUTED_VALUE"""),"-")</f>
        <v>-</v>
      </c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</row>
    <row r="1304" spans="1:26" x14ac:dyDescent="0.2">
      <c r="A1304" s="1"/>
      <c r="B1304" s="1"/>
      <c r="C1304" s="1"/>
      <c r="D1304" s="1"/>
      <c r="E1304" s="1" t="str">
        <f ca="1">IFERROR(__xludf.DUMMYFUNCTION("""COMPUTED_VALUE"""),"-")</f>
        <v>-</v>
      </c>
      <c r="F1304" s="1"/>
      <c r="G1304" s="1" t="str">
        <f ca="1">IFERROR(__xludf.DUMMYFUNCTION("""COMPUTED_VALUE"""),"-")</f>
        <v>-</v>
      </c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</row>
    <row r="1305" spans="1:26" x14ac:dyDescent="0.2">
      <c r="A1305" s="1"/>
      <c r="B1305" s="1"/>
      <c r="C1305" s="1"/>
      <c r="D1305" s="1"/>
      <c r="E1305" s="1" t="str">
        <f ca="1">IFERROR(__xludf.DUMMYFUNCTION("""COMPUTED_VALUE"""),"-")</f>
        <v>-</v>
      </c>
      <c r="F1305" s="1"/>
      <c r="G1305" s="1" t="str">
        <f ca="1">IFERROR(__xludf.DUMMYFUNCTION("""COMPUTED_VALUE"""),"-")</f>
        <v>-</v>
      </c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</row>
    <row r="1306" spans="1:26" x14ac:dyDescent="0.2">
      <c r="A1306" s="1"/>
      <c r="B1306" s="1"/>
      <c r="C1306" s="1"/>
      <c r="D1306" s="1"/>
      <c r="E1306" s="1" t="str">
        <f ca="1">IFERROR(__xludf.DUMMYFUNCTION("""COMPUTED_VALUE"""),"-")</f>
        <v>-</v>
      </c>
      <c r="F1306" s="1"/>
      <c r="G1306" s="1" t="str">
        <f ca="1">IFERROR(__xludf.DUMMYFUNCTION("""COMPUTED_VALUE"""),"-")</f>
        <v>-</v>
      </c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</row>
    <row r="1307" spans="1:26" x14ac:dyDescent="0.2">
      <c r="A1307" s="1"/>
      <c r="B1307" s="1"/>
      <c r="C1307" s="1"/>
      <c r="D1307" s="1"/>
      <c r="E1307" s="1" t="str">
        <f ca="1">IFERROR(__xludf.DUMMYFUNCTION("""COMPUTED_VALUE"""),"-")</f>
        <v>-</v>
      </c>
      <c r="F1307" s="1"/>
      <c r="G1307" s="1" t="str">
        <f ca="1">IFERROR(__xludf.DUMMYFUNCTION("""COMPUTED_VALUE"""),"-")</f>
        <v>-</v>
      </c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</row>
    <row r="1308" spans="1:26" x14ac:dyDescent="0.2">
      <c r="A1308" s="1"/>
      <c r="B1308" s="1"/>
      <c r="C1308" s="1"/>
      <c r="D1308" s="1"/>
      <c r="E1308" s="1" t="str">
        <f ca="1">IFERROR(__xludf.DUMMYFUNCTION("""COMPUTED_VALUE"""),"-")</f>
        <v>-</v>
      </c>
      <c r="F1308" s="1"/>
      <c r="G1308" s="1" t="str">
        <f ca="1">IFERROR(__xludf.DUMMYFUNCTION("""COMPUTED_VALUE"""),"-")</f>
        <v>-</v>
      </c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</row>
    <row r="1309" spans="1:26" x14ac:dyDescent="0.2">
      <c r="A1309" s="1"/>
      <c r="B1309" s="1"/>
      <c r="C1309" s="1"/>
      <c r="D1309" s="1"/>
      <c r="E1309" s="1" t="str">
        <f ca="1">IFERROR(__xludf.DUMMYFUNCTION("""COMPUTED_VALUE"""),"-")</f>
        <v>-</v>
      </c>
      <c r="F1309" s="1"/>
      <c r="G1309" s="1" t="str">
        <f ca="1">IFERROR(__xludf.DUMMYFUNCTION("""COMPUTED_VALUE"""),"-")</f>
        <v>-</v>
      </c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</row>
    <row r="1310" spans="1:26" x14ac:dyDescent="0.2">
      <c r="A1310" s="1"/>
      <c r="B1310" s="1"/>
      <c r="C1310" s="1"/>
      <c r="D1310" s="1"/>
      <c r="E1310" s="1" t="str">
        <f ca="1">IFERROR(__xludf.DUMMYFUNCTION("""COMPUTED_VALUE"""),"-")</f>
        <v>-</v>
      </c>
      <c r="F1310" s="1"/>
      <c r="G1310" s="1" t="str">
        <f ca="1">IFERROR(__xludf.DUMMYFUNCTION("""COMPUTED_VALUE"""),"-")</f>
        <v>-</v>
      </c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</row>
    <row r="1311" spans="1:26" x14ac:dyDescent="0.2">
      <c r="A1311" s="1"/>
      <c r="B1311" s="1"/>
      <c r="C1311" s="1"/>
      <c r="D1311" s="1"/>
      <c r="E1311" s="1" t="str">
        <f ca="1">IFERROR(__xludf.DUMMYFUNCTION("""COMPUTED_VALUE"""),"-")</f>
        <v>-</v>
      </c>
      <c r="F1311" s="1"/>
      <c r="G1311" s="1" t="str">
        <f ca="1">IFERROR(__xludf.DUMMYFUNCTION("""COMPUTED_VALUE"""),"-")</f>
        <v>-</v>
      </c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</row>
    <row r="1312" spans="1:26" x14ac:dyDescent="0.2">
      <c r="A1312" s="1"/>
      <c r="B1312" s="1"/>
      <c r="C1312" s="1"/>
      <c r="D1312" s="1"/>
      <c r="E1312" s="1" t="str">
        <f ca="1">IFERROR(__xludf.DUMMYFUNCTION("""COMPUTED_VALUE"""),"-")</f>
        <v>-</v>
      </c>
      <c r="F1312" s="1"/>
      <c r="G1312" s="1" t="str">
        <f ca="1">IFERROR(__xludf.DUMMYFUNCTION("""COMPUTED_VALUE"""),"-")</f>
        <v>-</v>
      </c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</row>
    <row r="1313" spans="1:26" x14ac:dyDescent="0.2">
      <c r="A1313" s="1"/>
      <c r="B1313" s="1"/>
      <c r="C1313" s="1"/>
      <c r="D1313" s="1"/>
      <c r="E1313" s="1" t="str">
        <f ca="1">IFERROR(__xludf.DUMMYFUNCTION("""COMPUTED_VALUE"""),"-")</f>
        <v>-</v>
      </c>
      <c r="F1313" s="1"/>
      <c r="G1313" s="1" t="str">
        <f ca="1">IFERROR(__xludf.DUMMYFUNCTION("""COMPUTED_VALUE"""),"-")</f>
        <v>-</v>
      </c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</row>
    <row r="1314" spans="1:26" x14ac:dyDescent="0.2">
      <c r="A1314" s="1"/>
      <c r="B1314" s="1"/>
      <c r="C1314" s="1"/>
      <c r="D1314" s="1"/>
      <c r="E1314" s="1" t="str">
        <f ca="1">IFERROR(__xludf.DUMMYFUNCTION("""COMPUTED_VALUE"""),"-")</f>
        <v>-</v>
      </c>
      <c r="F1314" s="1"/>
      <c r="G1314" s="1" t="str">
        <f ca="1">IFERROR(__xludf.DUMMYFUNCTION("""COMPUTED_VALUE"""),"-")</f>
        <v>-</v>
      </c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</row>
    <row r="1315" spans="1:26" x14ac:dyDescent="0.2">
      <c r="A1315" s="1"/>
      <c r="B1315" s="1"/>
      <c r="C1315" s="1"/>
      <c r="D1315" s="1"/>
      <c r="E1315" s="1" t="str">
        <f ca="1">IFERROR(__xludf.DUMMYFUNCTION("""COMPUTED_VALUE"""),"-")</f>
        <v>-</v>
      </c>
      <c r="F1315" s="1"/>
      <c r="G1315" s="1" t="str">
        <f ca="1">IFERROR(__xludf.DUMMYFUNCTION("""COMPUTED_VALUE"""),"-")</f>
        <v>-</v>
      </c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</row>
    <row r="1316" spans="1:26" x14ac:dyDescent="0.2">
      <c r="A1316" s="1"/>
      <c r="B1316" s="1"/>
      <c r="C1316" s="1"/>
      <c r="D1316" s="1"/>
      <c r="E1316" s="1" t="str">
        <f ca="1">IFERROR(__xludf.DUMMYFUNCTION("""COMPUTED_VALUE"""),"-")</f>
        <v>-</v>
      </c>
      <c r="F1316" s="1"/>
      <c r="G1316" s="1" t="str">
        <f ca="1">IFERROR(__xludf.DUMMYFUNCTION("""COMPUTED_VALUE"""),"-")</f>
        <v>-</v>
      </c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</row>
    <row r="1317" spans="1:26" x14ac:dyDescent="0.2">
      <c r="A1317" s="1"/>
      <c r="B1317" s="1"/>
      <c r="C1317" s="1"/>
      <c r="D1317" s="1"/>
      <c r="E1317" s="1" t="str">
        <f ca="1">IFERROR(__xludf.DUMMYFUNCTION("""COMPUTED_VALUE"""),"-")</f>
        <v>-</v>
      </c>
      <c r="F1317" s="1"/>
      <c r="G1317" s="1" t="str">
        <f ca="1">IFERROR(__xludf.DUMMYFUNCTION("""COMPUTED_VALUE"""),"-")</f>
        <v>-</v>
      </c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</row>
    <row r="1318" spans="1:26" x14ac:dyDescent="0.2">
      <c r="A1318" s="1"/>
      <c r="B1318" s="1"/>
      <c r="C1318" s="1"/>
      <c r="D1318" s="1"/>
      <c r="E1318" s="1" t="str">
        <f ca="1">IFERROR(__xludf.DUMMYFUNCTION("""COMPUTED_VALUE"""),"-")</f>
        <v>-</v>
      </c>
      <c r="F1318" s="1"/>
      <c r="G1318" s="1" t="str">
        <f ca="1">IFERROR(__xludf.DUMMYFUNCTION("""COMPUTED_VALUE"""),"-")</f>
        <v>-</v>
      </c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</row>
    <row r="1319" spans="1:26" x14ac:dyDescent="0.2">
      <c r="A1319" s="1"/>
      <c r="B1319" s="1"/>
      <c r="C1319" s="1"/>
      <c r="D1319" s="1"/>
      <c r="E1319" s="1" t="str">
        <f ca="1">IFERROR(__xludf.DUMMYFUNCTION("""COMPUTED_VALUE"""),"-")</f>
        <v>-</v>
      </c>
      <c r="F1319" s="1"/>
      <c r="G1319" s="1" t="str">
        <f ca="1">IFERROR(__xludf.DUMMYFUNCTION("""COMPUTED_VALUE"""),"-")</f>
        <v>-</v>
      </c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</row>
    <row r="1320" spans="1:26" x14ac:dyDescent="0.2">
      <c r="A1320" s="1"/>
      <c r="B1320" s="1"/>
      <c r="C1320" s="1"/>
      <c r="D1320" s="1"/>
      <c r="E1320" s="1" t="str">
        <f ca="1">IFERROR(__xludf.DUMMYFUNCTION("""COMPUTED_VALUE"""),"-")</f>
        <v>-</v>
      </c>
      <c r="F1320" s="1"/>
      <c r="G1320" s="1" t="str">
        <f ca="1">IFERROR(__xludf.DUMMYFUNCTION("""COMPUTED_VALUE"""),"-")</f>
        <v>-</v>
      </c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</row>
    <row r="1321" spans="1:26" x14ac:dyDescent="0.2">
      <c r="A1321" s="1"/>
      <c r="B1321" s="1"/>
      <c r="C1321" s="1"/>
      <c r="D1321" s="1"/>
      <c r="E1321" s="1" t="str">
        <f ca="1">IFERROR(__xludf.DUMMYFUNCTION("""COMPUTED_VALUE"""),"-")</f>
        <v>-</v>
      </c>
      <c r="F1321" s="1"/>
      <c r="G1321" s="1" t="str">
        <f ca="1">IFERROR(__xludf.DUMMYFUNCTION("""COMPUTED_VALUE"""),"-")</f>
        <v>-</v>
      </c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</row>
    <row r="1322" spans="1:26" x14ac:dyDescent="0.2">
      <c r="A1322" s="1"/>
      <c r="B1322" s="1"/>
      <c r="C1322" s="1"/>
      <c r="D1322" s="1"/>
      <c r="E1322" s="1" t="str">
        <f ca="1">IFERROR(__xludf.DUMMYFUNCTION("""COMPUTED_VALUE"""),"-")</f>
        <v>-</v>
      </c>
      <c r="F1322" s="1"/>
      <c r="G1322" s="1" t="str">
        <f ca="1">IFERROR(__xludf.DUMMYFUNCTION("""COMPUTED_VALUE"""),"-")</f>
        <v>-</v>
      </c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</row>
    <row r="1323" spans="1:26" x14ac:dyDescent="0.2">
      <c r="A1323" s="1"/>
      <c r="B1323" s="1"/>
      <c r="C1323" s="1"/>
      <c r="D1323" s="1"/>
      <c r="E1323" s="1" t="str">
        <f ca="1">IFERROR(__xludf.DUMMYFUNCTION("""COMPUTED_VALUE"""),"-")</f>
        <v>-</v>
      </c>
      <c r="F1323" s="1"/>
      <c r="G1323" s="1" t="str">
        <f ca="1">IFERROR(__xludf.DUMMYFUNCTION("""COMPUTED_VALUE"""),"-")</f>
        <v>-</v>
      </c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</row>
    <row r="1324" spans="1:26" x14ac:dyDescent="0.2">
      <c r="A1324" s="1"/>
      <c r="B1324" s="1"/>
      <c r="C1324" s="1"/>
      <c r="D1324" s="1"/>
      <c r="E1324" s="1" t="str">
        <f ca="1">IFERROR(__xludf.DUMMYFUNCTION("""COMPUTED_VALUE"""),"-")</f>
        <v>-</v>
      </c>
      <c r="F1324" s="1"/>
      <c r="G1324" s="1" t="str">
        <f ca="1">IFERROR(__xludf.DUMMYFUNCTION("""COMPUTED_VALUE"""),"-")</f>
        <v>-</v>
      </c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</row>
    <row r="1325" spans="1:26" x14ac:dyDescent="0.2">
      <c r="A1325" s="1"/>
      <c r="B1325" s="1"/>
      <c r="C1325" s="1"/>
      <c r="D1325" s="1"/>
      <c r="E1325" s="1" t="str">
        <f ca="1">IFERROR(__xludf.DUMMYFUNCTION("""COMPUTED_VALUE"""),"-")</f>
        <v>-</v>
      </c>
      <c r="F1325" s="1"/>
      <c r="G1325" s="1" t="str">
        <f ca="1">IFERROR(__xludf.DUMMYFUNCTION("""COMPUTED_VALUE"""),"-")</f>
        <v>-</v>
      </c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</row>
    <row r="1326" spans="1:26" x14ac:dyDescent="0.2">
      <c r="A1326" s="1"/>
      <c r="B1326" s="1"/>
      <c r="C1326" s="1"/>
      <c r="D1326" s="1"/>
      <c r="E1326" s="1" t="str">
        <f ca="1">IFERROR(__xludf.DUMMYFUNCTION("""COMPUTED_VALUE"""),"-")</f>
        <v>-</v>
      </c>
      <c r="F1326" s="1"/>
      <c r="G1326" s="1" t="str">
        <f ca="1">IFERROR(__xludf.DUMMYFUNCTION("""COMPUTED_VALUE"""),"-")</f>
        <v>-</v>
      </c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</row>
    <row r="1327" spans="1:26" x14ac:dyDescent="0.2">
      <c r="A1327" s="1"/>
      <c r="B1327" s="1"/>
      <c r="C1327" s="1"/>
      <c r="D1327" s="1"/>
      <c r="E1327" s="1" t="str">
        <f ca="1">IFERROR(__xludf.DUMMYFUNCTION("""COMPUTED_VALUE"""),"-")</f>
        <v>-</v>
      </c>
      <c r="F1327" s="1"/>
      <c r="G1327" s="1" t="str">
        <f ca="1">IFERROR(__xludf.DUMMYFUNCTION("""COMPUTED_VALUE"""),"-")</f>
        <v>-</v>
      </c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</row>
    <row r="1328" spans="1:26" x14ac:dyDescent="0.2">
      <c r="A1328" s="1"/>
      <c r="B1328" s="1"/>
      <c r="C1328" s="1"/>
      <c r="D1328" s="1"/>
      <c r="E1328" s="1" t="str">
        <f ca="1">IFERROR(__xludf.DUMMYFUNCTION("""COMPUTED_VALUE"""),"-")</f>
        <v>-</v>
      </c>
      <c r="F1328" s="1"/>
      <c r="G1328" s="1" t="str">
        <f ca="1">IFERROR(__xludf.DUMMYFUNCTION("""COMPUTED_VALUE"""),"-")</f>
        <v>-</v>
      </c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</row>
    <row r="1329" spans="1:26" x14ac:dyDescent="0.2">
      <c r="A1329" s="1"/>
      <c r="B1329" s="1"/>
      <c r="C1329" s="1"/>
      <c r="D1329" s="1"/>
      <c r="E1329" s="1" t="str">
        <f ca="1">IFERROR(__xludf.DUMMYFUNCTION("""COMPUTED_VALUE"""),"-")</f>
        <v>-</v>
      </c>
      <c r="F1329" s="1"/>
      <c r="G1329" s="1" t="str">
        <f ca="1">IFERROR(__xludf.DUMMYFUNCTION("""COMPUTED_VALUE"""),"-")</f>
        <v>-</v>
      </c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</row>
    <row r="1330" spans="1:26" x14ac:dyDescent="0.2">
      <c r="A1330" s="1"/>
      <c r="B1330" s="1"/>
      <c r="C1330" s="1"/>
      <c r="D1330" s="1"/>
      <c r="E1330" s="1" t="str">
        <f ca="1">IFERROR(__xludf.DUMMYFUNCTION("""COMPUTED_VALUE"""),"-")</f>
        <v>-</v>
      </c>
      <c r="F1330" s="1"/>
      <c r="G1330" s="1" t="str">
        <f ca="1">IFERROR(__xludf.DUMMYFUNCTION("""COMPUTED_VALUE"""),"-")</f>
        <v>-</v>
      </c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</row>
    <row r="1331" spans="1:26" x14ac:dyDescent="0.2">
      <c r="A1331" s="1"/>
      <c r="B1331" s="1"/>
      <c r="C1331" s="1"/>
      <c r="D1331" s="1"/>
      <c r="E1331" s="1" t="str">
        <f ca="1">IFERROR(__xludf.DUMMYFUNCTION("""COMPUTED_VALUE"""),"-")</f>
        <v>-</v>
      </c>
      <c r="F1331" s="1"/>
      <c r="G1331" s="1" t="str">
        <f ca="1">IFERROR(__xludf.DUMMYFUNCTION("""COMPUTED_VALUE"""),"-")</f>
        <v>-</v>
      </c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</row>
    <row r="1332" spans="1:26" x14ac:dyDescent="0.2">
      <c r="A1332" s="1"/>
      <c r="B1332" s="1"/>
      <c r="C1332" s="1"/>
      <c r="D1332" s="1"/>
      <c r="E1332" s="1" t="str">
        <f ca="1">IFERROR(__xludf.DUMMYFUNCTION("""COMPUTED_VALUE"""),"-")</f>
        <v>-</v>
      </c>
      <c r="F1332" s="1"/>
      <c r="G1332" s="1" t="str">
        <f ca="1">IFERROR(__xludf.DUMMYFUNCTION("""COMPUTED_VALUE"""),"-")</f>
        <v>-</v>
      </c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</row>
    <row r="1333" spans="1:26" x14ac:dyDescent="0.2">
      <c r="A1333" s="1"/>
      <c r="B1333" s="1"/>
      <c r="C1333" s="1"/>
      <c r="D1333" s="1"/>
      <c r="E1333" s="1" t="str">
        <f ca="1">IFERROR(__xludf.DUMMYFUNCTION("""COMPUTED_VALUE"""),"-")</f>
        <v>-</v>
      </c>
      <c r="F1333" s="1"/>
      <c r="G1333" s="1" t="str">
        <f ca="1">IFERROR(__xludf.DUMMYFUNCTION("""COMPUTED_VALUE"""),"-")</f>
        <v>-</v>
      </c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</row>
    <row r="1334" spans="1:26" x14ac:dyDescent="0.2">
      <c r="A1334" s="1"/>
      <c r="B1334" s="1"/>
      <c r="C1334" s="1"/>
      <c r="D1334" s="1"/>
      <c r="E1334" s="1" t="str">
        <f ca="1">IFERROR(__xludf.DUMMYFUNCTION("""COMPUTED_VALUE"""),"-")</f>
        <v>-</v>
      </c>
      <c r="F1334" s="1"/>
      <c r="G1334" s="1" t="str">
        <f ca="1">IFERROR(__xludf.DUMMYFUNCTION("""COMPUTED_VALUE"""),"-")</f>
        <v>-</v>
      </c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</row>
    <row r="1335" spans="1:26" x14ac:dyDescent="0.2">
      <c r="A1335" s="1"/>
      <c r="B1335" s="1"/>
      <c r="C1335" s="1"/>
      <c r="D1335" s="1"/>
      <c r="E1335" s="1" t="str">
        <f ca="1">IFERROR(__xludf.DUMMYFUNCTION("""COMPUTED_VALUE"""),"-")</f>
        <v>-</v>
      </c>
      <c r="F1335" s="1"/>
      <c r="G1335" s="1" t="str">
        <f ca="1">IFERROR(__xludf.DUMMYFUNCTION("""COMPUTED_VALUE"""),"-")</f>
        <v>-</v>
      </c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</row>
    <row r="1336" spans="1:26" x14ac:dyDescent="0.2">
      <c r="A1336" s="1"/>
      <c r="B1336" s="1"/>
      <c r="C1336" s="1"/>
      <c r="D1336" s="1"/>
      <c r="E1336" s="1" t="str">
        <f ca="1">IFERROR(__xludf.DUMMYFUNCTION("""COMPUTED_VALUE"""),"-")</f>
        <v>-</v>
      </c>
      <c r="F1336" s="1"/>
      <c r="G1336" s="1" t="str">
        <f ca="1">IFERROR(__xludf.DUMMYFUNCTION("""COMPUTED_VALUE"""),"-")</f>
        <v>-</v>
      </c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</row>
    <row r="1337" spans="1:26" x14ac:dyDescent="0.2">
      <c r="A1337" s="1"/>
      <c r="B1337" s="1"/>
      <c r="C1337" s="1"/>
      <c r="D1337" s="1"/>
      <c r="E1337" s="1" t="str">
        <f ca="1">IFERROR(__xludf.DUMMYFUNCTION("""COMPUTED_VALUE"""),"-")</f>
        <v>-</v>
      </c>
      <c r="F1337" s="1"/>
      <c r="G1337" s="1" t="str">
        <f ca="1">IFERROR(__xludf.DUMMYFUNCTION("""COMPUTED_VALUE"""),"-")</f>
        <v>-</v>
      </c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</row>
    <row r="1338" spans="1:26" x14ac:dyDescent="0.2">
      <c r="A1338" s="1"/>
      <c r="B1338" s="1"/>
      <c r="C1338" s="1"/>
      <c r="D1338" s="1"/>
      <c r="E1338" s="1" t="str">
        <f ca="1">IFERROR(__xludf.DUMMYFUNCTION("""COMPUTED_VALUE"""),"-")</f>
        <v>-</v>
      </c>
      <c r="F1338" s="1"/>
      <c r="G1338" s="1" t="str">
        <f ca="1">IFERROR(__xludf.DUMMYFUNCTION("""COMPUTED_VALUE"""),"-")</f>
        <v>-</v>
      </c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</row>
    <row r="1339" spans="1:26" x14ac:dyDescent="0.2">
      <c r="A1339" s="1"/>
      <c r="B1339" s="1"/>
      <c r="C1339" s="1"/>
      <c r="D1339" s="1"/>
      <c r="E1339" s="1" t="str">
        <f ca="1">IFERROR(__xludf.DUMMYFUNCTION("""COMPUTED_VALUE"""),"-")</f>
        <v>-</v>
      </c>
      <c r="F1339" s="1"/>
      <c r="G1339" s="1" t="str">
        <f ca="1">IFERROR(__xludf.DUMMYFUNCTION("""COMPUTED_VALUE"""),"-")</f>
        <v>-</v>
      </c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</row>
    <row r="1340" spans="1:26" x14ac:dyDescent="0.2">
      <c r="A1340" s="1"/>
      <c r="B1340" s="1"/>
      <c r="C1340" s="1"/>
      <c r="D1340" s="1"/>
      <c r="E1340" s="1" t="str">
        <f ca="1">IFERROR(__xludf.DUMMYFUNCTION("""COMPUTED_VALUE"""),"-")</f>
        <v>-</v>
      </c>
      <c r="F1340" s="1"/>
      <c r="G1340" s="1" t="str">
        <f ca="1">IFERROR(__xludf.DUMMYFUNCTION("""COMPUTED_VALUE"""),"-")</f>
        <v>-</v>
      </c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</row>
    <row r="1341" spans="1:26" x14ac:dyDescent="0.2">
      <c r="A1341" s="1"/>
      <c r="B1341" s="1"/>
      <c r="C1341" s="1"/>
      <c r="D1341" s="1"/>
      <c r="E1341" s="1" t="str">
        <f ca="1">IFERROR(__xludf.DUMMYFUNCTION("""COMPUTED_VALUE"""),"-")</f>
        <v>-</v>
      </c>
      <c r="F1341" s="1"/>
      <c r="G1341" s="1" t="str">
        <f ca="1">IFERROR(__xludf.DUMMYFUNCTION("""COMPUTED_VALUE"""),"-")</f>
        <v>-</v>
      </c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</row>
    <row r="1342" spans="1:26" x14ac:dyDescent="0.2">
      <c r="A1342" s="1"/>
      <c r="B1342" s="1"/>
      <c r="C1342" s="1"/>
      <c r="D1342" s="1"/>
      <c r="E1342" s="1" t="str">
        <f ca="1">IFERROR(__xludf.DUMMYFUNCTION("""COMPUTED_VALUE"""),"-")</f>
        <v>-</v>
      </c>
      <c r="F1342" s="1"/>
      <c r="G1342" s="1" t="str">
        <f ca="1">IFERROR(__xludf.DUMMYFUNCTION("""COMPUTED_VALUE"""),"-")</f>
        <v>-</v>
      </c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</row>
    <row r="1343" spans="1:26" x14ac:dyDescent="0.2">
      <c r="A1343" s="1"/>
      <c r="B1343" s="1"/>
      <c r="C1343" s="1"/>
      <c r="D1343" s="1"/>
      <c r="E1343" s="1" t="str">
        <f ca="1">IFERROR(__xludf.DUMMYFUNCTION("""COMPUTED_VALUE"""),"-")</f>
        <v>-</v>
      </c>
      <c r="F1343" s="1"/>
      <c r="G1343" s="1" t="str">
        <f ca="1">IFERROR(__xludf.DUMMYFUNCTION("""COMPUTED_VALUE"""),"-")</f>
        <v>-</v>
      </c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</row>
    <row r="1344" spans="1:26" x14ac:dyDescent="0.2">
      <c r="A1344" s="1"/>
      <c r="B1344" s="1"/>
      <c r="C1344" s="1"/>
      <c r="D1344" s="1"/>
      <c r="E1344" s="1" t="str">
        <f ca="1">IFERROR(__xludf.DUMMYFUNCTION("""COMPUTED_VALUE"""),"-")</f>
        <v>-</v>
      </c>
      <c r="F1344" s="1"/>
      <c r="G1344" s="1" t="str">
        <f ca="1">IFERROR(__xludf.DUMMYFUNCTION("""COMPUTED_VALUE"""),"-")</f>
        <v>-</v>
      </c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</row>
    <row r="1345" spans="1:26" x14ac:dyDescent="0.2">
      <c r="A1345" s="1"/>
      <c r="B1345" s="1"/>
      <c r="C1345" s="1"/>
      <c r="D1345" s="1"/>
      <c r="E1345" s="1" t="str">
        <f ca="1">IFERROR(__xludf.DUMMYFUNCTION("""COMPUTED_VALUE"""),"-")</f>
        <v>-</v>
      </c>
      <c r="F1345" s="1"/>
      <c r="G1345" s="1" t="str">
        <f ca="1">IFERROR(__xludf.DUMMYFUNCTION("""COMPUTED_VALUE"""),"-")</f>
        <v>-</v>
      </c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</row>
    <row r="1346" spans="1:26" x14ac:dyDescent="0.2">
      <c r="A1346" s="1"/>
      <c r="B1346" s="1"/>
      <c r="C1346" s="1"/>
      <c r="D1346" s="1"/>
      <c r="E1346" s="1" t="str">
        <f ca="1">IFERROR(__xludf.DUMMYFUNCTION("""COMPUTED_VALUE"""),"-")</f>
        <v>-</v>
      </c>
      <c r="F1346" s="1"/>
      <c r="G1346" s="1" t="str">
        <f ca="1">IFERROR(__xludf.DUMMYFUNCTION("""COMPUTED_VALUE"""),"-")</f>
        <v>-</v>
      </c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</row>
    <row r="1347" spans="1:26" x14ac:dyDescent="0.2">
      <c r="A1347" s="1"/>
      <c r="B1347" s="1"/>
      <c r="C1347" s="1"/>
      <c r="D1347" s="1"/>
      <c r="E1347" s="1" t="str">
        <f ca="1">IFERROR(__xludf.DUMMYFUNCTION("""COMPUTED_VALUE"""),"-")</f>
        <v>-</v>
      </c>
      <c r="F1347" s="1"/>
      <c r="G1347" s="1" t="str">
        <f ca="1">IFERROR(__xludf.DUMMYFUNCTION("""COMPUTED_VALUE"""),"-")</f>
        <v>-</v>
      </c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</row>
    <row r="1348" spans="1:26" x14ac:dyDescent="0.2">
      <c r="A1348" s="1"/>
      <c r="B1348" s="1"/>
      <c r="C1348" s="1"/>
      <c r="D1348" s="1"/>
      <c r="E1348" s="1" t="str">
        <f ca="1">IFERROR(__xludf.DUMMYFUNCTION("""COMPUTED_VALUE"""),"-")</f>
        <v>-</v>
      </c>
      <c r="F1348" s="1"/>
      <c r="G1348" s="1" t="str">
        <f ca="1">IFERROR(__xludf.DUMMYFUNCTION("""COMPUTED_VALUE"""),"-")</f>
        <v>-</v>
      </c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</row>
    <row r="1349" spans="1:26" x14ac:dyDescent="0.2">
      <c r="A1349" s="1"/>
      <c r="B1349" s="1"/>
      <c r="C1349" s="1"/>
      <c r="D1349" s="1"/>
      <c r="E1349" s="1" t="str">
        <f ca="1">IFERROR(__xludf.DUMMYFUNCTION("""COMPUTED_VALUE"""),"-")</f>
        <v>-</v>
      </c>
      <c r="F1349" s="1"/>
      <c r="G1349" s="1" t="str">
        <f ca="1">IFERROR(__xludf.DUMMYFUNCTION("""COMPUTED_VALUE"""),"-")</f>
        <v>-</v>
      </c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</row>
    <row r="1350" spans="1:26" x14ac:dyDescent="0.2">
      <c r="A1350" s="1"/>
      <c r="B1350" s="1"/>
      <c r="C1350" s="1"/>
      <c r="D1350" s="1"/>
      <c r="E1350" s="1" t="str">
        <f ca="1">IFERROR(__xludf.DUMMYFUNCTION("""COMPUTED_VALUE"""),"-")</f>
        <v>-</v>
      </c>
      <c r="F1350" s="1"/>
      <c r="G1350" s="1" t="str">
        <f ca="1">IFERROR(__xludf.DUMMYFUNCTION("""COMPUTED_VALUE"""),"-")</f>
        <v>-</v>
      </c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</row>
    <row r="1351" spans="1:26" x14ac:dyDescent="0.2">
      <c r="A1351" s="1"/>
      <c r="B1351" s="1"/>
      <c r="C1351" s="1"/>
      <c r="D1351" s="1"/>
      <c r="E1351" s="1" t="str">
        <f ca="1">IFERROR(__xludf.DUMMYFUNCTION("""COMPUTED_VALUE"""),"-")</f>
        <v>-</v>
      </c>
      <c r="F1351" s="1"/>
      <c r="G1351" s="1" t="str">
        <f ca="1">IFERROR(__xludf.DUMMYFUNCTION("""COMPUTED_VALUE"""),"-")</f>
        <v>-</v>
      </c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</row>
    <row r="1352" spans="1:26" x14ac:dyDescent="0.2">
      <c r="A1352" s="1"/>
      <c r="B1352" s="1"/>
      <c r="C1352" s="1"/>
      <c r="D1352" s="1"/>
      <c r="E1352" s="1" t="str">
        <f ca="1">IFERROR(__xludf.DUMMYFUNCTION("""COMPUTED_VALUE"""),"-")</f>
        <v>-</v>
      </c>
      <c r="F1352" s="1"/>
      <c r="G1352" s="1" t="str">
        <f ca="1">IFERROR(__xludf.DUMMYFUNCTION("""COMPUTED_VALUE"""),"-")</f>
        <v>-</v>
      </c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</row>
    <row r="1353" spans="1:26" x14ac:dyDescent="0.2">
      <c r="A1353" s="1"/>
      <c r="B1353" s="1"/>
      <c r="C1353" s="1"/>
      <c r="D1353" s="1"/>
      <c r="E1353" s="1" t="str">
        <f ca="1">IFERROR(__xludf.DUMMYFUNCTION("""COMPUTED_VALUE"""),"-")</f>
        <v>-</v>
      </c>
      <c r="F1353" s="1"/>
      <c r="G1353" s="1" t="str">
        <f ca="1">IFERROR(__xludf.DUMMYFUNCTION("""COMPUTED_VALUE"""),"-")</f>
        <v>-</v>
      </c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</row>
    <row r="1354" spans="1:26" x14ac:dyDescent="0.2">
      <c r="A1354" s="1"/>
      <c r="B1354" s="1"/>
      <c r="C1354" s="1"/>
      <c r="D1354" s="1"/>
      <c r="E1354" s="1" t="str">
        <f ca="1">IFERROR(__xludf.DUMMYFUNCTION("""COMPUTED_VALUE"""),"-")</f>
        <v>-</v>
      </c>
      <c r="F1354" s="1"/>
      <c r="G1354" s="1" t="str">
        <f ca="1">IFERROR(__xludf.DUMMYFUNCTION("""COMPUTED_VALUE"""),"-")</f>
        <v>-</v>
      </c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</row>
    <row r="1355" spans="1:26" x14ac:dyDescent="0.2">
      <c r="A1355" s="1"/>
      <c r="B1355" s="1"/>
      <c r="C1355" s="1"/>
      <c r="D1355" s="1"/>
      <c r="E1355" s="1" t="str">
        <f ca="1">IFERROR(__xludf.DUMMYFUNCTION("""COMPUTED_VALUE"""),"-")</f>
        <v>-</v>
      </c>
      <c r="F1355" s="1"/>
      <c r="G1355" s="1" t="str">
        <f ca="1">IFERROR(__xludf.DUMMYFUNCTION("""COMPUTED_VALUE"""),"-")</f>
        <v>-</v>
      </c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</row>
    <row r="1356" spans="1:26" x14ac:dyDescent="0.2">
      <c r="A1356" s="1"/>
      <c r="B1356" s="1"/>
      <c r="C1356" s="1"/>
      <c r="D1356" s="1"/>
      <c r="E1356" s="1" t="str">
        <f ca="1">IFERROR(__xludf.DUMMYFUNCTION("""COMPUTED_VALUE"""),"-")</f>
        <v>-</v>
      </c>
      <c r="F1356" s="1"/>
      <c r="G1356" s="1" t="str">
        <f ca="1">IFERROR(__xludf.DUMMYFUNCTION("""COMPUTED_VALUE"""),"-")</f>
        <v>-</v>
      </c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</row>
    <row r="1357" spans="1:26" x14ac:dyDescent="0.2">
      <c r="A1357" s="1"/>
      <c r="B1357" s="1"/>
      <c r="C1357" s="1"/>
      <c r="D1357" s="1"/>
      <c r="E1357" s="1" t="str">
        <f ca="1">IFERROR(__xludf.DUMMYFUNCTION("""COMPUTED_VALUE"""),"-")</f>
        <v>-</v>
      </c>
      <c r="F1357" s="1"/>
      <c r="G1357" s="1" t="str">
        <f ca="1">IFERROR(__xludf.DUMMYFUNCTION("""COMPUTED_VALUE"""),"-")</f>
        <v>-</v>
      </c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</row>
    <row r="1358" spans="1:26" x14ac:dyDescent="0.2">
      <c r="A1358" s="1"/>
      <c r="B1358" s="1"/>
      <c r="C1358" s="1"/>
      <c r="D1358" s="1"/>
      <c r="E1358" s="1" t="str">
        <f ca="1">IFERROR(__xludf.DUMMYFUNCTION("""COMPUTED_VALUE"""),"-")</f>
        <v>-</v>
      </c>
      <c r="F1358" s="1"/>
      <c r="G1358" s="1" t="str">
        <f ca="1">IFERROR(__xludf.DUMMYFUNCTION("""COMPUTED_VALUE"""),"-")</f>
        <v>-</v>
      </c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</row>
    <row r="1359" spans="1:26" x14ac:dyDescent="0.2">
      <c r="A1359" s="1"/>
      <c r="B1359" s="1"/>
      <c r="C1359" s="1"/>
      <c r="D1359" s="1"/>
      <c r="E1359" s="1" t="str">
        <f ca="1">IFERROR(__xludf.DUMMYFUNCTION("""COMPUTED_VALUE"""),"-")</f>
        <v>-</v>
      </c>
      <c r="F1359" s="1"/>
      <c r="G1359" s="1" t="str">
        <f ca="1">IFERROR(__xludf.DUMMYFUNCTION("""COMPUTED_VALUE"""),"-")</f>
        <v>-</v>
      </c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</row>
    <row r="1360" spans="1:26" x14ac:dyDescent="0.2">
      <c r="A1360" s="1"/>
      <c r="B1360" s="1"/>
      <c r="C1360" s="1"/>
      <c r="D1360" s="1"/>
      <c r="E1360" s="1" t="str">
        <f ca="1">IFERROR(__xludf.DUMMYFUNCTION("""COMPUTED_VALUE"""),"-")</f>
        <v>-</v>
      </c>
      <c r="F1360" s="1"/>
      <c r="G1360" s="1" t="str">
        <f ca="1">IFERROR(__xludf.DUMMYFUNCTION("""COMPUTED_VALUE"""),"-")</f>
        <v>-</v>
      </c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</row>
    <row r="1361" spans="1:26" x14ac:dyDescent="0.2">
      <c r="A1361" s="1"/>
      <c r="B1361" s="1"/>
      <c r="C1361" s="1"/>
      <c r="D1361" s="1"/>
      <c r="E1361" s="1" t="str">
        <f ca="1">IFERROR(__xludf.DUMMYFUNCTION("""COMPUTED_VALUE"""),"-")</f>
        <v>-</v>
      </c>
      <c r="F1361" s="1"/>
      <c r="G1361" s="1" t="str">
        <f ca="1">IFERROR(__xludf.DUMMYFUNCTION("""COMPUTED_VALUE"""),"-")</f>
        <v>-</v>
      </c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</row>
    <row r="1362" spans="1:26" x14ac:dyDescent="0.2">
      <c r="A1362" s="1"/>
      <c r="B1362" s="1"/>
      <c r="C1362" s="1"/>
      <c r="D1362" s="1"/>
      <c r="E1362" s="1" t="str">
        <f ca="1">IFERROR(__xludf.DUMMYFUNCTION("""COMPUTED_VALUE"""),"-")</f>
        <v>-</v>
      </c>
      <c r="F1362" s="1"/>
      <c r="G1362" s="1" t="str">
        <f ca="1">IFERROR(__xludf.DUMMYFUNCTION("""COMPUTED_VALUE"""),"-")</f>
        <v>-</v>
      </c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</row>
    <row r="1363" spans="1:26" x14ac:dyDescent="0.2">
      <c r="A1363" s="1"/>
      <c r="B1363" s="1"/>
      <c r="C1363" s="1"/>
      <c r="D1363" s="1"/>
      <c r="E1363" s="1" t="str">
        <f ca="1">IFERROR(__xludf.DUMMYFUNCTION("""COMPUTED_VALUE"""),"-")</f>
        <v>-</v>
      </c>
      <c r="F1363" s="1"/>
      <c r="G1363" s="1" t="str">
        <f ca="1">IFERROR(__xludf.DUMMYFUNCTION("""COMPUTED_VALUE"""),"-")</f>
        <v>-</v>
      </c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</row>
    <row r="1364" spans="1:26" x14ac:dyDescent="0.2">
      <c r="A1364" s="1"/>
      <c r="B1364" s="1"/>
      <c r="C1364" s="1"/>
      <c r="D1364" s="1"/>
      <c r="E1364" s="1" t="str">
        <f ca="1">IFERROR(__xludf.DUMMYFUNCTION("""COMPUTED_VALUE"""),"-")</f>
        <v>-</v>
      </c>
      <c r="F1364" s="1"/>
      <c r="G1364" s="1" t="str">
        <f ca="1">IFERROR(__xludf.DUMMYFUNCTION("""COMPUTED_VALUE"""),"-")</f>
        <v>-</v>
      </c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</row>
    <row r="1365" spans="1:26" x14ac:dyDescent="0.2">
      <c r="A1365" s="1"/>
      <c r="B1365" s="1"/>
      <c r="C1365" s="1"/>
      <c r="D1365" s="1"/>
      <c r="E1365" s="1" t="str">
        <f ca="1">IFERROR(__xludf.DUMMYFUNCTION("""COMPUTED_VALUE"""),"-")</f>
        <v>-</v>
      </c>
      <c r="F1365" s="1"/>
      <c r="G1365" s="1" t="str">
        <f ca="1">IFERROR(__xludf.DUMMYFUNCTION("""COMPUTED_VALUE"""),"-")</f>
        <v>-</v>
      </c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</row>
    <row r="1366" spans="1:26" x14ac:dyDescent="0.2">
      <c r="A1366" s="1"/>
      <c r="B1366" s="1"/>
      <c r="C1366" s="1"/>
      <c r="D1366" s="1"/>
      <c r="E1366" s="1" t="str">
        <f ca="1">IFERROR(__xludf.DUMMYFUNCTION("""COMPUTED_VALUE"""),"-")</f>
        <v>-</v>
      </c>
      <c r="F1366" s="1"/>
      <c r="G1366" s="1" t="str">
        <f ca="1">IFERROR(__xludf.DUMMYFUNCTION("""COMPUTED_VALUE"""),"-")</f>
        <v>-</v>
      </c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</row>
    <row r="1367" spans="1:26" x14ac:dyDescent="0.2">
      <c r="A1367" s="1"/>
      <c r="B1367" s="1"/>
      <c r="C1367" s="1"/>
      <c r="D1367" s="1"/>
      <c r="E1367" s="1" t="str">
        <f ca="1">IFERROR(__xludf.DUMMYFUNCTION("""COMPUTED_VALUE"""),"-")</f>
        <v>-</v>
      </c>
      <c r="F1367" s="1"/>
      <c r="G1367" s="1" t="str">
        <f ca="1">IFERROR(__xludf.DUMMYFUNCTION("""COMPUTED_VALUE"""),"-")</f>
        <v>-</v>
      </c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</row>
    <row r="1368" spans="1:26" x14ac:dyDescent="0.2">
      <c r="A1368" s="1"/>
      <c r="B1368" s="1"/>
      <c r="C1368" s="1"/>
      <c r="D1368" s="1"/>
      <c r="E1368" s="1" t="str">
        <f ca="1">IFERROR(__xludf.DUMMYFUNCTION("""COMPUTED_VALUE"""),"-")</f>
        <v>-</v>
      </c>
      <c r="F1368" s="1"/>
      <c r="G1368" s="1" t="str">
        <f ca="1">IFERROR(__xludf.DUMMYFUNCTION("""COMPUTED_VALUE"""),"-")</f>
        <v>-</v>
      </c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</row>
    <row r="1369" spans="1:26" x14ac:dyDescent="0.2">
      <c r="A1369" s="1"/>
      <c r="B1369" s="1"/>
      <c r="C1369" s="1"/>
      <c r="D1369" s="1"/>
      <c r="E1369" s="1" t="str">
        <f ca="1">IFERROR(__xludf.DUMMYFUNCTION("""COMPUTED_VALUE"""),"-")</f>
        <v>-</v>
      </c>
      <c r="F1369" s="1"/>
      <c r="G1369" s="1" t="str">
        <f ca="1">IFERROR(__xludf.DUMMYFUNCTION("""COMPUTED_VALUE"""),"-")</f>
        <v>-</v>
      </c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</row>
    <row r="1370" spans="1:26" x14ac:dyDescent="0.2">
      <c r="A1370" s="1"/>
      <c r="B1370" s="1"/>
      <c r="C1370" s="1"/>
      <c r="D1370" s="1"/>
      <c r="E1370" s="1" t="str">
        <f ca="1">IFERROR(__xludf.DUMMYFUNCTION("""COMPUTED_VALUE"""),"-")</f>
        <v>-</v>
      </c>
      <c r="F1370" s="1"/>
      <c r="G1370" s="1" t="str">
        <f ca="1">IFERROR(__xludf.DUMMYFUNCTION("""COMPUTED_VALUE"""),"-")</f>
        <v>-</v>
      </c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</row>
    <row r="1371" spans="1:26" x14ac:dyDescent="0.2">
      <c r="A1371" s="1"/>
      <c r="B1371" s="1"/>
      <c r="C1371" s="1"/>
      <c r="D1371" s="1"/>
      <c r="E1371" s="1" t="str">
        <f ca="1">IFERROR(__xludf.DUMMYFUNCTION("""COMPUTED_VALUE"""),"-")</f>
        <v>-</v>
      </c>
      <c r="F1371" s="1"/>
      <c r="G1371" s="1" t="str">
        <f ca="1">IFERROR(__xludf.DUMMYFUNCTION("""COMPUTED_VALUE"""),"-")</f>
        <v>-</v>
      </c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</row>
    <row r="1372" spans="1:26" x14ac:dyDescent="0.2">
      <c r="A1372" s="1"/>
      <c r="B1372" s="1"/>
      <c r="C1372" s="1"/>
      <c r="D1372" s="1"/>
      <c r="E1372" s="1" t="str">
        <f ca="1">IFERROR(__xludf.DUMMYFUNCTION("""COMPUTED_VALUE"""),"-")</f>
        <v>-</v>
      </c>
      <c r="F1372" s="1"/>
      <c r="G1372" s="1" t="str">
        <f ca="1">IFERROR(__xludf.DUMMYFUNCTION("""COMPUTED_VALUE"""),"-")</f>
        <v>-</v>
      </c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</row>
    <row r="1373" spans="1:26" x14ac:dyDescent="0.2">
      <c r="A1373" s="1"/>
      <c r="B1373" s="1"/>
      <c r="C1373" s="1"/>
      <c r="D1373" s="1"/>
      <c r="E1373" s="1" t="str">
        <f ca="1">IFERROR(__xludf.DUMMYFUNCTION("""COMPUTED_VALUE"""),"-")</f>
        <v>-</v>
      </c>
      <c r="F1373" s="1"/>
      <c r="G1373" s="1" t="str">
        <f ca="1">IFERROR(__xludf.DUMMYFUNCTION("""COMPUTED_VALUE"""),"-")</f>
        <v>-</v>
      </c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</row>
    <row r="1374" spans="1:26" x14ac:dyDescent="0.2">
      <c r="A1374" s="1"/>
      <c r="B1374" s="1"/>
      <c r="C1374" s="1"/>
      <c r="D1374" s="1"/>
      <c r="E1374" s="1" t="str">
        <f ca="1">IFERROR(__xludf.DUMMYFUNCTION("""COMPUTED_VALUE"""),"-")</f>
        <v>-</v>
      </c>
      <c r="F1374" s="1"/>
      <c r="G1374" s="1" t="str">
        <f ca="1">IFERROR(__xludf.DUMMYFUNCTION("""COMPUTED_VALUE"""),"-")</f>
        <v>-</v>
      </c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</row>
    <row r="1375" spans="1:26" x14ac:dyDescent="0.2">
      <c r="A1375" s="1"/>
      <c r="B1375" s="1"/>
      <c r="C1375" s="1"/>
      <c r="D1375" s="1"/>
      <c r="E1375" s="1" t="str">
        <f ca="1">IFERROR(__xludf.DUMMYFUNCTION("""COMPUTED_VALUE"""),"-")</f>
        <v>-</v>
      </c>
      <c r="F1375" s="1"/>
      <c r="G1375" s="1" t="str">
        <f ca="1">IFERROR(__xludf.DUMMYFUNCTION("""COMPUTED_VALUE"""),"-")</f>
        <v>-</v>
      </c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</row>
    <row r="1376" spans="1:26" x14ac:dyDescent="0.2">
      <c r="A1376" s="1"/>
      <c r="B1376" s="1"/>
      <c r="C1376" s="1"/>
      <c r="D1376" s="1"/>
      <c r="E1376" s="1" t="str">
        <f ca="1">IFERROR(__xludf.DUMMYFUNCTION("""COMPUTED_VALUE"""),"-")</f>
        <v>-</v>
      </c>
      <c r="F1376" s="1"/>
      <c r="G1376" s="1" t="str">
        <f ca="1">IFERROR(__xludf.DUMMYFUNCTION("""COMPUTED_VALUE"""),"-")</f>
        <v>-</v>
      </c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</row>
    <row r="1377" spans="1:26" x14ac:dyDescent="0.2">
      <c r="A1377" s="1"/>
      <c r="B1377" s="1"/>
      <c r="C1377" s="1"/>
      <c r="D1377" s="1"/>
      <c r="E1377" s="1" t="str">
        <f ca="1">IFERROR(__xludf.DUMMYFUNCTION("""COMPUTED_VALUE"""),"-")</f>
        <v>-</v>
      </c>
      <c r="F1377" s="1"/>
      <c r="G1377" s="1" t="str">
        <f ca="1">IFERROR(__xludf.DUMMYFUNCTION("""COMPUTED_VALUE"""),"-")</f>
        <v>-</v>
      </c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</row>
    <row r="1378" spans="1:26" x14ac:dyDescent="0.2">
      <c r="A1378" s="1"/>
      <c r="B1378" s="1"/>
      <c r="C1378" s="1"/>
      <c r="D1378" s="1"/>
      <c r="E1378" s="1" t="str">
        <f ca="1">IFERROR(__xludf.DUMMYFUNCTION("""COMPUTED_VALUE"""),"-")</f>
        <v>-</v>
      </c>
      <c r="F1378" s="1"/>
      <c r="G1378" s="1" t="str">
        <f ca="1">IFERROR(__xludf.DUMMYFUNCTION("""COMPUTED_VALUE"""),"-")</f>
        <v>-</v>
      </c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</row>
    <row r="1379" spans="1:26" x14ac:dyDescent="0.2">
      <c r="A1379" s="1"/>
      <c r="B1379" s="1"/>
      <c r="C1379" s="1"/>
      <c r="D1379" s="1"/>
      <c r="E1379" s="1" t="str">
        <f ca="1">IFERROR(__xludf.DUMMYFUNCTION("""COMPUTED_VALUE"""),"-")</f>
        <v>-</v>
      </c>
      <c r="F1379" s="1"/>
      <c r="G1379" s="1" t="str">
        <f ca="1">IFERROR(__xludf.DUMMYFUNCTION("""COMPUTED_VALUE"""),"-")</f>
        <v>-</v>
      </c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</row>
    <row r="1380" spans="1:26" x14ac:dyDescent="0.2">
      <c r="A1380" s="1"/>
      <c r="B1380" s="1"/>
      <c r="C1380" s="1"/>
      <c r="D1380" s="1"/>
      <c r="E1380" s="1" t="str">
        <f ca="1">IFERROR(__xludf.DUMMYFUNCTION("""COMPUTED_VALUE"""),"-")</f>
        <v>-</v>
      </c>
      <c r="F1380" s="1"/>
      <c r="G1380" s="1" t="str">
        <f ca="1">IFERROR(__xludf.DUMMYFUNCTION("""COMPUTED_VALUE"""),"-")</f>
        <v>-</v>
      </c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</row>
    <row r="1381" spans="1:26" x14ac:dyDescent="0.2">
      <c r="A1381" s="1"/>
      <c r="B1381" s="1"/>
      <c r="C1381" s="1"/>
      <c r="D1381" s="1"/>
      <c r="E1381" s="1" t="str">
        <f ca="1">IFERROR(__xludf.DUMMYFUNCTION("""COMPUTED_VALUE"""),"-")</f>
        <v>-</v>
      </c>
      <c r="F1381" s="1"/>
      <c r="G1381" s="1" t="str">
        <f ca="1">IFERROR(__xludf.DUMMYFUNCTION("""COMPUTED_VALUE"""),"-")</f>
        <v>-</v>
      </c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</row>
    <row r="1382" spans="1:26" x14ac:dyDescent="0.2">
      <c r="A1382" s="1"/>
      <c r="B1382" s="1"/>
      <c r="C1382" s="1"/>
      <c r="D1382" s="1"/>
      <c r="E1382" s="1" t="str">
        <f ca="1">IFERROR(__xludf.DUMMYFUNCTION("""COMPUTED_VALUE"""),"-")</f>
        <v>-</v>
      </c>
      <c r="F1382" s="1"/>
      <c r="G1382" s="1" t="str">
        <f ca="1">IFERROR(__xludf.DUMMYFUNCTION("""COMPUTED_VALUE"""),"-")</f>
        <v>-</v>
      </c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</row>
    <row r="1383" spans="1:26" x14ac:dyDescent="0.2">
      <c r="A1383" s="1"/>
      <c r="B1383" s="1"/>
      <c r="C1383" s="1"/>
      <c r="D1383" s="1"/>
      <c r="E1383" s="1" t="str">
        <f ca="1">IFERROR(__xludf.DUMMYFUNCTION("""COMPUTED_VALUE"""),"-")</f>
        <v>-</v>
      </c>
      <c r="F1383" s="1"/>
      <c r="G1383" s="1" t="str">
        <f ca="1">IFERROR(__xludf.DUMMYFUNCTION("""COMPUTED_VALUE"""),"-")</f>
        <v>-</v>
      </c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</row>
    <row r="1384" spans="1:26" x14ac:dyDescent="0.2">
      <c r="A1384" s="1"/>
      <c r="B1384" s="1"/>
      <c r="C1384" s="1"/>
      <c r="D1384" s="1"/>
      <c r="E1384" s="1" t="str">
        <f ca="1">IFERROR(__xludf.DUMMYFUNCTION("""COMPUTED_VALUE"""),"-")</f>
        <v>-</v>
      </c>
      <c r="F1384" s="1"/>
      <c r="G1384" s="1" t="str">
        <f ca="1">IFERROR(__xludf.DUMMYFUNCTION("""COMPUTED_VALUE"""),"-")</f>
        <v>-</v>
      </c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</row>
    <row r="1385" spans="1:26" x14ac:dyDescent="0.2">
      <c r="A1385" s="1"/>
      <c r="B1385" s="1"/>
      <c r="C1385" s="1"/>
      <c r="D1385" s="1"/>
      <c r="E1385" s="1" t="str">
        <f ca="1">IFERROR(__xludf.DUMMYFUNCTION("""COMPUTED_VALUE"""),"-")</f>
        <v>-</v>
      </c>
      <c r="F1385" s="1"/>
      <c r="G1385" s="1" t="str">
        <f ca="1">IFERROR(__xludf.DUMMYFUNCTION("""COMPUTED_VALUE"""),"-")</f>
        <v>-</v>
      </c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</row>
    <row r="1386" spans="1:26" x14ac:dyDescent="0.2">
      <c r="A1386" s="1"/>
      <c r="B1386" s="1"/>
      <c r="C1386" s="1"/>
      <c r="D1386" s="1"/>
      <c r="E1386" s="1" t="str">
        <f ca="1">IFERROR(__xludf.DUMMYFUNCTION("""COMPUTED_VALUE"""),"-")</f>
        <v>-</v>
      </c>
      <c r="F1386" s="1"/>
      <c r="G1386" s="1" t="str">
        <f ca="1">IFERROR(__xludf.DUMMYFUNCTION("""COMPUTED_VALUE"""),"-")</f>
        <v>-</v>
      </c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</row>
    <row r="1387" spans="1:26" x14ac:dyDescent="0.2">
      <c r="A1387" s="1"/>
      <c r="B1387" s="1"/>
      <c r="C1387" s="1"/>
      <c r="D1387" s="1"/>
      <c r="E1387" s="1" t="str">
        <f ca="1">IFERROR(__xludf.DUMMYFUNCTION("""COMPUTED_VALUE"""),"-")</f>
        <v>-</v>
      </c>
      <c r="F1387" s="1"/>
      <c r="G1387" s="1" t="str">
        <f ca="1">IFERROR(__xludf.DUMMYFUNCTION("""COMPUTED_VALUE"""),"-")</f>
        <v>-</v>
      </c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</row>
    <row r="1388" spans="1:26" x14ac:dyDescent="0.2">
      <c r="A1388" s="1"/>
      <c r="B1388" s="1"/>
      <c r="C1388" s="1"/>
      <c r="D1388" s="1"/>
      <c r="E1388" s="1" t="str">
        <f ca="1">IFERROR(__xludf.DUMMYFUNCTION("""COMPUTED_VALUE"""),"-")</f>
        <v>-</v>
      </c>
      <c r="F1388" s="1"/>
      <c r="G1388" s="1" t="str">
        <f ca="1">IFERROR(__xludf.DUMMYFUNCTION("""COMPUTED_VALUE"""),"-")</f>
        <v>-</v>
      </c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</row>
    <row r="1389" spans="1:26" x14ac:dyDescent="0.2">
      <c r="A1389" s="1"/>
      <c r="B1389" s="1"/>
      <c r="C1389" s="1"/>
      <c r="D1389" s="1"/>
      <c r="E1389" s="1" t="str">
        <f ca="1">IFERROR(__xludf.DUMMYFUNCTION("""COMPUTED_VALUE"""),"-")</f>
        <v>-</v>
      </c>
      <c r="F1389" s="1"/>
      <c r="G1389" s="1" t="str">
        <f ca="1">IFERROR(__xludf.DUMMYFUNCTION("""COMPUTED_VALUE"""),"-")</f>
        <v>-</v>
      </c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</row>
    <row r="1390" spans="1:26" x14ac:dyDescent="0.2">
      <c r="A1390" s="1"/>
      <c r="B1390" s="1"/>
      <c r="C1390" s="1"/>
      <c r="D1390" s="1"/>
      <c r="E1390" s="1" t="str">
        <f ca="1">IFERROR(__xludf.DUMMYFUNCTION("""COMPUTED_VALUE"""),"-")</f>
        <v>-</v>
      </c>
      <c r="F1390" s="1"/>
      <c r="G1390" s="1" t="str">
        <f ca="1">IFERROR(__xludf.DUMMYFUNCTION("""COMPUTED_VALUE"""),"-")</f>
        <v>-</v>
      </c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</row>
    <row r="1391" spans="1:26" x14ac:dyDescent="0.2">
      <c r="A1391" s="1"/>
      <c r="B1391" s="1"/>
      <c r="C1391" s="1"/>
      <c r="D1391" s="1"/>
      <c r="E1391" s="1" t="str">
        <f ca="1">IFERROR(__xludf.DUMMYFUNCTION("""COMPUTED_VALUE"""),"-")</f>
        <v>-</v>
      </c>
      <c r="F1391" s="1"/>
      <c r="G1391" s="1" t="str">
        <f ca="1">IFERROR(__xludf.DUMMYFUNCTION("""COMPUTED_VALUE"""),"-")</f>
        <v>-</v>
      </c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</row>
    <row r="1392" spans="1:26" x14ac:dyDescent="0.2">
      <c r="A1392" s="1"/>
      <c r="B1392" s="1"/>
      <c r="C1392" s="1"/>
      <c r="D1392" s="1"/>
      <c r="E1392" s="1" t="str">
        <f ca="1">IFERROR(__xludf.DUMMYFUNCTION("""COMPUTED_VALUE"""),"-")</f>
        <v>-</v>
      </c>
      <c r="F1392" s="1"/>
      <c r="G1392" s="1" t="str">
        <f ca="1">IFERROR(__xludf.DUMMYFUNCTION("""COMPUTED_VALUE"""),"-")</f>
        <v>-</v>
      </c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</row>
    <row r="1393" spans="1:26" x14ac:dyDescent="0.2">
      <c r="A1393" s="1"/>
      <c r="B1393" s="1"/>
      <c r="C1393" s="1"/>
      <c r="D1393" s="1"/>
      <c r="E1393" s="1" t="str">
        <f ca="1">IFERROR(__xludf.DUMMYFUNCTION("""COMPUTED_VALUE"""),"-")</f>
        <v>-</v>
      </c>
      <c r="F1393" s="1"/>
      <c r="G1393" s="1" t="str">
        <f ca="1">IFERROR(__xludf.DUMMYFUNCTION("""COMPUTED_VALUE"""),"-")</f>
        <v>-</v>
      </c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</row>
    <row r="1394" spans="1:26" x14ac:dyDescent="0.2">
      <c r="A1394" s="1"/>
      <c r="B1394" s="1"/>
      <c r="C1394" s="1"/>
      <c r="D1394" s="1"/>
      <c r="E1394" s="1" t="str">
        <f ca="1">IFERROR(__xludf.DUMMYFUNCTION("""COMPUTED_VALUE"""),"-")</f>
        <v>-</v>
      </c>
      <c r="F1394" s="1"/>
      <c r="G1394" s="1" t="str">
        <f ca="1">IFERROR(__xludf.DUMMYFUNCTION("""COMPUTED_VALUE"""),"-")</f>
        <v>-</v>
      </c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</row>
    <row r="1395" spans="1:26" x14ac:dyDescent="0.2">
      <c r="A1395" s="1"/>
      <c r="B1395" s="1"/>
      <c r="C1395" s="1"/>
      <c r="D1395" s="1"/>
      <c r="E1395" s="1" t="str">
        <f ca="1">IFERROR(__xludf.DUMMYFUNCTION("""COMPUTED_VALUE"""),"-")</f>
        <v>-</v>
      </c>
      <c r="F1395" s="1"/>
      <c r="G1395" s="1" t="str">
        <f ca="1">IFERROR(__xludf.DUMMYFUNCTION("""COMPUTED_VALUE"""),"-")</f>
        <v>-</v>
      </c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</row>
    <row r="1396" spans="1:26" x14ac:dyDescent="0.2">
      <c r="A1396" s="1"/>
      <c r="B1396" s="1"/>
      <c r="C1396" s="1"/>
      <c r="D1396" s="1"/>
      <c r="E1396" s="1" t="str">
        <f ca="1">IFERROR(__xludf.DUMMYFUNCTION("""COMPUTED_VALUE"""),"-")</f>
        <v>-</v>
      </c>
      <c r="F1396" s="1"/>
      <c r="G1396" s="1" t="str">
        <f ca="1">IFERROR(__xludf.DUMMYFUNCTION("""COMPUTED_VALUE"""),"-")</f>
        <v>-</v>
      </c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</row>
    <row r="1397" spans="1:26" x14ac:dyDescent="0.2">
      <c r="A1397" s="1"/>
      <c r="B1397" s="1"/>
      <c r="C1397" s="1"/>
      <c r="D1397" s="1"/>
      <c r="E1397" s="1" t="str">
        <f ca="1">IFERROR(__xludf.DUMMYFUNCTION("""COMPUTED_VALUE"""),"-")</f>
        <v>-</v>
      </c>
      <c r="F1397" s="1"/>
      <c r="G1397" s="1" t="str">
        <f ca="1">IFERROR(__xludf.DUMMYFUNCTION("""COMPUTED_VALUE"""),"-")</f>
        <v>-</v>
      </c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</row>
    <row r="1398" spans="1:26" x14ac:dyDescent="0.2">
      <c r="A1398" s="1"/>
      <c r="B1398" s="1"/>
      <c r="C1398" s="1"/>
      <c r="D1398" s="1"/>
      <c r="E1398" s="1" t="str">
        <f ca="1">IFERROR(__xludf.DUMMYFUNCTION("""COMPUTED_VALUE"""),"-")</f>
        <v>-</v>
      </c>
      <c r="F1398" s="1"/>
      <c r="G1398" s="1" t="str">
        <f ca="1">IFERROR(__xludf.DUMMYFUNCTION("""COMPUTED_VALUE"""),"-")</f>
        <v>-</v>
      </c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</row>
    <row r="1399" spans="1:26" x14ac:dyDescent="0.2">
      <c r="A1399" s="1"/>
      <c r="B1399" s="1"/>
      <c r="C1399" s="1"/>
      <c r="D1399" s="1"/>
      <c r="E1399" s="1" t="str">
        <f ca="1">IFERROR(__xludf.DUMMYFUNCTION("""COMPUTED_VALUE"""),"-")</f>
        <v>-</v>
      </c>
      <c r="F1399" s="1"/>
      <c r="G1399" s="1" t="str">
        <f ca="1">IFERROR(__xludf.DUMMYFUNCTION("""COMPUTED_VALUE"""),"-")</f>
        <v>-</v>
      </c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</row>
    <row r="1400" spans="1:26" x14ac:dyDescent="0.2">
      <c r="A1400" s="1"/>
      <c r="B1400" s="1"/>
      <c r="C1400" s="1"/>
      <c r="D1400" s="1"/>
      <c r="E1400" s="1" t="str">
        <f ca="1">IFERROR(__xludf.DUMMYFUNCTION("""COMPUTED_VALUE"""),"-")</f>
        <v>-</v>
      </c>
      <c r="F1400" s="1"/>
      <c r="G1400" s="1" t="str">
        <f ca="1">IFERROR(__xludf.DUMMYFUNCTION("""COMPUTED_VALUE"""),"-")</f>
        <v>-</v>
      </c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</row>
    <row r="1401" spans="1:26" x14ac:dyDescent="0.2">
      <c r="A1401" s="1"/>
      <c r="B1401" s="1"/>
      <c r="C1401" s="1"/>
      <c r="D1401" s="1"/>
      <c r="E1401" s="1" t="str">
        <f ca="1">IFERROR(__xludf.DUMMYFUNCTION("""COMPUTED_VALUE"""),"-")</f>
        <v>-</v>
      </c>
      <c r="F1401" s="1"/>
      <c r="G1401" s="1" t="str">
        <f ca="1">IFERROR(__xludf.DUMMYFUNCTION("""COMPUTED_VALUE"""),"-")</f>
        <v>-</v>
      </c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</row>
    <row r="1402" spans="1:26" x14ac:dyDescent="0.2">
      <c r="A1402" s="1"/>
      <c r="B1402" s="1"/>
      <c r="C1402" s="1"/>
      <c r="D1402" s="1"/>
      <c r="E1402" s="1" t="str">
        <f ca="1">IFERROR(__xludf.DUMMYFUNCTION("""COMPUTED_VALUE"""),"-")</f>
        <v>-</v>
      </c>
      <c r="F1402" s="1"/>
      <c r="G1402" s="1" t="str">
        <f ca="1">IFERROR(__xludf.DUMMYFUNCTION("""COMPUTED_VALUE"""),"-")</f>
        <v>-</v>
      </c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</row>
    <row r="1403" spans="1:26" x14ac:dyDescent="0.2">
      <c r="A1403" s="1"/>
      <c r="B1403" s="1"/>
      <c r="C1403" s="1"/>
      <c r="D1403" s="1"/>
      <c r="E1403" s="1" t="str">
        <f ca="1">IFERROR(__xludf.DUMMYFUNCTION("""COMPUTED_VALUE"""),"-")</f>
        <v>-</v>
      </c>
      <c r="F1403" s="1"/>
      <c r="G1403" s="1" t="str">
        <f ca="1">IFERROR(__xludf.DUMMYFUNCTION("""COMPUTED_VALUE"""),"-")</f>
        <v>-</v>
      </c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</row>
    <row r="1404" spans="1:26" x14ac:dyDescent="0.2">
      <c r="A1404" s="1"/>
      <c r="B1404" s="1"/>
      <c r="C1404" s="1"/>
      <c r="D1404" s="1"/>
      <c r="E1404" s="1" t="str">
        <f ca="1">IFERROR(__xludf.DUMMYFUNCTION("""COMPUTED_VALUE"""),"-")</f>
        <v>-</v>
      </c>
      <c r="F1404" s="1"/>
      <c r="G1404" s="1" t="str">
        <f ca="1">IFERROR(__xludf.DUMMYFUNCTION("""COMPUTED_VALUE"""),"-")</f>
        <v>-</v>
      </c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</row>
    <row r="1405" spans="1:26" x14ac:dyDescent="0.2">
      <c r="A1405" s="1"/>
      <c r="B1405" s="1"/>
      <c r="C1405" s="1"/>
      <c r="D1405" s="1"/>
      <c r="E1405" s="1" t="str">
        <f ca="1">IFERROR(__xludf.DUMMYFUNCTION("""COMPUTED_VALUE"""),"-")</f>
        <v>-</v>
      </c>
      <c r="F1405" s="1"/>
      <c r="G1405" s="1" t="str">
        <f ca="1">IFERROR(__xludf.DUMMYFUNCTION("""COMPUTED_VALUE"""),"-")</f>
        <v>-</v>
      </c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</row>
    <row r="1406" spans="1:26" x14ac:dyDescent="0.2">
      <c r="A1406" s="1"/>
      <c r="B1406" s="1"/>
      <c r="C1406" s="1"/>
      <c r="D1406" s="1"/>
      <c r="E1406" s="1" t="str">
        <f ca="1">IFERROR(__xludf.DUMMYFUNCTION("""COMPUTED_VALUE"""),"-")</f>
        <v>-</v>
      </c>
      <c r="F1406" s="1"/>
      <c r="G1406" s="1" t="str">
        <f ca="1">IFERROR(__xludf.DUMMYFUNCTION("""COMPUTED_VALUE"""),"-")</f>
        <v>-</v>
      </c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</row>
    <row r="1407" spans="1:26" x14ac:dyDescent="0.2">
      <c r="A1407" s="1"/>
      <c r="B1407" s="1"/>
      <c r="C1407" s="1"/>
      <c r="D1407" s="1"/>
      <c r="E1407" s="1" t="str">
        <f ca="1">IFERROR(__xludf.DUMMYFUNCTION("""COMPUTED_VALUE"""),"-")</f>
        <v>-</v>
      </c>
      <c r="F1407" s="1"/>
      <c r="G1407" s="1" t="str">
        <f ca="1">IFERROR(__xludf.DUMMYFUNCTION("""COMPUTED_VALUE"""),"-")</f>
        <v>-</v>
      </c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</row>
    <row r="1408" spans="1:26" x14ac:dyDescent="0.2">
      <c r="A1408" s="1"/>
      <c r="B1408" s="1"/>
      <c r="C1408" s="1"/>
      <c r="D1408" s="1"/>
      <c r="E1408" s="1" t="str">
        <f ca="1">IFERROR(__xludf.DUMMYFUNCTION("""COMPUTED_VALUE"""),"-")</f>
        <v>-</v>
      </c>
      <c r="F1408" s="1"/>
      <c r="G1408" s="1" t="str">
        <f ca="1">IFERROR(__xludf.DUMMYFUNCTION("""COMPUTED_VALUE"""),"-")</f>
        <v>-</v>
      </c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</row>
    <row r="1409" spans="1:26" x14ac:dyDescent="0.2">
      <c r="A1409" s="1"/>
      <c r="B1409" s="1"/>
      <c r="C1409" s="1"/>
      <c r="D1409" s="1"/>
      <c r="E1409" s="1" t="str">
        <f ca="1">IFERROR(__xludf.DUMMYFUNCTION("""COMPUTED_VALUE"""),"-")</f>
        <v>-</v>
      </c>
      <c r="F1409" s="1"/>
      <c r="G1409" s="1" t="str">
        <f ca="1">IFERROR(__xludf.DUMMYFUNCTION("""COMPUTED_VALUE"""),"-")</f>
        <v>-</v>
      </c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</row>
    <row r="1410" spans="1:26" x14ac:dyDescent="0.2">
      <c r="A1410" s="1"/>
      <c r="B1410" s="1"/>
      <c r="C1410" s="1"/>
      <c r="D1410" s="1"/>
      <c r="E1410" s="1" t="str">
        <f ca="1">IFERROR(__xludf.DUMMYFUNCTION("""COMPUTED_VALUE"""),"-")</f>
        <v>-</v>
      </c>
      <c r="F1410" s="1"/>
      <c r="G1410" s="1" t="str">
        <f ca="1">IFERROR(__xludf.DUMMYFUNCTION("""COMPUTED_VALUE"""),"-")</f>
        <v>-</v>
      </c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</row>
    <row r="1411" spans="1:26" x14ac:dyDescent="0.2">
      <c r="A1411" s="1"/>
      <c r="B1411" s="1"/>
      <c r="C1411" s="1"/>
      <c r="D1411" s="1"/>
      <c r="E1411" s="1" t="str">
        <f ca="1">IFERROR(__xludf.DUMMYFUNCTION("""COMPUTED_VALUE"""),"-")</f>
        <v>-</v>
      </c>
      <c r="F1411" s="1"/>
      <c r="G1411" s="1" t="str">
        <f ca="1">IFERROR(__xludf.DUMMYFUNCTION("""COMPUTED_VALUE"""),"-")</f>
        <v>-</v>
      </c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</row>
    <row r="1412" spans="1:26" x14ac:dyDescent="0.2">
      <c r="A1412" s="1"/>
      <c r="B1412" s="1"/>
      <c r="C1412" s="1"/>
      <c r="D1412" s="1"/>
      <c r="E1412" s="1" t="str">
        <f ca="1">IFERROR(__xludf.DUMMYFUNCTION("""COMPUTED_VALUE"""),"-")</f>
        <v>-</v>
      </c>
      <c r="F1412" s="1"/>
      <c r="G1412" s="1" t="str">
        <f ca="1">IFERROR(__xludf.DUMMYFUNCTION("""COMPUTED_VALUE"""),"-")</f>
        <v>-</v>
      </c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</row>
    <row r="1413" spans="1:26" x14ac:dyDescent="0.2">
      <c r="A1413" s="1"/>
      <c r="B1413" s="1"/>
      <c r="C1413" s="1"/>
      <c r="D1413" s="1"/>
      <c r="E1413" s="1" t="str">
        <f ca="1">IFERROR(__xludf.DUMMYFUNCTION("""COMPUTED_VALUE"""),"-")</f>
        <v>-</v>
      </c>
      <c r="F1413" s="1"/>
      <c r="G1413" s="1" t="str">
        <f ca="1">IFERROR(__xludf.DUMMYFUNCTION("""COMPUTED_VALUE"""),"-")</f>
        <v>-</v>
      </c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</row>
    <row r="1414" spans="1:26" x14ac:dyDescent="0.2">
      <c r="A1414" s="1"/>
      <c r="B1414" s="1"/>
      <c r="C1414" s="1"/>
      <c r="D1414" s="1"/>
      <c r="E1414" s="1" t="str">
        <f ca="1">IFERROR(__xludf.DUMMYFUNCTION("""COMPUTED_VALUE"""),"-")</f>
        <v>-</v>
      </c>
      <c r="F1414" s="1"/>
      <c r="G1414" s="1" t="str">
        <f ca="1">IFERROR(__xludf.DUMMYFUNCTION("""COMPUTED_VALUE"""),"-")</f>
        <v>-</v>
      </c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</row>
    <row r="1415" spans="1:26" x14ac:dyDescent="0.2">
      <c r="A1415" s="1"/>
      <c r="B1415" s="1"/>
      <c r="C1415" s="1"/>
      <c r="D1415" s="1"/>
      <c r="E1415" s="1" t="str">
        <f ca="1">IFERROR(__xludf.DUMMYFUNCTION("""COMPUTED_VALUE"""),"-")</f>
        <v>-</v>
      </c>
      <c r="F1415" s="1"/>
      <c r="G1415" s="1" t="str">
        <f ca="1">IFERROR(__xludf.DUMMYFUNCTION("""COMPUTED_VALUE"""),"-")</f>
        <v>-</v>
      </c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</row>
    <row r="1416" spans="1:26" x14ac:dyDescent="0.2">
      <c r="A1416" s="1"/>
      <c r="B1416" s="1"/>
      <c r="C1416" s="1"/>
      <c r="D1416" s="1"/>
      <c r="E1416" s="1" t="str">
        <f ca="1">IFERROR(__xludf.DUMMYFUNCTION("""COMPUTED_VALUE"""),"-")</f>
        <v>-</v>
      </c>
      <c r="F1416" s="1"/>
      <c r="G1416" s="1" t="str">
        <f ca="1">IFERROR(__xludf.DUMMYFUNCTION("""COMPUTED_VALUE"""),"-")</f>
        <v>-</v>
      </c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</row>
    <row r="1417" spans="1:26" x14ac:dyDescent="0.2">
      <c r="A1417" s="1"/>
      <c r="B1417" s="1"/>
      <c r="C1417" s="1"/>
      <c r="D1417" s="1"/>
      <c r="E1417" s="1" t="str">
        <f ca="1">IFERROR(__xludf.DUMMYFUNCTION("""COMPUTED_VALUE"""),"-")</f>
        <v>-</v>
      </c>
      <c r="F1417" s="1"/>
      <c r="G1417" s="1" t="str">
        <f ca="1">IFERROR(__xludf.DUMMYFUNCTION("""COMPUTED_VALUE"""),"-")</f>
        <v>-</v>
      </c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</row>
    <row r="1418" spans="1:26" x14ac:dyDescent="0.2">
      <c r="A1418" s="1"/>
      <c r="B1418" s="1"/>
      <c r="C1418" s="1"/>
      <c r="D1418" s="1"/>
      <c r="E1418" s="1" t="str">
        <f ca="1">IFERROR(__xludf.DUMMYFUNCTION("""COMPUTED_VALUE"""),"-")</f>
        <v>-</v>
      </c>
      <c r="F1418" s="1"/>
      <c r="G1418" s="1" t="str">
        <f ca="1">IFERROR(__xludf.DUMMYFUNCTION("""COMPUTED_VALUE"""),"-")</f>
        <v>-</v>
      </c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</row>
    <row r="1419" spans="1:26" x14ac:dyDescent="0.2">
      <c r="A1419" s="1"/>
      <c r="B1419" s="1"/>
      <c r="C1419" s="1"/>
      <c r="D1419" s="1"/>
      <c r="E1419" s="1" t="str">
        <f ca="1">IFERROR(__xludf.DUMMYFUNCTION("""COMPUTED_VALUE"""),"-")</f>
        <v>-</v>
      </c>
      <c r="F1419" s="1"/>
      <c r="G1419" s="1" t="str">
        <f ca="1">IFERROR(__xludf.DUMMYFUNCTION("""COMPUTED_VALUE"""),"-")</f>
        <v>-</v>
      </c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</row>
    <row r="1420" spans="1:26" x14ac:dyDescent="0.2">
      <c r="A1420" s="1"/>
      <c r="B1420" s="1"/>
      <c r="C1420" s="1"/>
      <c r="D1420" s="1"/>
      <c r="E1420" s="1" t="str">
        <f ca="1">IFERROR(__xludf.DUMMYFUNCTION("""COMPUTED_VALUE"""),"-")</f>
        <v>-</v>
      </c>
      <c r="F1420" s="1"/>
      <c r="G1420" s="1" t="str">
        <f ca="1">IFERROR(__xludf.DUMMYFUNCTION("""COMPUTED_VALUE"""),"-")</f>
        <v>-</v>
      </c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</row>
    <row r="1421" spans="1:26" x14ac:dyDescent="0.2">
      <c r="A1421" s="1"/>
      <c r="B1421" s="1"/>
      <c r="C1421" s="1"/>
      <c r="D1421" s="1"/>
      <c r="E1421" s="1" t="str">
        <f ca="1">IFERROR(__xludf.DUMMYFUNCTION("""COMPUTED_VALUE"""),"-")</f>
        <v>-</v>
      </c>
      <c r="F1421" s="1"/>
      <c r="G1421" s="1" t="str">
        <f ca="1">IFERROR(__xludf.DUMMYFUNCTION("""COMPUTED_VALUE"""),"-")</f>
        <v>-</v>
      </c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</row>
    <row r="1422" spans="1:26" x14ac:dyDescent="0.2">
      <c r="A1422" s="1"/>
      <c r="B1422" s="1"/>
      <c r="C1422" s="1"/>
      <c r="D1422" s="1"/>
      <c r="E1422" s="1" t="str">
        <f ca="1">IFERROR(__xludf.DUMMYFUNCTION("""COMPUTED_VALUE"""),"-")</f>
        <v>-</v>
      </c>
      <c r="F1422" s="1"/>
      <c r="G1422" s="1" t="str">
        <f ca="1">IFERROR(__xludf.DUMMYFUNCTION("""COMPUTED_VALUE"""),"-")</f>
        <v>-</v>
      </c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</row>
    <row r="1423" spans="1:26" x14ac:dyDescent="0.2">
      <c r="A1423" s="1"/>
      <c r="B1423" s="1"/>
      <c r="C1423" s="1"/>
      <c r="D1423" s="1"/>
      <c r="E1423" s="1" t="str">
        <f ca="1">IFERROR(__xludf.DUMMYFUNCTION("""COMPUTED_VALUE"""),"-")</f>
        <v>-</v>
      </c>
      <c r="F1423" s="1"/>
      <c r="G1423" s="1" t="str">
        <f ca="1">IFERROR(__xludf.DUMMYFUNCTION("""COMPUTED_VALUE"""),"-")</f>
        <v>-</v>
      </c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</row>
    <row r="1424" spans="1:26" x14ac:dyDescent="0.2">
      <c r="A1424" s="1"/>
      <c r="B1424" s="1"/>
      <c r="C1424" s="1"/>
      <c r="D1424" s="1"/>
      <c r="E1424" s="1" t="str">
        <f ca="1">IFERROR(__xludf.DUMMYFUNCTION("""COMPUTED_VALUE"""),"-")</f>
        <v>-</v>
      </c>
      <c r="F1424" s="1"/>
      <c r="G1424" s="1" t="str">
        <f ca="1">IFERROR(__xludf.DUMMYFUNCTION("""COMPUTED_VALUE"""),"-")</f>
        <v>-</v>
      </c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</row>
    <row r="1425" spans="1:26" x14ac:dyDescent="0.2">
      <c r="A1425" s="1"/>
      <c r="B1425" s="1"/>
      <c r="C1425" s="1"/>
      <c r="D1425" s="1"/>
      <c r="E1425" s="1" t="str">
        <f ca="1">IFERROR(__xludf.DUMMYFUNCTION("""COMPUTED_VALUE"""),"-")</f>
        <v>-</v>
      </c>
      <c r="F1425" s="1"/>
      <c r="G1425" s="1" t="str">
        <f ca="1">IFERROR(__xludf.DUMMYFUNCTION("""COMPUTED_VALUE"""),"-")</f>
        <v>-</v>
      </c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</row>
    <row r="1426" spans="1:26" x14ac:dyDescent="0.2">
      <c r="A1426" s="1"/>
      <c r="B1426" s="1"/>
      <c r="C1426" s="1"/>
      <c r="D1426" s="1"/>
      <c r="E1426" s="1" t="str">
        <f ca="1">IFERROR(__xludf.DUMMYFUNCTION("""COMPUTED_VALUE"""),"-")</f>
        <v>-</v>
      </c>
      <c r="F1426" s="1"/>
      <c r="G1426" s="1" t="str">
        <f ca="1">IFERROR(__xludf.DUMMYFUNCTION("""COMPUTED_VALUE"""),"-")</f>
        <v>-</v>
      </c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</row>
    <row r="1427" spans="1:26" x14ac:dyDescent="0.2">
      <c r="A1427" s="1"/>
      <c r="B1427" s="1"/>
      <c r="C1427" s="1"/>
      <c r="D1427" s="1"/>
      <c r="E1427" s="1" t="str">
        <f ca="1">IFERROR(__xludf.DUMMYFUNCTION("""COMPUTED_VALUE"""),"-")</f>
        <v>-</v>
      </c>
      <c r="F1427" s="1"/>
      <c r="G1427" s="1" t="str">
        <f ca="1">IFERROR(__xludf.DUMMYFUNCTION("""COMPUTED_VALUE"""),"-")</f>
        <v>-</v>
      </c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</row>
    <row r="1428" spans="1:26" x14ac:dyDescent="0.2">
      <c r="A1428" s="1"/>
      <c r="B1428" s="1"/>
      <c r="C1428" s="1"/>
      <c r="D1428" s="1"/>
      <c r="E1428" s="1" t="str">
        <f ca="1">IFERROR(__xludf.DUMMYFUNCTION("""COMPUTED_VALUE"""),"-")</f>
        <v>-</v>
      </c>
      <c r="F1428" s="1"/>
      <c r="G1428" s="1" t="str">
        <f ca="1">IFERROR(__xludf.DUMMYFUNCTION("""COMPUTED_VALUE"""),"-")</f>
        <v>-</v>
      </c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</row>
    <row r="1429" spans="1:26" x14ac:dyDescent="0.2">
      <c r="A1429" s="1"/>
      <c r="B1429" s="1"/>
      <c r="C1429" s="1"/>
      <c r="D1429" s="1"/>
      <c r="E1429" s="1" t="str">
        <f ca="1">IFERROR(__xludf.DUMMYFUNCTION("""COMPUTED_VALUE"""),"-")</f>
        <v>-</v>
      </c>
      <c r="F1429" s="1"/>
      <c r="G1429" s="1" t="str">
        <f ca="1">IFERROR(__xludf.DUMMYFUNCTION("""COMPUTED_VALUE"""),"-")</f>
        <v>-</v>
      </c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</row>
    <row r="1430" spans="1:26" x14ac:dyDescent="0.2">
      <c r="A1430" s="1"/>
      <c r="B1430" s="1"/>
      <c r="C1430" s="1"/>
      <c r="D1430" s="1"/>
      <c r="E1430" s="1" t="str">
        <f ca="1">IFERROR(__xludf.DUMMYFUNCTION("""COMPUTED_VALUE"""),"-")</f>
        <v>-</v>
      </c>
      <c r="F1430" s="1"/>
      <c r="G1430" s="1" t="str">
        <f ca="1">IFERROR(__xludf.DUMMYFUNCTION("""COMPUTED_VALUE"""),"-")</f>
        <v>-</v>
      </c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</row>
    <row r="1431" spans="1:26" x14ac:dyDescent="0.2">
      <c r="A1431" s="1"/>
      <c r="B1431" s="1"/>
      <c r="C1431" s="1"/>
      <c r="D1431" s="1"/>
      <c r="E1431" s="1" t="str">
        <f ca="1">IFERROR(__xludf.DUMMYFUNCTION("""COMPUTED_VALUE"""),"-")</f>
        <v>-</v>
      </c>
      <c r="F1431" s="1"/>
      <c r="G1431" s="1" t="str">
        <f ca="1">IFERROR(__xludf.DUMMYFUNCTION("""COMPUTED_VALUE"""),"-")</f>
        <v>-</v>
      </c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</row>
    <row r="1432" spans="1:26" x14ac:dyDescent="0.2">
      <c r="A1432" s="1"/>
      <c r="B1432" s="1"/>
      <c r="C1432" s="1"/>
      <c r="D1432" s="1"/>
      <c r="E1432" s="1" t="str">
        <f ca="1">IFERROR(__xludf.DUMMYFUNCTION("""COMPUTED_VALUE"""),"-")</f>
        <v>-</v>
      </c>
      <c r="F1432" s="1"/>
      <c r="G1432" s="1" t="str">
        <f ca="1">IFERROR(__xludf.DUMMYFUNCTION("""COMPUTED_VALUE"""),"-")</f>
        <v>-</v>
      </c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</row>
    <row r="1433" spans="1:26" x14ac:dyDescent="0.2">
      <c r="A1433" s="1"/>
      <c r="B1433" s="1"/>
      <c r="C1433" s="1"/>
      <c r="D1433" s="1"/>
      <c r="E1433" s="1" t="str">
        <f ca="1">IFERROR(__xludf.DUMMYFUNCTION("""COMPUTED_VALUE"""),"-")</f>
        <v>-</v>
      </c>
      <c r="F1433" s="1"/>
      <c r="G1433" s="1" t="str">
        <f ca="1">IFERROR(__xludf.DUMMYFUNCTION("""COMPUTED_VALUE"""),"-")</f>
        <v>-</v>
      </c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</row>
    <row r="1434" spans="1:26" x14ac:dyDescent="0.2">
      <c r="A1434" s="1"/>
      <c r="B1434" s="1"/>
      <c r="C1434" s="1"/>
      <c r="D1434" s="1"/>
      <c r="E1434" s="1" t="str">
        <f ca="1">IFERROR(__xludf.DUMMYFUNCTION("""COMPUTED_VALUE"""),"-")</f>
        <v>-</v>
      </c>
      <c r="F1434" s="1"/>
      <c r="G1434" s="1" t="str">
        <f ca="1">IFERROR(__xludf.DUMMYFUNCTION("""COMPUTED_VALUE"""),"-")</f>
        <v>-</v>
      </c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</row>
    <row r="1435" spans="1:26" x14ac:dyDescent="0.2">
      <c r="A1435" s="1"/>
      <c r="B1435" s="1"/>
      <c r="C1435" s="1"/>
      <c r="D1435" s="1"/>
      <c r="E1435" s="1" t="str">
        <f ca="1">IFERROR(__xludf.DUMMYFUNCTION("""COMPUTED_VALUE"""),"-")</f>
        <v>-</v>
      </c>
      <c r="F1435" s="1"/>
      <c r="G1435" s="1" t="str">
        <f ca="1">IFERROR(__xludf.DUMMYFUNCTION("""COMPUTED_VALUE"""),"-")</f>
        <v>-</v>
      </c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</row>
    <row r="1436" spans="1:26" x14ac:dyDescent="0.2">
      <c r="A1436" s="1"/>
      <c r="B1436" s="1"/>
      <c r="C1436" s="1"/>
      <c r="D1436" s="1"/>
      <c r="E1436" s="1" t="str">
        <f ca="1">IFERROR(__xludf.DUMMYFUNCTION("""COMPUTED_VALUE"""),"-")</f>
        <v>-</v>
      </c>
      <c r="F1436" s="1"/>
      <c r="G1436" s="1" t="str">
        <f ca="1">IFERROR(__xludf.DUMMYFUNCTION("""COMPUTED_VALUE"""),"-")</f>
        <v>-</v>
      </c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</row>
    <row r="1437" spans="1:26" x14ac:dyDescent="0.2">
      <c r="A1437" s="1"/>
      <c r="B1437" s="1"/>
      <c r="C1437" s="1"/>
      <c r="D1437" s="1"/>
      <c r="E1437" s="1" t="str">
        <f ca="1">IFERROR(__xludf.DUMMYFUNCTION("""COMPUTED_VALUE"""),"-")</f>
        <v>-</v>
      </c>
      <c r="F1437" s="1"/>
      <c r="G1437" s="1" t="str">
        <f ca="1">IFERROR(__xludf.DUMMYFUNCTION("""COMPUTED_VALUE"""),"-")</f>
        <v>-</v>
      </c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</row>
    <row r="1438" spans="1:26" x14ac:dyDescent="0.2">
      <c r="A1438" s="1"/>
      <c r="B1438" s="1"/>
      <c r="C1438" s="1"/>
      <c r="D1438" s="1"/>
      <c r="E1438" s="1" t="str">
        <f ca="1">IFERROR(__xludf.DUMMYFUNCTION("""COMPUTED_VALUE"""),"-")</f>
        <v>-</v>
      </c>
      <c r="F1438" s="1"/>
      <c r="G1438" s="1" t="str">
        <f ca="1">IFERROR(__xludf.DUMMYFUNCTION("""COMPUTED_VALUE"""),"-")</f>
        <v>-</v>
      </c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</row>
    <row r="1439" spans="1:26" x14ac:dyDescent="0.2">
      <c r="A1439" s="1"/>
      <c r="B1439" s="1"/>
      <c r="C1439" s="1"/>
      <c r="D1439" s="1"/>
      <c r="E1439" s="1" t="str">
        <f ca="1">IFERROR(__xludf.DUMMYFUNCTION("""COMPUTED_VALUE"""),"-")</f>
        <v>-</v>
      </c>
      <c r="F1439" s="1"/>
      <c r="G1439" s="1" t="str">
        <f ca="1">IFERROR(__xludf.DUMMYFUNCTION("""COMPUTED_VALUE"""),"-")</f>
        <v>-</v>
      </c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</row>
    <row r="1440" spans="1:26" x14ac:dyDescent="0.2">
      <c r="A1440" s="1"/>
      <c r="B1440" s="1"/>
      <c r="C1440" s="1"/>
      <c r="D1440" s="1"/>
      <c r="E1440" s="1" t="str">
        <f ca="1">IFERROR(__xludf.DUMMYFUNCTION("""COMPUTED_VALUE"""),"-")</f>
        <v>-</v>
      </c>
      <c r="F1440" s="1"/>
      <c r="G1440" s="1" t="str">
        <f ca="1">IFERROR(__xludf.DUMMYFUNCTION("""COMPUTED_VALUE"""),"-")</f>
        <v>-</v>
      </c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</row>
    <row r="1441" spans="1:26" x14ac:dyDescent="0.2">
      <c r="A1441" s="1"/>
      <c r="B1441" s="1"/>
      <c r="C1441" s="1"/>
      <c r="D1441" s="1"/>
      <c r="E1441" s="1" t="str">
        <f ca="1">IFERROR(__xludf.DUMMYFUNCTION("""COMPUTED_VALUE"""),"-")</f>
        <v>-</v>
      </c>
      <c r="F1441" s="1"/>
      <c r="G1441" s="1" t="str">
        <f ca="1">IFERROR(__xludf.DUMMYFUNCTION("""COMPUTED_VALUE"""),"-")</f>
        <v>-</v>
      </c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</row>
    <row r="1442" spans="1:26" x14ac:dyDescent="0.2">
      <c r="A1442" s="1"/>
      <c r="B1442" s="1"/>
      <c r="C1442" s="1"/>
      <c r="D1442" s="1"/>
      <c r="E1442" s="1" t="str">
        <f ca="1">IFERROR(__xludf.DUMMYFUNCTION("""COMPUTED_VALUE"""),"-")</f>
        <v>-</v>
      </c>
      <c r="F1442" s="1"/>
      <c r="G1442" s="1" t="str">
        <f ca="1">IFERROR(__xludf.DUMMYFUNCTION("""COMPUTED_VALUE"""),"-")</f>
        <v>-</v>
      </c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</row>
    <row r="1443" spans="1:26" x14ac:dyDescent="0.2">
      <c r="A1443" s="1"/>
      <c r="B1443" s="1"/>
      <c r="C1443" s="1"/>
      <c r="D1443" s="1"/>
      <c r="E1443" s="1" t="str">
        <f ca="1">IFERROR(__xludf.DUMMYFUNCTION("""COMPUTED_VALUE"""),"-")</f>
        <v>-</v>
      </c>
      <c r="F1443" s="1"/>
      <c r="G1443" s="1" t="str">
        <f ca="1">IFERROR(__xludf.DUMMYFUNCTION("""COMPUTED_VALUE"""),"-")</f>
        <v>-</v>
      </c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</row>
    <row r="1444" spans="1:26" x14ac:dyDescent="0.2">
      <c r="A1444" s="1"/>
      <c r="B1444" s="1"/>
      <c r="C1444" s="1"/>
      <c r="D1444" s="1"/>
      <c r="E1444" s="1" t="str">
        <f ca="1">IFERROR(__xludf.DUMMYFUNCTION("""COMPUTED_VALUE"""),"-")</f>
        <v>-</v>
      </c>
      <c r="F1444" s="1"/>
      <c r="G1444" s="1" t="str">
        <f ca="1">IFERROR(__xludf.DUMMYFUNCTION("""COMPUTED_VALUE"""),"-")</f>
        <v>-</v>
      </c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</row>
    <row r="1445" spans="1:26" x14ac:dyDescent="0.2">
      <c r="A1445" s="1"/>
      <c r="B1445" s="1"/>
      <c r="C1445" s="1"/>
      <c r="D1445" s="1"/>
      <c r="E1445" s="1" t="str">
        <f ca="1">IFERROR(__xludf.DUMMYFUNCTION("""COMPUTED_VALUE"""),"-")</f>
        <v>-</v>
      </c>
      <c r="F1445" s="1"/>
      <c r="G1445" s="1" t="str">
        <f ca="1">IFERROR(__xludf.DUMMYFUNCTION("""COMPUTED_VALUE"""),"-")</f>
        <v>-</v>
      </c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</row>
    <row r="1446" spans="1:26" x14ac:dyDescent="0.2">
      <c r="A1446" s="1"/>
      <c r="B1446" s="1"/>
      <c r="C1446" s="1"/>
      <c r="D1446" s="1"/>
      <c r="E1446" s="1" t="str">
        <f ca="1">IFERROR(__xludf.DUMMYFUNCTION("""COMPUTED_VALUE"""),"-")</f>
        <v>-</v>
      </c>
      <c r="F1446" s="1"/>
      <c r="G1446" s="1" t="str">
        <f ca="1">IFERROR(__xludf.DUMMYFUNCTION("""COMPUTED_VALUE"""),"-")</f>
        <v>-</v>
      </c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</row>
    <row r="1447" spans="1:26" x14ac:dyDescent="0.2">
      <c r="A1447" s="1"/>
      <c r="B1447" s="1"/>
      <c r="C1447" s="1"/>
      <c r="D1447" s="1"/>
      <c r="E1447" s="1" t="str">
        <f ca="1">IFERROR(__xludf.DUMMYFUNCTION("""COMPUTED_VALUE"""),"-")</f>
        <v>-</v>
      </c>
      <c r="F1447" s="1"/>
      <c r="G1447" s="1" t="str">
        <f ca="1">IFERROR(__xludf.DUMMYFUNCTION("""COMPUTED_VALUE"""),"-")</f>
        <v>-</v>
      </c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</row>
    <row r="1448" spans="1:26" x14ac:dyDescent="0.2">
      <c r="A1448" s="1"/>
      <c r="B1448" s="1"/>
      <c r="C1448" s="1"/>
      <c r="D1448" s="1"/>
      <c r="E1448" s="1" t="str">
        <f ca="1">IFERROR(__xludf.DUMMYFUNCTION("""COMPUTED_VALUE"""),"-")</f>
        <v>-</v>
      </c>
      <c r="F1448" s="1"/>
      <c r="G1448" s="1" t="str">
        <f ca="1">IFERROR(__xludf.DUMMYFUNCTION("""COMPUTED_VALUE"""),"-")</f>
        <v>-</v>
      </c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</row>
    <row r="1449" spans="1:26" x14ac:dyDescent="0.2">
      <c r="A1449" s="1"/>
      <c r="B1449" s="1"/>
      <c r="C1449" s="1"/>
      <c r="D1449" s="1"/>
      <c r="E1449" s="1" t="str">
        <f ca="1">IFERROR(__xludf.DUMMYFUNCTION("""COMPUTED_VALUE"""),"-")</f>
        <v>-</v>
      </c>
      <c r="F1449" s="1"/>
      <c r="G1449" s="1" t="str">
        <f ca="1">IFERROR(__xludf.DUMMYFUNCTION("""COMPUTED_VALUE"""),"-")</f>
        <v>-</v>
      </c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</row>
    <row r="1450" spans="1:26" x14ac:dyDescent="0.2">
      <c r="A1450" s="1"/>
      <c r="B1450" s="1"/>
      <c r="C1450" s="1"/>
      <c r="D1450" s="1"/>
      <c r="E1450" s="1" t="str">
        <f ca="1">IFERROR(__xludf.DUMMYFUNCTION("""COMPUTED_VALUE"""),"-")</f>
        <v>-</v>
      </c>
      <c r="F1450" s="1"/>
      <c r="G1450" s="1" t="str">
        <f ca="1">IFERROR(__xludf.DUMMYFUNCTION("""COMPUTED_VALUE"""),"-")</f>
        <v>-</v>
      </c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</row>
    <row r="1451" spans="1:26" x14ac:dyDescent="0.2">
      <c r="A1451" s="1"/>
      <c r="B1451" s="1"/>
      <c r="C1451" s="1"/>
      <c r="D1451" s="1"/>
      <c r="E1451" s="1" t="str">
        <f ca="1">IFERROR(__xludf.DUMMYFUNCTION("""COMPUTED_VALUE"""),"-")</f>
        <v>-</v>
      </c>
      <c r="F1451" s="1"/>
      <c r="G1451" s="1" t="str">
        <f ca="1">IFERROR(__xludf.DUMMYFUNCTION("""COMPUTED_VALUE"""),"-")</f>
        <v>-</v>
      </c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</row>
    <row r="1452" spans="1:26" x14ac:dyDescent="0.2">
      <c r="A1452" s="1"/>
      <c r="B1452" s="1"/>
      <c r="C1452" s="1"/>
      <c r="D1452" s="1"/>
      <c r="E1452" s="1" t="str">
        <f ca="1">IFERROR(__xludf.DUMMYFUNCTION("""COMPUTED_VALUE"""),"-")</f>
        <v>-</v>
      </c>
      <c r="F1452" s="1"/>
      <c r="G1452" s="1" t="str">
        <f ca="1">IFERROR(__xludf.DUMMYFUNCTION("""COMPUTED_VALUE"""),"-")</f>
        <v>-</v>
      </c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</row>
    <row r="1453" spans="1:26" x14ac:dyDescent="0.2">
      <c r="A1453" s="1"/>
      <c r="B1453" s="1"/>
      <c r="C1453" s="1"/>
      <c r="D1453" s="1"/>
      <c r="E1453" s="1" t="str">
        <f ca="1">IFERROR(__xludf.DUMMYFUNCTION("""COMPUTED_VALUE"""),"-")</f>
        <v>-</v>
      </c>
      <c r="F1453" s="1"/>
      <c r="G1453" s="1" t="str">
        <f ca="1">IFERROR(__xludf.DUMMYFUNCTION("""COMPUTED_VALUE"""),"-")</f>
        <v>-</v>
      </c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</row>
    <row r="1454" spans="1:26" x14ac:dyDescent="0.2">
      <c r="A1454" s="1"/>
      <c r="B1454" s="1"/>
      <c r="C1454" s="1"/>
      <c r="D1454" s="1"/>
      <c r="E1454" s="1" t="str">
        <f ca="1">IFERROR(__xludf.DUMMYFUNCTION("""COMPUTED_VALUE"""),"-")</f>
        <v>-</v>
      </c>
      <c r="F1454" s="1"/>
      <c r="G1454" s="1" t="str">
        <f ca="1">IFERROR(__xludf.DUMMYFUNCTION("""COMPUTED_VALUE"""),"-")</f>
        <v>-</v>
      </c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</row>
    <row r="1455" spans="1:26" x14ac:dyDescent="0.2">
      <c r="A1455" s="1"/>
      <c r="B1455" s="1"/>
      <c r="C1455" s="1"/>
      <c r="D1455" s="1"/>
      <c r="E1455" s="1" t="str">
        <f ca="1">IFERROR(__xludf.DUMMYFUNCTION("""COMPUTED_VALUE"""),"-")</f>
        <v>-</v>
      </c>
      <c r="F1455" s="1"/>
      <c r="G1455" s="1" t="str">
        <f ca="1">IFERROR(__xludf.DUMMYFUNCTION("""COMPUTED_VALUE"""),"-")</f>
        <v>-</v>
      </c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</row>
    <row r="1456" spans="1:26" x14ac:dyDescent="0.2">
      <c r="A1456" s="1"/>
      <c r="B1456" s="1"/>
      <c r="C1456" s="1"/>
      <c r="D1456" s="1"/>
      <c r="E1456" s="1" t="str">
        <f ca="1">IFERROR(__xludf.DUMMYFUNCTION("""COMPUTED_VALUE"""),"-")</f>
        <v>-</v>
      </c>
      <c r="F1456" s="1"/>
      <c r="G1456" s="1" t="str">
        <f ca="1">IFERROR(__xludf.DUMMYFUNCTION("""COMPUTED_VALUE"""),"-")</f>
        <v>-</v>
      </c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</row>
    <row r="1457" spans="1:26" x14ac:dyDescent="0.2">
      <c r="A1457" s="1"/>
      <c r="B1457" s="1"/>
      <c r="C1457" s="1"/>
      <c r="D1457" s="1"/>
      <c r="E1457" s="1" t="str">
        <f ca="1">IFERROR(__xludf.DUMMYFUNCTION("""COMPUTED_VALUE"""),"-")</f>
        <v>-</v>
      </c>
      <c r="F1457" s="1"/>
      <c r="G1457" s="1" t="str">
        <f ca="1">IFERROR(__xludf.DUMMYFUNCTION("""COMPUTED_VALUE"""),"-")</f>
        <v>-</v>
      </c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</row>
    <row r="1458" spans="1:26" x14ac:dyDescent="0.2">
      <c r="A1458" s="1"/>
      <c r="B1458" s="1"/>
      <c r="C1458" s="1"/>
      <c r="D1458" s="1"/>
      <c r="E1458" s="1" t="str">
        <f ca="1">IFERROR(__xludf.DUMMYFUNCTION("""COMPUTED_VALUE"""),"-")</f>
        <v>-</v>
      </c>
      <c r="F1458" s="1"/>
      <c r="G1458" s="1" t="str">
        <f ca="1">IFERROR(__xludf.DUMMYFUNCTION("""COMPUTED_VALUE"""),"-")</f>
        <v>-</v>
      </c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</row>
    <row r="1459" spans="1:26" x14ac:dyDescent="0.2">
      <c r="A1459" s="1"/>
      <c r="B1459" s="1"/>
      <c r="C1459" s="1"/>
      <c r="D1459" s="1"/>
      <c r="E1459" s="1" t="str">
        <f ca="1">IFERROR(__xludf.DUMMYFUNCTION("""COMPUTED_VALUE"""),"-")</f>
        <v>-</v>
      </c>
      <c r="F1459" s="1"/>
      <c r="G1459" s="1" t="str">
        <f ca="1">IFERROR(__xludf.DUMMYFUNCTION("""COMPUTED_VALUE"""),"-")</f>
        <v>-</v>
      </c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</row>
    <row r="1460" spans="1:26" x14ac:dyDescent="0.2">
      <c r="A1460" s="1"/>
      <c r="B1460" s="1"/>
      <c r="C1460" s="1"/>
      <c r="D1460" s="1"/>
      <c r="E1460" s="1" t="str">
        <f ca="1">IFERROR(__xludf.DUMMYFUNCTION("""COMPUTED_VALUE"""),"-")</f>
        <v>-</v>
      </c>
      <c r="F1460" s="1"/>
      <c r="G1460" s="1" t="str">
        <f ca="1">IFERROR(__xludf.DUMMYFUNCTION("""COMPUTED_VALUE"""),"-")</f>
        <v>-</v>
      </c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</row>
    <row r="1461" spans="1:26" x14ac:dyDescent="0.2">
      <c r="A1461" s="1"/>
      <c r="B1461" s="1"/>
      <c r="C1461" s="1"/>
      <c r="D1461" s="1"/>
      <c r="E1461" s="1" t="str">
        <f ca="1">IFERROR(__xludf.DUMMYFUNCTION("""COMPUTED_VALUE"""),"-")</f>
        <v>-</v>
      </c>
      <c r="F1461" s="1"/>
      <c r="G1461" s="1" t="str">
        <f ca="1">IFERROR(__xludf.DUMMYFUNCTION("""COMPUTED_VALUE"""),"-")</f>
        <v>-</v>
      </c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</row>
    <row r="1462" spans="1:26" x14ac:dyDescent="0.2">
      <c r="A1462" s="1"/>
      <c r="B1462" s="1"/>
      <c r="C1462" s="1"/>
      <c r="D1462" s="1"/>
      <c r="E1462" s="1" t="str">
        <f ca="1">IFERROR(__xludf.DUMMYFUNCTION("""COMPUTED_VALUE"""),"-")</f>
        <v>-</v>
      </c>
      <c r="F1462" s="1"/>
      <c r="G1462" s="1" t="str">
        <f ca="1">IFERROR(__xludf.DUMMYFUNCTION("""COMPUTED_VALUE"""),"-")</f>
        <v>-</v>
      </c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</row>
    <row r="1463" spans="1:26" x14ac:dyDescent="0.2">
      <c r="A1463" s="1"/>
      <c r="B1463" s="1"/>
      <c r="C1463" s="1"/>
      <c r="D1463" s="1"/>
      <c r="E1463" s="1" t="str">
        <f ca="1">IFERROR(__xludf.DUMMYFUNCTION("""COMPUTED_VALUE"""),"-")</f>
        <v>-</v>
      </c>
      <c r="F1463" s="1"/>
      <c r="G1463" s="1" t="str">
        <f ca="1">IFERROR(__xludf.DUMMYFUNCTION("""COMPUTED_VALUE"""),"-")</f>
        <v>-</v>
      </c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</row>
    <row r="1464" spans="1:26" x14ac:dyDescent="0.2">
      <c r="A1464" s="1"/>
      <c r="B1464" s="1"/>
      <c r="C1464" s="1"/>
      <c r="D1464" s="1"/>
      <c r="E1464" s="1" t="str">
        <f ca="1">IFERROR(__xludf.DUMMYFUNCTION("""COMPUTED_VALUE"""),"-")</f>
        <v>-</v>
      </c>
      <c r="F1464" s="1"/>
      <c r="G1464" s="1" t="str">
        <f ca="1">IFERROR(__xludf.DUMMYFUNCTION("""COMPUTED_VALUE"""),"-")</f>
        <v>-</v>
      </c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</row>
    <row r="1465" spans="1:26" x14ac:dyDescent="0.2">
      <c r="A1465" s="1"/>
      <c r="B1465" s="1"/>
      <c r="C1465" s="1"/>
      <c r="D1465" s="1"/>
      <c r="E1465" s="1" t="str">
        <f ca="1">IFERROR(__xludf.DUMMYFUNCTION("""COMPUTED_VALUE"""),"-")</f>
        <v>-</v>
      </c>
      <c r="F1465" s="1"/>
      <c r="G1465" s="1" t="str">
        <f ca="1">IFERROR(__xludf.DUMMYFUNCTION("""COMPUTED_VALUE"""),"-")</f>
        <v>-</v>
      </c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</row>
    <row r="1466" spans="1:26" x14ac:dyDescent="0.2">
      <c r="A1466" s="1"/>
      <c r="B1466" s="1"/>
      <c r="C1466" s="1"/>
      <c r="D1466" s="1"/>
      <c r="E1466" s="1" t="str">
        <f ca="1">IFERROR(__xludf.DUMMYFUNCTION("""COMPUTED_VALUE"""),"-")</f>
        <v>-</v>
      </c>
      <c r="F1466" s="1"/>
      <c r="G1466" s="1" t="str">
        <f ca="1">IFERROR(__xludf.DUMMYFUNCTION("""COMPUTED_VALUE"""),"-")</f>
        <v>-</v>
      </c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</row>
    <row r="1467" spans="1:26" x14ac:dyDescent="0.2">
      <c r="A1467" s="1"/>
      <c r="B1467" s="1"/>
      <c r="C1467" s="1"/>
      <c r="D1467" s="1"/>
      <c r="E1467" s="1" t="str">
        <f ca="1">IFERROR(__xludf.DUMMYFUNCTION("""COMPUTED_VALUE"""),"-")</f>
        <v>-</v>
      </c>
      <c r="F1467" s="1"/>
      <c r="G1467" s="1" t="str">
        <f ca="1">IFERROR(__xludf.DUMMYFUNCTION("""COMPUTED_VALUE"""),"-")</f>
        <v>-</v>
      </c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</row>
    <row r="1468" spans="1:26" x14ac:dyDescent="0.2">
      <c r="A1468" s="1"/>
      <c r="B1468" s="1"/>
      <c r="C1468" s="1"/>
      <c r="D1468" s="1"/>
      <c r="E1468" s="1" t="str">
        <f ca="1">IFERROR(__xludf.DUMMYFUNCTION("""COMPUTED_VALUE"""),"-")</f>
        <v>-</v>
      </c>
      <c r="F1468" s="1"/>
      <c r="G1468" s="1" t="str">
        <f ca="1">IFERROR(__xludf.DUMMYFUNCTION("""COMPUTED_VALUE"""),"-")</f>
        <v>-</v>
      </c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</row>
    <row r="1469" spans="1:26" x14ac:dyDescent="0.2">
      <c r="A1469" s="1"/>
      <c r="B1469" s="1"/>
      <c r="C1469" s="1"/>
      <c r="D1469" s="1"/>
      <c r="E1469" s="1" t="str">
        <f ca="1">IFERROR(__xludf.DUMMYFUNCTION("""COMPUTED_VALUE"""),"-")</f>
        <v>-</v>
      </c>
      <c r="F1469" s="1"/>
      <c r="G1469" s="1" t="str">
        <f ca="1">IFERROR(__xludf.DUMMYFUNCTION("""COMPUTED_VALUE"""),"-")</f>
        <v>-</v>
      </c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</row>
    <row r="1470" spans="1:26" x14ac:dyDescent="0.2">
      <c r="A1470" s="1"/>
      <c r="B1470" s="1"/>
      <c r="C1470" s="1"/>
      <c r="D1470" s="1"/>
      <c r="E1470" s="1" t="str">
        <f ca="1">IFERROR(__xludf.DUMMYFUNCTION("""COMPUTED_VALUE"""),"-")</f>
        <v>-</v>
      </c>
      <c r="F1470" s="1"/>
      <c r="G1470" s="1" t="str">
        <f ca="1">IFERROR(__xludf.DUMMYFUNCTION("""COMPUTED_VALUE"""),"-")</f>
        <v>-</v>
      </c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</row>
    <row r="1471" spans="1:26" x14ac:dyDescent="0.2">
      <c r="A1471" s="1"/>
      <c r="B1471" s="1"/>
      <c r="C1471" s="1"/>
      <c r="D1471" s="1"/>
      <c r="E1471" s="1" t="str">
        <f ca="1">IFERROR(__xludf.DUMMYFUNCTION("""COMPUTED_VALUE"""),"-")</f>
        <v>-</v>
      </c>
      <c r="F1471" s="1"/>
      <c r="G1471" s="1" t="str">
        <f ca="1">IFERROR(__xludf.DUMMYFUNCTION("""COMPUTED_VALUE"""),"-")</f>
        <v>-</v>
      </c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</row>
    <row r="1472" spans="1:26" x14ac:dyDescent="0.2">
      <c r="A1472" s="1"/>
      <c r="B1472" s="1"/>
      <c r="C1472" s="1"/>
      <c r="D1472" s="1"/>
      <c r="E1472" s="1" t="str">
        <f ca="1">IFERROR(__xludf.DUMMYFUNCTION("""COMPUTED_VALUE"""),"-")</f>
        <v>-</v>
      </c>
      <c r="F1472" s="1"/>
      <c r="G1472" s="1" t="str">
        <f ca="1">IFERROR(__xludf.DUMMYFUNCTION("""COMPUTED_VALUE"""),"-")</f>
        <v>-</v>
      </c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</row>
    <row r="1473" spans="1:26" x14ac:dyDescent="0.2">
      <c r="A1473" s="1"/>
      <c r="B1473" s="1"/>
      <c r="C1473" s="1"/>
      <c r="D1473" s="1"/>
      <c r="E1473" s="1" t="str">
        <f ca="1">IFERROR(__xludf.DUMMYFUNCTION("""COMPUTED_VALUE"""),"-")</f>
        <v>-</v>
      </c>
      <c r="F1473" s="1"/>
      <c r="G1473" s="1" t="str">
        <f ca="1">IFERROR(__xludf.DUMMYFUNCTION("""COMPUTED_VALUE"""),"-")</f>
        <v>-</v>
      </c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</row>
    <row r="1474" spans="1:26" x14ac:dyDescent="0.2">
      <c r="A1474" s="1"/>
      <c r="B1474" s="1"/>
      <c r="C1474" s="1"/>
      <c r="D1474" s="1"/>
      <c r="E1474" s="1" t="str">
        <f ca="1">IFERROR(__xludf.DUMMYFUNCTION("""COMPUTED_VALUE"""),"-")</f>
        <v>-</v>
      </c>
      <c r="F1474" s="1"/>
      <c r="G1474" s="1" t="str">
        <f ca="1">IFERROR(__xludf.DUMMYFUNCTION("""COMPUTED_VALUE"""),"-")</f>
        <v>-</v>
      </c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</row>
    <row r="1475" spans="1:26" x14ac:dyDescent="0.2">
      <c r="A1475" s="1"/>
      <c r="B1475" s="1"/>
      <c r="C1475" s="1"/>
      <c r="D1475" s="1"/>
      <c r="E1475" s="1" t="str">
        <f ca="1">IFERROR(__xludf.DUMMYFUNCTION("""COMPUTED_VALUE"""),"-")</f>
        <v>-</v>
      </c>
      <c r="F1475" s="1"/>
      <c r="G1475" s="1" t="str">
        <f ca="1">IFERROR(__xludf.DUMMYFUNCTION("""COMPUTED_VALUE"""),"-")</f>
        <v>-</v>
      </c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</row>
    <row r="1476" spans="1:26" x14ac:dyDescent="0.2">
      <c r="A1476" s="1"/>
      <c r="B1476" s="1"/>
      <c r="C1476" s="1"/>
      <c r="D1476" s="1"/>
      <c r="E1476" s="1" t="str">
        <f ca="1">IFERROR(__xludf.DUMMYFUNCTION("""COMPUTED_VALUE"""),"-")</f>
        <v>-</v>
      </c>
      <c r="F1476" s="1"/>
      <c r="G1476" s="1" t="str">
        <f ca="1">IFERROR(__xludf.DUMMYFUNCTION("""COMPUTED_VALUE"""),"-")</f>
        <v>-</v>
      </c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</row>
    <row r="1477" spans="1:26" x14ac:dyDescent="0.2">
      <c r="A1477" s="1"/>
      <c r="B1477" s="1"/>
      <c r="C1477" s="1"/>
      <c r="D1477" s="1"/>
      <c r="E1477" s="1" t="str">
        <f ca="1">IFERROR(__xludf.DUMMYFUNCTION("""COMPUTED_VALUE"""),"-")</f>
        <v>-</v>
      </c>
      <c r="F1477" s="1"/>
      <c r="G1477" s="1" t="str">
        <f ca="1">IFERROR(__xludf.DUMMYFUNCTION("""COMPUTED_VALUE"""),"-")</f>
        <v>-</v>
      </c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</row>
    <row r="1478" spans="1:26" x14ac:dyDescent="0.2">
      <c r="A1478" s="1"/>
      <c r="B1478" s="1"/>
      <c r="C1478" s="1"/>
      <c r="D1478" s="1"/>
      <c r="E1478" s="1" t="str">
        <f ca="1">IFERROR(__xludf.DUMMYFUNCTION("""COMPUTED_VALUE"""),"-")</f>
        <v>-</v>
      </c>
      <c r="F1478" s="1"/>
      <c r="G1478" s="1" t="str">
        <f ca="1">IFERROR(__xludf.DUMMYFUNCTION("""COMPUTED_VALUE"""),"-")</f>
        <v>-</v>
      </c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</row>
    <row r="1479" spans="1:26" x14ac:dyDescent="0.2">
      <c r="A1479" s="1"/>
      <c r="B1479" s="1"/>
      <c r="C1479" s="1"/>
      <c r="D1479" s="1"/>
      <c r="E1479" s="1" t="str">
        <f ca="1">IFERROR(__xludf.DUMMYFUNCTION("""COMPUTED_VALUE"""),"-")</f>
        <v>-</v>
      </c>
      <c r="F1479" s="1"/>
      <c r="G1479" s="1" t="str">
        <f ca="1">IFERROR(__xludf.DUMMYFUNCTION("""COMPUTED_VALUE"""),"-")</f>
        <v>-</v>
      </c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</row>
    <row r="1480" spans="1:26" x14ac:dyDescent="0.2">
      <c r="A1480" s="1"/>
      <c r="B1480" s="1"/>
      <c r="C1480" s="1"/>
      <c r="D1480" s="1"/>
      <c r="E1480" s="1" t="str">
        <f ca="1">IFERROR(__xludf.DUMMYFUNCTION("""COMPUTED_VALUE"""),"-")</f>
        <v>-</v>
      </c>
      <c r="F1480" s="1"/>
      <c r="G1480" s="1" t="str">
        <f ca="1">IFERROR(__xludf.DUMMYFUNCTION("""COMPUTED_VALUE"""),"-")</f>
        <v>-</v>
      </c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</row>
    <row r="1481" spans="1:26" x14ac:dyDescent="0.2">
      <c r="A1481" s="1"/>
      <c r="B1481" s="1"/>
      <c r="C1481" s="1"/>
      <c r="D1481" s="1"/>
      <c r="E1481" s="1" t="str">
        <f ca="1">IFERROR(__xludf.DUMMYFUNCTION("""COMPUTED_VALUE"""),"-")</f>
        <v>-</v>
      </c>
      <c r="F1481" s="1"/>
      <c r="G1481" s="1" t="str">
        <f ca="1">IFERROR(__xludf.DUMMYFUNCTION("""COMPUTED_VALUE"""),"-")</f>
        <v>-</v>
      </c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</row>
    <row r="1482" spans="1:26" x14ac:dyDescent="0.2">
      <c r="A1482" s="1"/>
      <c r="B1482" s="1"/>
      <c r="C1482" s="1"/>
      <c r="D1482" s="1"/>
      <c r="E1482" s="1" t="str">
        <f ca="1">IFERROR(__xludf.DUMMYFUNCTION("""COMPUTED_VALUE"""),"-")</f>
        <v>-</v>
      </c>
      <c r="F1482" s="1"/>
      <c r="G1482" s="1" t="str">
        <f ca="1">IFERROR(__xludf.DUMMYFUNCTION("""COMPUTED_VALUE"""),"-")</f>
        <v>-</v>
      </c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</row>
    <row r="1483" spans="1:26" x14ac:dyDescent="0.2">
      <c r="A1483" s="1"/>
      <c r="B1483" s="1"/>
      <c r="C1483" s="1"/>
      <c r="D1483" s="1"/>
      <c r="E1483" s="1" t="str">
        <f ca="1">IFERROR(__xludf.DUMMYFUNCTION("""COMPUTED_VALUE"""),"-")</f>
        <v>-</v>
      </c>
      <c r="F1483" s="1"/>
      <c r="G1483" s="1" t="str">
        <f ca="1">IFERROR(__xludf.DUMMYFUNCTION("""COMPUTED_VALUE"""),"-")</f>
        <v>-</v>
      </c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</row>
    <row r="1484" spans="1:26" x14ac:dyDescent="0.2">
      <c r="A1484" s="1"/>
      <c r="B1484" s="1"/>
      <c r="C1484" s="1"/>
      <c r="D1484" s="1"/>
      <c r="E1484" s="1" t="str">
        <f ca="1">IFERROR(__xludf.DUMMYFUNCTION("""COMPUTED_VALUE"""),"-")</f>
        <v>-</v>
      </c>
      <c r="F1484" s="1"/>
      <c r="G1484" s="1" t="str">
        <f ca="1">IFERROR(__xludf.DUMMYFUNCTION("""COMPUTED_VALUE"""),"-")</f>
        <v>-</v>
      </c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</row>
    <row r="1485" spans="1:26" x14ac:dyDescent="0.2">
      <c r="A1485" s="1"/>
      <c r="B1485" s="1"/>
      <c r="C1485" s="1"/>
      <c r="D1485" s="1"/>
      <c r="E1485" s="1" t="str">
        <f ca="1">IFERROR(__xludf.DUMMYFUNCTION("""COMPUTED_VALUE"""),"-")</f>
        <v>-</v>
      </c>
      <c r="F1485" s="1"/>
      <c r="G1485" s="1" t="str">
        <f ca="1">IFERROR(__xludf.DUMMYFUNCTION("""COMPUTED_VALUE"""),"-")</f>
        <v>-</v>
      </c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</row>
    <row r="1486" spans="1:26" x14ac:dyDescent="0.2">
      <c r="A1486" s="1"/>
      <c r="B1486" s="1"/>
      <c r="C1486" s="1"/>
      <c r="D1486" s="1"/>
      <c r="E1486" s="1" t="str">
        <f ca="1">IFERROR(__xludf.DUMMYFUNCTION("""COMPUTED_VALUE"""),"-")</f>
        <v>-</v>
      </c>
      <c r="F1486" s="1"/>
      <c r="G1486" s="1" t="str">
        <f ca="1">IFERROR(__xludf.DUMMYFUNCTION("""COMPUTED_VALUE"""),"-")</f>
        <v>-</v>
      </c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</row>
    <row r="1487" spans="1:26" x14ac:dyDescent="0.2">
      <c r="A1487" s="1"/>
      <c r="B1487" s="1"/>
      <c r="C1487" s="1"/>
      <c r="D1487" s="1"/>
      <c r="E1487" s="1" t="str">
        <f ca="1">IFERROR(__xludf.DUMMYFUNCTION("""COMPUTED_VALUE"""),"-")</f>
        <v>-</v>
      </c>
      <c r="F1487" s="1"/>
      <c r="G1487" s="1" t="str">
        <f ca="1">IFERROR(__xludf.DUMMYFUNCTION("""COMPUTED_VALUE"""),"-")</f>
        <v>-</v>
      </c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</row>
    <row r="1488" spans="1:26" x14ac:dyDescent="0.2">
      <c r="A1488" s="1"/>
      <c r="B1488" s="1"/>
      <c r="C1488" s="1"/>
      <c r="D1488" s="1"/>
      <c r="E1488" s="1" t="str">
        <f ca="1">IFERROR(__xludf.DUMMYFUNCTION("""COMPUTED_VALUE"""),"-")</f>
        <v>-</v>
      </c>
      <c r="F1488" s="1"/>
      <c r="G1488" s="1" t="str">
        <f ca="1">IFERROR(__xludf.DUMMYFUNCTION("""COMPUTED_VALUE"""),"-")</f>
        <v>-</v>
      </c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</row>
    <row r="1489" spans="1:26" x14ac:dyDescent="0.2">
      <c r="A1489" s="1"/>
      <c r="B1489" s="1"/>
      <c r="C1489" s="1"/>
      <c r="D1489" s="1"/>
      <c r="E1489" s="1" t="str">
        <f ca="1">IFERROR(__xludf.DUMMYFUNCTION("""COMPUTED_VALUE"""),"-")</f>
        <v>-</v>
      </c>
      <c r="F1489" s="1"/>
      <c r="G1489" s="1" t="str">
        <f ca="1">IFERROR(__xludf.DUMMYFUNCTION("""COMPUTED_VALUE"""),"-")</f>
        <v>-</v>
      </c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</row>
    <row r="1490" spans="1:26" x14ac:dyDescent="0.2">
      <c r="A1490" s="1"/>
      <c r="B1490" s="1"/>
      <c r="C1490" s="1"/>
      <c r="D1490" s="1"/>
      <c r="E1490" s="1" t="str">
        <f ca="1">IFERROR(__xludf.DUMMYFUNCTION("""COMPUTED_VALUE"""),"-")</f>
        <v>-</v>
      </c>
      <c r="F1490" s="1"/>
      <c r="G1490" s="1" t="str">
        <f ca="1">IFERROR(__xludf.DUMMYFUNCTION("""COMPUTED_VALUE"""),"-")</f>
        <v>-</v>
      </c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</row>
    <row r="1491" spans="1:26" x14ac:dyDescent="0.2">
      <c r="A1491" s="1"/>
      <c r="B1491" s="1"/>
      <c r="C1491" s="1"/>
      <c r="D1491" s="1"/>
      <c r="E1491" s="1" t="str">
        <f ca="1">IFERROR(__xludf.DUMMYFUNCTION("""COMPUTED_VALUE"""),"-")</f>
        <v>-</v>
      </c>
      <c r="F1491" s="1"/>
      <c r="G1491" s="1" t="str">
        <f ca="1">IFERROR(__xludf.DUMMYFUNCTION("""COMPUTED_VALUE"""),"-")</f>
        <v>-</v>
      </c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</row>
    <row r="1492" spans="1:26" x14ac:dyDescent="0.2">
      <c r="A1492" s="1"/>
      <c r="B1492" s="1"/>
      <c r="C1492" s="1"/>
      <c r="D1492" s="1"/>
      <c r="E1492" s="1" t="str">
        <f ca="1">IFERROR(__xludf.DUMMYFUNCTION("""COMPUTED_VALUE"""),"-")</f>
        <v>-</v>
      </c>
      <c r="F1492" s="1"/>
      <c r="G1492" s="1" t="str">
        <f ca="1">IFERROR(__xludf.DUMMYFUNCTION("""COMPUTED_VALUE"""),"-")</f>
        <v>-</v>
      </c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</row>
    <row r="1493" spans="1:26" x14ac:dyDescent="0.2">
      <c r="A1493" s="1"/>
      <c r="B1493" s="1"/>
      <c r="C1493" s="1"/>
      <c r="D1493" s="1"/>
      <c r="E1493" s="1" t="str">
        <f ca="1">IFERROR(__xludf.DUMMYFUNCTION("""COMPUTED_VALUE"""),"-")</f>
        <v>-</v>
      </c>
      <c r="F1493" s="1"/>
      <c r="G1493" s="1" t="str">
        <f ca="1">IFERROR(__xludf.DUMMYFUNCTION("""COMPUTED_VALUE"""),"-")</f>
        <v>-</v>
      </c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</row>
    <row r="1494" spans="1:26" x14ac:dyDescent="0.2">
      <c r="A1494" s="1"/>
      <c r="B1494" s="1"/>
      <c r="C1494" s="1"/>
      <c r="D1494" s="1"/>
      <c r="E1494" s="1" t="str">
        <f ca="1">IFERROR(__xludf.DUMMYFUNCTION("""COMPUTED_VALUE"""),"-")</f>
        <v>-</v>
      </c>
      <c r="F1494" s="1"/>
      <c r="G1494" s="1" t="str">
        <f ca="1">IFERROR(__xludf.DUMMYFUNCTION("""COMPUTED_VALUE"""),"-")</f>
        <v>-</v>
      </c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</row>
    <row r="1495" spans="1:26" x14ac:dyDescent="0.2">
      <c r="A1495" s="1"/>
      <c r="B1495" s="1"/>
      <c r="C1495" s="1"/>
      <c r="D1495" s="1"/>
      <c r="E1495" s="1" t="str">
        <f ca="1">IFERROR(__xludf.DUMMYFUNCTION("""COMPUTED_VALUE"""),"-")</f>
        <v>-</v>
      </c>
      <c r="F1495" s="1"/>
      <c r="G1495" s="1" t="str">
        <f ca="1">IFERROR(__xludf.DUMMYFUNCTION("""COMPUTED_VALUE"""),"-")</f>
        <v>-</v>
      </c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</row>
    <row r="1496" spans="1:26" x14ac:dyDescent="0.2">
      <c r="A1496" s="1"/>
      <c r="B1496" s="1"/>
      <c r="C1496" s="1"/>
      <c r="D1496" s="1"/>
      <c r="E1496" s="1" t="str">
        <f ca="1">IFERROR(__xludf.DUMMYFUNCTION("""COMPUTED_VALUE"""),"-")</f>
        <v>-</v>
      </c>
      <c r="F1496" s="1"/>
      <c r="G1496" s="1" t="str">
        <f ca="1">IFERROR(__xludf.DUMMYFUNCTION("""COMPUTED_VALUE"""),"-")</f>
        <v>-</v>
      </c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</row>
    <row r="1497" spans="1:26" x14ac:dyDescent="0.2">
      <c r="A1497" s="1"/>
      <c r="B1497" s="1"/>
      <c r="C1497" s="1"/>
      <c r="D1497" s="1"/>
      <c r="E1497" s="1" t="str">
        <f ca="1">IFERROR(__xludf.DUMMYFUNCTION("""COMPUTED_VALUE"""),"-")</f>
        <v>-</v>
      </c>
      <c r="F1497" s="1"/>
      <c r="G1497" s="1" t="str">
        <f ca="1">IFERROR(__xludf.DUMMYFUNCTION("""COMPUTED_VALUE"""),"-")</f>
        <v>-</v>
      </c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</row>
    <row r="1498" spans="1:26" x14ac:dyDescent="0.2">
      <c r="A1498" s="1"/>
      <c r="B1498" s="1"/>
      <c r="C1498" s="1"/>
      <c r="D1498" s="1"/>
      <c r="E1498" s="1" t="str">
        <f ca="1">IFERROR(__xludf.DUMMYFUNCTION("""COMPUTED_VALUE"""),"-")</f>
        <v>-</v>
      </c>
      <c r="F1498" s="1"/>
      <c r="G1498" s="1" t="str">
        <f ca="1">IFERROR(__xludf.DUMMYFUNCTION("""COMPUTED_VALUE"""),"-")</f>
        <v>-</v>
      </c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</row>
    <row r="1499" spans="1:26" x14ac:dyDescent="0.2">
      <c r="A1499" s="1"/>
      <c r="B1499" s="1"/>
      <c r="C1499" s="1"/>
      <c r="D1499" s="1"/>
      <c r="E1499" s="1" t="str">
        <f ca="1">IFERROR(__xludf.DUMMYFUNCTION("""COMPUTED_VALUE"""),"-")</f>
        <v>-</v>
      </c>
      <c r="F1499" s="1"/>
      <c r="G1499" s="1" t="str">
        <f ca="1">IFERROR(__xludf.DUMMYFUNCTION("""COMPUTED_VALUE"""),"-")</f>
        <v>-</v>
      </c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</row>
    <row r="1500" spans="1:26" x14ac:dyDescent="0.2">
      <c r="A1500" s="1"/>
      <c r="B1500" s="1"/>
      <c r="C1500" s="1"/>
      <c r="D1500" s="1"/>
      <c r="E1500" s="1" t="str">
        <f ca="1">IFERROR(__xludf.DUMMYFUNCTION("""COMPUTED_VALUE"""),"-")</f>
        <v>-</v>
      </c>
      <c r="F1500" s="1"/>
      <c r="G1500" s="1" t="str">
        <f ca="1">IFERROR(__xludf.DUMMYFUNCTION("""COMPUTED_VALUE"""),"-")</f>
        <v>-</v>
      </c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</row>
    <row r="1501" spans="1:26" x14ac:dyDescent="0.2">
      <c r="A1501" s="1"/>
      <c r="B1501" s="1"/>
      <c r="C1501" s="1"/>
      <c r="D1501" s="1"/>
      <c r="E1501" s="1" t="str">
        <f ca="1">IFERROR(__xludf.DUMMYFUNCTION("""COMPUTED_VALUE"""),"-")</f>
        <v>-</v>
      </c>
      <c r="F1501" s="1"/>
      <c r="G1501" s="1" t="str">
        <f ca="1">IFERROR(__xludf.DUMMYFUNCTION("""COMPUTED_VALUE"""),"-")</f>
        <v>-</v>
      </c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</row>
    <row r="1502" spans="1:26" x14ac:dyDescent="0.2">
      <c r="A1502" s="1"/>
      <c r="B1502" s="1"/>
      <c r="C1502" s="1"/>
      <c r="D1502" s="1"/>
      <c r="E1502" s="1" t="str">
        <f ca="1">IFERROR(__xludf.DUMMYFUNCTION("""COMPUTED_VALUE"""),"-")</f>
        <v>-</v>
      </c>
      <c r="F1502" s="1"/>
      <c r="G1502" s="1" t="str">
        <f ca="1">IFERROR(__xludf.DUMMYFUNCTION("""COMPUTED_VALUE"""),"-")</f>
        <v>-</v>
      </c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</row>
    <row r="1503" spans="1:26" x14ac:dyDescent="0.2">
      <c r="A1503" s="1"/>
      <c r="B1503" s="1"/>
      <c r="C1503" s="1"/>
      <c r="D1503" s="1"/>
      <c r="E1503" s="1" t="str">
        <f ca="1">IFERROR(__xludf.DUMMYFUNCTION("""COMPUTED_VALUE"""),"-")</f>
        <v>-</v>
      </c>
      <c r="F1503" s="1"/>
      <c r="G1503" s="1" t="str">
        <f ca="1">IFERROR(__xludf.DUMMYFUNCTION("""COMPUTED_VALUE"""),"-")</f>
        <v>-</v>
      </c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</row>
    <row r="1504" spans="1:26" x14ac:dyDescent="0.2">
      <c r="A1504" s="1"/>
      <c r="B1504" s="1"/>
      <c r="C1504" s="1"/>
      <c r="D1504" s="1"/>
      <c r="E1504" s="1" t="str">
        <f ca="1">IFERROR(__xludf.DUMMYFUNCTION("""COMPUTED_VALUE"""),"-")</f>
        <v>-</v>
      </c>
      <c r="F1504" s="1"/>
      <c r="G1504" s="1" t="str">
        <f ca="1">IFERROR(__xludf.DUMMYFUNCTION("""COMPUTED_VALUE"""),"-")</f>
        <v>-</v>
      </c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</row>
    <row r="1505" spans="1:26" x14ac:dyDescent="0.2">
      <c r="A1505" s="1"/>
      <c r="B1505" s="1"/>
      <c r="C1505" s="1"/>
      <c r="D1505" s="1"/>
      <c r="E1505" s="1" t="str">
        <f ca="1">IFERROR(__xludf.DUMMYFUNCTION("""COMPUTED_VALUE"""),"-")</f>
        <v>-</v>
      </c>
      <c r="F1505" s="1"/>
      <c r="G1505" s="1" t="str">
        <f ca="1">IFERROR(__xludf.DUMMYFUNCTION("""COMPUTED_VALUE"""),"-")</f>
        <v>-</v>
      </c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</row>
    <row r="1506" spans="1:26" x14ac:dyDescent="0.2">
      <c r="A1506" s="1"/>
      <c r="B1506" s="1"/>
      <c r="C1506" s="1"/>
      <c r="D1506" s="1"/>
      <c r="E1506" s="1" t="str">
        <f ca="1">IFERROR(__xludf.DUMMYFUNCTION("""COMPUTED_VALUE"""),"-")</f>
        <v>-</v>
      </c>
      <c r="F1506" s="1"/>
      <c r="G1506" s="1" t="str">
        <f ca="1">IFERROR(__xludf.DUMMYFUNCTION("""COMPUTED_VALUE"""),"-")</f>
        <v>-</v>
      </c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</row>
    <row r="1507" spans="1:26" x14ac:dyDescent="0.2">
      <c r="A1507" s="1"/>
      <c r="B1507" s="1"/>
      <c r="C1507" s="1"/>
      <c r="D1507" s="1"/>
      <c r="E1507" s="1" t="str">
        <f ca="1">IFERROR(__xludf.DUMMYFUNCTION("""COMPUTED_VALUE"""),"-")</f>
        <v>-</v>
      </c>
      <c r="F1507" s="1"/>
      <c r="G1507" s="1" t="str">
        <f ca="1">IFERROR(__xludf.DUMMYFUNCTION("""COMPUTED_VALUE"""),"-")</f>
        <v>-</v>
      </c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</row>
    <row r="1508" spans="1:26" x14ac:dyDescent="0.2">
      <c r="A1508" s="1"/>
      <c r="B1508" s="1"/>
      <c r="C1508" s="1"/>
      <c r="D1508" s="1"/>
      <c r="E1508" s="1" t="str">
        <f ca="1">IFERROR(__xludf.DUMMYFUNCTION("""COMPUTED_VALUE"""),"-")</f>
        <v>-</v>
      </c>
      <c r="F1508" s="1"/>
      <c r="G1508" s="1" t="str">
        <f ca="1">IFERROR(__xludf.DUMMYFUNCTION("""COMPUTED_VALUE"""),"-")</f>
        <v>-</v>
      </c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</row>
    <row r="1509" spans="1:26" x14ac:dyDescent="0.2">
      <c r="A1509" s="1"/>
      <c r="B1509" s="1"/>
      <c r="C1509" s="1"/>
      <c r="D1509" s="1"/>
      <c r="E1509" s="1" t="str">
        <f ca="1">IFERROR(__xludf.DUMMYFUNCTION("""COMPUTED_VALUE"""),"-")</f>
        <v>-</v>
      </c>
      <c r="F1509" s="1"/>
      <c r="G1509" s="1" t="str">
        <f ca="1">IFERROR(__xludf.DUMMYFUNCTION("""COMPUTED_VALUE"""),"-")</f>
        <v>-</v>
      </c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</row>
    <row r="1510" spans="1:26" x14ac:dyDescent="0.2">
      <c r="A1510" s="1"/>
      <c r="B1510" s="1"/>
      <c r="C1510" s="1"/>
      <c r="D1510" s="1"/>
      <c r="E1510" s="1" t="str">
        <f ca="1">IFERROR(__xludf.DUMMYFUNCTION("""COMPUTED_VALUE"""),"-")</f>
        <v>-</v>
      </c>
      <c r="F1510" s="1"/>
      <c r="G1510" s="1" t="str">
        <f ca="1">IFERROR(__xludf.DUMMYFUNCTION("""COMPUTED_VALUE"""),"-")</f>
        <v>-</v>
      </c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</row>
    <row r="1511" spans="1:26" x14ac:dyDescent="0.2">
      <c r="A1511" s="1"/>
      <c r="B1511" s="1"/>
      <c r="C1511" s="1"/>
      <c r="D1511" s="1"/>
      <c r="E1511" s="1" t="str">
        <f ca="1">IFERROR(__xludf.DUMMYFUNCTION("""COMPUTED_VALUE"""),"-")</f>
        <v>-</v>
      </c>
      <c r="F1511" s="1"/>
      <c r="G1511" s="1" t="str">
        <f ca="1">IFERROR(__xludf.DUMMYFUNCTION("""COMPUTED_VALUE"""),"-")</f>
        <v>-</v>
      </c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</row>
    <row r="1512" spans="1:26" x14ac:dyDescent="0.2">
      <c r="A1512" s="1"/>
      <c r="B1512" s="1"/>
      <c r="C1512" s="1"/>
      <c r="D1512" s="1"/>
      <c r="E1512" s="1" t="str">
        <f ca="1">IFERROR(__xludf.DUMMYFUNCTION("""COMPUTED_VALUE"""),"-")</f>
        <v>-</v>
      </c>
      <c r="F1512" s="1"/>
      <c r="G1512" s="1" t="str">
        <f ca="1">IFERROR(__xludf.DUMMYFUNCTION("""COMPUTED_VALUE"""),"-")</f>
        <v>-</v>
      </c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</row>
    <row r="1513" spans="1:26" x14ac:dyDescent="0.2">
      <c r="A1513" s="1"/>
      <c r="B1513" s="1"/>
      <c r="C1513" s="1"/>
      <c r="D1513" s="1"/>
      <c r="E1513" s="1" t="str">
        <f ca="1">IFERROR(__xludf.DUMMYFUNCTION("""COMPUTED_VALUE"""),"-")</f>
        <v>-</v>
      </c>
      <c r="F1513" s="1"/>
      <c r="G1513" s="1" t="str">
        <f ca="1">IFERROR(__xludf.DUMMYFUNCTION("""COMPUTED_VALUE"""),"-")</f>
        <v>-</v>
      </c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</row>
    <row r="1514" spans="1:26" x14ac:dyDescent="0.2">
      <c r="A1514" s="1"/>
      <c r="B1514" s="1"/>
      <c r="C1514" s="1"/>
      <c r="D1514" s="1"/>
      <c r="E1514" s="1" t="str">
        <f ca="1">IFERROR(__xludf.DUMMYFUNCTION("""COMPUTED_VALUE"""),"-")</f>
        <v>-</v>
      </c>
      <c r="F1514" s="1"/>
      <c r="G1514" s="1" t="str">
        <f ca="1">IFERROR(__xludf.DUMMYFUNCTION("""COMPUTED_VALUE"""),"-")</f>
        <v>-</v>
      </c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</row>
    <row r="1515" spans="1:26" x14ac:dyDescent="0.2">
      <c r="A1515" s="1"/>
      <c r="B1515" s="1"/>
      <c r="C1515" s="1"/>
      <c r="D1515" s="1"/>
      <c r="E1515" s="1" t="str">
        <f ca="1">IFERROR(__xludf.DUMMYFUNCTION("""COMPUTED_VALUE"""),"-")</f>
        <v>-</v>
      </c>
      <c r="F1515" s="1"/>
      <c r="G1515" s="1" t="str">
        <f ca="1">IFERROR(__xludf.DUMMYFUNCTION("""COMPUTED_VALUE"""),"-")</f>
        <v>-</v>
      </c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</row>
    <row r="1516" spans="1:26" x14ac:dyDescent="0.2">
      <c r="A1516" s="1"/>
      <c r="B1516" s="1"/>
      <c r="C1516" s="1"/>
      <c r="D1516" s="1"/>
      <c r="E1516" s="1" t="str">
        <f ca="1">IFERROR(__xludf.DUMMYFUNCTION("""COMPUTED_VALUE"""),"-")</f>
        <v>-</v>
      </c>
      <c r="F1516" s="1"/>
      <c r="G1516" s="1" t="str">
        <f ca="1">IFERROR(__xludf.DUMMYFUNCTION("""COMPUTED_VALUE"""),"-")</f>
        <v>-</v>
      </c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</row>
    <row r="1517" spans="1:26" x14ac:dyDescent="0.2">
      <c r="A1517" s="1"/>
      <c r="B1517" s="1"/>
      <c r="C1517" s="1"/>
      <c r="D1517" s="1"/>
      <c r="E1517" s="1" t="str">
        <f ca="1">IFERROR(__xludf.DUMMYFUNCTION("""COMPUTED_VALUE"""),"-")</f>
        <v>-</v>
      </c>
      <c r="F1517" s="1"/>
      <c r="G1517" s="1" t="str">
        <f ca="1">IFERROR(__xludf.DUMMYFUNCTION("""COMPUTED_VALUE"""),"-")</f>
        <v>-</v>
      </c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</row>
    <row r="1518" spans="1:26" x14ac:dyDescent="0.2">
      <c r="A1518" s="1"/>
      <c r="B1518" s="1"/>
      <c r="C1518" s="1"/>
      <c r="D1518" s="1"/>
      <c r="E1518" s="1" t="str">
        <f ca="1">IFERROR(__xludf.DUMMYFUNCTION("""COMPUTED_VALUE"""),"-")</f>
        <v>-</v>
      </c>
      <c r="F1518" s="1"/>
      <c r="G1518" s="1" t="str">
        <f ca="1">IFERROR(__xludf.DUMMYFUNCTION("""COMPUTED_VALUE"""),"-")</f>
        <v>-</v>
      </c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</row>
    <row r="1519" spans="1:26" x14ac:dyDescent="0.2">
      <c r="A1519" s="1"/>
      <c r="B1519" s="1"/>
      <c r="C1519" s="1"/>
      <c r="D1519" s="1"/>
      <c r="E1519" s="1" t="str">
        <f ca="1">IFERROR(__xludf.DUMMYFUNCTION("""COMPUTED_VALUE"""),"-")</f>
        <v>-</v>
      </c>
      <c r="F1519" s="1"/>
      <c r="G1519" s="1" t="str">
        <f ca="1">IFERROR(__xludf.DUMMYFUNCTION("""COMPUTED_VALUE"""),"-")</f>
        <v>-</v>
      </c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</row>
    <row r="1520" spans="1:26" x14ac:dyDescent="0.2">
      <c r="A1520" s="1"/>
      <c r="B1520" s="1"/>
      <c r="C1520" s="1"/>
      <c r="D1520" s="1"/>
      <c r="E1520" s="1" t="str">
        <f ca="1">IFERROR(__xludf.DUMMYFUNCTION("""COMPUTED_VALUE"""),"-")</f>
        <v>-</v>
      </c>
      <c r="F1520" s="1"/>
      <c r="G1520" s="1" t="str">
        <f ca="1">IFERROR(__xludf.DUMMYFUNCTION("""COMPUTED_VALUE"""),"-")</f>
        <v>-</v>
      </c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</row>
    <row r="1521" spans="1:26" x14ac:dyDescent="0.2">
      <c r="A1521" s="1"/>
      <c r="B1521" s="1"/>
      <c r="C1521" s="1"/>
      <c r="D1521" s="1"/>
      <c r="E1521" s="1" t="str">
        <f ca="1">IFERROR(__xludf.DUMMYFUNCTION("""COMPUTED_VALUE"""),"-")</f>
        <v>-</v>
      </c>
      <c r="F1521" s="1"/>
      <c r="G1521" s="1" t="str">
        <f ca="1">IFERROR(__xludf.DUMMYFUNCTION("""COMPUTED_VALUE"""),"-")</f>
        <v>-</v>
      </c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</row>
    <row r="1522" spans="1:26" x14ac:dyDescent="0.2">
      <c r="A1522" s="1"/>
      <c r="B1522" s="1"/>
      <c r="C1522" s="1"/>
      <c r="D1522" s="1"/>
      <c r="E1522" s="1" t="str">
        <f ca="1">IFERROR(__xludf.DUMMYFUNCTION("""COMPUTED_VALUE"""),"-")</f>
        <v>-</v>
      </c>
      <c r="F1522" s="1"/>
      <c r="G1522" s="1" t="str">
        <f ca="1">IFERROR(__xludf.DUMMYFUNCTION("""COMPUTED_VALUE"""),"-")</f>
        <v>-</v>
      </c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</row>
    <row r="1523" spans="1:26" x14ac:dyDescent="0.2">
      <c r="A1523" s="1"/>
      <c r="B1523" s="1"/>
      <c r="C1523" s="1"/>
      <c r="D1523" s="1"/>
      <c r="E1523" s="1" t="str">
        <f ca="1">IFERROR(__xludf.DUMMYFUNCTION("""COMPUTED_VALUE"""),"-")</f>
        <v>-</v>
      </c>
      <c r="F1523" s="1"/>
      <c r="G1523" s="1" t="str">
        <f ca="1">IFERROR(__xludf.DUMMYFUNCTION("""COMPUTED_VALUE"""),"-")</f>
        <v>-</v>
      </c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</row>
    <row r="1524" spans="1:26" x14ac:dyDescent="0.2">
      <c r="A1524" s="1"/>
      <c r="B1524" s="1"/>
      <c r="C1524" s="1"/>
      <c r="D1524" s="1"/>
      <c r="E1524" s="1" t="str">
        <f ca="1">IFERROR(__xludf.DUMMYFUNCTION("""COMPUTED_VALUE"""),"-")</f>
        <v>-</v>
      </c>
      <c r="F1524" s="1"/>
      <c r="G1524" s="1" t="str">
        <f ca="1">IFERROR(__xludf.DUMMYFUNCTION("""COMPUTED_VALUE"""),"-")</f>
        <v>-</v>
      </c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</row>
    <row r="1525" spans="1:26" x14ac:dyDescent="0.2">
      <c r="A1525" s="1"/>
      <c r="B1525" s="1"/>
      <c r="C1525" s="1"/>
      <c r="D1525" s="1"/>
      <c r="E1525" s="1" t="str">
        <f ca="1">IFERROR(__xludf.DUMMYFUNCTION("""COMPUTED_VALUE"""),"-")</f>
        <v>-</v>
      </c>
      <c r="F1525" s="1"/>
      <c r="G1525" s="1" t="str">
        <f ca="1">IFERROR(__xludf.DUMMYFUNCTION("""COMPUTED_VALUE"""),"-")</f>
        <v>-</v>
      </c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</row>
    <row r="1526" spans="1:26" x14ac:dyDescent="0.2">
      <c r="A1526" s="1"/>
      <c r="B1526" s="1"/>
      <c r="C1526" s="1"/>
      <c r="D1526" s="1"/>
      <c r="E1526" s="1" t="str">
        <f ca="1">IFERROR(__xludf.DUMMYFUNCTION("""COMPUTED_VALUE"""),"-")</f>
        <v>-</v>
      </c>
      <c r="F1526" s="1"/>
      <c r="G1526" s="1" t="str">
        <f ca="1">IFERROR(__xludf.DUMMYFUNCTION("""COMPUTED_VALUE"""),"-")</f>
        <v>-</v>
      </c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</row>
    <row r="1527" spans="1:26" x14ac:dyDescent="0.2">
      <c r="A1527" s="1"/>
      <c r="B1527" s="1"/>
      <c r="C1527" s="1"/>
      <c r="D1527" s="1"/>
      <c r="E1527" s="1" t="str">
        <f ca="1">IFERROR(__xludf.DUMMYFUNCTION("""COMPUTED_VALUE"""),"-")</f>
        <v>-</v>
      </c>
      <c r="F1527" s="1"/>
      <c r="G1527" s="1" t="str">
        <f ca="1">IFERROR(__xludf.DUMMYFUNCTION("""COMPUTED_VALUE"""),"-")</f>
        <v>-</v>
      </c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</row>
    <row r="1528" spans="1:26" x14ac:dyDescent="0.2">
      <c r="A1528" s="1"/>
      <c r="B1528" s="1"/>
      <c r="C1528" s="1"/>
      <c r="D1528" s="1"/>
      <c r="E1528" s="1" t="str">
        <f ca="1">IFERROR(__xludf.DUMMYFUNCTION("""COMPUTED_VALUE"""),"-")</f>
        <v>-</v>
      </c>
      <c r="F1528" s="1"/>
      <c r="G1528" s="1" t="str">
        <f ca="1">IFERROR(__xludf.DUMMYFUNCTION("""COMPUTED_VALUE"""),"-")</f>
        <v>-</v>
      </c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</row>
    <row r="1529" spans="1:26" x14ac:dyDescent="0.2">
      <c r="A1529" s="1"/>
      <c r="B1529" s="1"/>
      <c r="C1529" s="1"/>
      <c r="D1529" s="1"/>
      <c r="E1529" s="1" t="str">
        <f ca="1">IFERROR(__xludf.DUMMYFUNCTION("""COMPUTED_VALUE"""),"-")</f>
        <v>-</v>
      </c>
      <c r="F1529" s="1"/>
      <c r="G1529" s="1" t="str">
        <f ca="1">IFERROR(__xludf.DUMMYFUNCTION("""COMPUTED_VALUE"""),"-")</f>
        <v>-</v>
      </c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</row>
    <row r="1530" spans="1:26" x14ac:dyDescent="0.2">
      <c r="A1530" s="1"/>
      <c r="B1530" s="1"/>
      <c r="C1530" s="1"/>
      <c r="D1530" s="1"/>
      <c r="E1530" s="1" t="str">
        <f ca="1">IFERROR(__xludf.DUMMYFUNCTION("""COMPUTED_VALUE"""),"-")</f>
        <v>-</v>
      </c>
      <c r="F1530" s="1"/>
      <c r="G1530" s="1" t="str">
        <f ca="1">IFERROR(__xludf.DUMMYFUNCTION("""COMPUTED_VALUE"""),"-")</f>
        <v>-</v>
      </c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</row>
    <row r="1531" spans="1:26" x14ac:dyDescent="0.2">
      <c r="A1531" s="1"/>
      <c r="B1531" s="1"/>
      <c r="C1531" s="1"/>
      <c r="D1531" s="1"/>
      <c r="E1531" s="1" t="str">
        <f ca="1">IFERROR(__xludf.DUMMYFUNCTION("""COMPUTED_VALUE"""),"-")</f>
        <v>-</v>
      </c>
      <c r="F1531" s="1"/>
      <c r="G1531" s="1" t="str">
        <f ca="1">IFERROR(__xludf.DUMMYFUNCTION("""COMPUTED_VALUE"""),"-")</f>
        <v>-</v>
      </c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</row>
    <row r="1532" spans="1:26" x14ac:dyDescent="0.2">
      <c r="A1532" s="1"/>
      <c r="B1532" s="1"/>
      <c r="C1532" s="1"/>
      <c r="D1532" s="1"/>
      <c r="E1532" s="1" t="str">
        <f ca="1">IFERROR(__xludf.DUMMYFUNCTION("""COMPUTED_VALUE"""),"-")</f>
        <v>-</v>
      </c>
      <c r="F1532" s="1"/>
      <c r="G1532" s="1" t="str">
        <f ca="1">IFERROR(__xludf.DUMMYFUNCTION("""COMPUTED_VALUE"""),"-")</f>
        <v>-</v>
      </c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</row>
    <row r="1533" spans="1:26" x14ac:dyDescent="0.2">
      <c r="A1533" s="1"/>
      <c r="B1533" s="1"/>
      <c r="C1533" s="1"/>
      <c r="D1533" s="1"/>
      <c r="E1533" s="1" t="str">
        <f ca="1">IFERROR(__xludf.DUMMYFUNCTION("""COMPUTED_VALUE"""),"-")</f>
        <v>-</v>
      </c>
      <c r="F1533" s="1"/>
      <c r="G1533" s="1" t="str">
        <f ca="1">IFERROR(__xludf.DUMMYFUNCTION("""COMPUTED_VALUE"""),"-")</f>
        <v>-</v>
      </c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</row>
    <row r="1534" spans="1:26" x14ac:dyDescent="0.2">
      <c r="A1534" s="1"/>
      <c r="B1534" s="1"/>
      <c r="C1534" s="1"/>
      <c r="D1534" s="1"/>
      <c r="E1534" s="1" t="str">
        <f ca="1">IFERROR(__xludf.DUMMYFUNCTION("""COMPUTED_VALUE"""),"-")</f>
        <v>-</v>
      </c>
      <c r="F1534" s="1"/>
      <c r="G1534" s="1" t="str">
        <f ca="1">IFERROR(__xludf.DUMMYFUNCTION("""COMPUTED_VALUE"""),"-")</f>
        <v>-</v>
      </c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</row>
    <row r="1535" spans="1:26" x14ac:dyDescent="0.2">
      <c r="A1535" s="1"/>
      <c r="B1535" s="1"/>
      <c r="C1535" s="1"/>
      <c r="D1535" s="1"/>
      <c r="E1535" s="1" t="str">
        <f ca="1">IFERROR(__xludf.DUMMYFUNCTION("""COMPUTED_VALUE"""),"-")</f>
        <v>-</v>
      </c>
      <c r="F1535" s="1"/>
      <c r="G1535" s="1" t="str">
        <f ca="1">IFERROR(__xludf.DUMMYFUNCTION("""COMPUTED_VALUE"""),"-")</f>
        <v>-</v>
      </c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</row>
    <row r="1536" spans="1:26" x14ac:dyDescent="0.2">
      <c r="A1536" s="1"/>
      <c r="B1536" s="1"/>
      <c r="C1536" s="1"/>
      <c r="D1536" s="1"/>
      <c r="E1536" s="1" t="str">
        <f ca="1">IFERROR(__xludf.DUMMYFUNCTION("""COMPUTED_VALUE"""),"-")</f>
        <v>-</v>
      </c>
      <c r="F1536" s="1"/>
      <c r="G1536" s="1" t="str">
        <f ca="1">IFERROR(__xludf.DUMMYFUNCTION("""COMPUTED_VALUE"""),"-")</f>
        <v>-</v>
      </c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</row>
    <row r="1537" spans="1:26" x14ac:dyDescent="0.2">
      <c r="A1537" s="1"/>
      <c r="B1537" s="1"/>
      <c r="C1537" s="1"/>
      <c r="D1537" s="1"/>
      <c r="E1537" s="1" t="str">
        <f ca="1">IFERROR(__xludf.DUMMYFUNCTION("""COMPUTED_VALUE"""),"-")</f>
        <v>-</v>
      </c>
      <c r="F1537" s="1"/>
      <c r="G1537" s="1" t="str">
        <f ca="1">IFERROR(__xludf.DUMMYFUNCTION("""COMPUTED_VALUE"""),"-")</f>
        <v>-</v>
      </c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</row>
    <row r="1538" spans="1:26" x14ac:dyDescent="0.2">
      <c r="A1538" s="1"/>
      <c r="B1538" s="1"/>
      <c r="C1538" s="1"/>
      <c r="D1538" s="1"/>
      <c r="E1538" s="1" t="str">
        <f ca="1">IFERROR(__xludf.DUMMYFUNCTION("""COMPUTED_VALUE"""),"-")</f>
        <v>-</v>
      </c>
      <c r="F1538" s="1"/>
      <c r="G1538" s="1" t="str">
        <f ca="1">IFERROR(__xludf.DUMMYFUNCTION("""COMPUTED_VALUE"""),"-")</f>
        <v>-</v>
      </c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</row>
    <row r="1539" spans="1:26" x14ac:dyDescent="0.2">
      <c r="A1539" s="1"/>
      <c r="B1539" s="1"/>
      <c r="C1539" s="1"/>
      <c r="D1539" s="1"/>
      <c r="E1539" s="1" t="str">
        <f ca="1">IFERROR(__xludf.DUMMYFUNCTION("""COMPUTED_VALUE"""),"-")</f>
        <v>-</v>
      </c>
      <c r="F1539" s="1"/>
      <c r="G1539" s="1" t="str">
        <f ca="1">IFERROR(__xludf.DUMMYFUNCTION("""COMPUTED_VALUE"""),"-")</f>
        <v>-</v>
      </c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</row>
    <row r="1540" spans="1:26" x14ac:dyDescent="0.2">
      <c r="A1540" s="1"/>
      <c r="B1540" s="1"/>
      <c r="C1540" s="1"/>
      <c r="D1540" s="1"/>
      <c r="E1540" s="1" t="str">
        <f ca="1">IFERROR(__xludf.DUMMYFUNCTION("""COMPUTED_VALUE"""),"-")</f>
        <v>-</v>
      </c>
      <c r="F1540" s="1"/>
      <c r="G1540" s="1" t="str">
        <f ca="1">IFERROR(__xludf.DUMMYFUNCTION("""COMPUTED_VALUE"""),"-")</f>
        <v>-</v>
      </c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</row>
    <row r="1541" spans="1:26" x14ac:dyDescent="0.2">
      <c r="A1541" s="1"/>
      <c r="B1541" s="1"/>
      <c r="C1541" s="1"/>
      <c r="D1541" s="1"/>
      <c r="E1541" s="1" t="str">
        <f ca="1">IFERROR(__xludf.DUMMYFUNCTION("""COMPUTED_VALUE"""),"-")</f>
        <v>-</v>
      </c>
      <c r="F1541" s="1"/>
      <c r="G1541" s="1" t="str">
        <f ca="1">IFERROR(__xludf.DUMMYFUNCTION("""COMPUTED_VALUE"""),"-")</f>
        <v>-</v>
      </c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</row>
    <row r="1542" spans="1:26" x14ac:dyDescent="0.2">
      <c r="A1542" s="1"/>
      <c r="B1542" s="1"/>
      <c r="C1542" s="1"/>
      <c r="D1542" s="1"/>
      <c r="E1542" s="1" t="str">
        <f ca="1">IFERROR(__xludf.DUMMYFUNCTION("""COMPUTED_VALUE"""),"-")</f>
        <v>-</v>
      </c>
      <c r="F1542" s="1"/>
      <c r="G1542" s="1" t="str">
        <f ca="1">IFERROR(__xludf.DUMMYFUNCTION("""COMPUTED_VALUE"""),"-")</f>
        <v>-</v>
      </c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</row>
    <row r="1543" spans="1:26" x14ac:dyDescent="0.2">
      <c r="A1543" s="1"/>
      <c r="B1543" s="1"/>
      <c r="C1543" s="1"/>
      <c r="D1543" s="1"/>
      <c r="E1543" s="1" t="str">
        <f ca="1">IFERROR(__xludf.DUMMYFUNCTION("""COMPUTED_VALUE"""),"-")</f>
        <v>-</v>
      </c>
      <c r="F1543" s="1"/>
      <c r="G1543" s="1" t="str">
        <f ca="1">IFERROR(__xludf.DUMMYFUNCTION("""COMPUTED_VALUE"""),"-")</f>
        <v>-</v>
      </c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</row>
    <row r="1544" spans="1:26" x14ac:dyDescent="0.2">
      <c r="A1544" s="1"/>
      <c r="B1544" s="1"/>
      <c r="C1544" s="1"/>
      <c r="D1544" s="1"/>
      <c r="E1544" s="1" t="str">
        <f ca="1">IFERROR(__xludf.DUMMYFUNCTION("""COMPUTED_VALUE"""),"-")</f>
        <v>-</v>
      </c>
      <c r="F1544" s="1"/>
      <c r="G1544" s="1" t="str">
        <f ca="1">IFERROR(__xludf.DUMMYFUNCTION("""COMPUTED_VALUE"""),"-")</f>
        <v>-</v>
      </c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</row>
    <row r="1545" spans="1:26" x14ac:dyDescent="0.2">
      <c r="A1545" s="1"/>
      <c r="B1545" s="1"/>
      <c r="C1545" s="1"/>
      <c r="D1545" s="1"/>
      <c r="E1545" s="1" t="str">
        <f ca="1">IFERROR(__xludf.DUMMYFUNCTION("""COMPUTED_VALUE"""),"-")</f>
        <v>-</v>
      </c>
      <c r="F1545" s="1"/>
      <c r="G1545" s="1" t="str">
        <f ca="1">IFERROR(__xludf.DUMMYFUNCTION("""COMPUTED_VALUE"""),"-")</f>
        <v>-</v>
      </c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</row>
    <row r="1546" spans="1:26" x14ac:dyDescent="0.2">
      <c r="A1546" s="1"/>
      <c r="B1546" s="1"/>
      <c r="C1546" s="1"/>
      <c r="D1546" s="1"/>
      <c r="E1546" s="1" t="str">
        <f ca="1">IFERROR(__xludf.DUMMYFUNCTION("""COMPUTED_VALUE"""),"-")</f>
        <v>-</v>
      </c>
      <c r="F1546" s="1"/>
      <c r="G1546" s="1" t="str">
        <f ca="1">IFERROR(__xludf.DUMMYFUNCTION("""COMPUTED_VALUE"""),"-")</f>
        <v>-</v>
      </c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</row>
    <row r="1547" spans="1:26" x14ac:dyDescent="0.2">
      <c r="A1547" s="1"/>
      <c r="B1547" s="1"/>
      <c r="C1547" s="1"/>
      <c r="D1547" s="1"/>
      <c r="E1547" s="1" t="str">
        <f ca="1">IFERROR(__xludf.DUMMYFUNCTION("""COMPUTED_VALUE"""),"-")</f>
        <v>-</v>
      </c>
      <c r="F1547" s="1"/>
      <c r="G1547" s="1" t="str">
        <f ca="1">IFERROR(__xludf.DUMMYFUNCTION("""COMPUTED_VALUE"""),"-")</f>
        <v>-</v>
      </c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</row>
    <row r="1548" spans="1:26" x14ac:dyDescent="0.2">
      <c r="A1548" s="1"/>
      <c r="B1548" s="1"/>
      <c r="C1548" s="1"/>
      <c r="D1548" s="1"/>
      <c r="E1548" s="1" t="str">
        <f ca="1">IFERROR(__xludf.DUMMYFUNCTION("""COMPUTED_VALUE"""),"-")</f>
        <v>-</v>
      </c>
      <c r="F1548" s="1"/>
      <c r="G1548" s="1" t="str">
        <f ca="1">IFERROR(__xludf.DUMMYFUNCTION("""COMPUTED_VALUE"""),"-")</f>
        <v>-</v>
      </c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</row>
    <row r="1549" spans="1:26" x14ac:dyDescent="0.2">
      <c r="A1549" s="1"/>
      <c r="B1549" s="1"/>
      <c r="C1549" s="1"/>
      <c r="D1549" s="1"/>
      <c r="E1549" s="1" t="str">
        <f ca="1">IFERROR(__xludf.DUMMYFUNCTION("""COMPUTED_VALUE"""),"-")</f>
        <v>-</v>
      </c>
      <c r="F1549" s="1"/>
      <c r="G1549" s="1" t="str">
        <f ca="1">IFERROR(__xludf.DUMMYFUNCTION("""COMPUTED_VALUE"""),"-")</f>
        <v>-</v>
      </c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</row>
    <row r="1550" spans="1:26" x14ac:dyDescent="0.2">
      <c r="A1550" s="1"/>
      <c r="B1550" s="1"/>
      <c r="C1550" s="1"/>
      <c r="D1550" s="1"/>
      <c r="E1550" s="1" t="str">
        <f ca="1">IFERROR(__xludf.DUMMYFUNCTION("""COMPUTED_VALUE"""),"-")</f>
        <v>-</v>
      </c>
      <c r="F1550" s="1"/>
      <c r="G1550" s="1" t="str">
        <f ca="1">IFERROR(__xludf.DUMMYFUNCTION("""COMPUTED_VALUE"""),"-")</f>
        <v>-</v>
      </c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</row>
    <row r="1551" spans="1:26" x14ac:dyDescent="0.2">
      <c r="A1551" s="1"/>
      <c r="B1551" s="1"/>
      <c r="C1551" s="1"/>
      <c r="D1551" s="1"/>
      <c r="E1551" s="1" t="str">
        <f ca="1">IFERROR(__xludf.DUMMYFUNCTION("""COMPUTED_VALUE"""),"-")</f>
        <v>-</v>
      </c>
      <c r="F1551" s="1"/>
      <c r="G1551" s="1" t="str">
        <f ca="1">IFERROR(__xludf.DUMMYFUNCTION("""COMPUTED_VALUE"""),"-")</f>
        <v>-</v>
      </c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</row>
    <row r="1552" spans="1:26" x14ac:dyDescent="0.2">
      <c r="A1552" s="1"/>
      <c r="B1552" s="1"/>
      <c r="C1552" s="1"/>
      <c r="D1552" s="1"/>
      <c r="E1552" s="1" t="str">
        <f ca="1">IFERROR(__xludf.DUMMYFUNCTION("""COMPUTED_VALUE"""),"-")</f>
        <v>-</v>
      </c>
      <c r="F1552" s="1"/>
      <c r="G1552" s="1" t="str">
        <f ca="1">IFERROR(__xludf.DUMMYFUNCTION("""COMPUTED_VALUE"""),"-")</f>
        <v>-</v>
      </c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</row>
    <row r="1553" spans="1:26" x14ac:dyDescent="0.2">
      <c r="A1553" s="1"/>
      <c r="B1553" s="1"/>
      <c r="C1553" s="1"/>
      <c r="D1553" s="1"/>
      <c r="E1553" s="1" t="str">
        <f ca="1">IFERROR(__xludf.DUMMYFUNCTION("""COMPUTED_VALUE"""),"-")</f>
        <v>-</v>
      </c>
      <c r="F1553" s="1"/>
      <c r="G1553" s="1" t="str">
        <f ca="1">IFERROR(__xludf.DUMMYFUNCTION("""COMPUTED_VALUE"""),"-")</f>
        <v>-</v>
      </c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</row>
    <row r="1554" spans="1:26" x14ac:dyDescent="0.2">
      <c r="A1554" s="1"/>
      <c r="B1554" s="1"/>
      <c r="C1554" s="1"/>
      <c r="D1554" s="1"/>
      <c r="E1554" s="1" t="str">
        <f ca="1">IFERROR(__xludf.DUMMYFUNCTION("""COMPUTED_VALUE"""),"-")</f>
        <v>-</v>
      </c>
      <c r="F1554" s="1"/>
      <c r="G1554" s="1" t="str">
        <f ca="1">IFERROR(__xludf.DUMMYFUNCTION("""COMPUTED_VALUE"""),"-")</f>
        <v>-</v>
      </c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</row>
    <row r="1555" spans="1:26" x14ac:dyDescent="0.2">
      <c r="A1555" s="1"/>
      <c r="B1555" s="1"/>
      <c r="C1555" s="1"/>
      <c r="D1555" s="1"/>
      <c r="E1555" s="1" t="str">
        <f ca="1">IFERROR(__xludf.DUMMYFUNCTION("""COMPUTED_VALUE"""),"-")</f>
        <v>-</v>
      </c>
      <c r="F1555" s="1"/>
      <c r="G1555" s="1" t="str">
        <f ca="1">IFERROR(__xludf.DUMMYFUNCTION("""COMPUTED_VALUE"""),"-")</f>
        <v>-</v>
      </c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</row>
    <row r="1556" spans="1:26" x14ac:dyDescent="0.2">
      <c r="A1556" s="1"/>
      <c r="B1556" s="1"/>
      <c r="C1556" s="1"/>
      <c r="D1556" s="1"/>
      <c r="E1556" s="1" t="str">
        <f ca="1">IFERROR(__xludf.DUMMYFUNCTION("""COMPUTED_VALUE"""),"-")</f>
        <v>-</v>
      </c>
      <c r="F1556" s="1"/>
      <c r="G1556" s="1" t="str">
        <f ca="1">IFERROR(__xludf.DUMMYFUNCTION("""COMPUTED_VALUE"""),"-")</f>
        <v>-</v>
      </c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</row>
    <row r="1557" spans="1:26" x14ac:dyDescent="0.2">
      <c r="A1557" s="1"/>
      <c r="B1557" s="1"/>
      <c r="C1557" s="1"/>
      <c r="D1557" s="1"/>
      <c r="E1557" s="1" t="str">
        <f ca="1">IFERROR(__xludf.DUMMYFUNCTION("""COMPUTED_VALUE"""),"-")</f>
        <v>-</v>
      </c>
      <c r="F1557" s="1"/>
      <c r="G1557" s="1" t="str">
        <f ca="1">IFERROR(__xludf.DUMMYFUNCTION("""COMPUTED_VALUE"""),"-")</f>
        <v>-</v>
      </c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</row>
    <row r="1558" spans="1:26" x14ac:dyDescent="0.2">
      <c r="A1558" s="1"/>
      <c r="B1558" s="1"/>
      <c r="C1558" s="1"/>
      <c r="D1558" s="1"/>
      <c r="E1558" s="1" t="str">
        <f ca="1">IFERROR(__xludf.DUMMYFUNCTION("""COMPUTED_VALUE"""),"-")</f>
        <v>-</v>
      </c>
      <c r="F1558" s="1"/>
      <c r="G1558" s="1" t="str">
        <f ca="1">IFERROR(__xludf.DUMMYFUNCTION("""COMPUTED_VALUE"""),"-")</f>
        <v>-</v>
      </c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</row>
    <row r="1559" spans="1:26" x14ac:dyDescent="0.2">
      <c r="A1559" s="1"/>
      <c r="B1559" s="1"/>
      <c r="C1559" s="1"/>
      <c r="D1559" s="1"/>
      <c r="E1559" s="1" t="str">
        <f ca="1">IFERROR(__xludf.DUMMYFUNCTION("""COMPUTED_VALUE"""),"-")</f>
        <v>-</v>
      </c>
      <c r="F1559" s="1"/>
      <c r="G1559" s="1" t="str">
        <f ca="1">IFERROR(__xludf.DUMMYFUNCTION("""COMPUTED_VALUE"""),"-")</f>
        <v>-</v>
      </c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</row>
    <row r="1560" spans="1:26" x14ac:dyDescent="0.2">
      <c r="A1560" s="1"/>
      <c r="B1560" s="1"/>
      <c r="C1560" s="1"/>
      <c r="D1560" s="1"/>
      <c r="E1560" s="1" t="str">
        <f ca="1">IFERROR(__xludf.DUMMYFUNCTION("""COMPUTED_VALUE"""),"-")</f>
        <v>-</v>
      </c>
      <c r="F1560" s="1"/>
      <c r="G1560" s="1" t="str">
        <f ca="1">IFERROR(__xludf.DUMMYFUNCTION("""COMPUTED_VALUE"""),"-")</f>
        <v>-</v>
      </c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</row>
    <row r="1561" spans="1:26" x14ac:dyDescent="0.2">
      <c r="A1561" s="1"/>
      <c r="B1561" s="1"/>
      <c r="C1561" s="1"/>
      <c r="D1561" s="1"/>
      <c r="E1561" s="1" t="str">
        <f ca="1">IFERROR(__xludf.DUMMYFUNCTION("""COMPUTED_VALUE"""),"-")</f>
        <v>-</v>
      </c>
      <c r="F1561" s="1"/>
      <c r="G1561" s="1" t="str">
        <f ca="1">IFERROR(__xludf.DUMMYFUNCTION("""COMPUTED_VALUE"""),"-")</f>
        <v>-</v>
      </c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</row>
    <row r="1562" spans="1:26" x14ac:dyDescent="0.2">
      <c r="A1562" s="1"/>
      <c r="B1562" s="1"/>
      <c r="C1562" s="1"/>
      <c r="D1562" s="1"/>
      <c r="E1562" s="1" t="str">
        <f ca="1">IFERROR(__xludf.DUMMYFUNCTION("""COMPUTED_VALUE"""),"-")</f>
        <v>-</v>
      </c>
      <c r="F1562" s="1"/>
      <c r="G1562" s="1" t="str">
        <f ca="1">IFERROR(__xludf.DUMMYFUNCTION("""COMPUTED_VALUE"""),"-")</f>
        <v>-</v>
      </c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</row>
    <row r="1563" spans="1:26" x14ac:dyDescent="0.2">
      <c r="A1563" s="1"/>
      <c r="B1563" s="1"/>
      <c r="C1563" s="1"/>
      <c r="D1563" s="1"/>
      <c r="E1563" s="1" t="str">
        <f ca="1">IFERROR(__xludf.DUMMYFUNCTION("""COMPUTED_VALUE"""),"-")</f>
        <v>-</v>
      </c>
      <c r="F1563" s="1"/>
      <c r="G1563" s="1" t="str">
        <f ca="1">IFERROR(__xludf.DUMMYFUNCTION("""COMPUTED_VALUE"""),"-")</f>
        <v>-</v>
      </c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</row>
    <row r="1564" spans="1:26" x14ac:dyDescent="0.2">
      <c r="A1564" s="1"/>
      <c r="B1564" s="1"/>
      <c r="C1564" s="1"/>
      <c r="D1564" s="1"/>
      <c r="E1564" s="1" t="str">
        <f ca="1">IFERROR(__xludf.DUMMYFUNCTION("""COMPUTED_VALUE"""),"-")</f>
        <v>-</v>
      </c>
      <c r="F1564" s="1"/>
      <c r="G1564" s="1" t="str">
        <f ca="1">IFERROR(__xludf.DUMMYFUNCTION("""COMPUTED_VALUE"""),"-")</f>
        <v>-</v>
      </c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</row>
    <row r="1565" spans="1:26" x14ac:dyDescent="0.2">
      <c r="A1565" s="1"/>
      <c r="B1565" s="1"/>
      <c r="C1565" s="1"/>
      <c r="D1565" s="1"/>
      <c r="E1565" s="1" t="str">
        <f ca="1">IFERROR(__xludf.DUMMYFUNCTION("""COMPUTED_VALUE"""),"-")</f>
        <v>-</v>
      </c>
      <c r="F1565" s="1"/>
      <c r="G1565" s="1" t="str">
        <f ca="1">IFERROR(__xludf.DUMMYFUNCTION("""COMPUTED_VALUE"""),"-")</f>
        <v>-</v>
      </c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</row>
    <row r="1566" spans="1:26" x14ac:dyDescent="0.2">
      <c r="A1566" s="1"/>
      <c r="B1566" s="1"/>
      <c r="C1566" s="1"/>
      <c r="D1566" s="1"/>
      <c r="E1566" s="1" t="str">
        <f ca="1">IFERROR(__xludf.DUMMYFUNCTION("""COMPUTED_VALUE"""),"-")</f>
        <v>-</v>
      </c>
      <c r="F1566" s="1"/>
      <c r="G1566" s="1" t="str">
        <f ca="1">IFERROR(__xludf.DUMMYFUNCTION("""COMPUTED_VALUE"""),"-")</f>
        <v>-</v>
      </c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</row>
    <row r="1567" spans="1:26" x14ac:dyDescent="0.2">
      <c r="A1567" s="1"/>
      <c r="B1567" s="1"/>
      <c r="C1567" s="1"/>
      <c r="D1567" s="1"/>
      <c r="E1567" s="1" t="str">
        <f ca="1">IFERROR(__xludf.DUMMYFUNCTION("""COMPUTED_VALUE"""),"-")</f>
        <v>-</v>
      </c>
      <c r="F1567" s="1"/>
      <c r="G1567" s="1" t="str">
        <f ca="1">IFERROR(__xludf.DUMMYFUNCTION("""COMPUTED_VALUE"""),"-")</f>
        <v>-</v>
      </c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</row>
    <row r="1568" spans="1:26" x14ac:dyDescent="0.2">
      <c r="A1568" s="1"/>
      <c r="B1568" s="1"/>
      <c r="C1568" s="1"/>
      <c r="D1568" s="1"/>
      <c r="E1568" s="1" t="str">
        <f ca="1">IFERROR(__xludf.DUMMYFUNCTION("""COMPUTED_VALUE"""),"-")</f>
        <v>-</v>
      </c>
      <c r="F1568" s="1"/>
      <c r="G1568" s="1" t="str">
        <f ca="1">IFERROR(__xludf.DUMMYFUNCTION("""COMPUTED_VALUE"""),"-")</f>
        <v>-</v>
      </c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</row>
    <row r="1569" spans="1:26" x14ac:dyDescent="0.2">
      <c r="A1569" s="1"/>
      <c r="B1569" s="1"/>
      <c r="C1569" s="1"/>
      <c r="D1569" s="1"/>
      <c r="E1569" s="1" t="str">
        <f ca="1">IFERROR(__xludf.DUMMYFUNCTION("""COMPUTED_VALUE"""),"-")</f>
        <v>-</v>
      </c>
      <c r="F1569" s="1"/>
      <c r="G1569" s="1" t="str">
        <f ca="1">IFERROR(__xludf.DUMMYFUNCTION("""COMPUTED_VALUE"""),"-")</f>
        <v>-</v>
      </c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</row>
    <row r="1570" spans="1:26" x14ac:dyDescent="0.2">
      <c r="A1570" s="1"/>
      <c r="B1570" s="1"/>
      <c r="C1570" s="1"/>
      <c r="D1570" s="1"/>
      <c r="E1570" s="1" t="str">
        <f ca="1">IFERROR(__xludf.DUMMYFUNCTION("""COMPUTED_VALUE"""),"-")</f>
        <v>-</v>
      </c>
      <c r="F1570" s="1"/>
      <c r="G1570" s="1" t="str">
        <f ca="1">IFERROR(__xludf.DUMMYFUNCTION("""COMPUTED_VALUE"""),"-")</f>
        <v>-</v>
      </c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</row>
    <row r="1571" spans="1:26" x14ac:dyDescent="0.2">
      <c r="A1571" s="1"/>
      <c r="B1571" s="1"/>
      <c r="C1571" s="1"/>
      <c r="D1571" s="1"/>
      <c r="E1571" s="1" t="str">
        <f ca="1">IFERROR(__xludf.DUMMYFUNCTION("""COMPUTED_VALUE"""),"-")</f>
        <v>-</v>
      </c>
      <c r="F1571" s="1"/>
      <c r="G1571" s="1" t="str">
        <f ca="1">IFERROR(__xludf.DUMMYFUNCTION("""COMPUTED_VALUE"""),"-")</f>
        <v>-</v>
      </c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</row>
    <row r="1572" spans="1:26" x14ac:dyDescent="0.2">
      <c r="A1572" s="1"/>
      <c r="B1572" s="1"/>
      <c r="C1572" s="1"/>
      <c r="D1572" s="1"/>
      <c r="E1572" s="1" t="str">
        <f ca="1">IFERROR(__xludf.DUMMYFUNCTION("""COMPUTED_VALUE"""),"-")</f>
        <v>-</v>
      </c>
      <c r="F1572" s="1"/>
      <c r="G1572" s="1" t="str">
        <f ca="1">IFERROR(__xludf.DUMMYFUNCTION("""COMPUTED_VALUE"""),"-")</f>
        <v>-</v>
      </c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</row>
    <row r="1573" spans="1:26" x14ac:dyDescent="0.2">
      <c r="A1573" s="1"/>
      <c r="B1573" s="1"/>
      <c r="C1573" s="1"/>
      <c r="D1573" s="1"/>
      <c r="E1573" s="1" t="str">
        <f ca="1">IFERROR(__xludf.DUMMYFUNCTION("""COMPUTED_VALUE"""),"-")</f>
        <v>-</v>
      </c>
      <c r="F1573" s="1"/>
      <c r="G1573" s="1" t="str">
        <f ca="1">IFERROR(__xludf.DUMMYFUNCTION("""COMPUTED_VALUE"""),"-")</f>
        <v>-</v>
      </c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</row>
    <row r="1574" spans="1:26" x14ac:dyDescent="0.2">
      <c r="A1574" s="1"/>
      <c r="B1574" s="1"/>
      <c r="C1574" s="1"/>
      <c r="D1574" s="1"/>
      <c r="E1574" s="1" t="str">
        <f ca="1">IFERROR(__xludf.DUMMYFUNCTION("""COMPUTED_VALUE"""),"-")</f>
        <v>-</v>
      </c>
      <c r="F1574" s="1"/>
      <c r="G1574" s="1" t="str">
        <f ca="1">IFERROR(__xludf.DUMMYFUNCTION("""COMPUTED_VALUE"""),"-")</f>
        <v>-</v>
      </c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</row>
    <row r="1575" spans="1:26" x14ac:dyDescent="0.2">
      <c r="A1575" s="1"/>
      <c r="B1575" s="1"/>
      <c r="C1575" s="1"/>
      <c r="D1575" s="1"/>
      <c r="E1575" s="1" t="str">
        <f ca="1">IFERROR(__xludf.DUMMYFUNCTION("""COMPUTED_VALUE"""),"-")</f>
        <v>-</v>
      </c>
      <c r="F1575" s="1"/>
      <c r="G1575" s="1" t="str">
        <f ca="1">IFERROR(__xludf.DUMMYFUNCTION("""COMPUTED_VALUE"""),"-")</f>
        <v>-</v>
      </c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</row>
    <row r="1576" spans="1:26" x14ac:dyDescent="0.2">
      <c r="A1576" s="1"/>
      <c r="B1576" s="1"/>
      <c r="C1576" s="1"/>
      <c r="D1576" s="1"/>
      <c r="E1576" s="1" t="str">
        <f ca="1">IFERROR(__xludf.DUMMYFUNCTION("""COMPUTED_VALUE"""),"-")</f>
        <v>-</v>
      </c>
      <c r="F1576" s="1"/>
      <c r="G1576" s="1" t="str">
        <f ca="1">IFERROR(__xludf.DUMMYFUNCTION("""COMPUTED_VALUE"""),"-")</f>
        <v>-</v>
      </c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</row>
    <row r="1577" spans="1:26" x14ac:dyDescent="0.2">
      <c r="A1577" s="1"/>
      <c r="B1577" s="1"/>
      <c r="C1577" s="1"/>
      <c r="D1577" s="1"/>
      <c r="E1577" s="1" t="str">
        <f ca="1">IFERROR(__xludf.DUMMYFUNCTION("""COMPUTED_VALUE"""),"-")</f>
        <v>-</v>
      </c>
      <c r="F1577" s="1"/>
      <c r="G1577" s="1" t="str">
        <f ca="1">IFERROR(__xludf.DUMMYFUNCTION("""COMPUTED_VALUE"""),"-")</f>
        <v>-</v>
      </c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</row>
    <row r="1578" spans="1:26" x14ac:dyDescent="0.2">
      <c r="A1578" s="1"/>
      <c r="B1578" s="1"/>
      <c r="C1578" s="1"/>
      <c r="D1578" s="1"/>
      <c r="E1578" s="1" t="str">
        <f ca="1">IFERROR(__xludf.DUMMYFUNCTION("""COMPUTED_VALUE"""),"-")</f>
        <v>-</v>
      </c>
      <c r="F1578" s="1"/>
      <c r="G1578" s="1" t="str">
        <f ca="1">IFERROR(__xludf.DUMMYFUNCTION("""COMPUTED_VALUE"""),"-")</f>
        <v>-</v>
      </c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</row>
    <row r="1579" spans="1:26" x14ac:dyDescent="0.2">
      <c r="A1579" s="1"/>
      <c r="B1579" s="1"/>
      <c r="C1579" s="1"/>
      <c r="D1579" s="1"/>
      <c r="E1579" s="1" t="str">
        <f ca="1">IFERROR(__xludf.DUMMYFUNCTION("""COMPUTED_VALUE"""),"-")</f>
        <v>-</v>
      </c>
      <c r="F1579" s="1"/>
      <c r="G1579" s="1" t="str">
        <f ca="1">IFERROR(__xludf.DUMMYFUNCTION("""COMPUTED_VALUE"""),"-")</f>
        <v>-</v>
      </c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</row>
    <row r="1580" spans="1:26" x14ac:dyDescent="0.2">
      <c r="A1580" s="1"/>
      <c r="B1580" s="1"/>
      <c r="C1580" s="1"/>
      <c r="D1580" s="1"/>
      <c r="E1580" s="1" t="str">
        <f ca="1">IFERROR(__xludf.DUMMYFUNCTION("""COMPUTED_VALUE"""),"-")</f>
        <v>-</v>
      </c>
      <c r="F1580" s="1"/>
      <c r="G1580" s="1" t="str">
        <f ca="1">IFERROR(__xludf.DUMMYFUNCTION("""COMPUTED_VALUE"""),"-")</f>
        <v>-</v>
      </c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</row>
    <row r="1581" spans="1:26" x14ac:dyDescent="0.2">
      <c r="A1581" s="1"/>
      <c r="B1581" s="1"/>
      <c r="C1581" s="1"/>
      <c r="D1581" s="1"/>
      <c r="E1581" s="1" t="str">
        <f ca="1">IFERROR(__xludf.DUMMYFUNCTION("""COMPUTED_VALUE"""),"-")</f>
        <v>-</v>
      </c>
      <c r="F1581" s="1"/>
      <c r="G1581" s="1" t="str">
        <f ca="1">IFERROR(__xludf.DUMMYFUNCTION("""COMPUTED_VALUE"""),"-")</f>
        <v>-</v>
      </c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</row>
    <row r="1582" spans="1:26" x14ac:dyDescent="0.2">
      <c r="A1582" s="1"/>
      <c r="B1582" s="1"/>
      <c r="C1582" s="1"/>
      <c r="D1582" s="1"/>
      <c r="E1582" s="1" t="str">
        <f ca="1">IFERROR(__xludf.DUMMYFUNCTION("""COMPUTED_VALUE"""),"-")</f>
        <v>-</v>
      </c>
      <c r="F1582" s="1"/>
      <c r="G1582" s="1" t="str">
        <f ca="1">IFERROR(__xludf.DUMMYFUNCTION("""COMPUTED_VALUE"""),"-")</f>
        <v>-</v>
      </c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</row>
    <row r="1583" spans="1:26" x14ac:dyDescent="0.2">
      <c r="A1583" s="1"/>
      <c r="B1583" s="1"/>
      <c r="C1583" s="1"/>
      <c r="D1583" s="1"/>
      <c r="E1583" s="1" t="str">
        <f ca="1">IFERROR(__xludf.DUMMYFUNCTION("""COMPUTED_VALUE"""),"-")</f>
        <v>-</v>
      </c>
      <c r="F1583" s="1"/>
      <c r="G1583" s="1" t="str">
        <f ca="1">IFERROR(__xludf.DUMMYFUNCTION("""COMPUTED_VALUE"""),"-")</f>
        <v>-</v>
      </c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</row>
    <row r="1584" spans="1:26" x14ac:dyDescent="0.2">
      <c r="A1584" s="1"/>
      <c r="B1584" s="1"/>
      <c r="C1584" s="1"/>
      <c r="D1584" s="1"/>
      <c r="E1584" s="1" t="str">
        <f ca="1">IFERROR(__xludf.DUMMYFUNCTION("""COMPUTED_VALUE"""),"-")</f>
        <v>-</v>
      </c>
      <c r="F1584" s="1"/>
      <c r="G1584" s="1" t="str">
        <f ca="1">IFERROR(__xludf.DUMMYFUNCTION("""COMPUTED_VALUE"""),"-")</f>
        <v>-</v>
      </c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</row>
    <row r="1585" spans="1:26" x14ac:dyDescent="0.2">
      <c r="A1585" s="1"/>
      <c r="B1585" s="1"/>
      <c r="C1585" s="1"/>
      <c r="D1585" s="1"/>
      <c r="E1585" s="1" t="str">
        <f ca="1">IFERROR(__xludf.DUMMYFUNCTION("""COMPUTED_VALUE"""),"-")</f>
        <v>-</v>
      </c>
      <c r="F1585" s="1"/>
      <c r="G1585" s="1" t="str">
        <f ca="1">IFERROR(__xludf.DUMMYFUNCTION("""COMPUTED_VALUE"""),"-")</f>
        <v>-</v>
      </c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</row>
    <row r="1586" spans="1:26" x14ac:dyDescent="0.2">
      <c r="A1586" s="1"/>
      <c r="B1586" s="1"/>
      <c r="C1586" s="1"/>
      <c r="D1586" s="1"/>
      <c r="E1586" s="1" t="str">
        <f ca="1">IFERROR(__xludf.DUMMYFUNCTION("""COMPUTED_VALUE"""),"-")</f>
        <v>-</v>
      </c>
      <c r="F1586" s="1"/>
      <c r="G1586" s="1" t="str">
        <f ca="1">IFERROR(__xludf.DUMMYFUNCTION("""COMPUTED_VALUE"""),"-")</f>
        <v>-</v>
      </c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</row>
    <row r="1587" spans="1:26" x14ac:dyDescent="0.2">
      <c r="A1587" s="1"/>
      <c r="B1587" s="1"/>
      <c r="C1587" s="1"/>
      <c r="D1587" s="1"/>
      <c r="E1587" s="1" t="str">
        <f ca="1">IFERROR(__xludf.DUMMYFUNCTION("""COMPUTED_VALUE"""),"-")</f>
        <v>-</v>
      </c>
      <c r="F1587" s="1"/>
      <c r="G1587" s="1" t="str">
        <f ca="1">IFERROR(__xludf.DUMMYFUNCTION("""COMPUTED_VALUE"""),"-")</f>
        <v>-</v>
      </c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</row>
    <row r="1588" spans="1:26" x14ac:dyDescent="0.2">
      <c r="A1588" s="1"/>
      <c r="B1588" s="1"/>
      <c r="C1588" s="1"/>
      <c r="D1588" s="1"/>
      <c r="E1588" s="1" t="str">
        <f ca="1">IFERROR(__xludf.DUMMYFUNCTION("""COMPUTED_VALUE"""),"-")</f>
        <v>-</v>
      </c>
      <c r="F1588" s="1"/>
      <c r="G1588" s="1" t="str">
        <f ca="1">IFERROR(__xludf.DUMMYFUNCTION("""COMPUTED_VALUE"""),"-")</f>
        <v>-</v>
      </c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</row>
    <row r="1589" spans="1:26" x14ac:dyDescent="0.2">
      <c r="A1589" s="1"/>
      <c r="B1589" s="1"/>
      <c r="C1589" s="1"/>
      <c r="D1589" s="1"/>
      <c r="E1589" s="1" t="str">
        <f ca="1">IFERROR(__xludf.DUMMYFUNCTION("""COMPUTED_VALUE"""),"-")</f>
        <v>-</v>
      </c>
      <c r="F1589" s="1"/>
      <c r="G1589" s="1" t="str">
        <f ca="1">IFERROR(__xludf.DUMMYFUNCTION("""COMPUTED_VALUE"""),"-")</f>
        <v>-</v>
      </c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</row>
    <row r="1590" spans="1:26" x14ac:dyDescent="0.2">
      <c r="A1590" s="1"/>
      <c r="B1590" s="1"/>
      <c r="C1590" s="1"/>
      <c r="D1590" s="1"/>
      <c r="E1590" s="1" t="str">
        <f ca="1">IFERROR(__xludf.DUMMYFUNCTION("""COMPUTED_VALUE"""),"-")</f>
        <v>-</v>
      </c>
      <c r="F1590" s="1"/>
      <c r="G1590" s="1" t="str">
        <f ca="1">IFERROR(__xludf.DUMMYFUNCTION("""COMPUTED_VALUE"""),"-")</f>
        <v>-</v>
      </c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</row>
    <row r="1591" spans="1:26" x14ac:dyDescent="0.2">
      <c r="A1591" s="1"/>
      <c r="B1591" s="1"/>
      <c r="C1591" s="1"/>
      <c r="D1591" s="1"/>
      <c r="E1591" s="1" t="str">
        <f ca="1">IFERROR(__xludf.DUMMYFUNCTION("""COMPUTED_VALUE"""),"-")</f>
        <v>-</v>
      </c>
      <c r="F1591" s="1"/>
      <c r="G1591" s="1" t="str">
        <f ca="1">IFERROR(__xludf.DUMMYFUNCTION("""COMPUTED_VALUE"""),"-")</f>
        <v>-</v>
      </c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</row>
    <row r="1592" spans="1:26" x14ac:dyDescent="0.2">
      <c r="A1592" s="1"/>
      <c r="B1592" s="1"/>
      <c r="C1592" s="1"/>
      <c r="D1592" s="1"/>
      <c r="E1592" s="1" t="str">
        <f ca="1">IFERROR(__xludf.DUMMYFUNCTION("""COMPUTED_VALUE"""),"-")</f>
        <v>-</v>
      </c>
      <c r="F1592" s="1"/>
      <c r="G1592" s="1" t="str">
        <f ca="1">IFERROR(__xludf.DUMMYFUNCTION("""COMPUTED_VALUE"""),"-")</f>
        <v>-</v>
      </c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</row>
    <row r="1593" spans="1:26" x14ac:dyDescent="0.2">
      <c r="A1593" s="1"/>
      <c r="B1593" s="1"/>
      <c r="C1593" s="1"/>
      <c r="D1593" s="1"/>
      <c r="E1593" s="1" t="str">
        <f ca="1">IFERROR(__xludf.DUMMYFUNCTION("""COMPUTED_VALUE"""),"-")</f>
        <v>-</v>
      </c>
      <c r="F1593" s="1"/>
      <c r="G1593" s="1" t="str">
        <f ca="1">IFERROR(__xludf.DUMMYFUNCTION("""COMPUTED_VALUE"""),"-")</f>
        <v>-</v>
      </c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</row>
    <row r="1594" spans="1:26" x14ac:dyDescent="0.2">
      <c r="A1594" s="1"/>
      <c r="B1594" s="1"/>
      <c r="C1594" s="1"/>
      <c r="D1594" s="1"/>
      <c r="E1594" s="1" t="str">
        <f ca="1">IFERROR(__xludf.DUMMYFUNCTION("""COMPUTED_VALUE"""),"-")</f>
        <v>-</v>
      </c>
      <c r="F1594" s="1"/>
      <c r="G1594" s="1" t="str">
        <f ca="1">IFERROR(__xludf.DUMMYFUNCTION("""COMPUTED_VALUE"""),"-")</f>
        <v>-</v>
      </c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</row>
    <row r="1595" spans="1:26" x14ac:dyDescent="0.2">
      <c r="A1595" s="1"/>
      <c r="B1595" s="1"/>
      <c r="C1595" s="1"/>
      <c r="D1595" s="1"/>
      <c r="E1595" s="1" t="str">
        <f ca="1">IFERROR(__xludf.DUMMYFUNCTION("""COMPUTED_VALUE"""),"-")</f>
        <v>-</v>
      </c>
      <c r="F1595" s="1"/>
      <c r="G1595" s="1" t="str">
        <f ca="1">IFERROR(__xludf.DUMMYFUNCTION("""COMPUTED_VALUE"""),"-")</f>
        <v>-</v>
      </c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</row>
    <row r="1596" spans="1:26" x14ac:dyDescent="0.2">
      <c r="A1596" s="1"/>
      <c r="B1596" s="1"/>
      <c r="C1596" s="1"/>
      <c r="D1596" s="1"/>
      <c r="E1596" s="1" t="str">
        <f ca="1">IFERROR(__xludf.DUMMYFUNCTION("""COMPUTED_VALUE"""),"-")</f>
        <v>-</v>
      </c>
      <c r="F1596" s="1"/>
      <c r="G1596" s="1" t="str">
        <f ca="1">IFERROR(__xludf.DUMMYFUNCTION("""COMPUTED_VALUE"""),"-")</f>
        <v>-</v>
      </c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</row>
    <row r="1597" spans="1:26" x14ac:dyDescent="0.2">
      <c r="A1597" s="1"/>
      <c r="B1597" s="1"/>
      <c r="C1597" s="1"/>
      <c r="D1597" s="1"/>
      <c r="E1597" s="1" t="str">
        <f ca="1">IFERROR(__xludf.DUMMYFUNCTION("""COMPUTED_VALUE"""),"-")</f>
        <v>-</v>
      </c>
      <c r="F1597" s="1"/>
      <c r="G1597" s="1" t="str">
        <f ca="1">IFERROR(__xludf.DUMMYFUNCTION("""COMPUTED_VALUE"""),"-")</f>
        <v>-</v>
      </c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</row>
    <row r="1598" spans="1:26" x14ac:dyDescent="0.2">
      <c r="A1598" s="1"/>
      <c r="B1598" s="1"/>
      <c r="C1598" s="1"/>
      <c r="D1598" s="1"/>
      <c r="E1598" s="1" t="str">
        <f ca="1">IFERROR(__xludf.DUMMYFUNCTION("""COMPUTED_VALUE"""),"-")</f>
        <v>-</v>
      </c>
      <c r="F1598" s="1"/>
      <c r="G1598" s="1" t="str">
        <f ca="1">IFERROR(__xludf.DUMMYFUNCTION("""COMPUTED_VALUE"""),"-")</f>
        <v>-</v>
      </c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</row>
    <row r="1599" spans="1:26" x14ac:dyDescent="0.2">
      <c r="A1599" s="1"/>
      <c r="B1599" s="1"/>
      <c r="C1599" s="1"/>
      <c r="D1599" s="1"/>
      <c r="E1599" s="1" t="str">
        <f ca="1">IFERROR(__xludf.DUMMYFUNCTION("""COMPUTED_VALUE"""),"-")</f>
        <v>-</v>
      </c>
      <c r="F1599" s="1"/>
      <c r="G1599" s="1" t="str">
        <f ca="1">IFERROR(__xludf.DUMMYFUNCTION("""COMPUTED_VALUE"""),"-")</f>
        <v>-</v>
      </c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</row>
    <row r="1600" spans="1:26" x14ac:dyDescent="0.2">
      <c r="A1600" s="1"/>
      <c r="B1600" s="1"/>
      <c r="C1600" s="1"/>
      <c r="D1600" s="1"/>
      <c r="E1600" s="1" t="str">
        <f ca="1">IFERROR(__xludf.DUMMYFUNCTION("""COMPUTED_VALUE"""),"-")</f>
        <v>-</v>
      </c>
      <c r="F1600" s="1"/>
      <c r="G1600" s="1" t="str">
        <f ca="1">IFERROR(__xludf.DUMMYFUNCTION("""COMPUTED_VALUE"""),"-")</f>
        <v>-</v>
      </c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</row>
    <row r="1601" spans="1:26" x14ac:dyDescent="0.2">
      <c r="A1601" s="1"/>
      <c r="B1601" s="1"/>
      <c r="C1601" s="1"/>
      <c r="D1601" s="1"/>
      <c r="E1601" s="1" t="str">
        <f ca="1">IFERROR(__xludf.DUMMYFUNCTION("""COMPUTED_VALUE"""),"-")</f>
        <v>-</v>
      </c>
      <c r="F1601" s="1"/>
      <c r="G1601" s="1" t="str">
        <f ca="1">IFERROR(__xludf.DUMMYFUNCTION("""COMPUTED_VALUE"""),"-")</f>
        <v>-</v>
      </c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</row>
    <row r="1602" spans="1:26" x14ac:dyDescent="0.2">
      <c r="A1602" s="1"/>
      <c r="B1602" s="1"/>
      <c r="C1602" s="1"/>
      <c r="D1602" s="1"/>
      <c r="E1602" s="1" t="str">
        <f ca="1">IFERROR(__xludf.DUMMYFUNCTION("""COMPUTED_VALUE"""),"-")</f>
        <v>-</v>
      </c>
      <c r="F1602" s="1"/>
      <c r="G1602" s="1" t="str">
        <f ca="1">IFERROR(__xludf.DUMMYFUNCTION("""COMPUTED_VALUE"""),"-")</f>
        <v>-</v>
      </c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</row>
    <row r="1603" spans="1:26" x14ac:dyDescent="0.2">
      <c r="A1603" s="1"/>
      <c r="B1603" s="1"/>
      <c r="C1603" s="1"/>
      <c r="D1603" s="1"/>
      <c r="E1603" s="1" t="str">
        <f ca="1">IFERROR(__xludf.DUMMYFUNCTION("""COMPUTED_VALUE"""),"-")</f>
        <v>-</v>
      </c>
      <c r="F1603" s="1"/>
      <c r="G1603" s="1" t="str">
        <f ca="1">IFERROR(__xludf.DUMMYFUNCTION("""COMPUTED_VALUE"""),"-")</f>
        <v>-</v>
      </c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</row>
    <row r="1604" spans="1:26" x14ac:dyDescent="0.2">
      <c r="A1604" s="1"/>
      <c r="B1604" s="1"/>
      <c r="C1604" s="1"/>
      <c r="D1604" s="1"/>
      <c r="E1604" s="1" t="str">
        <f ca="1">IFERROR(__xludf.DUMMYFUNCTION("""COMPUTED_VALUE"""),"-")</f>
        <v>-</v>
      </c>
      <c r="F1604" s="1"/>
      <c r="G1604" s="1" t="str">
        <f ca="1">IFERROR(__xludf.DUMMYFUNCTION("""COMPUTED_VALUE"""),"-")</f>
        <v>-</v>
      </c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</row>
    <row r="1605" spans="1:26" x14ac:dyDescent="0.2">
      <c r="A1605" s="1"/>
      <c r="B1605" s="1"/>
      <c r="C1605" s="1"/>
      <c r="D1605" s="1"/>
      <c r="E1605" s="1" t="str">
        <f ca="1">IFERROR(__xludf.DUMMYFUNCTION("""COMPUTED_VALUE"""),"-")</f>
        <v>-</v>
      </c>
      <c r="F1605" s="1"/>
      <c r="G1605" s="1" t="str">
        <f ca="1">IFERROR(__xludf.DUMMYFUNCTION("""COMPUTED_VALUE"""),"-")</f>
        <v>-</v>
      </c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</row>
    <row r="1606" spans="1:26" x14ac:dyDescent="0.2">
      <c r="A1606" s="1"/>
      <c r="B1606" s="1"/>
      <c r="C1606" s="1"/>
      <c r="D1606" s="1"/>
      <c r="E1606" s="1" t="str">
        <f ca="1">IFERROR(__xludf.DUMMYFUNCTION("""COMPUTED_VALUE"""),"-")</f>
        <v>-</v>
      </c>
      <c r="F1606" s="1"/>
      <c r="G1606" s="1" t="str">
        <f ca="1">IFERROR(__xludf.DUMMYFUNCTION("""COMPUTED_VALUE"""),"-")</f>
        <v>-</v>
      </c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</row>
    <row r="1607" spans="1:26" x14ac:dyDescent="0.2">
      <c r="A1607" s="1"/>
      <c r="B1607" s="1"/>
      <c r="C1607" s="1"/>
      <c r="D1607" s="1"/>
      <c r="E1607" s="1" t="str">
        <f ca="1">IFERROR(__xludf.DUMMYFUNCTION("""COMPUTED_VALUE"""),"-")</f>
        <v>-</v>
      </c>
      <c r="F1607" s="1"/>
      <c r="G1607" s="1" t="str">
        <f ca="1">IFERROR(__xludf.DUMMYFUNCTION("""COMPUTED_VALUE"""),"-")</f>
        <v>-</v>
      </c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</row>
    <row r="1608" spans="1:26" x14ac:dyDescent="0.2">
      <c r="A1608" s="1"/>
      <c r="B1608" s="1"/>
      <c r="C1608" s="1"/>
      <c r="D1608" s="1"/>
      <c r="E1608" s="1" t="str">
        <f ca="1">IFERROR(__xludf.DUMMYFUNCTION("""COMPUTED_VALUE"""),"-")</f>
        <v>-</v>
      </c>
      <c r="F1608" s="1"/>
      <c r="G1608" s="1" t="str">
        <f ca="1">IFERROR(__xludf.DUMMYFUNCTION("""COMPUTED_VALUE"""),"-")</f>
        <v>-</v>
      </c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</row>
    <row r="1609" spans="1:26" x14ac:dyDescent="0.2">
      <c r="A1609" s="1"/>
      <c r="B1609" s="1"/>
      <c r="C1609" s="1"/>
      <c r="D1609" s="1"/>
      <c r="E1609" s="1" t="str">
        <f ca="1">IFERROR(__xludf.DUMMYFUNCTION("""COMPUTED_VALUE"""),"-")</f>
        <v>-</v>
      </c>
      <c r="F1609" s="1"/>
      <c r="G1609" s="1" t="str">
        <f ca="1">IFERROR(__xludf.DUMMYFUNCTION("""COMPUTED_VALUE"""),"-")</f>
        <v>-</v>
      </c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</row>
    <row r="1610" spans="1:26" x14ac:dyDescent="0.2">
      <c r="A1610" s="1"/>
      <c r="B1610" s="1"/>
      <c r="C1610" s="1"/>
      <c r="D1610" s="1"/>
      <c r="E1610" s="1" t="str">
        <f ca="1">IFERROR(__xludf.DUMMYFUNCTION("""COMPUTED_VALUE"""),"-")</f>
        <v>-</v>
      </c>
      <c r="F1610" s="1"/>
      <c r="G1610" s="1" t="str">
        <f ca="1">IFERROR(__xludf.DUMMYFUNCTION("""COMPUTED_VALUE"""),"-")</f>
        <v>-</v>
      </c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</row>
    <row r="1611" spans="1:26" x14ac:dyDescent="0.2">
      <c r="A1611" s="1"/>
      <c r="B1611" s="1"/>
      <c r="C1611" s="1"/>
      <c r="D1611" s="1"/>
      <c r="E1611" s="1" t="str">
        <f ca="1">IFERROR(__xludf.DUMMYFUNCTION("""COMPUTED_VALUE"""),"-")</f>
        <v>-</v>
      </c>
      <c r="F1611" s="1"/>
      <c r="G1611" s="1" t="str">
        <f ca="1">IFERROR(__xludf.DUMMYFUNCTION("""COMPUTED_VALUE"""),"-")</f>
        <v>-</v>
      </c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</row>
    <row r="1612" spans="1:26" x14ac:dyDescent="0.2">
      <c r="A1612" s="1"/>
      <c r="B1612" s="1"/>
      <c r="C1612" s="1"/>
      <c r="D1612" s="1"/>
      <c r="E1612" s="1" t="str">
        <f ca="1">IFERROR(__xludf.DUMMYFUNCTION("""COMPUTED_VALUE"""),"-")</f>
        <v>-</v>
      </c>
      <c r="F1612" s="1"/>
      <c r="G1612" s="1" t="str">
        <f ca="1">IFERROR(__xludf.DUMMYFUNCTION("""COMPUTED_VALUE"""),"-")</f>
        <v>-</v>
      </c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</row>
    <row r="1613" spans="1:26" x14ac:dyDescent="0.2">
      <c r="A1613" s="1"/>
      <c r="B1613" s="1"/>
      <c r="C1613" s="1"/>
      <c r="D1613" s="1"/>
      <c r="E1613" s="1" t="str">
        <f ca="1">IFERROR(__xludf.DUMMYFUNCTION("""COMPUTED_VALUE"""),"-")</f>
        <v>-</v>
      </c>
      <c r="F1613" s="1"/>
      <c r="G1613" s="1" t="str">
        <f ca="1">IFERROR(__xludf.DUMMYFUNCTION("""COMPUTED_VALUE"""),"-")</f>
        <v>-</v>
      </c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</row>
    <row r="1614" spans="1:26" x14ac:dyDescent="0.2">
      <c r="A1614" s="1"/>
      <c r="B1614" s="1"/>
      <c r="C1614" s="1"/>
      <c r="D1614" s="1"/>
      <c r="E1614" s="1" t="str">
        <f ca="1">IFERROR(__xludf.DUMMYFUNCTION("""COMPUTED_VALUE"""),"-")</f>
        <v>-</v>
      </c>
      <c r="F1614" s="1"/>
      <c r="G1614" s="1" t="str">
        <f ca="1">IFERROR(__xludf.DUMMYFUNCTION("""COMPUTED_VALUE"""),"-")</f>
        <v>-</v>
      </c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</row>
    <row r="1615" spans="1:26" x14ac:dyDescent="0.2">
      <c r="A1615" s="1"/>
      <c r="B1615" s="1"/>
      <c r="C1615" s="1"/>
      <c r="D1615" s="1"/>
      <c r="E1615" s="1" t="str">
        <f ca="1">IFERROR(__xludf.DUMMYFUNCTION("""COMPUTED_VALUE"""),"-")</f>
        <v>-</v>
      </c>
      <c r="F1615" s="1"/>
      <c r="G1615" s="1" t="str">
        <f ca="1">IFERROR(__xludf.DUMMYFUNCTION("""COMPUTED_VALUE"""),"-")</f>
        <v>-</v>
      </c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</row>
    <row r="1616" spans="1:26" x14ac:dyDescent="0.2">
      <c r="A1616" s="1"/>
      <c r="B1616" s="1"/>
      <c r="C1616" s="1"/>
      <c r="D1616" s="1"/>
      <c r="E1616" s="1" t="str">
        <f ca="1">IFERROR(__xludf.DUMMYFUNCTION("""COMPUTED_VALUE"""),"-")</f>
        <v>-</v>
      </c>
      <c r="F1616" s="1"/>
      <c r="G1616" s="1" t="str">
        <f ca="1">IFERROR(__xludf.DUMMYFUNCTION("""COMPUTED_VALUE"""),"-")</f>
        <v>-</v>
      </c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</row>
    <row r="1617" spans="1:26" x14ac:dyDescent="0.2">
      <c r="A1617" s="1"/>
      <c r="B1617" s="1"/>
      <c r="C1617" s="1"/>
      <c r="D1617" s="1"/>
      <c r="E1617" s="1" t="str">
        <f ca="1">IFERROR(__xludf.DUMMYFUNCTION("""COMPUTED_VALUE"""),"-")</f>
        <v>-</v>
      </c>
      <c r="F1617" s="1"/>
      <c r="G1617" s="1" t="str">
        <f ca="1">IFERROR(__xludf.DUMMYFUNCTION("""COMPUTED_VALUE"""),"-")</f>
        <v>-</v>
      </c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</row>
    <row r="1618" spans="1:26" x14ac:dyDescent="0.2">
      <c r="A1618" s="1"/>
      <c r="B1618" s="1"/>
      <c r="C1618" s="1"/>
      <c r="D1618" s="1"/>
      <c r="E1618" s="1" t="str">
        <f ca="1">IFERROR(__xludf.DUMMYFUNCTION("""COMPUTED_VALUE"""),"-")</f>
        <v>-</v>
      </c>
      <c r="F1618" s="1"/>
      <c r="G1618" s="1" t="str">
        <f ca="1">IFERROR(__xludf.DUMMYFUNCTION("""COMPUTED_VALUE"""),"-")</f>
        <v>-</v>
      </c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</row>
    <row r="1619" spans="1:26" x14ac:dyDescent="0.2">
      <c r="A1619" s="1"/>
      <c r="B1619" s="1"/>
      <c r="C1619" s="1"/>
      <c r="D1619" s="1"/>
      <c r="E1619" s="1" t="str">
        <f ca="1">IFERROR(__xludf.DUMMYFUNCTION("""COMPUTED_VALUE"""),"-")</f>
        <v>-</v>
      </c>
      <c r="F1619" s="1"/>
      <c r="G1619" s="1" t="str">
        <f ca="1">IFERROR(__xludf.DUMMYFUNCTION("""COMPUTED_VALUE"""),"-")</f>
        <v>-</v>
      </c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</row>
    <row r="1620" spans="1:26" x14ac:dyDescent="0.2">
      <c r="A1620" s="1"/>
      <c r="B1620" s="1"/>
      <c r="C1620" s="1"/>
      <c r="D1620" s="1"/>
      <c r="E1620" s="1" t="str">
        <f ca="1">IFERROR(__xludf.DUMMYFUNCTION("""COMPUTED_VALUE"""),"-")</f>
        <v>-</v>
      </c>
      <c r="F1620" s="1"/>
      <c r="G1620" s="1" t="str">
        <f ca="1">IFERROR(__xludf.DUMMYFUNCTION("""COMPUTED_VALUE"""),"-")</f>
        <v>-</v>
      </c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</row>
    <row r="1621" spans="1:26" x14ac:dyDescent="0.2">
      <c r="A1621" s="1"/>
      <c r="B1621" s="1"/>
      <c r="C1621" s="1"/>
      <c r="D1621" s="1"/>
      <c r="E1621" s="1" t="str">
        <f ca="1">IFERROR(__xludf.DUMMYFUNCTION("""COMPUTED_VALUE"""),"-")</f>
        <v>-</v>
      </c>
      <c r="F1621" s="1"/>
      <c r="G1621" s="1" t="str">
        <f ca="1">IFERROR(__xludf.DUMMYFUNCTION("""COMPUTED_VALUE"""),"-")</f>
        <v>-</v>
      </c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</row>
    <row r="1622" spans="1:26" x14ac:dyDescent="0.2">
      <c r="A1622" s="1"/>
      <c r="B1622" s="1"/>
      <c r="C1622" s="1"/>
      <c r="D1622" s="1"/>
      <c r="E1622" s="1" t="str">
        <f ca="1">IFERROR(__xludf.DUMMYFUNCTION("""COMPUTED_VALUE"""),"-")</f>
        <v>-</v>
      </c>
      <c r="F1622" s="1"/>
      <c r="G1622" s="1" t="str">
        <f ca="1">IFERROR(__xludf.DUMMYFUNCTION("""COMPUTED_VALUE"""),"-")</f>
        <v>-</v>
      </c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</row>
    <row r="1623" spans="1:26" x14ac:dyDescent="0.2">
      <c r="A1623" s="1"/>
      <c r="B1623" s="1"/>
      <c r="C1623" s="1"/>
      <c r="D1623" s="1"/>
      <c r="E1623" s="1" t="str">
        <f ca="1">IFERROR(__xludf.DUMMYFUNCTION("""COMPUTED_VALUE"""),"-")</f>
        <v>-</v>
      </c>
      <c r="F1623" s="1"/>
      <c r="G1623" s="1" t="str">
        <f ca="1">IFERROR(__xludf.DUMMYFUNCTION("""COMPUTED_VALUE"""),"-")</f>
        <v>-</v>
      </c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</row>
    <row r="1624" spans="1:26" x14ac:dyDescent="0.2">
      <c r="A1624" s="1"/>
      <c r="B1624" s="1"/>
      <c r="C1624" s="1"/>
      <c r="D1624" s="1"/>
      <c r="E1624" s="1" t="str">
        <f ca="1">IFERROR(__xludf.DUMMYFUNCTION("""COMPUTED_VALUE"""),"-")</f>
        <v>-</v>
      </c>
      <c r="F1624" s="1"/>
      <c r="G1624" s="1" t="str">
        <f ca="1">IFERROR(__xludf.DUMMYFUNCTION("""COMPUTED_VALUE"""),"-")</f>
        <v>-</v>
      </c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</row>
    <row r="1625" spans="1:26" x14ac:dyDescent="0.2">
      <c r="A1625" s="1"/>
      <c r="B1625" s="1"/>
      <c r="C1625" s="1"/>
      <c r="D1625" s="1"/>
      <c r="E1625" s="1" t="str">
        <f ca="1">IFERROR(__xludf.DUMMYFUNCTION("""COMPUTED_VALUE"""),"-")</f>
        <v>-</v>
      </c>
      <c r="F1625" s="1"/>
      <c r="G1625" s="1" t="str">
        <f ca="1">IFERROR(__xludf.DUMMYFUNCTION("""COMPUTED_VALUE"""),"-")</f>
        <v>-</v>
      </c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</row>
    <row r="1626" spans="1:26" x14ac:dyDescent="0.2">
      <c r="A1626" s="1"/>
      <c r="B1626" s="1"/>
      <c r="C1626" s="1"/>
      <c r="D1626" s="1"/>
      <c r="E1626" s="1" t="str">
        <f ca="1">IFERROR(__xludf.DUMMYFUNCTION("""COMPUTED_VALUE"""),"-")</f>
        <v>-</v>
      </c>
      <c r="F1626" s="1"/>
      <c r="G1626" s="1" t="str">
        <f ca="1">IFERROR(__xludf.DUMMYFUNCTION("""COMPUTED_VALUE"""),"-")</f>
        <v>-</v>
      </c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</row>
    <row r="1627" spans="1:26" x14ac:dyDescent="0.2">
      <c r="A1627" s="1"/>
      <c r="B1627" s="1"/>
      <c r="C1627" s="1"/>
      <c r="D1627" s="1"/>
      <c r="E1627" s="1" t="str">
        <f ca="1">IFERROR(__xludf.DUMMYFUNCTION("""COMPUTED_VALUE"""),"-")</f>
        <v>-</v>
      </c>
      <c r="F1627" s="1"/>
      <c r="G1627" s="1" t="str">
        <f ca="1">IFERROR(__xludf.DUMMYFUNCTION("""COMPUTED_VALUE"""),"-")</f>
        <v>-</v>
      </c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</row>
    <row r="1628" spans="1:26" x14ac:dyDescent="0.2">
      <c r="A1628" s="1"/>
      <c r="B1628" s="1"/>
      <c r="C1628" s="1"/>
      <c r="D1628" s="1"/>
      <c r="E1628" s="1" t="str">
        <f ca="1">IFERROR(__xludf.DUMMYFUNCTION("""COMPUTED_VALUE"""),"-")</f>
        <v>-</v>
      </c>
      <c r="F1628" s="1"/>
      <c r="G1628" s="1" t="str">
        <f ca="1">IFERROR(__xludf.DUMMYFUNCTION("""COMPUTED_VALUE"""),"-")</f>
        <v>-</v>
      </c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</row>
    <row r="1629" spans="1:26" x14ac:dyDescent="0.2">
      <c r="A1629" s="1"/>
      <c r="B1629" s="1"/>
      <c r="C1629" s="1"/>
      <c r="D1629" s="1"/>
      <c r="E1629" s="1" t="str">
        <f ca="1">IFERROR(__xludf.DUMMYFUNCTION("""COMPUTED_VALUE"""),"-")</f>
        <v>-</v>
      </c>
      <c r="F1629" s="1"/>
      <c r="G1629" s="1" t="str">
        <f ca="1">IFERROR(__xludf.DUMMYFUNCTION("""COMPUTED_VALUE"""),"-")</f>
        <v>-</v>
      </c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</row>
    <row r="1630" spans="1:26" x14ac:dyDescent="0.2">
      <c r="A1630" s="1"/>
      <c r="B1630" s="1"/>
      <c r="C1630" s="1"/>
      <c r="D1630" s="1"/>
      <c r="E1630" s="1" t="str">
        <f ca="1">IFERROR(__xludf.DUMMYFUNCTION("""COMPUTED_VALUE"""),"-")</f>
        <v>-</v>
      </c>
      <c r="F1630" s="1"/>
      <c r="G1630" s="1" t="str">
        <f ca="1">IFERROR(__xludf.DUMMYFUNCTION("""COMPUTED_VALUE"""),"-")</f>
        <v>-</v>
      </c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</row>
    <row r="1631" spans="1:26" x14ac:dyDescent="0.2">
      <c r="A1631" s="1"/>
      <c r="B1631" s="1"/>
      <c r="C1631" s="1"/>
      <c r="D1631" s="1"/>
      <c r="E1631" s="1" t="str">
        <f ca="1">IFERROR(__xludf.DUMMYFUNCTION("""COMPUTED_VALUE"""),"-")</f>
        <v>-</v>
      </c>
      <c r="F1631" s="1"/>
      <c r="G1631" s="1" t="str">
        <f ca="1">IFERROR(__xludf.DUMMYFUNCTION("""COMPUTED_VALUE"""),"-")</f>
        <v>-</v>
      </c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</row>
    <row r="1632" spans="1:26" x14ac:dyDescent="0.2">
      <c r="A1632" s="1"/>
      <c r="B1632" s="1"/>
      <c r="C1632" s="1"/>
      <c r="D1632" s="1"/>
      <c r="E1632" s="1" t="str">
        <f ca="1">IFERROR(__xludf.DUMMYFUNCTION("""COMPUTED_VALUE"""),"-")</f>
        <v>-</v>
      </c>
      <c r="F1632" s="1"/>
      <c r="G1632" s="1" t="str">
        <f ca="1">IFERROR(__xludf.DUMMYFUNCTION("""COMPUTED_VALUE"""),"-")</f>
        <v>-</v>
      </c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</row>
    <row r="1633" spans="1:26" x14ac:dyDescent="0.2">
      <c r="A1633" s="1"/>
      <c r="B1633" s="1"/>
      <c r="C1633" s="1"/>
      <c r="D1633" s="1"/>
      <c r="E1633" s="1" t="str">
        <f ca="1">IFERROR(__xludf.DUMMYFUNCTION("""COMPUTED_VALUE"""),"-")</f>
        <v>-</v>
      </c>
      <c r="F1633" s="1"/>
      <c r="G1633" s="1" t="str">
        <f ca="1">IFERROR(__xludf.DUMMYFUNCTION("""COMPUTED_VALUE"""),"-")</f>
        <v>-</v>
      </c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</row>
    <row r="1634" spans="1:26" x14ac:dyDescent="0.2">
      <c r="A1634" s="1"/>
      <c r="B1634" s="1"/>
      <c r="C1634" s="1"/>
      <c r="D1634" s="1"/>
      <c r="E1634" s="1" t="str">
        <f ca="1">IFERROR(__xludf.DUMMYFUNCTION("""COMPUTED_VALUE"""),"-")</f>
        <v>-</v>
      </c>
      <c r="F1634" s="1"/>
      <c r="G1634" s="1" t="str">
        <f ca="1">IFERROR(__xludf.DUMMYFUNCTION("""COMPUTED_VALUE"""),"-")</f>
        <v>-</v>
      </c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</row>
    <row r="1635" spans="1:26" x14ac:dyDescent="0.2">
      <c r="A1635" s="1"/>
      <c r="B1635" s="1"/>
      <c r="C1635" s="1"/>
      <c r="D1635" s="1"/>
      <c r="E1635" s="1" t="str">
        <f ca="1">IFERROR(__xludf.DUMMYFUNCTION("""COMPUTED_VALUE"""),"-")</f>
        <v>-</v>
      </c>
      <c r="F1635" s="1"/>
      <c r="G1635" s="1" t="str">
        <f ca="1">IFERROR(__xludf.DUMMYFUNCTION("""COMPUTED_VALUE"""),"-")</f>
        <v>-</v>
      </c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</row>
    <row r="1636" spans="1:26" x14ac:dyDescent="0.2">
      <c r="A1636" s="1"/>
      <c r="B1636" s="1"/>
      <c r="C1636" s="1"/>
      <c r="D1636" s="1"/>
      <c r="E1636" s="1" t="str">
        <f ca="1">IFERROR(__xludf.DUMMYFUNCTION("""COMPUTED_VALUE"""),"-")</f>
        <v>-</v>
      </c>
      <c r="F1636" s="1"/>
      <c r="G1636" s="1" t="str">
        <f ca="1">IFERROR(__xludf.DUMMYFUNCTION("""COMPUTED_VALUE"""),"-")</f>
        <v>-</v>
      </c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</row>
    <row r="1637" spans="1:26" x14ac:dyDescent="0.2">
      <c r="A1637" s="1"/>
      <c r="B1637" s="1"/>
      <c r="C1637" s="1"/>
      <c r="D1637" s="1"/>
      <c r="E1637" s="1" t="str">
        <f ca="1">IFERROR(__xludf.DUMMYFUNCTION("""COMPUTED_VALUE"""),"-")</f>
        <v>-</v>
      </c>
      <c r="F1637" s="1"/>
      <c r="G1637" s="1" t="str">
        <f ca="1">IFERROR(__xludf.DUMMYFUNCTION("""COMPUTED_VALUE"""),"-")</f>
        <v>-</v>
      </c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</row>
    <row r="1638" spans="1:26" x14ac:dyDescent="0.2">
      <c r="A1638" s="1"/>
      <c r="B1638" s="1"/>
      <c r="C1638" s="1"/>
      <c r="D1638" s="1"/>
      <c r="E1638" s="1" t="str">
        <f ca="1">IFERROR(__xludf.DUMMYFUNCTION("""COMPUTED_VALUE"""),"-")</f>
        <v>-</v>
      </c>
      <c r="F1638" s="1"/>
      <c r="G1638" s="1" t="str">
        <f ca="1">IFERROR(__xludf.DUMMYFUNCTION("""COMPUTED_VALUE"""),"-")</f>
        <v>-</v>
      </c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</row>
    <row r="1639" spans="1:26" x14ac:dyDescent="0.2">
      <c r="A1639" s="1"/>
      <c r="B1639" s="1"/>
      <c r="C1639" s="1"/>
      <c r="D1639" s="1"/>
      <c r="E1639" s="1" t="str">
        <f ca="1">IFERROR(__xludf.DUMMYFUNCTION("""COMPUTED_VALUE"""),"-")</f>
        <v>-</v>
      </c>
      <c r="F1639" s="1"/>
      <c r="G1639" s="1" t="str">
        <f ca="1">IFERROR(__xludf.DUMMYFUNCTION("""COMPUTED_VALUE"""),"-")</f>
        <v>-</v>
      </c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</row>
    <row r="1640" spans="1:26" x14ac:dyDescent="0.2">
      <c r="A1640" s="1"/>
      <c r="B1640" s="1"/>
      <c r="C1640" s="1"/>
      <c r="D1640" s="1"/>
      <c r="E1640" s="1" t="str">
        <f ca="1">IFERROR(__xludf.DUMMYFUNCTION("""COMPUTED_VALUE"""),"-")</f>
        <v>-</v>
      </c>
      <c r="F1640" s="1"/>
      <c r="G1640" s="1" t="str">
        <f ca="1">IFERROR(__xludf.DUMMYFUNCTION("""COMPUTED_VALUE"""),"-")</f>
        <v>-</v>
      </c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</row>
    <row r="1641" spans="1:26" x14ac:dyDescent="0.2">
      <c r="A1641" s="1"/>
      <c r="B1641" s="1"/>
      <c r="C1641" s="1"/>
      <c r="D1641" s="1"/>
      <c r="E1641" s="1" t="str">
        <f ca="1">IFERROR(__xludf.DUMMYFUNCTION("""COMPUTED_VALUE"""),"-")</f>
        <v>-</v>
      </c>
      <c r="F1641" s="1"/>
      <c r="G1641" s="1" t="str">
        <f ca="1">IFERROR(__xludf.DUMMYFUNCTION("""COMPUTED_VALUE"""),"-")</f>
        <v>-</v>
      </c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</row>
    <row r="1642" spans="1:26" x14ac:dyDescent="0.2">
      <c r="A1642" s="1"/>
      <c r="B1642" s="1"/>
      <c r="C1642" s="1"/>
      <c r="D1642" s="1"/>
      <c r="E1642" s="1" t="str">
        <f ca="1">IFERROR(__xludf.DUMMYFUNCTION("""COMPUTED_VALUE"""),"-")</f>
        <v>-</v>
      </c>
      <c r="F1642" s="1"/>
      <c r="G1642" s="1" t="str">
        <f ca="1">IFERROR(__xludf.DUMMYFUNCTION("""COMPUTED_VALUE"""),"-")</f>
        <v>-</v>
      </c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</row>
    <row r="1643" spans="1:26" x14ac:dyDescent="0.2">
      <c r="A1643" s="1"/>
      <c r="B1643" s="1"/>
      <c r="C1643" s="1"/>
      <c r="D1643" s="1"/>
      <c r="E1643" s="1" t="str">
        <f ca="1">IFERROR(__xludf.DUMMYFUNCTION("""COMPUTED_VALUE"""),"-")</f>
        <v>-</v>
      </c>
      <c r="F1643" s="1"/>
      <c r="G1643" s="1" t="str">
        <f ca="1">IFERROR(__xludf.DUMMYFUNCTION("""COMPUTED_VALUE"""),"-")</f>
        <v>-</v>
      </c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</row>
    <row r="1644" spans="1:26" x14ac:dyDescent="0.2">
      <c r="A1644" s="1"/>
      <c r="B1644" s="1"/>
      <c r="C1644" s="1"/>
      <c r="D1644" s="1"/>
      <c r="E1644" s="1" t="str">
        <f ca="1">IFERROR(__xludf.DUMMYFUNCTION("""COMPUTED_VALUE"""),"-")</f>
        <v>-</v>
      </c>
      <c r="F1644" s="1"/>
      <c r="G1644" s="1" t="str">
        <f ca="1">IFERROR(__xludf.DUMMYFUNCTION("""COMPUTED_VALUE"""),"-")</f>
        <v>-</v>
      </c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</row>
    <row r="1645" spans="1:26" x14ac:dyDescent="0.2">
      <c r="A1645" s="1"/>
      <c r="B1645" s="1"/>
      <c r="C1645" s="1"/>
      <c r="D1645" s="1"/>
      <c r="E1645" s="1" t="str">
        <f ca="1">IFERROR(__xludf.DUMMYFUNCTION("""COMPUTED_VALUE"""),"-")</f>
        <v>-</v>
      </c>
      <c r="F1645" s="1"/>
      <c r="G1645" s="1" t="str">
        <f ca="1">IFERROR(__xludf.DUMMYFUNCTION("""COMPUTED_VALUE"""),"-")</f>
        <v>-</v>
      </c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</row>
    <row r="1646" spans="1:26" x14ac:dyDescent="0.2">
      <c r="A1646" s="1"/>
      <c r="B1646" s="1"/>
      <c r="C1646" s="1"/>
      <c r="D1646" s="1"/>
      <c r="E1646" s="1" t="str">
        <f ca="1">IFERROR(__xludf.DUMMYFUNCTION("""COMPUTED_VALUE"""),"-")</f>
        <v>-</v>
      </c>
      <c r="F1646" s="1"/>
      <c r="G1646" s="1" t="str">
        <f ca="1">IFERROR(__xludf.DUMMYFUNCTION("""COMPUTED_VALUE"""),"-")</f>
        <v>-</v>
      </c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</row>
    <row r="1647" spans="1:26" x14ac:dyDescent="0.2">
      <c r="A1647" s="1"/>
      <c r="B1647" s="1"/>
      <c r="C1647" s="1"/>
      <c r="D1647" s="1"/>
      <c r="E1647" s="1" t="str">
        <f ca="1">IFERROR(__xludf.DUMMYFUNCTION("""COMPUTED_VALUE"""),"-")</f>
        <v>-</v>
      </c>
      <c r="F1647" s="1"/>
      <c r="G1647" s="1" t="str">
        <f ca="1">IFERROR(__xludf.DUMMYFUNCTION("""COMPUTED_VALUE"""),"-")</f>
        <v>-</v>
      </c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</row>
    <row r="1648" spans="1:26" x14ac:dyDescent="0.2">
      <c r="A1648" s="1"/>
      <c r="B1648" s="1"/>
      <c r="C1648" s="1"/>
      <c r="D1648" s="1"/>
      <c r="E1648" s="1" t="str">
        <f ca="1">IFERROR(__xludf.DUMMYFUNCTION("""COMPUTED_VALUE"""),"-")</f>
        <v>-</v>
      </c>
      <c r="F1648" s="1"/>
      <c r="G1648" s="1" t="str">
        <f ca="1">IFERROR(__xludf.DUMMYFUNCTION("""COMPUTED_VALUE"""),"-")</f>
        <v>-</v>
      </c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</row>
    <row r="1649" spans="1:26" x14ac:dyDescent="0.2">
      <c r="A1649" s="1"/>
      <c r="B1649" s="1"/>
      <c r="C1649" s="1"/>
      <c r="D1649" s="1"/>
      <c r="E1649" s="1" t="str">
        <f ca="1">IFERROR(__xludf.DUMMYFUNCTION("""COMPUTED_VALUE"""),"-")</f>
        <v>-</v>
      </c>
      <c r="F1649" s="1"/>
      <c r="G1649" s="1" t="str">
        <f ca="1">IFERROR(__xludf.DUMMYFUNCTION("""COMPUTED_VALUE"""),"-")</f>
        <v>-</v>
      </c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</row>
    <row r="1650" spans="1:26" x14ac:dyDescent="0.2">
      <c r="A1650" s="1"/>
      <c r="B1650" s="1"/>
      <c r="C1650" s="1"/>
      <c r="D1650" s="1"/>
      <c r="E1650" s="1" t="str">
        <f ca="1">IFERROR(__xludf.DUMMYFUNCTION("""COMPUTED_VALUE"""),"-")</f>
        <v>-</v>
      </c>
      <c r="F1650" s="1"/>
      <c r="G1650" s="1" t="str">
        <f ca="1">IFERROR(__xludf.DUMMYFUNCTION("""COMPUTED_VALUE"""),"-")</f>
        <v>-</v>
      </c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</row>
    <row r="1651" spans="1:26" x14ac:dyDescent="0.2">
      <c r="A1651" s="1"/>
      <c r="B1651" s="1"/>
      <c r="C1651" s="1"/>
      <c r="D1651" s="1"/>
      <c r="E1651" s="1" t="str">
        <f ca="1">IFERROR(__xludf.DUMMYFUNCTION("""COMPUTED_VALUE"""),"-")</f>
        <v>-</v>
      </c>
      <c r="F1651" s="1"/>
      <c r="G1651" s="1" t="str">
        <f ca="1">IFERROR(__xludf.DUMMYFUNCTION("""COMPUTED_VALUE"""),"-")</f>
        <v>-</v>
      </c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</row>
    <row r="1652" spans="1:26" x14ac:dyDescent="0.2">
      <c r="A1652" s="1"/>
      <c r="B1652" s="1"/>
      <c r="C1652" s="1"/>
      <c r="D1652" s="1"/>
      <c r="E1652" s="1" t="str">
        <f ca="1">IFERROR(__xludf.DUMMYFUNCTION("""COMPUTED_VALUE"""),"-")</f>
        <v>-</v>
      </c>
      <c r="F1652" s="1"/>
      <c r="G1652" s="1" t="str">
        <f ca="1">IFERROR(__xludf.DUMMYFUNCTION("""COMPUTED_VALUE"""),"-")</f>
        <v>-</v>
      </c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</row>
    <row r="1653" spans="1:26" x14ac:dyDescent="0.2">
      <c r="A1653" s="1"/>
      <c r="B1653" s="1"/>
      <c r="C1653" s="1"/>
      <c r="D1653" s="1"/>
      <c r="E1653" s="1" t="str">
        <f ca="1">IFERROR(__xludf.DUMMYFUNCTION("""COMPUTED_VALUE"""),"-")</f>
        <v>-</v>
      </c>
      <c r="F1653" s="1"/>
      <c r="G1653" s="1" t="str">
        <f ca="1">IFERROR(__xludf.DUMMYFUNCTION("""COMPUTED_VALUE"""),"-")</f>
        <v>-</v>
      </c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</row>
    <row r="1654" spans="1:26" x14ac:dyDescent="0.2">
      <c r="A1654" s="1"/>
      <c r="B1654" s="1"/>
      <c r="C1654" s="1"/>
      <c r="D1654" s="1"/>
      <c r="E1654" s="1" t="str">
        <f ca="1">IFERROR(__xludf.DUMMYFUNCTION("""COMPUTED_VALUE"""),"-")</f>
        <v>-</v>
      </c>
      <c r="F1654" s="1"/>
      <c r="G1654" s="1" t="str">
        <f ca="1">IFERROR(__xludf.DUMMYFUNCTION("""COMPUTED_VALUE"""),"-")</f>
        <v>-</v>
      </c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</row>
    <row r="1655" spans="1:26" x14ac:dyDescent="0.2">
      <c r="A1655" s="1"/>
      <c r="B1655" s="1"/>
      <c r="C1655" s="1"/>
      <c r="D1655" s="1"/>
      <c r="E1655" s="1" t="str">
        <f ca="1">IFERROR(__xludf.DUMMYFUNCTION("""COMPUTED_VALUE"""),"-")</f>
        <v>-</v>
      </c>
      <c r="F1655" s="1"/>
      <c r="G1655" s="1" t="str">
        <f ca="1">IFERROR(__xludf.DUMMYFUNCTION("""COMPUTED_VALUE"""),"-")</f>
        <v>-</v>
      </c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</row>
    <row r="1656" spans="1:26" x14ac:dyDescent="0.2">
      <c r="A1656" s="1"/>
      <c r="B1656" s="1"/>
      <c r="C1656" s="1"/>
      <c r="D1656" s="1"/>
      <c r="E1656" s="1" t="str">
        <f ca="1">IFERROR(__xludf.DUMMYFUNCTION("""COMPUTED_VALUE"""),"-")</f>
        <v>-</v>
      </c>
      <c r="F1656" s="1"/>
      <c r="G1656" s="1" t="str">
        <f ca="1">IFERROR(__xludf.DUMMYFUNCTION("""COMPUTED_VALUE"""),"-")</f>
        <v>-</v>
      </c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</row>
    <row r="1657" spans="1:26" x14ac:dyDescent="0.2">
      <c r="A1657" s="1"/>
      <c r="B1657" s="1"/>
      <c r="C1657" s="1"/>
      <c r="D1657" s="1"/>
      <c r="E1657" s="1" t="str">
        <f ca="1">IFERROR(__xludf.DUMMYFUNCTION("""COMPUTED_VALUE"""),"-")</f>
        <v>-</v>
      </c>
      <c r="F1657" s="1"/>
      <c r="G1657" s="1" t="str">
        <f ca="1">IFERROR(__xludf.DUMMYFUNCTION("""COMPUTED_VALUE"""),"-")</f>
        <v>-</v>
      </c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</row>
    <row r="1658" spans="1:26" x14ac:dyDescent="0.2">
      <c r="A1658" s="1"/>
      <c r="B1658" s="1"/>
      <c r="C1658" s="1"/>
      <c r="D1658" s="1"/>
      <c r="E1658" s="1" t="str">
        <f ca="1">IFERROR(__xludf.DUMMYFUNCTION("""COMPUTED_VALUE"""),"-")</f>
        <v>-</v>
      </c>
      <c r="F1658" s="1"/>
      <c r="G1658" s="1" t="str">
        <f ca="1">IFERROR(__xludf.DUMMYFUNCTION("""COMPUTED_VALUE"""),"-")</f>
        <v>-</v>
      </c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</row>
    <row r="1659" spans="1:26" x14ac:dyDescent="0.2">
      <c r="A1659" s="1"/>
      <c r="B1659" s="1"/>
      <c r="C1659" s="1"/>
      <c r="D1659" s="1"/>
      <c r="E1659" s="1" t="str">
        <f ca="1">IFERROR(__xludf.DUMMYFUNCTION("""COMPUTED_VALUE"""),"-")</f>
        <v>-</v>
      </c>
      <c r="F1659" s="1"/>
      <c r="G1659" s="1" t="str">
        <f ca="1">IFERROR(__xludf.DUMMYFUNCTION("""COMPUTED_VALUE"""),"-")</f>
        <v>-</v>
      </c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</row>
    <row r="1660" spans="1:26" x14ac:dyDescent="0.2">
      <c r="A1660" s="1"/>
      <c r="B1660" s="1"/>
      <c r="C1660" s="1"/>
      <c r="D1660" s="1"/>
      <c r="E1660" s="1" t="str">
        <f ca="1">IFERROR(__xludf.DUMMYFUNCTION("""COMPUTED_VALUE"""),"-")</f>
        <v>-</v>
      </c>
      <c r="F1660" s="1"/>
      <c r="G1660" s="1" t="str">
        <f ca="1">IFERROR(__xludf.DUMMYFUNCTION("""COMPUTED_VALUE"""),"-")</f>
        <v>-</v>
      </c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</row>
    <row r="1661" spans="1:26" x14ac:dyDescent="0.2">
      <c r="A1661" s="1"/>
      <c r="B1661" s="1"/>
      <c r="C1661" s="1"/>
      <c r="D1661" s="1"/>
      <c r="E1661" s="1" t="str">
        <f ca="1">IFERROR(__xludf.DUMMYFUNCTION("""COMPUTED_VALUE"""),"-")</f>
        <v>-</v>
      </c>
      <c r="F1661" s="1"/>
      <c r="G1661" s="1" t="str">
        <f ca="1">IFERROR(__xludf.DUMMYFUNCTION("""COMPUTED_VALUE"""),"-")</f>
        <v>-</v>
      </c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</row>
    <row r="1662" spans="1:26" x14ac:dyDescent="0.2">
      <c r="A1662" s="1"/>
      <c r="B1662" s="1"/>
      <c r="C1662" s="1"/>
      <c r="D1662" s="1"/>
      <c r="E1662" s="1" t="str">
        <f ca="1">IFERROR(__xludf.DUMMYFUNCTION("""COMPUTED_VALUE"""),"-")</f>
        <v>-</v>
      </c>
      <c r="F1662" s="1"/>
      <c r="G1662" s="1" t="str">
        <f ca="1">IFERROR(__xludf.DUMMYFUNCTION("""COMPUTED_VALUE"""),"-")</f>
        <v>-</v>
      </c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</row>
    <row r="1663" spans="1:26" x14ac:dyDescent="0.2">
      <c r="A1663" s="1"/>
      <c r="B1663" s="1"/>
      <c r="C1663" s="1"/>
      <c r="D1663" s="1"/>
      <c r="E1663" s="1" t="str">
        <f ca="1">IFERROR(__xludf.DUMMYFUNCTION("""COMPUTED_VALUE"""),"-")</f>
        <v>-</v>
      </c>
      <c r="F1663" s="1"/>
      <c r="G1663" s="1" t="str">
        <f ca="1">IFERROR(__xludf.DUMMYFUNCTION("""COMPUTED_VALUE"""),"-")</f>
        <v>-</v>
      </c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</row>
    <row r="1664" spans="1:26" x14ac:dyDescent="0.2">
      <c r="A1664" s="1"/>
      <c r="B1664" s="1"/>
      <c r="C1664" s="1"/>
      <c r="D1664" s="1"/>
      <c r="E1664" s="1" t="str">
        <f ca="1">IFERROR(__xludf.DUMMYFUNCTION("""COMPUTED_VALUE"""),"-")</f>
        <v>-</v>
      </c>
      <c r="F1664" s="1"/>
      <c r="G1664" s="1" t="str">
        <f ca="1">IFERROR(__xludf.DUMMYFUNCTION("""COMPUTED_VALUE"""),"-")</f>
        <v>-</v>
      </c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</row>
    <row r="1665" spans="1:26" x14ac:dyDescent="0.2">
      <c r="A1665" s="1"/>
      <c r="B1665" s="1"/>
      <c r="C1665" s="1"/>
      <c r="D1665" s="1"/>
      <c r="E1665" s="1" t="str">
        <f ca="1">IFERROR(__xludf.DUMMYFUNCTION("""COMPUTED_VALUE"""),"-")</f>
        <v>-</v>
      </c>
      <c r="F1665" s="1"/>
      <c r="G1665" s="1" t="str">
        <f ca="1">IFERROR(__xludf.DUMMYFUNCTION("""COMPUTED_VALUE"""),"-")</f>
        <v>-</v>
      </c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</row>
    <row r="1666" spans="1:26" x14ac:dyDescent="0.2">
      <c r="A1666" s="1"/>
      <c r="B1666" s="1"/>
      <c r="C1666" s="1"/>
      <c r="D1666" s="1"/>
      <c r="E1666" s="1" t="str">
        <f ca="1">IFERROR(__xludf.DUMMYFUNCTION("""COMPUTED_VALUE"""),"-")</f>
        <v>-</v>
      </c>
      <c r="F1666" s="1"/>
      <c r="G1666" s="1" t="str">
        <f ca="1">IFERROR(__xludf.DUMMYFUNCTION("""COMPUTED_VALUE"""),"-")</f>
        <v>-</v>
      </c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</row>
    <row r="1667" spans="1:26" x14ac:dyDescent="0.2">
      <c r="A1667" s="1"/>
      <c r="B1667" s="1"/>
      <c r="C1667" s="1"/>
      <c r="D1667" s="1"/>
      <c r="E1667" s="1" t="str">
        <f ca="1">IFERROR(__xludf.DUMMYFUNCTION("""COMPUTED_VALUE"""),"-")</f>
        <v>-</v>
      </c>
      <c r="F1667" s="1"/>
      <c r="G1667" s="1" t="str">
        <f ca="1">IFERROR(__xludf.DUMMYFUNCTION("""COMPUTED_VALUE"""),"-")</f>
        <v>-</v>
      </c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</row>
    <row r="1668" spans="1:26" x14ac:dyDescent="0.2">
      <c r="A1668" s="1"/>
      <c r="B1668" s="1"/>
      <c r="C1668" s="1"/>
      <c r="D1668" s="1"/>
      <c r="E1668" s="1" t="str">
        <f ca="1">IFERROR(__xludf.DUMMYFUNCTION("""COMPUTED_VALUE"""),"-")</f>
        <v>-</v>
      </c>
      <c r="F1668" s="1"/>
      <c r="G1668" s="1" t="str">
        <f ca="1">IFERROR(__xludf.DUMMYFUNCTION("""COMPUTED_VALUE"""),"-")</f>
        <v>-</v>
      </c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</row>
    <row r="1669" spans="1:26" x14ac:dyDescent="0.2">
      <c r="A1669" s="1"/>
      <c r="B1669" s="1"/>
      <c r="C1669" s="1"/>
      <c r="D1669" s="1"/>
      <c r="E1669" s="1" t="str">
        <f ca="1">IFERROR(__xludf.DUMMYFUNCTION("""COMPUTED_VALUE"""),"-")</f>
        <v>-</v>
      </c>
      <c r="F1669" s="1"/>
      <c r="G1669" s="1" t="str">
        <f ca="1">IFERROR(__xludf.DUMMYFUNCTION("""COMPUTED_VALUE"""),"-")</f>
        <v>-</v>
      </c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</row>
    <row r="1670" spans="1:26" x14ac:dyDescent="0.2">
      <c r="A1670" s="1"/>
      <c r="B1670" s="1"/>
      <c r="C1670" s="1"/>
      <c r="D1670" s="1"/>
      <c r="E1670" s="1" t="str">
        <f ca="1">IFERROR(__xludf.DUMMYFUNCTION("""COMPUTED_VALUE"""),"-")</f>
        <v>-</v>
      </c>
      <c r="F1670" s="1"/>
      <c r="G1670" s="1" t="str">
        <f ca="1">IFERROR(__xludf.DUMMYFUNCTION("""COMPUTED_VALUE"""),"-")</f>
        <v>-</v>
      </c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</row>
    <row r="1671" spans="1:26" x14ac:dyDescent="0.2">
      <c r="A1671" s="1"/>
      <c r="B1671" s="1"/>
      <c r="C1671" s="1"/>
      <c r="D1671" s="1"/>
      <c r="E1671" s="1" t="str">
        <f ca="1">IFERROR(__xludf.DUMMYFUNCTION("""COMPUTED_VALUE"""),"-")</f>
        <v>-</v>
      </c>
      <c r="F1671" s="1"/>
      <c r="G1671" s="1" t="str">
        <f ca="1">IFERROR(__xludf.DUMMYFUNCTION("""COMPUTED_VALUE"""),"-")</f>
        <v>-</v>
      </c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</row>
    <row r="1672" spans="1:26" x14ac:dyDescent="0.2">
      <c r="A1672" s="1"/>
      <c r="B1672" s="1"/>
      <c r="C1672" s="1"/>
      <c r="D1672" s="1"/>
      <c r="E1672" s="1" t="str">
        <f ca="1">IFERROR(__xludf.DUMMYFUNCTION("""COMPUTED_VALUE"""),"-")</f>
        <v>-</v>
      </c>
      <c r="F1672" s="1"/>
      <c r="G1672" s="1" t="str">
        <f ca="1">IFERROR(__xludf.DUMMYFUNCTION("""COMPUTED_VALUE"""),"-")</f>
        <v>-</v>
      </c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</row>
    <row r="1673" spans="1:26" x14ac:dyDescent="0.2">
      <c r="A1673" s="1"/>
      <c r="B1673" s="1"/>
      <c r="C1673" s="1"/>
      <c r="D1673" s="1"/>
      <c r="E1673" s="1" t="str">
        <f ca="1">IFERROR(__xludf.DUMMYFUNCTION("""COMPUTED_VALUE"""),"-")</f>
        <v>-</v>
      </c>
      <c r="F1673" s="1"/>
      <c r="G1673" s="1" t="str">
        <f ca="1">IFERROR(__xludf.DUMMYFUNCTION("""COMPUTED_VALUE"""),"-")</f>
        <v>-</v>
      </c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</row>
    <row r="1674" spans="1:26" x14ac:dyDescent="0.2">
      <c r="A1674" s="1"/>
      <c r="B1674" s="1"/>
      <c r="C1674" s="1"/>
      <c r="D1674" s="1"/>
      <c r="E1674" s="1" t="str">
        <f ca="1">IFERROR(__xludf.DUMMYFUNCTION("""COMPUTED_VALUE"""),"-")</f>
        <v>-</v>
      </c>
      <c r="F1674" s="1"/>
      <c r="G1674" s="1" t="str">
        <f ca="1">IFERROR(__xludf.DUMMYFUNCTION("""COMPUTED_VALUE"""),"-")</f>
        <v>-</v>
      </c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</row>
    <row r="1675" spans="1:26" x14ac:dyDescent="0.2">
      <c r="A1675" s="1"/>
      <c r="B1675" s="1"/>
      <c r="C1675" s="1"/>
      <c r="D1675" s="1"/>
      <c r="E1675" s="1" t="str">
        <f ca="1">IFERROR(__xludf.DUMMYFUNCTION("""COMPUTED_VALUE"""),"-")</f>
        <v>-</v>
      </c>
      <c r="F1675" s="1"/>
      <c r="G1675" s="1" t="str">
        <f ca="1">IFERROR(__xludf.DUMMYFUNCTION("""COMPUTED_VALUE"""),"-")</f>
        <v>-</v>
      </c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</row>
    <row r="1676" spans="1:26" x14ac:dyDescent="0.2">
      <c r="A1676" s="1"/>
      <c r="B1676" s="1"/>
      <c r="C1676" s="1"/>
      <c r="D1676" s="1"/>
      <c r="E1676" s="1" t="str">
        <f ca="1">IFERROR(__xludf.DUMMYFUNCTION("""COMPUTED_VALUE"""),"-")</f>
        <v>-</v>
      </c>
      <c r="F1676" s="1"/>
      <c r="G1676" s="1" t="str">
        <f ca="1">IFERROR(__xludf.DUMMYFUNCTION("""COMPUTED_VALUE"""),"-")</f>
        <v>-</v>
      </c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</row>
    <row r="1677" spans="1:26" x14ac:dyDescent="0.2">
      <c r="A1677" s="1"/>
      <c r="B1677" s="1"/>
      <c r="C1677" s="1"/>
      <c r="D1677" s="1"/>
      <c r="E1677" s="1" t="str">
        <f ca="1">IFERROR(__xludf.DUMMYFUNCTION("""COMPUTED_VALUE"""),"-")</f>
        <v>-</v>
      </c>
      <c r="F1677" s="1"/>
      <c r="G1677" s="1" t="str">
        <f ca="1">IFERROR(__xludf.DUMMYFUNCTION("""COMPUTED_VALUE"""),"-")</f>
        <v>-</v>
      </c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</row>
    <row r="1678" spans="1:26" x14ac:dyDescent="0.2">
      <c r="A1678" s="1"/>
      <c r="B1678" s="1"/>
      <c r="C1678" s="1"/>
      <c r="D1678" s="1"/>
      <c r="E1678" s="1" t="str">
        <f ca="1">IFERROR(__xludf.DUMMYFUNCTION("""COMPUTED_VALUE"""),"-")</f>
        <v>-</v>
      </c>
      <c r="F1678" s="1"/>
      <c r="G1678" s="1" t="str">
        <f ca="1">IFERROR(__xludf.DUMMYFUNCTION("""COMPUTED_VALUE"""),"-")</f>
        <v>-</v>
      </c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</row>
    <row r="1679" spans="1:26" x14ac:dyDescent="0.2">
      <c r="A1679" s="1"/>
      <c r="B1679" s="1"/>
      <c r="C1679" s="1"/>
      <c r="D1679" s="1"/>
      <c r="E1679" s="1" t="str">
        <f ca="1">IFERROR(__xludf.DUMMYFUNCTION("""COMPUTED_VALUE"""),"-")</f>
        <v>-</v>
      </c>
      <c r="F1679" s="1"/>
      <c r="G1679" s="1" t="str">
        <f ca="1">IFERROR(__xludf.DUMMYFUNCTION("""COMPUTED_VALUE"""),"-")</f>
        <v>-</v>
      </c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</row>
    <row r="1680" spans="1:26" x14ac:dyDescent="0.2">
      <c r="A1680" s="1"/>
      <c r="B1680" s="1"/>
      <c r="C1680" s="1"/>
      <c r="D1680" s="1"/>
      <c r="E1680" s="1" t="str">
        <f ca="1">IFERROR(__xludf.DUMMYFUNCTION("""COMPUTED_VALUE"""),"-")</f>
        <v>-</v>
      </c>
      <c r="F1680" s="1"/>
      <c r="G1680" s="1" t="str">
        <f ca="1">IFERROR(__xludf.DUMMYFUNCTION("""COMPUTED_VALUE"""),"-")</f>
        <v>-</v>
      </c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</row>
    <row r="1681" spans="1:26" x14ac:dyDescent="0.2">
      <c r="A1681" s="1"/>
      <c r="B1681" s="1"/>
      <c r="C1681" s="1"/>
      <c r="D1681" s="1"/>
      <c r="E1681" s="1" t="str">
        <f ca="1">IFERROR(__xludf.DUMMYFUNCTION("""COMPUTED_VALUE"""),"-")</f>
        <v>-</v>
      </c>
      <c r="F1681" s="1"/>
      <c r="G1681" s="1" t="str">
        <f ca="1">IFERROR(__xludf.DUMMYFUNCTION("""COMPUTED_VALUE"""),"-")</f>
        <v>-</v>
      </c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</row>
    <row r="1682" spans="1:26" x14ac:dyDescent="0.2">
      <c r="A1682" s="1"/>
      <c r="B1682" s="1"/>
      <c r="C1682" s="1"/>
      <c r="D1682" s="1"/>
      <c r="E1682" s="1" t="str">
        <f ca="1">IFERROR(__xludf.DUMMYFUNCTION("""COMPUTED_VALUE"""),"-")</f>
        <v>-</v>
      </c>
      <c r="F1682" s="1"/>
      <c r="G1682" s="1" t="str">
        <f ca="1">IFERROR(__xludf.DUMMYFUNCTION("""COMPUTED_VALUE"""),"-")</f>
        <v>-</v>
      </c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</row>
    <row r="1683" spans="1:26" x14ac:dyDescent="0.2">
      <c r="A1683" s="1"/>
      <c r="B1683" s="1"/>
      <c r="C1683" s="1"/>
      <c r="D1683" s="1"/>
      <c r="E1683" s="1" t="str">
        <f ca="1">IFERROR(__xludf.DUMMYFUNCTION("""COMPUTED_VALUE"""),"-")</f>
        <v>-</v>
      </c>
      <c r="F1683" s="1"/>
      <c r="G1683" s="1" t="str">
        <f ca="1">IFERROR(__xludf.DUMMYFUNCTION("""COMPUTED_VALUE"""),"-")</f>
        <v>-</v>
      </c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</row>
    <row r="1684" spans="1:26" x14ac:dyDescent="0.2">
      <c r="A1684" s="1"/>
      <c r="B1684" s="1"/>
      <c r="C1684" s="1"/>
      <c r="D1684" s="1"/>
      <c r="E1684" s="1" t="str">
        <f ca="1">IFERROR(__xludf.DUMMYFUNCTION("""COMPUTED_VALUE"""),"-")</f>
        <v>-</v>
      </c>
      <c r="F1684" s="1"/>
      <c r="G1684" s="1" t="str">
        <f ca="1">IFERROR(__xludf.DUMMYFUNCTION("""COMPUTED_VALUE"""),"-")</f>
        <v>-</v>
      </c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</row>
    <row r="1685" spans="1:26" x14ac:dyDescent="0.2">
      <c r="A1685" s="1"/>
      <c r="B1685" s="1"/>
      <c r="C1685" s="1"/>
      <c r="D1685" s="1"/>
      <c r="E1685" s="1" t="str">
        <f ca="1">IFERROR(__xludf.DUMMYFUNCTION("""COMPUTED_VALUE"""),"-")</f>
        <v>-</v>
      </c>
      <c r="F1685" s="1"/>
      <c r="G1685" s="1" t="str">
        <f ca="1">IFERROR(__xludf.DUMMYFUNCTION("""COMPUTED_VALUE"""),"-")</f>
        <v>-</v>
      </c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</row>
    <row r="1686" spans="1:26" x14ac:dyDescent="0.2">
      <c r="A1686" s="1"/>
      <c r="B1686" s="1"/>
      <c r="C1686" s="1"/>
      <c r="D1686" s="1"/>
      <c r="E1686" s="1" t="str">
        <f ca="1">IFERROR(__xludf.DUMMYFUNCTION("""COMPUTED_VALUE"""),"-")</f>
        <v>-</v>
      </c>
      <c r="F1686" s="1"/>
      <c r="G1686" s="1" t="str">
        <f ca="1">IFERROR(__xludf.DUMMYFUNCTION("""COMPUTED_VALUE"""),"-")</f>
        <v>-</v>
      </c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</row>
    <row r="1687" spans="1:26" x14ac:dyDescent="0.2">
      <c r="A1687" s="1"/>
      <c r="B1687" s="1"/>
      <c r="C1687" s="1"/>
      <c r="D1687" s="1"/>
      <c r="E1687" s="1" t="str">
        <f ca="1">IFERROR(__xludf.DUMMYFUNCTION("""COMPUTED_VALUE"""),"-")</f>
        <v>-</v>
      </c>
      <c r="F1687" s="1"/>
      <c r="G1687" s="1" t="str">
        <f ca="1">IFERROR(__xludf.DUMMYFUNCTION("""COMPUTED_VALUE"""),"-")</f>
        <v>-</v>
      </c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</row>
    <row r="1688" spans="1:26" x14ac:dyDescent="0.2">
      <c r="A1688" s="1"/>
      <c r="B1688" s="1"/>
      <c r="C1688" s="1"/>
      <c r="D1688" s="1"/>
      <c r="E1688" s="1" t="str">
        <f ca="1">IFERROR(__xludf.DUMMYFUNCTION("""COMPUTED_VALUE"""),"-")</f>
        <v>-</v>
      </c>
      <c r="F1688" s="1"/>
      <c r="G1688" s="1" t="str">
        <f ca="1">IFERROR(__xludf.DUMMYFUNCTION("""COMPUTED_VALUE"""),"-")</f>
        <v>-</v>
      </c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</row>
    <row r="1689" spans="1:26" x14ac:dyDescent="0.2">
      <c r="A1689" s="1"/>
      <c r="B1689" s="1"/>
      <c r="C1689" s="1"/>
      <c r="D1689" s="1"/>
      <c r="E1689" s="1" t="str">
        <f ca="1">IFERROR(__xludf.DUMMYFUNCTION("""COMPUTED_VALUE"""),"-")</f>
        <v>-</v>
      </c>
      <c r="F1689" s="1"/>
      <c r="G1689" s="1" t="str">
        <f ca="1">IFERROR(__xludf.DUMMYFUNCTION("""COMPUTED_VALUE"""),"-")</f>
        <v>-</v>
      </c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</row>
    <row r="1690" spans="1:26" x14ac:dyDescent="0.2">
      <c r="A1690" s="1"/>
      <c r="B1690" s="1"/>
      <c r="C1690" s="1"/>
      <c r="D1690" s="1"/>
      <c r="E1690" s="1" t="str">
        <f ca="1">IFERROR(__xludf.DUMMYFUNCTION("""COMPUTED_VALUE"""),"-")</f>
        <v>-</v>
      </c>
      <c r="F1690" s="1"/>
      <c r="G1690" s="1" t="str">
        <f ca="1">IFERROR(__xludf.DUMMYFUNCTION("""COMPUTED_VALUE"""),"-")</f>
        <v>-</v>
      </c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</row>
    <row r="1691" spans="1:26" x14ac:dyDescent="0.2">
      <c r="A1691" s="1"/>
      <c r="B1691" s="1"/>
      <c r="C1691" s="1"/>
      <c r="D1691" s="1"/>
      <c r="E1691" s="1" t="str">
        <f ca="1">IFERROR(__xludf.DUMMYFUNCTION("""COMPUTED_VALUE"""),"-")</f>
        <v>-</v>
      </c>
      <c r="F1691" s="1"/>
      <c r="G1691" s="1" t="str">
        <f ca="1">IFERROR(__xludf.DUMMYFUNCTION("""COMPUTED_VALUE"""),"-")</f>
        <v>-</v>
      </c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</row>
    <row r="1692" spans="1:26" x14ac:dyDescent="0.2">
      <c r="A1692" s="1"/>
      <c r="B1692" s="1"/>
      <c r="C1692" s="1"/>
      <c r="D1692" s="1"/>
      <c r="E1692" s="1" t="str">
        <f ca="1">IFERROR(__xludf.DUMMYFUNCTION("""COMPUTED_VALUE"""),"-")</f>
        <v>-</v>
      </c>
      <c r="F1692" s="1"/>
      <c r="G1692" s="1" t="str">
        <f ca="1">IFERROR(__xludf.DUMMYFUNCTION("""COMPUTED_VALUE"""),"-")</f>
        <v>-</v>
      </c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</row>
    <row r="1693" spans="1:26" x14ac:dyDescent="0.2">
      <c r="A1693" s="1"/>
      <c r="B1693" s="1"/>
      <c r="C1693" s="1"/>
      <c r="D1693" s="1"/>
      <c r="E1693" s="1" t="str">
        <f ca="1">IFERROR(__xludf.DUMMYFUNCTION("""COMPUTED_VALUE"""),"-")</f>
        <v>-</v>
      </c>
      <c r="F1693" s="1"/>
      <c r="G1693" s="1" t="str">
        <f ca="1">IFERROR(__xludf.DUMMYFUNCTION("""COMPUTED_VALUE"""),"-")</f>
        <v>-</v>
      </c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</row>
    <row r="1694" spans="1:26" x14ac:dyDescent="0.2">
      <c r="A1694" s="1"/>
      <c r="B1694" s="1"/>
      <c r="C1694" s="1"/>
      <c r="D1694" s="1"/>
      <c r="E1694" s="1" t="str">
        <f ca="1">IFERROR(__xludf.DUMMYFUNCTION("""COMPUTED_VALUE"""),"-")</f>
        <v>-</v>
      </c>
      <c r="F1694" s="1"/>
      <c r="G1694" s="1" t="str">
        <f ca="1">IFERROR(__xludf.DUMMYFUNCTION("""COMPUTED_VALUE"""),"-")</f>
        <v>-</v>
      </c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</row>
    <row r="1695" spans="1:26" x14ac:dyDescent="0.2">
      <c r="A1695" s="1"/>
      <c r="B1695" s="1"/>
      <c r="C1695" s="1"/>
      <c r="D1695" s="1"/>
      <c r="E1695" s="1" t="str">
        <f ca="1">IFERROR(__xludf.DUMMYFUNCTION("""COMPUTED_VALUE"""),"-")</f>
        <v>-</v>
      </c>
      <c r="F1695" s="1"/>
      <c r="G1695" s="1" t="str">
        <f ca="1">IFERROR(__xludf.DUMMYFUNCTION("""COMPUTED_VALUE"""),"-")</f>
        <v>-</v>
      </c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</row>
    <row r="1696" spans="1:26" x14ac:dyDescent="0.2">
      <c r="A1696" s="1"/>
      <c r="B1696" s="1"/>
      <c r="C1696" s="1"/>
      <c r="D1696" s="1"/>
      <c r="E1696" s="1" t="str">
        <f ca="1">IFERROR(__xludf.DUMMYFUNCTION("""COMPUTED_VALUE"""),"-")</f>
        <v>-</v>
      </c>
      <c r="F1696" s="1"/>
      <c r="G1696" s="1" t="str">
        <f ca="1">IFERROR(__xludf.DUMMYFUNCTION("""COMPUTED_VALUE"""),"-")</f>
        <v>-</v>
      </c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</row>
    <row r="1697" spans="1:26" x14ac:dyDescent="0.2">
      <c r="A1697" s="1"/>
      <c r="B1697" s="1"/>
      <c r="C1697" s="1"/>
      <c r="D1697" s="1"/>
      <c r="E1697" s="1" t="str">
        <f ca="1">IFERROR(__xludf.DUMMYFUNCTION("""COMPUTED_VALUE"""),"-")</f>
        <v>-</v>
      </c>
      <c r="F1697" s="1"/>
      <c r="G1697" s="1" t="str">
        <f ca="1">IFERROR(__xludf.DUMMYFUNCTION("""COMPUTED_VALUE"""),"-")</f>
        <v>-</v>
      </c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</row>
    <row r="1698" spans="1:26" x14ac:dyDescent="0.2">
      <c r="A1698" s="1"/>
      <c r="B1698" s="1"/>
      <c r="C1698" s="1"/>
      <c r="D1698" s="1"/>
      <c r="E1698" s="1" t="str">
        <f ca="1">IFERROR(__xludf.DUMMYFUNCTION("""COMPUTED_VALUE"""),"-")</f>
        <v>-</v>
      </c>
      <c r="F1698" s="1"/>
      <c r="G1698" s="1" t="str">
        <f ca="1">IFERROR(__xludf.DUMMYFUNCTION("""COMPUTED_VALUE"""),"-")</f>
        <v>-</v>
      </c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</row>
    <row r="1699" spans="1:26" x14ac:dyDescent="0.2">
      <c r="A1699" s="1"/>
      <c r="B1699" s="1"/>
      <c r="C1699" s="1"/>
      <c r="D1699" s="1"/>
      <c r="E1699" s="1" t="str">
        <f ca="1">IFERROR(__xludf.DUMMYFUNCTION("""COMPUTED_VALUE"""),"-")</f>
        <v>-</v>
      </c>
      <c r="F1699" s="1"/>
      <c r="G1699" s="1" t="str">
        <f ca="1">IFERROR(__xludf.DUMMYFUNCTION("""COMPUTED_VALUE"""),"-")</f>
        <v>-</v>
      </c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</row>
    <row r="1700" spans="1:26" x14ac:dyDescent="0.2">
      <c r="A1700" s="1"/>
      <c r="B1700" s="1"/>
      <c r="C1700" s="1"/>
      <c r="D1700" s="1"/>
      <c r="E1700" s="1" t="str">
        <f ca="1">IFERROR(__xludf.DUMMYFUNCTION("""COMPUTED_VALUE"""),"-")</f>
        <v>-</v>
      </c>
      <c r="F1700" s="1"/>
      <c r="G1700" s="1" t="str">
        <f ca="1">IFERROR(__xludf.DUMMYFUNCTION("""COMPUTED_VALUE"""),"-")</f>
        <v>-</v>
      </c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</row>
    <row r="1701" spans="1:26" x14ac:dyDescent="0.2">
      <c r="A1701" s="1"/>
      <c r="B1701" s="1"/>
      <c r="C1701" s="1"/>
      <c r="D1701" s="1"/>
      <c r="E1701" s="1" t="str">
        <f ca="1">IFERROR(__xludf.DUMMYFUNCTION("""COMPUTED_VALUE"""),"-")</f>
        <v>-</v>
      </c>
      <c r="F1701" s="1"/>
      <c r="G1701" s="1" t="str">
        <f ca="1">IFERROR(__xludf.DUMMYFUNCTION("""COMPUTED_VALUE"""),"-")</f>
        <v>-</v>
      </c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</row>
    <row r="1702" spans="1:26" x14ac:dyDescent="0.2">
      <c r="A1702" s="1"/>
      <c r="B1702" s="1"/>
      <c r="C1702" s="1"/>
      <c r="D1702" s="1"/>
      <c r="E1702" s="1" t="str">
        <f ca="1">IFERROR(__xludf.DUMMYFUNCTION("""COMPUTED_VALUE"""),"-")</f>
        <v>-</v>
      </c>
      <c r="F1702" s="1"/>
      <c r="G1702" s="1" t="str">
        <f ca="1">IFERROR(__xludf.DUMMYFUNCTION("""COMPUTED_VALUE"""),"-")</f>
        <v>-</v>
      </c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</row>
    <row r="1703" spans="1:26" x14ac:dyDescent="0.2">
      <c r="A1703" s="1"/>
      <c r="B1703" s="1"/>
      <c r="C1703" s="1"/>
      <c r="D1703" s="1"/>
      <c r="E1703" s="1" t="str">
        <f ca="1">IFERROR(__xludf.DUMMYFUNCTION("""COMPUTED_VALUE"""),"-")</f>
        <v>-</v>
      </c>
      <c r="F1703" s="1"/>
      <c r="G1703" s="1" t="str">
        <f ca="1">IFERROR(__xludf.DUMMYFUNCTION("""COMPUTED_VALUE"""),"-")</f>
        <v>-</v>
      </c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</row>
    <row r="1704" spans="1:26" x14ac:dyDescent="0.2">
      <c r="A1704" s="1"/>
      <c r="B1704" s="1"/>
      <c r="C1704" s="1"/>
      <c r="D1704" s="1"/>
      <c r="E1704" s="1" t="str">
        <f ca="1">IFERROR(__xludf.DUMMYFUNCTION("""COMPUTED_VALUE"""),"-")</f>
        <v>-</v>
      </c>
      <c r="F1704" s="1"/>
      <c r="G1704" s="1" t="str">
        <f ca="1">IFERROR(__xludf.DUMMYFUNCTION("""COMPUTED_VALUE"""),"-")</f>
        <v>-</v>
      </c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</row>
    <row r="1705" spans="1:26" x14ac:dyDescent="0.2">
      <c r="A1705" s="1"/>
      <c r="B1705" s="1"/>
      <c r="C1705" s="1"/>
      <c r="D1705" s="1"/>
      <c r="E1705" s="1" t="str">
        <f ca="1">IFERROR(__xludf.DUMMYFUNCTION("""COMPUTED_VALUE"""),"-")</f>
        <v>-</v>
      </c>
      <c r="F1705" s="1"/>
      <c r="G1705" s="1" t="str">
        <f ca="1">IFERROR(__xludf.DUMMYFUNCTION("""COMPUTED_VALUE"""),"-")</f>
        <v>-</v>
      </c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</row>
    <row r="1706" spans="1:26" x14ac:dyDescent="0.2">
      <c r="A1706" s="1"/>
      <c r="B1706" s="1"/>
      <c r="C1706" s="1"/>
      <c r="D1706" s="1"/>
      <c r="E1706" s="1" t="str">
        <f ca="1">IFERROR(__xludf.DUMMYFUNCTION("""COMPUTED_VALUE"""),"-")</f>
        <v>-</v>
      </c>
      <c r="F1706" s="1"/>
      <c r="G1706" s="1" t="str">
        <f ca="1">IFERROR(__xludf.DUMMYFUNCTION("""COMPUTED_VALUE"""),"-")</f>
        <v>-</v>
      </c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</row>
    <row r="1707" spans="1:26" x14ac:dyDescent="0.2">
      <c r="A1707" s="1"/>
      <c r="B1707" s="1"/>
      <c r="C1707" s="1"/>
      <c r="D1707" s="1"/>
      <c r="E1707" s="1" t="str">
        <f ca="1">IFERROR(__xludf.DUMMYFUNCTION("""COMPUTED_VALUE"""),"-")</f>
        <v>-</v>
      </c>
      <c r="F1707" s="1"/>
      <c r="G1707" s="1" t="str">
        <f ca="1">IFERROR(__xludf.DUMMYFUNCTION("""COMPUTED_VALUE"""),"-")</f>
        <v>-</v>
      </c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</row>
    <row r="1708" spans="1:26" x14ac:dyDescent="0.2">
      <c r="A1708" s="1"/>
      <c r="B1708" s="1"/>
      <c r="C1708" s="1"/>
      <c r="D1708" s="1"/>
      <c r="E1708" s="1" t="str">
        <f ca="1">IFERROR(__xludf.DUMMYFUNCTION("""COMPUTED_VALUE"""),"-")</f>
        <v>-</v>
      </c>
      <c r="F1708" s="1"/>
      <c r="G1708" s="1" t="str">
        <f ca="1">IFERROR(__xludf.DUMMYFUNCTION("""COMPUTED_VALUE"""),"-")</f>
        <v>-</v>
      </c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</row>
    <row r="1709" spans="1:26" x14ac:dyDescent="0.2">
      <c r="A1709" s="1"/>
      <c r="B1709" s="1"/>
      <c r="C1709" s="1"/>
      <c r="D1709" s="1"/>
      <c r="E1709" s="1" t="str">
        <f ca="1">IFERROR(__xludf.DUMMYFUNCTION("""COMPUTED_VALUE"""),"-")</f>
        <v>-</v>
      </c>
      <c r="F1709" s="1"/>
      <c r="G1709" s="1" t="str">
        <f ca="1">IFERROR(__xludf.DUMMYFUNCTION("""COMPUTED_VALUE"""),"-")</f>
        <v>-</v>
      </c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</row>
    <row r="1710" spans="1:26" x14ac:dyDescent="0.2">
      <c r="A1710" s="1"/>
      <c r="B1710" s="1"/>
      <c r="C1710" s="1"/>
      <c r="D1710" s="1"/>
      <c r="E1710" s="1" t="str">
        <f ca="1">IFERROR(__xludf.DUMMYFUNCTION("""COMPUTED_VALUE"""),"-")</f>
        <v>-</v>
      </c>
      <c r="F1710" s="1"/>
      <c r="G1710" s="1" t="str">
        <f ca="1">IFERROR(__xludf.DUMMYFUNCTION("""COMPUTED_VALUE"""),"-")</f>
        <v>-</v>
      </c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</row>
    <row r="1711" spans="1:26" x14ac:dyDescent="0.2">
      <c r="A1711" s="1"/>
      <c r="B1711" s="1"/>
      <c r="C1711" s="1"/>
      <c r="D1711" s="1"/>
      <c r="E1711" s="1" t="str">
        <f ca="1">IFERROR(__xludf.DUMMYFUNCTION("""COMPUTED_VALUE"""),"-")</f>
        <v>-</v>
      </c>
      <c r="F1711" s="1"/>
      <c r="G1711" s="1" t="str">
        <f ca="1">IFERROR(__xludf.DUMMYFUNCTION("""COMPUTED_VALUE"""),"-")</f>
        <v>-</v>
      </c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</row>
    <row r="1712" spans="1:26" x14ac:dyDescent="0.2">
      <c r="A1712" s="1"/>
      <c r="B1712" s="1"/>
      <c r="C1712" s="1"/>
      <c r="D1712" s="1"/>
      <c r="E1712" s="1" t="str">
        <f ca="1">IFERROR(__xludf.DUMMYFUNCTION("""COMPUTED_VALUE"""),"-")</f>
        <v>-</v>
      </c>
      <c r="F1712" s="1"/>
      <c r="G1712" s="1" t="str">
        <f ca="1">IFERROR(__xludf.DUMMYFUNCTION("""COMPUTED_VALUE"""),"-")</f>
        <v>-</v>
      </c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</row>
    <row r="1713" spans="1:26" x14ac:dyDescent="0.2">
      <c r="A1713" s="1"/>
      <c r="B1713" s="1"/>
      <c r="C1713" s="1"/>
      <c r="D1713" s="1"/>
      <c r="E1713" s="1" t="str">
        <f ca="1">IFERROR(__xludf.DUMMYFUNCTION("""COMPUTED_VALUE"""),"-")</f>
        <v>-</v>
      </c>
      <c r="F1713" s="1"/>
      <c r="G1713" s="1" t="str">
        <f ca="1">IFERROR(__xludf.DUMMYFUNCTION("""COMPUTED_VALUE"""),"-")</f>
        <v>-</v>
      </c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</row>
    <row r="1714" spans="1:26" x14ac:dyDescent="0.2">
      <c r="A1714" s="1"/>
      <c r="B1714" s="1"/>
      <c r="C1714" s="1"/>
      <c r="D1714" s="1"/>
      <c r="E1714" s="1" t="str">
        <f ca="1">IFERROR(__xludf.DUMMYFUNCTION("""COMPUTED_VALUE"""),"-")</f>
        <v>-</v>
      </c>
      <c r="F1714" s="1"/>
      <c r="G1714" s="1" t="str">
        <f ca="1">IFERROR(__xludf.DUMMYFUNCTION("""COMPUTED_VALUE"""),"-")</f>
        <v>-</v>
      </c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</row>
    <row r="1715" spans="1:26" x14ac:dyDescent="0.2">
      <c r="A1715" s="1"/>
      <c r="B1715" s="1"/>
      <c r="C1715" s="1"/>
      <c r="D1715" s="1"/>
      <c r="E1715" s="1" t="str">
        <f ca="1">IFERROR(__xludf.DUMMYFUNCTION("""COMPUTED_VALUE"""),"-")</f>
        <v>-</v>
      </c>
      <c r="F1715" s="1"/>
      <c r="G1715" s="1" t="str">
        <f ca="1">IFERROR(__xludf.DUMMYFUNCTION("""COMPUTED_VALUE"""),"-")</f>
        <v>-</v>
      </c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</row>
    <row r="1716" spans="1:26" x14ac:dyDescent="0.2">
      <c r="A1716" s="1"/>
      <c r="B1716" s="1"/>
      <c r="C1716" s="1"/>
      <c r="D1716" s="1"/>
      <c r="E1716" s="1" t="str">
        <f ca="1">IFERROR(__xludf.DUMMYFUNCTION("""COMPUTED_VALUE"""),"-")</f>
        <v>-</v>
      </c>
      <c r="F1716" s="1"/>
      <c r="G1716" s="1" t="str">
        <f ca="1">IFERROR(__xludf.DUMMYFUNCTION("""COMPUTED_VALUE"""),"-")</f>
        <v>-</v>
      </c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</row>
    <row r="1717" spans="1:26" x14ac:dyDescent="0.2">
      <c r="A1717" s="1"/>
      <c r="B1717" s="1"/>
      <c r="C1717" s="1"/>
      <c r="D1717" s="1"/>
      <c r="E1717" s="1" t="str">
        <f ca="1">IFERROR(__xludf.DUMMYFUNCTION("""COMPUTED_VALUE"""),"-")</f>
        <v>-</v>
      </c>
      <c r="F1717" s="1"/>
      <c r="G1717" s="1" t="str">
        <f ca="1">IFERROR(__xludf.DUMMYFUNCTION("""COMPUTED_VALUE"""),"-")</f>
        <v>-</v>
      </c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</row>
    <row r="1718" spans="1:26" x14ac:dyDescent="0.2">
      <c r="A1718" s="1"/>
      <c r="B1718" s="1"/>
      <c r="C1718" s="1"/>
      <c r="D1718" s="1"/>
      <c r="E1718" s="1" t="str">
        <f ca="1">IFERROR(__xludf.DUMMYFUNCTION("""COMPUTED_VALUE"""),"-")</f>
        <v>-</v>
      </c>
      <c r="F1718" s="1"/>
      <c r="G1718" s="1" t="str">
        <f ca="1">IFERROR(__xludf.DUMMYFUNCTION("""COMPUTED_VALUE"""),"-")</f>
        <v>-</v>
      </c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</row>
    <row r="1719" spans="1:26" x14ac:dyDescent="0.2">
      <c r="A1719" s="1"/>
      <c r="B1719" s="1"/>
      <c r="C1719" s="1"/>
      <c r="D1719" s="1"/>
      <c r="E1719" s="1" t="str">
        <f ca="1">IFERROR(__xludf.DUMMYFUNCTION("""COMPUTED_VALUE"""),"-")</f>
        <v>-</v>
      </c>
      <c r="F1719" s="1"/>
      <c r="G1719" s="1" t="str">
        <f ca="1">IFERROR(__xludf.DUMMYFUNCTION("""COMPUTED_VALUE"""),"-")</f>
        <v>-</v>
      </c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</row>
    <row r="1720" spans="1:26" x14ac:dyDescent="0.2">
      <c r="A1720" s="1"/>
      <c r="B1720" s="1"/>
      <c r="C1720" s="1"/>
      <c r="D1720" s="1"/>
      <c r="E1720" s="1" t="str">
        <f ca="1">IFERROR(__xludf.DUMMYFUNCTION("""COMPUTED_VALUE"""),"-")</f>
        <v>-</v>
      </c>
      <c r="F1720" s="1"/>
      <c r="G1720" s="1" t="str">
        <f ca="1">IFERROR(__xludf.DUMMYFUNCTION("""COMPUTED_VALUE"""),"-")</f>
        <v>-</v>
      </c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</row>
    <row r="1721" spans="1:26" x14ac:dyDescent="0.2">
      <c r="A1721" s="1"/>
      <c r="B1721" s="1"/>
      <c r="C1721" s="1"/>
      <c r="D1721" s="1"/>
      <c r="E1721" s="1" t="str">
        <f ca="1">IFERROR(__xludf.DUMMYFUNCTION("""COMPUTED_VALUE"""),"-")</f>
        <v>-</v>
      </c>
      <c r="F1721" s="1"/>
      <c r="G1721" s="1" t="str">
        <f ca="1">IFERROR(__xludf.DUMMYFUNCTION("""COMPUTED_VALUE"""),"-")</f>
        <v>-</v>
      </c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</row>
    <row r="1722" spans="1:26" x14ac:dyDescent="0.2">
      <c r="A1722" s="1"/>
      <c r="B1722" s="1"/>
      <c r="C1722" s="1"/>
      <c r="D1722" s="1"/>
      <c r="E1722" s="1" t="str">
        <f ca="1">IFERROR(__xludf.DUMMYFUNCTION("""COMPUTED_VALUE"""),"-")</f>
        <v>-</v>
      </c>
      <c r="F1722" s="1"/>
      <c r="G1722" s="1" t="str">
        <f ca="1">IFERROR(__xludf.DUMMYFUNCTION("""COMPUTED_VALUE"""),"-")</f>
        <v>-</v>
      </c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</row>
    <row r="1723" spans="1:26" x14ac:dyDescent="0.2">
      <c r="A1723" s="1"/>
      <c r="B1723" s="1"/>
      <c r="C1723" s="1"/>
      <c r="D1723" s="1"/>
      <c r="E1723" s="1" t="str">
        <f ca="1">IFERROR(__xludf.DUMMYFUNCTION("""COMPUTED_VALUE"""),"-")</f>
        <v>-</v>
      </c>
      <c r="F1723" s="1"/>
      <c r="G1723" s="1" t="str">
        <f ca="1">IFERROR(__xludf.DUMMYFUNCTION("""COMPUTED_VALUE"""),"-")</f>
        <v>-</v>
      </c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</row>
    <row r="1724" spans="1:26" x14ac:dyDescent="0.2">
      <c r="A1724" s="1"/>
      <c r="B1724" s="1"/>
      <c r="C1724" s="1"/>
      <c r="D1724" s="1"/>
      <c r="E1724" s="1" t="str">
        <f ca="1">IFERROR(__xludf.DUMMYFUNCTION("""COMPUTED_VALUE"""),"-")</f>
        <v>-</v>
      </c>
      <c r="F1724" s="1"/>
      <c r="G1724" s="1" t="str">
        <f ca="1">IFERROR(__xludf.DUMMYFUNCTION("""COMPUTED_VALUE"""),"-")</f>
        <v>-</v>
      </c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</row>
    <row r="1725" spans="1:26" x14ac:dyDescent="0.2">
      <c r="A1725" s="1"/>
      <c r="B1725" s="1"/>
      <c r="C1725" s="1"/>
      <c r="D1725" s="1"/>
      <c r="E1725" s="1" t="str">
        <f ca="1">IFERROR(__xludf.DUMMYFUNCTION("""COMPUTED_VALUE"""),"-")</f>
        <v>-</v>
      </c>
      <c r="F1725" s="1"/>
      <c r="G1725" s="1" t="str">
        <f ca="1">IFERROR(__xludf.DUMMYFUNCTION("""COMPUTED_VALUE"""),"-")</f>
        <v>-</v>
      </c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</row>
    <row r="1726" spans="1:26" x14ac:dyDescent="0.2">
      <c r="A1726" s="1"/>
      <c r="B1726" s="1"/>
      <c r="C1726" s="1"/>
      <c r="D1726" s="1"/>
      <c r="E1726" s="1" t="str">
        <f ca="1">IFERROR(__xludf.DUMMYFUNCTION("""COMPUTED_VALUE"""),"-")</f>
        <v>-</v>
      </c>
      <c r="F1726" s="1"/>
      <c r="G1726" s="1" t="str">
        <f ca="1">IFERROR(__xludf.DUMMYFUNCTION("""COMPUTED_VALUE"""),"-")</f>
        <v>-</v>
      </c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</row>
    <row r="1727" spans="1:26" x14ac:dyDescent="0.2">
      <c r="A1727" s="1"/>
      <c r="B1727" s="1"/>
      <c r="C1727" s="1"/>
      <c r="D1727" s="1"/>
      <c r="E1727" s="1" t="str">
        <f ca="1">IFERROR(__xludf.DUMMYFUNCTION("""COMPUTED_VALUE"""),"-")</f>
        <v>-</v>
      </c>
      <c r="F1727" s="1"/>
      <c r="G1727" s="1" t="str">
        <f ca="1">IFERROR(__xludf.DUMMYFUNCTION("""COMPUTED_VALUE"""),"-")</f>
        <v>-</v>
      </c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</row>
    <row r="1728" spans="1:26" x14ac:dyDescent="0.2">
      <c r="A1728" s="1"/>
      <c r="B1728" s="1"/>
      <c r="C1728" s="1"/>
      <c r="D1728" s="1"/>
      <c r="E1728" s="1" t="str">
        <f ca="1">IFERROR(__xludf.DUMMYFUNCTION("""COMPUTED_VALUE"""),"-")</f>
        <v>-</v>
      </c>
      <c r="F1728" s="1"/>
      <c r="G1728" s="1" t="str">
        <f ca="1">IFERROR(__xludf.DUMMYFUNCTION("""COMPUTED_VALUE"""),"-")</f>
        <v>-</v>
      </c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</row>
    <row r="1729" spans="1:26" x14ac:dyDescent="0.2">
      <c r="A1729" s="1"/>
      <c r="B1729" s="1"/>
      <c r="C1729" s="1"/>
      <c r="D1729" s="1"/>
      <c r="E1729" s="1" t="str">
        <f ca="1">IFERROR(__xludf.DUMMYFUNCTION("""COMPUTED_VALUE"""),"-")</f>
        <v>-</v>
      </c>
      <c r="F1729" s="1"/>
      <c r="G1729" s="1" t="str">
        <f ca="1">IFERROR(__xludf.DUMMYFUNCTION("""COMPUTED_VALUE"""),"-")</f>
        <v>-</v>
      </c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</row>
    <row r="1730" spans="1:26" x14ac:dyDescent="0.2">
      <c r="A1730" s="1"/>
      <c r="B1730" s="1"/>
      <c r="C1730" s="1"/>
      <c r="D1730" s="1"/>
      <c r="E1730" s="1" t="str">
        <f ca="1">IFERROR(__xludf.DUMMYFUNCTION("""COMPUTED_VALUE"""),"-")</f>
        <v>-</v>
      </c>
      <c r="F1730" s="1"/>
      <c r="G1730" s="1" t="str">
        <f ca="1">IFERROR(__xludf.DUMMYFUNCTION("""COMPUTED_VALUE"""),"-")</f>
        <v>-</v>
      </c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</row>
    <row r="1731" spans="1:26" x14ac:dyDescent="0.2">
      <c r="A1731" s="1"/>
      <c r="B1731" s="1"/>
      <c r="C1731" s="1"/>
      <c r="D1731" s="1"/>
      <c r="E1731" s="1" t="str">
        <f ca="1">IFERROR(__xludf.DUMMYFUNCTION("""COMPUTED_VALUE"""),"-")</f>
        <v>-</v>
      </c>
      <c r="F1731" s="1"/>
      <c r="G1731" s="1" t="str">
        <f ca="1">IFERROR(__xludf.DUMMYFUNCTION("""COMPUTED_VALUE"""),"-")</f>
        <v>-</v>
      </c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</row>
    <row r="1732" spans="1:26" x14ac:dyDescent="0.2">
      <c r="A1732" s="1"/>
      <c r="B1732" s="1"/>
      <c r="C1732" s="1"/>
      <c r="D1732" s="1"/>
      <c r="E1732" s="1" t="str">
        <f ca="1">IFERROR(__xludf.DUMMYFUNCTION("""COMPUTED_VALUE"""),"-")</f>
        <v>-</v>
      </c>
      <c r="F1732" s="1"/>
      <c r="G1732" s="1" t="str">
        <f ca="1">IFERROR(__xludf.DUMMYFUNCTION("""COMPUTED_VALUE"""),"-")</f>
        <v>-</v>
      </c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</row>
    <row r="1733" spans="1:26" x14ac:dyDescent="0.2">
      <c r="A1733" s="1"/>
      <c r="B1733" s="1"/>
      <c r="C1733" s="1"/>
      <c r="D1733" s="1"/>
      <c r="E1733" s="1" t="str">
        <f ca="1">IFERROR(__xludf.DUMMYFUNCTION("""COMPUTED_VALUE"""),"-")</f>
        <v>-</v>
      </c>
      <c r="F1733" s="1"/>
      <c r="G1733" s="1" t="str">
        <f ca="1">IFERROR(__xludf.DUMMYFUNCTION("""COMPUTED_VALUE"""),"-")</f>
        <v>-</v>
      </c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</row>
    <row r="1734" spans="1:26" x14ac:dyDescent="0.2">
      <c r="A1734" s="1"/>
      <c r="B1734" s="1"/>
      <c r="C1734" s="1"/>
      <c r="D1734" s="1"/>
      <c r="E1734" s="1" t="str">
        <f ca="1">IFERROR(__xludf.DUMMYFUNCTION("""COMPUTED_VALUE"""),"-")</f>
        <v>-</v>
      </c>
      <c r="F1734" s="1"/>
      <c r="G1734" s="1" t="str">
        <f ca="1">IFERROR(__xludf.DUMMYFUNCTION("""COMPUTED_VALUE"""),"-")</f>
        <v>-</v>
      </c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</row>
    <row r="1735" spans="1:26" x14ac:dyDescent="0.2">
      <c r="A1735" s="1"/>
      <c r="B1735" s="1"/>
      <c r="C1735" s="1"/>
      <c r="D1735" s="1"/>
      <c r="E1735" s="1" t="str">
        <f ca="1">IFERROR(__xludf.DUMMYFUNCTION("""COMPUTED_VALUE"""),"-")</f>
        <v>-</v>
      </c>
      <c r="F1735" s="1"/>
      <c r="G1735" s="1" t="str">
        <f ca="1">IFERROR(__xludf.DUMMYFUNCTION("""COMPUTED_VALUE"""),"-")</f>
        <v>-</v>
      </c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</row>
    <row r="1736" spans="1:26" x14ac:dyDescent="0.2">
      <c r="A1736" s="1"/>
      <c r="B1736" s="1"/>
      <c r="C1736" s="1"/>
      <c r="D1736" s="1"/>
      <c r="E1736" s="1" t="str">
        <f ca="1">IFERROR(__xludf.DUMMYFUNCTION("""COMPUTED_VALUE"""),"-")</f>
        <v>-</v>
      </c>
      <c r="F1736" s="1"/>
      <c r="G1736" s="1" t="str">
        <f ca="1">IFERROR(__xludf.DUMMYFUNCTION("""COMPUTED_VALUE"""),"-")</f>
        <v>-</v>
      </c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</row>
    <row r="1737" spans="1:26" x14ac:dyDescent="0.2">
      <c r="A1737" s="1"/>
      <c r="B1737" s="1"/>
      <c r="C1737" s="1"/>
      <c r="D1737" s="1"/>
      <c r="E1737" s="1" t="str">
        <f ca="1">IFERROR(__xludf.DUMMYFUNCTION("""COMPUTED_VALUE"""),"-")</f>
        <v>-</v>
      </c>
      <c r="F1737" s="1"/>
      <c r="G1737" s="1" t="str">
        <f ca="1">IFERROR(__xludf.DUMMYFUNCTION("""COMPUTED_VALUE"""),"-")</f>
        <v>-</v>
      </c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</row>
    <row r="1738" spans="1:26" x14ac:dyDescent="0.2">
      <c r="A1738" s="1"/>
      <c r="B1738" s="1"/>
      <c r="C1738" s="1"/>
      <c r="D1738" s="1"/>
      <c r="E1738" s="1" t="str">
        <f ca="1">IFERROR(__xludf.DUMMYFUNCTION("""COMPUTED_VALUE"""),"-")</f>
        <v>-</v>
      </c>
      <c r="F1738" s="1"/>
      <c r="G1738" s="1" t="str">
        <f ca="1">IFERROR(__xludf.DUMMYFUNCTION("""COMPUTED_VALUE"""),"-")</f>
        <v>-</v>
      </c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</row>
    <row r="1739" spans="1:26" x14ac:dyDescent="0.2">
      <c r="A1739" s="1"/>
      <c r="B1739" s="1"/>
      <c r="C1739" s="1"/>
      <c r="D1739" s="1"/>
      <c r="E1739" s="1" t="str">
        <f ca="1">IFERROR(__xludf.DUMMYFUNCTION("""COMPUTED_VALUE"""),"-")</f>
        <v>-</v>
      </c>
      <c r="F1739" s="1"/>
      <c r="G1739" s="1" t="str">
        <f ca="1">IFERROR(__xludf.DUMMYFUNCTION("""COMPUTED_VALUE"""),"-")</f>
        <v>-</v>
      </c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</row>
    <row r="1740" spans="1:26" x14ac:dyDescent="0.2">
      <c r="A1740" s="1"/>
      <c r="B1740" s="1"/>
      <c r="C1740" s="1"/>
      <c r="D1740" s="1"/>
      <c r="E1740" s="1" t="str">
        <f ca="1">IFERROR(__xludf.DUMMYFUNCTION("""COMPUTED_VALUE"""),"-")</f>
        <v>-</v>
      </c>
      <c r="F1740" s="1"/>
      <c r="G1740" s="1" t="str">
        <f ca="1">IFERROR(__xludf.DUMMYFUNCTION("""COMPUTED_VALUE"""),"-")</f>
        <v>-</v>
      </c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</row>
    <row r="1741" spans="1:26" x14ac:dyDescent="0.2">
      <c r="A1741" s="1"/>
      <c r="B1741" s="1"/>
      <c r="C1741" s="1"/>
      <c r="D1741" s="1"/>
      <c r="E1741" s="1" t="str">
        <f ca="1">IFERROR(__xludf.DUMMYFUNCTION("""COMPUTED_VALUE"""),"-")</f>
        <v>-</v>
      </c>
      <c r="F1741" s="1"/>
      <c r="G1741" s="1" t="str">
        <f ca="1">IFERROR(__xludf.DUMMYFUNCTION("""COMPUTED_VALUE"""),"-")</f>
        <v>-</v>
      </c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</row>
    <row r="1742" spans="1:26" x14ac:dyDescent="0.2">
      <c r="A1742" s="1"/>
      <c r="B1742" s="1"/>
      <c r="C1742" s="1"/>
      <c r="D1742" s="1"/>
      <c r="E1742" s="1" t="str">
        <f ca="1">IFERROR(__xludf.DUMMYFUNCTION("""COMPUTED_VALUE"""),"-")</f>
        <v>-</v>
      </c>
      <c r="F1742" s="1"/>
      <c r="G1742" s="1" t="str">
        <f ca="1">IFERROR(__xludf.DUMMYFUNCTION("""COMPUTED_VALUE"""),"-")</f>
        <v>-</v>
      </c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</row>
    <row r="1743" spans="1:26" x14ac:dyDescent="0.2">
      <c r="A1743" s="1"/>
      <c r="B1743" s="1"/>
      <c r="C1743" s="1"/>
      <c r="D1743" s="1"/>
      <c r="E1743" s="1" t="str">
        <f ca="1">IFERROR(__xludf.DUMMYFUNCTION("""COMPUTED_VALUE"""),"-")</f>
        <v>-</v>
      </c>
      <c r="F1743" s="1"/>
      <c r="G1743" s="1" t="str">
        <f ca="1">IFERROR(__xludf.DUMMYFUNCTION("""COMPUTED_VALUE"""),"-")</f>
        <v>-</v>
      </c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</row>
    <row r="1744" spans="1:26" x14ac:dyDescent="0.2">
      <c r="A1744" s="1"/>
      <c r="B1744" s="1"/>
      <c r="C1744" s="1"/>
      <c r="D1744" s="1"/>
      <c r="E1744" s="1" t="str">
        <f ca="1">IFERROR(__xludf.DUMMYFUNCTION("""COMPUTED_VALUE"""),"-")</f>
        <v>-</v>
      </c>
      <c r="F1744" s="1"/>
      <c r="G1744" s="1" t="str">
        <f ca="1">IFERROR(__xludf.DUMMYFUNCTION("""COMPUTED_VALUE"""),"-")</f>
        <v>-</v>
      </c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</row>
    <row r="1745" spans="1:26" x14ac:dyDescent="0.2">
      <c r="A1745" s="1"/>
      <c r="B1745" s="1"/>
      <c r="C1745" s="1"/>
      <c r="D1745" s="1"/>
      <c r="E1745" s="1" t="str">
        <f ca="1">IFERROR(__xludf.DUMMYFUNCTION("""COMPUTED_VALUE"""),"-")</f>
        <v>-</v>
      </c>
      <c r="F1745" s="1"/>
      <c r="G1745" s="1" t="str">
        <f ca="1">IFERROR(__xludf.DUMMYFUNCTION("""COMPUTED_VALUE"""),"-")</f>
        <v>-</v>
      </c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</row>
    <row r="1746" spans="1:26" x14ac:dyDescent="0.2">
      <c r="A1746" s="1"/>
      <c r="B1746" s="1"/>
      <c r="C1746" s="1"/>
      <c r="D1746" s="1"/>
      <c r="E1746" s="1" t="str">
        <f ca="1">IFERROR(__xludf.DUMMYFUNCTION("""COMPUTED_VALUE"""),"-")</f>
        <v>-</v>
      </c>
      <c r="F1746" s="1"/>
      <c r="G1746" s="1" t="str">
        <f ca="1">IFERROR(__xludf.DUMMYFUNCTION("""COMPUTED_VALUE"""),"-")</f>
        <v>-</v>
      </c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</row>
    <row r="1747" spans="1:26" x14ac:dyDescent="0.2">
      <c r="A1747" s="1"/>
      <c r="B1747" s="1"/>
      <c r="C1747" s="1"/>
      <c r="D1747" s="1"/>
      <c r="E1747" s="1" t="str">
        <f ca="1">IFERROR(__xludf.DUMMYFUNCTION("""COMPUTED_VALUE"""),"-")</f>
        <v>-</v>
      </c>
      <c r="F1747" s="1"/>
      <c r="G1747" s="1" t="str">
        <f ca="1">IFERROR(__xludf.DUMMYFUNCTION("""COMPUTED_VALUE"""),"-")</f>
        <v>-</v>
      </c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</row>
    <row r="1748" spans="1:26" x14ac:dyDescent="0.2">
      <c r="A1748" s="1"/>
      <c r="B1748" s="1"/>
      <c r="C1748" s="1"/>
      <c r="D1748" s="1"/>
      <c r="E1748" s="1" t="str">
        <f ca="1">IFERROR(__xludf.DUMMYFUNCTION("""COMPUTED_VALUE"""),"-")</f>
        <v>-</v>
      </c>
      <c r="F1748" s="1"/>
      <c r="G1748" s="1" t="str">
        <f ca="1">IFERROR(__xludf.DUMMYFUNCTION("""COMPUTED_VALUE"""),"-")</f>
        <v>-</v>
      </c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</row>
    <row r="1749" spans="1:26" x14ac:dyDescent="0.2">
      <c r="A1749" s="1"/>
      <c r="B1749" s="1"/>
      <c r="C1749" s="1"/>
      <c r="D1749" s="1"/>
      <c r="E1749" s="1" t="str">
        <f ca="1">IFERROR(__xludf.DUMMYFUNCTION("""COMPUTED_VALUE"""),"-")</f>
        <v>-</v>
      </c>
      <c r="F1749" s="1"/>
      <c r="G1749" s="1" t="str">
        <f ca="1">IFERROR(__xludf.DUMMYFUNCTION("""COMPUTED_VALUE"""),"-")</f>
        <v>-</v>
      </c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</row>
    <row r="1750" spans="1:26" x14ac:dyDescent="0.2">
      <c r="A1750" s="1"/>
      <c r="B1750" s="1"/>
      <c r="C1750" s="1"/>
      <c r="D1750" s="1"/>
      <c r="E1750" s="1" t="str">
        <f ca="1">IFERROR(__xludf.DUMMYFUNCTION("""COMPUTED_VALUE"""),"-")</f>
        <v>-</v>
      </c>
      <c r="F1750" s="1"/>
      <c r="G1750" s="1" t="str">
        <f ca="1">IFERROR(__xludf.DUMMYFUNCTION("""COMPUTED_VALUE"""),"-")</f>
        <v>-</v>
      </c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</row>
    <row r="1751" spans="1:26" x14ac:dyDescent="0.2">
      <c r="A1751" s="1"/>
      <c r="B1751" s="1"/>
      <c r="C1751" s="1"/>
      <c r="D1751" s="1"/>
      <c r="E1751" s="1" t="str">
        <f ca="1">IFERROR(__xludf.DUMMYFUNCTION("""COMPUTED_VALUE"""),"-")</f>
        <v>-</v>
      </c>
      <c r="F1751" s="1"/>
      <c r="G1751" s="1" t="str">
        <f ca="1">IFERROR(__xludf.DUMMYFUNCTION("""COMPUTED_VALUE"""),"-")</f>
        <v>-</v>
      </c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</row>
    <row r="1752" spans="1:26" x14ac:dyDescent="0.2">
      <c r="A1752" s="1"/>
      <c r="B1752" s="1"/>
      <c r="C1752" s="1"/>
      <c r="D1752" s="1"/>
      <c r="E1752" s="1" t="str">
        <f ca="1">IFERROR(__xludf.DUMMYFUNCTION("""COMPUTED_VALUE"""),"-")</f>
        <v>-</v>
      </c>
      <c r="F1752" s="1"/>
      <c r="G1752" s="1" t="str">
        <f ca="1">IFERROR(__xludf.DUMMYFUNCTION("""COMPUTED_VALUE"""),"-")</f>
        <v>-</v>
      </c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</row>
    <row r="1753" spans="1:26" x14ac:dyDescent="0.2">
      <c r="A1753" s="1"/>
      <c r="B1753" s="1"/>
      <c r="C1753" s="1"/>
      <c r="D1753" s="1"/>
      <c r="E1753" s="1" t="str">
        <f ca="1">IFERROR(__xludf.DUMMYFUNCTION("""COMPUTED_VALUE"""),"-")</f>
        <v>-</v>
      </c>
      <c r="F1753" s="1"/>
      <c r="G1753" s="1" t="str">
        <f ca="1">IFERROR(__xludf.DUMMYFUNCTION("""COMPUTED_VALUE"""),"-")</f>
        <v>-</v>
      </c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</row>
    <row r="1754" spans="1:26" x14ac:dyDescent="0.2">
      <c r="A1754" s="1"/>
      <c r="B1754" s="1"/>
      <c r="C1754" s="1"/>
      <c r="D1754" s="1"/>
      <c r="E1754" s="1" t="str">
        <f ca="1">IFERROR(__xludf.DUMMYFUNCTION("""COMPUTED_VALUE"""),"-")</f>
        <v>-</v>
      </c>
      <c r="F1754" s="1"/>
      <c r="G1754" s="1" t="str">
        <f ca="1">IFERROR(__xludf.DUMMYFUNCTION("""COMPUTED_VALUE"""),"-")</f>
        <v>-</v>
      </c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</row>
    <row r="1755" spans="1:26" x14ac:dyDescent="0.2">
      <c r="A1755" s="1"/>
      <c r="B1755" s="1"/>
      <c r="C1755" s="1"/>
      <c r="D1755" s="1"/>
      <c r="E1755" s="1" t="str">
        <f ca="1">IFERROR(__xludf.DUMMYFUNCTION("""COMPUTED_VALUE"""),"-")</f>
        <v>-</v>
      </c>
      <c r="F1755" s="1"/>
      <c r="G1755" s="1" t="str">
        <f ca="1">IFERROR(__xludf.DUMMYFUNCTION("""COMPUTED_VALUE"""),"-")</f>
        <v>-</v>
      </c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</row>
    <row r="1756" spans="1:26" x14ac:dyDescent="0.2">
      <c r="A1756" s="1"/>
      <c r="B1756" s="1"/>
      <c r="C1756" s="1"/>
      <c r="D1756" s="1"/>
      <c r="E1756" s="1" t="str">
        <f ca="1">IFERROR(__xludf.DUMMYFUNCTION("""COMPUTED_VALUE"""),"-")</f>
        <v>-</v>
      </c>
      <c r="F1756" s="1"/>
      <c r="G1756" s="1" t="str">
        <f ca="1">IFERROR(__xludf.DUMMYFUNCTION("""COMPUTED_VALUE"""),"-")</f>
        <v>-</v>
      </c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</row>
    <row r="1757" spans="1:26" x14ac:dyDescent="0.2">
      <c r="A1757" s="1"/>
      <c r="B1757" s="1"/>
      <c r="C1757" s="1"/>
      <c r="D1757" s="1"/>
      <c r="E1757" s="1" t="str">
        <f ca="1">IFERROR(__xludf.DUMMYFUNCTION("""COMPUTED_VALUE"""),"-")</f>
        <v>-</v>
      </c>
      <c r="F1757" s="1"/>
      <c r="G1757" s="1" t="str">
        <f ca="1">IFERROR(__xludf.DUMMYFUNCTION("""COMPUTED_VALUE"""),"-")</f>
        <v>-</v>
      </c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</row>
    <row r="1758" spans="1:26" x14ac:dyDescent="0.2">
      <c r="A1758" s="1"/>
      <c r="B1758" s="1"/>
      <c r="C1758" s="1"/>
      <c r="D1758" s="1"/>
      <c r="E1758" s="1" t="str">
        <f ca="1">IFERROR(__xludf.DUMMYFUNCTION("""COMPUTED_VALUE"""),"-")</f>
        <v>-</v>
      </c>
      <c r="F1758" s="1"/>
      <c r="G1758" s="1" t="str">
        <f ca="1">IFERROR(__xludf.DUMMYFUNCTION("""COMPUTED_VALUE"""),"-")</f>
        <v>-</v>
      </c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</row>
    <row r="1759" spans="1:26" x14ac:dyDescent="0.2">
      <c r="A1759" s="1"/>
      <c r="B1759" s="1"/>
      <c r="C1759" s="1"/>
      <c r="D1759" s="1"/>
      <c r="E1759" s="1" t="str">
        <f ca="1">IFERROR(__xludf.DUMMYFUNCTION("""COMPUTED_VALUE"""),"-")</f>
        <v>-</v>
      </c>
      <c r="F1759" s="1"/>
      <c r="G1759" s="1" t="str">
        <f ca="1">IFERROR(__xludf.DUMMYFUNCTION("""COMPUTED_VALUE"""),"-")</f>
        <v>-</v>
      </c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</row>
    <row r="1760" spans="1:26" x14ac:dyDescent="0.2">
      <c r="A1760" s="1"/>
      <c r="B1760" s="1"/>
      <c r="C1760" s="1"/>
      <c r="D1760" s="1"/>
      <c r="E1760" s="1" t="str">
        <f ca="1">IFERROR(__xludf.DUMMYFUNCTION("""COMPUTED_VALUE"""),"-")</f>
        <v>-</v>
      </c>
      <c r="F1760" s="1"/>
      <c r="G1760" s="1" t="str">
        <f ca="1">IFERROR(__xludf.DUMMYFUNCTION("""COMPUTED_VALUE"""),"-")</f>
        <v>-</v>
      </c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</row>
    <row r="1761" spans="1:26" x14ac:dyDescent="0.2">
      <c r="A1761" s="1"/>
      <c r="B1761" s="1"/>
      <c r="C1761" s="1"/>
      <c r="D1761" s="1"/>
      <c r="E1761" s="1" t="str">
        <f ca="1">IFERROR(__xludf.DUMMYFUNCTION("""COMPUTED_VALUE"""),"-")</f>
        <v>-</v>
      </c>
      <c r="F1761" s="1"/>
      <c r="G1761" s="1" t="str">
        <f ca="1">IFERROR(__xludf.DUMMYFUNCTION("""COMPUTED_VALUE"""),"-")</f>
        <v>-</v>
      </c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</row>
    <row r="1762" spans="1:26" x14ac:dyDescent="0.2">
      <c r="A1762" s="1"/>
      <c r="B1762" s="1"/>
      <c r="C1762" s="1"/>
      <c r="D1762" s="1"/>
      <c r="E1762" s="1" t="str">
        <f ca="1">IFERROR(__xludf.DUMMYFUNCTION("""COMPUTED_VALUE"""),"-")</f>
        <v>-</v>
      </c>
      <c r="F1762" s="1"/>
      <c r="G1762" s="1" t="str">
        <f ca="1">IFERROR(__xludf.DUMMYFUNCTION("""COMPUTED_VALUE"""),"-")</f>
        <v>-</v>
      </c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</row>
    <row r="1763" spans="1:26" x14ac:dyDescent="0.2">
      <c r="A1763" s="1"/>
      <c r="B1763" s="1"/>
      <c r="C1763" s="1"/>
      <c r="D1763" s="1"/>
      <c r="E1763" s="1" t="str">
        <f ca="1">IFERROR(__xludf.DUMMYFUNCTION("""COMPUTED_VALUE"""),"-")</f>
        <v>-</v>
      </c>
      <c r="F1763" s="1"/>
      <c r="G1763" s="1" t="str">
        <f ca="1">IFERROR(__xludf.DUMMYFUNCTION("""COMPUTED_VALUE"""),"-")</f>
        <v>-</v>
      </c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</row>
    <row r="1764" spans="1:26" x14ac:dyDescent="0.2">
      <c r="A1764" s="1"/>
      <c r="B1764" s="1"/>
      <c r="C1764" s="1"/>
      <c r="D1764" s="1"/>
      <c r="E1764" s="1" t="str">
        <f ca="1">IFERROR(__xludf.DUMMYFUNCTION("""COMPUTED_VALUE"""),"-")</f>
        <v>-</v>
      </c>
      <c r="F1764" s="1"/>
      <c r="G1764" s="1" t="str">
        <f ca="1">IFERROR(__xludf.DUMMYFUNCTION("""COMPUTED_VALUE"""),"-")</f>
        <v>-</v>
      </c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</row>
    <row r="1765" spans="1:26" x14ac:dyDescent="0.2">
      <c r="A1765" s="1"/>
      <c r="B1765" s="1"/>
      <c r="C1765" s="1"/>
      <c r="D1765" s="1"/>
      <c r="E1765" s="1" t="str">
        <f ca="1">IFERROR(__xludf.DUMMYFUNCTION("""COMPUTED_VALUE"""),"-")</f>
        <v>-</v>
      </c>
      <c r="F1765" s="1"/>
      <c r="G1765" s="1" t="str">
        <f ca="1">IFERROR(__xludf.DUMMYFUNCTION("""COMPUTED_VALUE"""),"-")</f>
        <v>-</v>
      </c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</row>
    <row r="1766" spans="1:26" x14ac:dyDescent="0.2">
      <c r="A1766" s="1"/>
      <c r="B1766" s="1"/>
      <c r="C1766" s="1"/>
      <c r="D1766" s="1"/>
      <c r="E1766" s="1" t="str">
        <f ca="1">IFERROR(__xludf.DUMMYFUNCTION("""COMPUTED_VALUE"""),"-")</f>
        <v>-</v>
      </c>
      <c r="F1766" s="1"/>
      <c r="G1766" s="1" t="str">
        <f ca="1">IFERROR(__xludf.DUMMYFUNCTION("""COMPUTED_VALUE"""),"-")</f>
        <v>-</v>
      </c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</row>
    <row r="1767" spans="1:26" x14ac:dyDescent="0.2">
      <c r="A1767" s="1"/>
      <c r="B1767" s="1"/>
      <c r="C1767" s="1"/>
      <c r="D1767" s="1"/>
      <c r="E1767" s="1" t="str">
        <f ca="1">IFERROR(__xludf.DUMMYFUNCTION("""COMPUTED_VALUE"""),"-")</f>
        <v>-</v>
      </c>
      <c r="F1767" s="1"/>
      <c r="G1767" s="1" t="str">
        <f ca="1">IFERROR(__xludf.DUMMYFUNCTION("""COMPUTED_VALUE"""),"-")</f>
        <v>-</v>
      </c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</row>
    <row r="1768" spans="1:26" x14ac:dyDescent="0.2">
      <c r="A1768" s="1"/>
      <c r="B1768" s="1"/>
      <c r="C1768" s="1"/>
      <c r="D1768" s="1"/>
      <c r="E1768" s="1" t="str">
        <f ca="1">IFERROR(__xludf.DUMMYFUNCTION("""COMPUTED_VALUE"""),"-")</f>
        <v>-</v>
      </c>
      <c r="F1768" s="1"/>
      <c r="G1768" s="1" t="str">
        <f ca="1">IFERROR(__xludf.DUMMYFUNCTION("""COMPUTED_VALUE"""),"-")</f>
        <v>-</v>
      </c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</row>
    <row r="1769" spans="1:26" x14ac:dyDescent="0.2">
      <c r="A1769" s="1"/>
      <c r="B1769" s="1"/>
      <c r="C1769" s="1"/>
      <c r="D1769" s="1"/>
      <c r="E1769" s="1" t="str">
        <f ca="1">IFERROR(__xludf.DUMMYFUNCTION("""COMPUTED_VALUE"""),"-")</f>
        <v>-</v>
      </c>
      <c r="F1769" s="1"/>
      <c r="G1769" s="1" t="str">
        <f ca="1">IFERROR(__xludf.DUMMYFUNCTION("""COMPUTED_VALUE"""),"-")</f>
        <v>-</v>
      </c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</row>
    <row r="1770" spans="1:26" x14ac:dyDescent="0.2">
      <c r="A1770" s="1"/>
      <c r="B1770" s="1"/>
      <c r="C1770" s="1"/>
      <c r="D1770" s="1"/>
      <c r="E1770" s="1" t="str">
        <f ca="1">IFERROR(__xludf.DUMMYFUNCTION("""COMPUTED_VALUE"""),"-")</f>
        <v>-</v>
      </c>
      <c r="F1770" s="1"/>
      <c r="G1770" s="1" t="str">
        <f ca="1">IFERROR(__xludf.DUMMYFUNCTION("""COMPUTED_VALUE"""),"-")</f>
        <v>-</v>
      </c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</row>
    <row r="1771" spans="1:26" x14ac:dyDescent="0.2">
      <c r="A1771" s="1"/>
      <c r="B1771" s="1"/>
      <c r="C1771" s="1"/>
      <c r="D1771" s="1"/>
      <c r="E1771" s="1" t="str">
        <f ca="1">IFERROR(__xludf.DUMMYFUNCTION("""COMPUTED_VALUE"""),"-")</f>
        <v>-</v>
      </c>
      <c r="F1771" s="1"/>
      <c r="G1771" s="1" t="str">
        <f ca="1">IFERROR(__xludf.DUMMYFUNCTION("""COMPUTED_VALUE"""),"-")</f>
        <v>-</v>
      </c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</row>
    <row r="1772" spans="1:26" x14ac:dyDescent="0.2">
      <c r="A1772" s="1"/>
      <c r="B1772" s="1"/>
      <c r="C1772" s="1"/>
      <c r="D1772" s="1"/>
      <c r="E1772" s="1" t="str">
        <f ca="1">IFERROR(__xludf.DUMMYFUNCTION("""COMPUTED_VALUE"""),"-")</f>
        <v>-</v>
      </c>
      <c r="F1772" s="1"/>
      <c r="G1772" s="1" t="str">
        <f ca="1">IFERROR(__xludf.DUMMYFUNCTION("""COMPUTED_VALUE"""),"-")</f>
        <v>-</v>
      </c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</row>
    <row r="1773" spans="1:26" x14ac:dyDescent="0.2">
      <c r="A1773" s="1"/>
      <c r="B1773" s="1"/>
      <c r="C1773" s="1"/>
      <c r="D1773" s="1"/>
      <c r="E1773" s="1" t="str">
        <f ca="1">IFERROR(__xludf.DUMMYFUNCTION("""COMPUTED_VALUE"""),"-")</f>
        <v>-</v>
      </c>
      <c r="F1773" s="1"/>
      <c r="G1773" s="1" t="str">
        <f ca="1">IFERROR(__xludf.DUMMYFUNCTION("""COMPUTED_VALUE"""),"-")</f>
        <v>-</v>
      </c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</row>
    <row r="1774" spans="1:26" x14ac:dyDescent="0.2">
      <c r="A1774" s="1"/>
      <c r="B1774" s="1"/>
      <c r="C1774" s="1"/>
      <c r="D1774" s="1"/>
      <c r="E1774" s="1" t="str">
        <f ca="1">IFERROR(__xludf.DUMMYFUNCTION("""COMPUTED_VALUE"""),"-")</f>
        <v>-</v>
      </c>
      <c r="F1774" s="1"/>
      <c r="G1774" s="1" t="str">
        <f ca="1">IFERROR(__xludf.DUMMYFUNCTION("""COMPUTED_VALUE"""),"-")</f>
        <v>-</v>
      </c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</row>
    <row r="1775" spans="1:26" x14ac:dyDescent="0.2">
      <c r="A1775" s="1"/>
      <c r="B1775" s="1"/>
      <c r="C1775" s="1"/>
      <c r="D1775" s="1"/>
      <c r="E1775" s="1" t="str">
        <f ca="1">IFERROR(__xludf.DUMMYFUNCTION("""COMPUTED_VALUE"""),"-")</f>
        <v>-</v>
      </c>
      <c r="F1775" s="1"/>
      <c r="G1775" s="1" t="str">
        <f ca="1">IFERROR(__xludf.DUMMYFUNCTION("""COMPUTED_VALUE"""),"-")</f>
        <v>-</v>
      </c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</row>
    <row r="1776" spans="1:26" x14ac:dyDescent="0.2">
      <c r="A1776" s="1"/>
      <c r="B1776" s="1"/>
      <c r="C1776" s="1"/>
      <c r="D1776" s="1"/>
      <c r="E1776" s="1" t="str">
        <f ca="1">IFERROR(__xludf.DUMMYFUNCTION("""COMPUTED_VALUE"""),"-")</f>
        <v>-</v>
      </c>
      <c r="F1776" s="1"/>
      <c r="G1776" s="1" t="str">
        <f ca="1">IFERROR(__xludf.DUMMYFUNCTION("""COMPUTED_VALUE"""),"-")</f>
        <v>-</v>
      </c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</row>
    <row r="1777" spans="1:26" x14ac:dyDescent="0.2">
      <c r="A1777" s="1"/>
      <c r="B1777" s="1"/>
      <c r="C1777" s="1"/>
      <c r="D1777" s="1"/>
      <c r="E1777" s="1" t="str">
        <f ca="1">IFERROR(__xludf.DUMMYFUNCTION("""COMPUTED_VALUE"""),"-")</f>
        <v>-</v>
      </c>
      <c r="F1777" s="1"/>
      <c r="G1777" s="1" t="str">
        <f ca="1">IFERROR(__xludf.DUMMYFUNCTION("""COMPUTED_VALUE"""),"-")</f>
        <v>-</v>
      </c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</row>
    <row r="1778" spans="1:26" x14ac:dyDescent="0.2">
      <c r="A1778" s="1"/>
      <c r="B1778" s="1"/>
      <c r="C1778" s="1"/>
      <c r="D1778" s="1"/>
      <c r="E1778" s="1" t="str">
        <f ca="1">IFERROR(__xludf.DUMMYFUNCTION("""COMPUTED_VALUE"""),"-")</f>
        <v>-</v>
      </c>
      <c r="F1778" s="1"/>
      <c r="G1778" s="1" t="str">
        <f ca="1">IFERROR(__xludf.DUMMYFUNCTION("""COMPUTED_VALUE"""),"-")</f>
        <v>-</v>
      </c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</row>
    <row r="1779" spans="1:26" x14ac:dyDescent="0.2">
      <c r="A1779" s="1"/>
      <c r="B1779" s="1"/>
      <c r="C1779" s="1"/>
      <c r="D1779" s="1"/>
      <c r="E1779" s="1" t="str">
        <f ca="1">IFERROR(__xludf.DUMMYFUNCTION("""COMPUTED_VALUE"""),"-")</f>
        <v>-</v>
      </c>
      <c r="F1779" s="1"/>
      <c r="G1779" s="1" t="str">
        <f ca="1">IFERROR(__xludf.DUMMYFUNCTION("""COMPUTED_VALUE"""),"-")</f>
        <v>-</v>
      </c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</row>
    <row r="1780" spans="1:26" x14ac:dyDescent="0.2">
      <c r="A1780" s="1"/>
      <c r="B1780" s="1"/>
      <c r="C1780" s="1"/>
      <c r="D1780" s="1"/>
      <c r="E1780" s="1" t="str">
        <f ca="1">IFERROR(__xludf.DUMMYFUNCTION("""COMPUTED_VALUE"""),"-")</f>
        <v>-</v>
      </c>
      <c r="F1780" s="1"/>
      <c r="G1780" s="1" t="str">
        <f ca="1">IFERROR(__xludf.DUMMYFUNCTION("""COMPUTED_VALUE"""),"-")</f>
        <v>-</v>
      </c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</row>
    <row r="1781" spans="1:26" x14ac:dyDescent="0.2">
      <c r="A1781" s="1"/>
      <c r="B1781" s="1"/>
      <c r="C1781" s="1"/>
      <c r="D1781" s="1"/>
      <c r="E1781" s="1" t="str">
        <f ca="1">IFERROR(__xludf.DUMMYFUNCTION("""COMPUTED_VALUE"""),"-")</f>
        <v>-</v>
      </c>
      <c r="F1781" s="1"/>
      <c r="G1781" s="1" t="str">
        <f ca="1">IFERROR(__xludf.DUMMYFUNCTION("""COMPUTED_VALUE"""),"-")</f>
        <v>-</v>
      </c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</row>
    <row r="1782" spans="1:26" x14ac:dyDescent="0.2">
      <c r="A1782" s="1"/>
      <c r="B1782" s="1"/>
      <c r="C1782" s="1"/>
      <c r="D1782" s="1"/>
      <c r="E1782" s="1" t="str">
        <f ca="1">IFERROR(__xludf.DUMMYFUNCTION("""COMPUTED_VALUE"""),"-")</f>
        <v>-</v>
      </c>
      <c r="F1782" s="1"/>
      <c r="G1782" s="1" t="str">
        <f ca="1">IFERROR(__xludf.DUMMYFUNCTION("""COMPUTED_VALUE"""),"-")</f>
        <v>-</v>
      </c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</row>
    <row r="1783" spans="1:26" x14ac:dyDescent="0.2">
      <c r="A1783" s="1"/>
      <c r="B1783" s="1"/>
      <c r="C1783" s="1"/>
      <c r="D1783" s="1"/>
      <c r="E1783" s="1" t="str">
        <f ca="1">IFERROR(__xludf.DUMMYFUNCTION("""COMPUTED_VALUE"""),"-")</f>
        <v>-</v>
      </c>
      <c r="F1783" s="1"/>
      <c r="G1783" s="1" t="str">
        <f ca="1">IFERROR(__xludf.DUMMYFUNCTION("""COMPUTED_VALUE"""),"-")</f>
        <v>-</v>
      </c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</row>
    <row r="1784" spans="1:26" x14ac:dyDescent="0.2">
      <c r="A1784" s="1"/>
      <c r="B1784" s="1"/>
      <c r="C1784" s="1"/>
      <c r="D1784" s="1"/>
      <c r="E1784" s="1" t="str">
        <f ca="1">IFERROR(__xludf.DUMMYFUNCTION("""COMPUTED_VALUE"""),"-")</f>
        <v>-</v>
      </c>
      <c r="F1784" s="1"/>
      <c r="G1784" s="1" t="str">
        <f ca="1">IFERROR(__xludf.DUMMYFUNCTION("""COMPUTED_VALUE"""),"-")</f>
        <v>-</v>
      </c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</row>
    <row r="1785" spans="1:26" x14ac:dyDescent="0.2">
      <c r="A1785" s="1"/>
      <c r="B1785" s="1"/>
      <c r="C1785" s="1"/>
      <c r="D1785" s="1"/>
      <c r="E1785" s="1" t="str">
        <f ca="1">IFERROR(__xludf.DUMMYFUNCTION("""COMPUTED_VALUE"""),"-")</f>
        <v>-</v>
      </c>
      <c r="F1785" s="1"/>
      <c r="G1785" s="1" t="str">
        <f ca="1">IFERROR(__xludf.DUMMYFUNCTION("""COMPUTED_VALUE"""),"-")</f>
        <v>-</v>
      </c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</row>
    <row r="1786" spans="1:26" x14ac:dyDescent="0.2">
      <c r="A1786" s="1"/>
      <c r="B1786" s="1"/>
      <c r="C1786" s="1"/>
      <c r="D1786" s="1"/>
      <c r="E1786" s="1" t="str">
        <f ca="1">IFERROR(__xludf.DUMMYFUNCTION("""COMPUTED_VALUE"""),"-")</f>
        <v>-</v>
      </c>
      <c r="F1786" s="1"/>
      <c r="G1786" s="1" t="str">
        <f ca="1">IFERROR(__xludf.DUMMYFUNCTION("""COMPUTED_VALUE"""),"-")</f>
        <v>-</v>
      </c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</row>
    <row r="1787" spans="1:26" x14ac:dyDescent="0.2">
      <c r="A1787" s="1"/>
      <c r="B1787" s="1"/>
      <c r="C1787" s="1"/>
      <c r="D1787" s="1"/>
      <c r="E1787" s="1" t="str">
        <f ca="1">IFERROR(__xludf.DUMMYFUNCTION("""COMPUTED_VALUE"""),"-")</f>
        <v>-</v>
      </c>
      <c r="F1787" s="1"/>
      <c r="G1787" s="1" t="str">
        <f ca="1">IFERROR(__xludf.DUMMYFUNCTION("""COMPUTED_VALUE"""),"-")</f>
        <v>-</v>
      </c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</row>
    <row r="1788" spans="1:26" x14ac:dyDescent="0.2">
      <c r="A1788" s="1"/>
      <c r="B1788" s="1"/>
      <c r="C1788" s="1"/>
      <c r="D1788" s="1"/>
      <c r="E1788" s="1" t="str">
        <f ca="1">IFERROR(__xludf.DUMMYFUNCTION("""COMPUTED_VALUE"""),"-")</f>
        <v>-</v>
      </c>
      <c r="F1788" s="1"/>
      <c r="G1788" s="1" t="str">
        <f ca="1">IFERROR(__xludf.DUMMYFUNCTION("""COMPUTED_VALUE"""),"-")</f>
        <v>-</v>
      </c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</row>
    <row r="1789" spans="1:26" x14ac:dyDescent="0.2">
      <c r="A1789" s="1"/>
      <c r="B1789" s="1"/>
      <c r="C1789" s="1"/>
      <c r="D1789" s="1"/>
      <c r="E1789" s="1" t="str">
        <f ca="1">IFERROR(__xludf.DUMMYFUNCTION("""COMPUTED_VALUE"""),"-")</f>
        <v>-</v>
      </c>
      <c r="F1789" s="1"/>
      <c r="G1789" s="1" t="str">
        <f ca="1">IFERROR(__xludf.DUMMYFUNCTION("""COMPUTED_VALUE"""),"-")</f>
        <v>-</v>
      </c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</row>
    <row r="1790" spans="1:26" x14ac:dyDescent="0.2">
      <c r="A1790" s="1"/>
      <c r="B1790" s="1"/>
      <c r="C1790" s="1"/>
      <c r="D1790" s="1"/>
      <c r="E1790" s="1" t="str">
        <f ca="1">IFERROR(__xludf.DUMMYFUNCTION("""COMPUTED_VALUE"""),"-")</f>
        <v>-</v>
      </c>
      <c r="F1790" s="1"/>
      <c r="G1790" s="1" t="str">
        <f ca="1">IFERROR(__xludf.DUMMYFUNCTION("""COMPUTED_VALUE"""),"-")</f>
        <v>-</v>
      </c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</row>
    <row r="1791" spans="1:26" x14ac:dyDescent="0.2">
      <c r="A1791" s="1"/>
      <c r="B1791" s="1"/>
      <c r="C1791" s="1"/>
      <c r="D1791" s="1"/>
      <c r="E1791" s="1" t="str">
        <f ca="1">IFERROR(__xludf.DUMMYFUNCTION("""COMPUTED_VALUE"""),"-")</f>
        <v>-</v>
      </c>
      <c r="F1791" s="1"/>
      <c r="G1791" s="1" t="str">
        <f ca="1">IFERROR(__xludf.DUMMYFUNCTION("""COMPUTED_VALUE"""),"-")</f>
        <v>-</v>
      </c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</row>
    <row r="1792" spans="1:26" x14ac:dyDescent="0.2">
      <c r="A1792" s="1"/>
      <c r="B1792" s="1"/>
      <c r="C1792" s="1"/>
      <c r="D1792" s="1"/>
      <c r="E1792" s="1" t="str">
        <f ca="1">IFERROR(__xludf.DUMMYFUNCTION("""COMPUTED_VALUE"""),"-")</f>
        <v>-</v>
      </c>
      <c r="F1792" s="1"/>
      <c r="G1792" s="1" t="str">
        <f ca="1">IFERROR(__xludf.DUMMYFUNCTION("""COMPUTED_VALUE"""),"-")</f>
        <v>-</v>
      </c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</row>
    <row r="1793" spans="1:26" x14ac:dyDescent="0.2">
      <c r="A1793" s="1"/>
      <c r="B1793" s="1"/>
      <c r="C1793" s="1"/>
      <c r="D1793" s="1"/>
      <c r="E1793" s="1" t="str">
        <f ca="1">IFERROR(__xludf.DUMMYFUNCTION("""COMPUTED_VALUE"""),"-")</f>
        <v>-</v>
      </c>
      <c r="F1793" s="1"/>
      <c r="G1793" s="1" t="str">
        <f ca="1">IFERROR(__xludf.DUMMYFUNCTION("""COMPUTED_VALUE"""),"-")</f>
        <v>-</v>
      </c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</row>
    <row r="1794" spans="1:26" x14ac:dyDescent="0.2">
      <c r="A1794" s="1"/>
      <c r="B1794" s="1"/>
      <c r="C1794" s="1"/>
      <c r="D1794" s="1"/>
      <c r="E1794" s="1" t="str">
        <f ca="1">IFERROR(__xludf.DUMMYFUNCTION("""COMPUTED_VALUE"""),"-")</f>
        <v>-</v>
      </c>
      <c r="F1794" s="1"/>
      <c r="G1794" s="1" t="str">
        <f ca="1">IFERROR(__xludf.DUMMYFUNCTION("""COMPUTED_VALUE"""),"-")</f>
        <v>-</v>
      </c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</row>
    <row r="1795" spans="1:26" x14ac:dyDescent="0.2">
      <c r="A1795" s="1"/>
      <c r="B1795" s="1"/>
      <c r="C1795" s="1"/>
      <c r="D1795" s="1"/>
      <c r="E1795" s="1" t="str">
        <f ca="1">IFERROR(__xludf.DUMMYFUNCTION("""COMPUTED_VALUE"""),"-")</f>
        <v>-</v>
      </c>
      <c r="F1795" s="1"/>
      <c r="G1795" s="1" t="str">
        <f ca="1">IFERROR(__xludf.DUMMYFUNCTION("""COMPUTED_VALUE"""),"-")</f>
        <v>-</v>
      </c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</row>
    <row r="1796" spans="1:26" x14ac:dyDescent="0.2">
      <c r="A1796" s="1"/>
      <c r="B1796" s="1"/>
      <c r="C1796" s="1"/>
      <c r="D1796" s="1"/>
      <c r="E1796" s="1" t="str">
        <f ca="1">IFERROR(__xludf.DUMMYFUNCTION("""COMPUTED_VALUE"""),"-")</f>
        <v>-</v>
      </c>
      <c r="F1796" s="1"/>
      <c r="G1796" s="1" t="str">
        <f ca="1">IFERROR(__xludf.DUMMYFUNCTION("""COMPUTED_VALUE"""),"-")</f>
        <v>-</v>
      </c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</row>
    <row r="1797" spans="1:26" x14ac:dyDescent="0.2">
      <c r="A1797" s="1"/>
      <c r="B1797" s="1"/>
      <c r="C1797" s="1"/>
      <c r="D1797" s="1"/>
      <c r="E1797" s="1" t="str">
        <f ca="1">IFERROR(__xludf.DUMMYFUNCTION("""COMPUTED_VALUE"""),"-")</f>
        <v>-</v>
      </c>
      <c r="F1797" s="1"/>
      <c r="G1797" s="1" t="str">
        <f ca="1">IFERROR(__xludf.DUMMYFUNCTION("""COMPUTED_VALUE"""),"-")</f>
        <v>-</v>
      </c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</row>
    <row r="1798" spans="1:26" x14ac:dyDescent="0.2">
      <c r="A1798" s="1"/>
      <c r="B1798" s="1"/>
      <c r="C1798" s="1"/>
      <c r="D1798" s="1"/>
      <c r="E1798" s="1" t="str">
        <f ca="1">IFERROR(__xludf.DUMMYFUNCTION("""COMPUTED_VALUE"""),"-")</f>
        <v>-</v>
      </c>
      <c r="F1798" s="1"/>
      <c r="G1798" s="1" t="str">
        <f ca="1">IFERROR(__xludf.DUMMYFUNCTION("""COMPUTED_VALUE"""),"-")</f>
        <v>-</v>
      </c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</row>
    <row r="1799" spans="1:26" x14ac:dyDescent="0.2">
      <c r="A1799" s="1"/>
      <c r="B1799" s="1"/>
      <c r="C1799" s="1"/>
      <c r="D1799" s="1"/>
      <c r="E1799" s="1" t="str">
        <f ca="1">IFERROR(__xludf.DUMMYFUNCTION("""COMPUTED_VALUE"""),"-")</f>
        <v>-</v>
      </c>
      <c r="F1799" s="1"/>
      <c r="G1799" s="1" t="str">
        <f ca="1">IFERROR(__xludf.DUMMYFUNCTION("""COMPUTED_VALUE"""),"-")</f>
        <v>-</v>
      </c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</row>
    <row r="1800" spans="1:26" x14ac:dyDescent="0.2">
      <c r="A1800" s="1"/>
      <c r="B1800" s="1"/>
      <c r="C1800" s="1"/>
      <c r="D1800" s="1"/>
      <c r="E1800" s="1" t="str">
        <f ca="1">IFERROR(__xludf.DUMMYFUNCTION("""COMPUTED_VALUE"""),"-")</f>
        <v>-</v>
      </c>
      <c r="F1800" s="1"/>
      <c r="G1800" s="1" t="str">
        <f ca="1">IFERROR(__xludf.DUMMYFUNCTION("""COMPUTED_VALUE"""),"-")</f>
        <v>-</v>
      </c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</row>
    <row r="1801" spans="1:26" x14ac:dyDescent="0.2">
      <c r="A1801" s="1"/>
      <c r="B1801" s="1"/>
      <c r="C1801" s="1"/>
      <c r="D1801" s="1"/>
      <c r="E1801" s="1" t="str">
        <f ca="1">IFERROR(__xludf.DUMMYFUNCTION("""COMPUTED_VALUE"""),"-")</f>
        <v>-</v>
      </c>
      <c r="F1801" s="1"/>
      <c r="G1801" s="1" t="str">
        <f ca="1">IFERROR(__xludf.DUMMYFUNCTION("""COMPUTED_VALUE"""),"-")</f>
        <v>-</v>
      </c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</row>
    <row r="1802" spans="1:26" x14ac:dyDescent="0.2">
      <c r="A1802" s="1"/>
      <c r="B1802" s="1"/>
      <c r="C1802" s="1"/>
      <c r="D1802" s="1"/>
      <c r="E1802" s="1" t="str">
        <f ca="1">IFERROR(__xludf.DUMMYFUNCTION("""COMPUTED_VALUE"""),"-")</f>
        <v>-</v>
      </c>
      <c r="F1802" s="1"/>
      <c r="G1802" s="1" t="str">
        <f ca="1">IFERROR(__xludf.DUMMYFUNCTION("""COMPUTED_VALUE"""),"-")</f>
        <v>-</v>
      </c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</row>
    <row r="1803" spans="1:26" x14ac:dyDescent="0.2">
      <c r="A1803" s="1"/>
      <c r="B1803" s="1"/>
      <c r="C1803" s="1"/>
      <c r="D1803" s="1"/>
      <c r="E1803" s="1" t="str">
        <f ca="1">IFERROR(__xludf.DUMMYFUNCTION("""COMPUTED_VALUE"""),"-")</f>
        <v>-</v>
      </c>
      <c r="F1803" s="1"/>
      <c r="G1803" s="1" t="str">
        <f ca="1">IFERROR(__xludf.DUMMYFUNCTION("""COMPUTED_VALUE"""),"-")</f>
        <v>-</v>
      </c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</row>
    <row r="1804" spans="1:26" x14ac:dyDescent="0.2">
      <c r="A1804" s="1"/>
      <c r="B1804" s="1"/>
      <c r="C1804" s="1"/>
      <c r="D1804" s="1"/>
      <c r="E1804" s="1" t="str">
        <f ca="1">IFERROR(__xludf.DUMMYFUNCTION("""COMPUTED_VALUE"""),"-")</f>
        <v>-</v>
      </c>
      <c r="F1804" s="1"/>
      <c r="G1804" s="1" t="str">
        <f ca="1">IFERROR(__xludf.DUMMYFUNCTION("""COMPUTED_VALUE"""),"-")</f>
        <v>-</v>
      </c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</row>
    <row r="1805" spans="1:26" x14ac:dyDescent="0.2">
      <c r="A1805" s="1"/>
      <c r="B1805" s="1"/>
      <c r="C1805" s="1"/>
      <c r="D1805" s="1"/>
      <c r="E1805" s="1" t="str">
        <f ca="1">IFERROR(__xludf.DUMMYFUNCTION("""COMPUTED_VALUE"""),"-")</f>
        <v>-</v>
      </c>
      <c r="F1805" s="1"/>
      <c r="G1805" s="1" t="str">
        <f ca="1">IFERROR(__xludf.DUMMYFUNCTION("""COMPUTED_VALUE"""),"-")</f>
        <v>-</v>
      </c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</row>
    <row r="1806" spans="1:26" x14ac:dyDescent="0.2">
      <c r="A1806" s="1"/>
      <c r="B1806" s="1"/>
      <c r="C1806" s="1"/>
      <c r="D1806" s="1"/>
      <c r="E1806" s="1" t="str">
        <f ca="1">IFERROR(__xludf.DUMMYFUNCTION("""COMPUTED_VALUE"""),"-")</f>
        <v>-</v>
      </c>
      <c r="F1806" s="1"/>
      <c r="G1806" s="1" t="str">
        <f ca="1">IFERROR(__xludf.DUMMYFUNCTION("""COMPUTED_VALUE"""),"-")</f>
        <v>-</v>
      </c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</row>
    <row r="1807" spans="1:26" x14ac:dyDescent="0.2">
      <c r="A1807" s="1"/>
      <c r="B1807" s="1"/>
      <c r="C1807" s="1"/>
      <c r="D1807" s="1"/>
      <c r="E1807" s="1" t="str">
        <f ca="1">IFERROR(__xludf.DUMMYFUNCTION("""COMPUTED_VALUE"""),"-")</f>
        <v>-</v>
      </c>
      <c r="F1807" s="1"/>
      <c r="G1807" s="1" t="str">
        <f ca="1">IFERROR(__xludf.DUMMYFUNCTION("""COMPUTED_VALUE"""),"-")</f>
        <v>-</v>
      </c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</row>
    <row r="1808" spans="1:26" x14ac:dyDescent="0.2">
      <c r="A1808" s="1"/>
      <c r="B1808" s="1"/>
      <c r="C1808" s="1"/>
      <c r="D1808" s="1"/>
      <c r="E1808" s="1" t="str">
        <f ca="1">IFERROR(__xludf.DUMMYFUNCTION("""COMPUTED_VALUE"""),"-")</f>
        <v>-</v>
      </c>
      <c r="F1808" s="1"/>
      <c r="G1808" s="1" t="str">
        <f ca="1">IFERROR(__xludf.DUMMYFUNCTION("""COMPUTED_VALUE"""),"-")</f>
        <v>-</v>
      </c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</row>
    <row r="1809" spans="1:26" x14ac:dyDescent="0.2">
      <c r="A1809" s="1"/>
      <c r="B1809" s="1"/>
      <c r="C1809" s="1"/>
      <c r="D1809" s="1"/>
      <c r="E1809" s="1" t="str">
        <f ca="1">IFERROR(__xludf.DUMMYFUNCTION("""COMPUTED_VALUE"""),"-")</f>
        <v>-</v>
      </c>
      <c r="F1809" s="1"/>
      <c r="G1809" s="1" t="str">
        <f ca="1">IFERROR(__xludf.DUMMYFUNCTION("""COMPUTED_VALUE"""),"-")</f>
        <v>-</v>
      </c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</row>
    <row r="1810" spans="1:26" x14ac:dyDescent="0.2">
      <c r="A1810" s="1"/>
      <c r="B1810" s="1"/>
      <c r="C1810" s="1"/>
      <c r="D1810" s="1"/>
      <c r="E1810" s="1" t="str">
        <f ca="1">IFERROR(__xludf.DUMMYFUNCTION("""COMPUTED_VALUE"""),"-")</f>
        <v>-</v>
      </c>
      <c r="F1810" s="1"/>
      <c r="G1810" s="1" t="str">
        <f ca="1">IFERROR(__xludf.DUMMYFUNCTION("""COMPUTED_VALUE"""),"-")</f>
        <v>-</v>
      </c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</row>
    <row r="1811" spans="1:26" x14ac:dyDescent="0.2">
      <c r="A1811" s="1"/>
      <c r="B1811" s="1"/>
      <c r="C1811" s="1"/>
      <c r="D1811" s="1"/>
      <c r="E1811" s="1" t="str">
        <f ca="1">IFERROR(__xludf.DUMMYFUNCTION("""COMPUTED_VALUE"""),"-")</f>
        <v>-</v>
      </c>
      <c r="F1811" s="1"/>
      <c r="G1811" s="1" t="str">
        <f ca="1">IFERROR(__xludf.DUMMYFUNCTION("""COMPUTED_VALUE"""),"-")</f>
        <v>-</v>
      </c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</row>
    <row r="1812" spans="1:26" x14ac:dyDescent="0.2">
      <c r="A1812" s="1"/>
      <c r="B1812" s="1"/>
      <c r="C1812" s="1"/>
      <c r="D1812" s="1"/>
      <c r="E1812" s="1" t="str">
        <f ca="1">IFERROR(__xludf.DUMMYFUNCTION("""COMPUTED_VALUE"""),"-")</f>
        <v>-</v>
      </c>
      <c r="F1812" s="1"/>
      <c r="G1812" s="1" t="str">
        <f ca="1">IFERROR(__xludf.DUMMYFUNCTION("""COMPUTED_VALUE"""),"-")</f>
        <v>-</v>
      </c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</row>
    <row r="1813" spans="1:26" x14ac:dyDescent="0.2">
      <c r="A1813" s="1"/>
      <c r="B1813" s="1"/>
      <c r="C1813" s="1"/>
      <c r="D1813" s="1"/>
      <c r="E1813" s="1" t="str">
        <f ca="1">IFERROR(__xludf.DUMMYFUNCTION("""COMPUTED_VALUE"""),"-")</f>
        <v>-</v>
      </c>
      <c r="F1813" s="1"/>
      <c r="G1813" s="1" t="str">
        <f ca="1">IFERROR(__xludf.DUMMYFUNCTION("""COMPUTED_VALUE"""),"-")</f>
        <v>-</v>
      </c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</row>
    <row r="1814" spans="1:26" x14ac:dyDescent="0.2">
      <c r="A1814" s="1"/>
      <c r="B1814" s="1"/>
      <c r="C1814" s="1"/>
      <c r="D1814" s="1"/>
      <c r="E1814" s="1" t="str">
        <f ca="1">IFERROR(__xludf.DUMMYFUNCTION("""COMPUTED_VALUE"""),"-")</f>
        <v>-</v>
      </c>
      <c r="F1814" s="1"/>
      <c r="G1814" s="1" t="str">
        <f ca="1">IFERROR(__xludf.DUMMYFUNCTION("""COMPUTED_VALUE"""),"-")</f>
        <v>-</v>
      </c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</row>
    <row r="1815" spans="1:26" x14ac:dyDescent="0.2">
      <c r="A1815" s="1"/>
      <c r="B1815" s="1"/>
      <c r="C1815" s="1"/>
      <c r="D1815" s="1"/>
      <c r="E1815" s="1" t="str">
        <f ca="1">IFERROR(__xludf.DUMMYFUNCTION("""COMPUTED_VALUE"""),"-")</f>
        <v>-</v>
      </c>
      <c r="F1815" s="1"/>
      <c r="G1815" s="1" t="str">
        <f ca="1">IFERROR(__xludf.DUMMYFUNCTION("""COMPUTED_VALUE"""),"-")</f>
        <v>-</v>
      </c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</row>
    <row r="1816" spans="1:26" x14ac:dyDescent="0.2">
      <c r="A1816" s="1"/>
      <c r="B1816" s="1"/>
      <c r="C1816" s="1"/>
      <c r="D1816" s="1"/>
      <c r="E1816" s="1" t="str">
        <f ca="1">IFERROR(__xludf.DUMMYFUNCTION("""COMPUTED_VALUE"""),"-")</f>
        <v>-</v>
      </c>
      <c r="F1816" s="1"/>
      <c r="G1816" s="1" t="str">
        <f ca="1">IFERROR(__xludf.DUMMYFUNCTION("""COMPUTED_VALUE"""),"-")</f>
        <v>-</v>
      </c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</row>
    <row r="1817" spans="1:26" x14ac:dyDescent="0.2">
      <c r="A1817" s="1"/>
      <c r="B1817" s="1"/>
      <c r="C1817" s="1"/>
      <c r="D1817" s="1"/>
      <c r="E1817" s="1" t="str">
        <f ca="1">IFERROR(__xludf.DUMMYFUNCTION("""COMPUTED_VALUE"""),"-")</f>
        <v>-</v>
      </c>
      <c r="F1817" s="1"/>
      <c r="G1817" s="1" t="str">
        <f ca="1">IFERROR(__xludf.DUMMYFUNCTION("""COMPUTED_VALUE"""),"-")</f>
        <v>-</v>
      </c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</row>
    <row r="1818" spans="1:26" x14ac:dyDescent="0.2">
      <c r="A1818" s="1"/>
      <c r="B1818" s="1"/>
      <c r="C1818" s="1"/>
      <c r="D1818" s="1"/>
      <c r="E1818" s="1" t="str">
        <f ca="1">IFERROR(__xludf.DUMMYFUNCTION("""COMPUTED_VALUE"""),"-")</f>
        <v>-</v>
      </c>
      <c r="F1818" s="1"/>
      <c r="G1818" s="1" t="str">
        <f ca="1">IFERROR(__xludf.DUMMYFUNCTION("""COMPUTED_VALUE"""),"-")</f>
        <v>-</v>
      </c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</row>
    <row r="1819" spans="1:26" x14ac:dyDescent="0.2">
      <c r="A1819" s="1"/>
      <c r="B1819" s="1"/>
      <c r="C1819" s="1"/>
      <c r="D1819" s="1"/>
      <c r="E1819" s="1" t="str">
        <f ca="1">IFERROR(__xludf.DUMMYFUNCTION("""COMPUTED_VALUE"""),"-")</f>
        <v>-</v>
      </c>
      <c r="F1819" s="1"/>
      <c r="G1819" s="1" t="str">
        <f ca="1">IFERROR(__xludf.DUMMYFUNCTION("""COMPUTED_VALUE"""),"-")</f>
        <v>-</v>
      </c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</row>
    <row r="1820" spans="1:26" x14ac:dyDescent="0.2">
      <c r="A1820" s="1"/>
      <c r="B1820" s="1"/>
      <c r="C1820" s="1"/>
      <c r="D1820" s="1"/>
      <c r="E1820" s="1" t="str">
        <f ca="1">IFERROR(__xludf.DUMMYFUNCTION("""COMPUTED_VALUE"""),"-")</f>
        <v>-</v>
      </c>
      <c r="F1820" s="1"/>
      <c r="G1820" s="1" t="str">
        <f ca="1">IFERROR(__xludf.DUMMYFUNCTION("""COMPUTED_VALUE"""),"-")</f>
        <v>-</v>
      </c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</row>
    <row r="1821" spans="1:26" x14ac:dyDescent="0.2">
      <c r="A1821" s="1"/>
      <c r="B1821" s="1"/>
      <c r="C1821" s="1"/>
      <c r="D1821" s="1"/>
      <c r="E1821" s="1" t="str">
        <f ca="1">IFERROR(__xludf.DUMMYFUNCTION("""COMPUTED_VALUE"""),"-")</f>
        <v>-</v>
      </c>
      <c r="F1821" s="1"/>
      <c r="G1821" s="1" t="str">
        <f ca="1">IFERROR(__xludf.DUMMYFUNCTION("""COMPUTED_VALUE"""),"-")</f>
        <v>-</v>
      </c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</row>
    <row r="1822" spans="1:26" x14ac:dyDescent="0.2">
      <c r="A1822" s="1"/>
      <c r="B1822" s="1"/>
      <c r="C1822" s="1"/>
      <c r="D1822" s="1"/>
      <c r="E1822" s="1" t="str">
        <f ca="1">IFERROR(__xludf.DUMMYFUNCTION("""COMPUTED_VALUE"""),"-")</f>
        <v>-</v>
      </c>
      <c r="F1822" s="1"/>
      <c r="G1822" s="1" t="str">
        <f ca="1">IFERROR(__xludf.DUMMYFUNCTION("""COMPUTED_VALUE"""),"-")</f>
        <v>-</v>
      </c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</row>
    <row r="1823" spans="1:26" x14ac:dyDescent="0.2">
      <c r="A1823" s="1"/>
      <c r="B1823" s="1"/>
      <c r="C1823" s="1"/>
      <c r="D1823" s="1"/>
      <c r="E1823" s="1" t="str">
        <f ca="1">IFERROR(__xludf.DUMMYFUNCTION("""COMPUTED_VALUE"""),"-")</f>
        <v>-</v>
      </c>
      <c r="F1823" s="1"/>
      <c r="G1823" s="1" t="str">
        <f ca="1">IFERROR(__xludf.DUMMYFUNCTION("""COMPUTED_VALUE"""),"-")</f>
        <v>-</v>
      </c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</row>
    <row r="1824" spans="1:26" x14ac:dyDescent="0.2">
      <c r="A1824" s="1"/>
      <c r="B1824" s="1"/>
      <c r="C1824" s="1"/>
      <c r="D1824" s="1"/>
      <c r="E1824" s="1" t="str">
        <f ca="1">IFERROR(__xludf.DUMMYFUNCTION("""COMPUTED_VALUE"""),"-")</f>
        <v>-</v>
      </c>
      <c r="F1824" s="1"/>
      <c r="G1824" s="1" t="str">
        <f ca="1">IFERROR(__xludf.DUMMYFUNCTION("""COMPUTED_VALUE"""),"-")</f>
        <v>-</v>
      </c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</row>
    <row r="1825" spans="1:26" x14ac:dyDescent="0.2">
      <c r="A1825" s="1"/>
      <c r="B1825" s="1"/>
      <c r="C1825" s="1"/>
      <c r="D1825" s="1"/>
      <c r="E1825" s="1" t="str">
        <f ca="1">IFERROR(__xludf.DUMMYFUNCTION("""COMPUTED_VALUE"""),"-")</f>
        <v>-</v>
      </c>
      <c r="F1825" s="1"/>
      <c r="G1825" s="1" t="str">
        <f ca="1">IFERROR(__xludf.DUMMYFUNCTION("""COMPUTED_VALUE"""),"-")</f>
        <v>-</v>
      </c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</row>
    <row r="1826" spans="1:26" x14ac:dyDescent="0.2">
      <c r="A1826" s="1"/>
      <c r="B1826" s="1"/>
      <c r="C1826" s="1"/>
      <c r="D1826" s="1"/>
      <c r="E1826" s="1" t="str">
        <f ca="1">IFERROR(__xludf.DUMMYFUNCTION("""COMPUTED_VALUE"""),"-")</f>
        <v>-</v>
      </c>
      <c r="F1826" s="1"/>
      <c r="G1826" s="1" t="str">
        <f ca="1">IFERROR(__xludf.DUMMYFUNCTION("""COMPUTED_VALUE"""),"-")</f>
        <v>-</v>
      </c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</row>
    <row r="1827" spans="1:26" x14ac:dyDescent="0.2">
      <c r="A1827" s="1"/>
      <c r="B1827" s="1"/>
      <c r="C1827" s="1"/>
      <c r="D1827" s="1"/>
      <c r="E1827" s="1" t="str">
        <f ca="1">IFERROR(__xludf.DUMMYFUNCTION("""COMPUTED_VALUE"""),"-")</f>
        <v>-</v>
      </c>
      <c r="F1827" s="1"/>
      <c r="G1827" s="1" t="str">
        <f ca="1">IFERROR(__xludf.DUMMYFUNCTION("""COMPUTED_VALUE"""),"-")</f>
        <v>-</v>
      </c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</row>
    <row r="1828" spans="1:26" x14ac:dyDescent="0.2">
      <c r="A1828" s="1"/>
      <c r="B1828" s="1"/>
      <c r="C1828" s="1"/>
      <c r="D1828" s="1"/>
      <c r="E1828" s="1" t="str">
        <f ca="1">IFERROR(__xludf.DUMMYFUNCTION("""COMPUTED_VALUE"""),"-")</f>
        <v>-</v>
      </c>
      <c r="F1828" s="1"/>
      <c r="G1828" s="1" t="str">
        <f ca="1">IFERROR(__xludf.DUMMYFUNCTION("""COMPUTED_VALUE"""),"-")</f>
        <v>-</v>
      </c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</row>
    <row r="1829" spans="1:26" x14ac:dyDescent="0.2">
      <c r="A1829" s="1"/>
      <c r="B1829" s="1"/>
      <c r="C1829" s="1"/>
      <c r="D1829" s="1"/>
      <c r="E1829" s="1" t="str">
        <f ca="1">IFERROR(__xludf.DUMMYFUNCTION("""COMPUTED_VALUE"""),"-")</f>
        <v>-</v>
      </c>
      <c r="F1829" s="1"/>
      <c r="G1829" s="1" t="str">
        <f ca="1">IFERROR(__xludf.DUMMYFUNCTION("""COMPUTED_VALUE"""),"-")</f>
        <v>-</v>
      </c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</row>
    <row r="1830" spans="1:26" x14ac:dyDescent="0.2">
      <c r="A1830" s="1"/>
      <c r="B1830" s="1"/>
      <c r="C1830" s="1"/>
      <c r="D1830" s="1"/>
      <c r="E1830" s="1" t="str">
        <f ca="1">IFERROR(__xludf.DUMMYFUNCTION("""COMPUTED_VALUE"""),"-")</f>
        <v>-</v>
      </c>
      <c r="F1830" s="1"/>
      <c r="G1830" s="1" t="str">
        <f ca="1">IFERROR(__xludf.DUMMYFUNCTION("""COMPUTED_VALUE"""),"-")</f>
        <v>-</v>
      </c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</row>
    <row r="1831" spans="1:26" x14ac:dyDescent="0.2">
      <c r="A1831" s="1"/>
      <c r="B1831" s="1"/>
      <c r="C1831" s="1"/>
      <c r="D1831" s="1"/>
      <c r="E1831" s="1" t="str">
        <f ca="1">IFERROR(__xludf.DUMMYFUNCTION("""COMPUTED_VALUE"""),"-")</f>
        <v>-</v>
      </c>
      <c r="F1831" s="1"/>
      <c r="G1831" s="1" t="str">
        <f ca="1">IFERROR(__xludf.DUMMYFUNCTION("""COMPUTED_VALUE"""),"-")</f>
        <v>-</v>
      </c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</row>
    <row r="1832" spans="1:26" x14ac:dyDescent="0.2">
      <c r="A1832" s="1"/>
      <c r="B1832" s="1"/>
      <c r="C1832" s="1"/>
      <c r="D1832" s="1"/>
      <c r="E1832" s="1" t="str">
        <f ca="1">IFERROR(__xludf.DUMMYFUNCTION("""COMPUTED_VALUE"""),"-")</f>
        <v>-</v>
      </c>
      <c r="F1832" s="1"/>
      <c r="G1832" s="1" t="str">
        <f ca="1">IFERROR(__xludf.DUMMYFUNCTION("""COMPUTED_VALUE"""),"-")</f>
        <v>-</v>
      </c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</row>
    <row r="1833" spans="1:26" x14ac:dyDescent="0.2">
      <c r="A1833" s="1"/>
      <c r="B1833" s="1"/>
      <c r="C1833" s="1"/>
      <c r="D1833" s="1"/>
      <c r="E1833" s="1" t="str">
        <f ca="1">IFERROR(__xludf.DUMMYFUNCTION("""COMPUTED_VALUE"""),"-")</f>
        <v>-</v>
      </c>
      <c r="F1833" s="1"/>
      <c r="G1833" s="1" t="str">
        <f ca="1">IFERROR(__xludf.DUMMYFUNCTION("""COMPUTED_VALUE"""),"-")</f>
        <v>-</v>
      </c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</row>
    <row r="1834" spans="1:26" x14ac:dyDescent="0.2">
      <c r="A1834" s="1"/>
      <c r="B1834" s="1"/>
      <c r="C1834" s="1"/>
      <c r="D1834" s="1"/>
      <c r="E1834" s="1" t="str">
        <f ca="1">IFERROR(__xludf.DUMMYFUNCTION("""COMPUTED_VALUE"""),"-")</f>
        <v>-</v>
      </c>
      <c r="F1834" s="1"/>
      <c r="G1834" s="1" t="str">
        <f ca="1">IFERROR(__xludf.DUMMYFUNCTION("""COMPUTED_VALUE"""),"-")</f>
        <v>-</v>
      </c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</row>
    <row r="1835" spans="1:26" x14ac:dyDescent="0.2">
      <c r="A1835" s="1"/>
      <c r="B1835" s="1"/>
      <c r="C1835" s="1"/>
      <c r="D1835" s="1"/>
      <c r="E1835" s="1" t="str">
        <f ca="1">IFERROR(__xludf.DUMMYFUNCTION("""COMPUTED_VALUE"""),"-")</f>
        <v>-</v>
      </c>
      <c r="F1835" s="1"/>
      <c r="G1835" s="1" t="str">
        <f ca="1">IFERROR(__xludf.DUMMYFUNCTION("""COMPUTED_VALUE"""),"-")</f>
        <v>-</v>
      </c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</row>
    <row r="1836" spans="1:26" x14ac:dyDescent="0.2">
      <c r="A1836" s="1"/>
      <c r="B1836" s="1"/>
      <c r="C1836" s="1"/>
      <c r="D1836" s="1"/>
      <c r="E1836" s="1" t="str">
        <f ca="1">IFERROR(__xludf.DUMMYFUNCTION("""COMPUTED_VALUE"""),"-")</f>
        <v>-</v>
      </c>
      <c r="F1836" s="1"/>
      <c r="G1836" s="1" t="str">
        <f ca="1">IFERROR(__xludf.DUMMYFUNCTION("""COMPUTED_VALUE"""),"-")</f>
        <v>-</v>
      </c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</row>
    <row r="1837" spans="1:26" x14ac:dyDescent="0.2">
      <c r="A1837" s="1"/>
      <c r="B1837" s="1"/>
      <c r="C1837" s="1"/>
      <c r="D1837" s="1"/>
      <c r="E1837" s="1" t="str">
        <f ca="1">IFERROR(__xludf.DUMMYFUNCTION("""COMPUTED_VALUE"""),"-")</f>
        <v>-</v>
      </c>
      <c r="F1837" s="1"/>
      <c r="G1837" s="1" t="str">
        <f ca="1">IFERROR(__xludf.DUMMYFUNCTION("""COMPUTED_VALUE"""),"-")</f>
        <v>-</v>
      </c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</row>
    <row r="1838" spans="1:26" x14ac:dyDescent="0.2">
      <c r="A1838" s="1"/>
      <c r="B1838" s="1"/>
      <c r="C1838" s="1"/>
      <c r="D1838" s="1"/>
      <c r="E1838" s="1" t="str">
        <f ca="1">IFERROR(__xludf.DUMMYFUNCTION("""COMPUTED_VALUE"""),"-")</f>
        <v>-</v>
      </c>
      <c r="F1838" s="1"/>
      <c r="G1838" s="1" t="str">
        <f ca="1">IFERROR(__xludf.DUMMYFUNCTION("""COMPUTED_VALUE"""),"-")</f>
        <v>-</v>
      </c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</row>
    <row r="1839" spans="1:26" x14ac:dyDescent="0.2">
      <c r="A1839" s="1"/>
      <c r="B1839" s="1"/>
      <c r="C1839" s="1"/>
      <c r="D1839" s="1"/>
      <c r="E1839" s="1" t="str">
        <f ca="1">IFERROR(__xludf.DUMMYFUNCTION("""COMPUTED_VALUE"""),"-")</f>
        <v>-</v>
      </c>
      <c r="F1839" s="1"/>
      <c r="G1839" s="1" t="str">
        <f ca="1">IFERROR(__xludf.DUMMYFUNCTION("""COMPUTED_VALUE"""),"-")</f>
        <v>-</v>
      </c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</row>
    <row r="1840" spans="1:26" x14ac:dyDescent="0.2">
      <c r="A1840" s="1"/>
      <c r="B1840" s="1"/>
      <c r="C1840" s="1"/>
      <c r="D1840" s="1"/>
      <c r="E1840" s="1" t="str">
        <f ca="1">IFERROR(__xludf.DUMMYFUNCTION("""COMPUTED_VALUE"""),"-")</f>
        <v>-</v>
      </c>
      <c r="F1840" s="1"/>
      <c r="G1840" s="1" t="str">
        <f ca="1">IFERROR(__xludf.DUMMYFUNCTION("""COMPUTED_VALUE"""),"-")</f>
        <v>-</v>
      </c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</row>
    <row r="1841" spans="1:26" x14ac:dyDescent="0.2">
      <c r="A1841" s="1"/>
      <c r="B1841" s="1"/>
      <c r="C1841" s="1"/>
      <c r="D1841" s="1"/>
      <c r="E1841" s="1" t="str">
        <f ca="1">IFERROR(__xludf.DUMMYFUNCTION("""COMPUTED_VALUE"""),"-")</f>
        <v>-</v>
      </c>
      <c r="F1841" s="1"/>
      <c r="G1841" s="1" t="str">
        <f ca="1">IFERROR(__xludf.DUMMYFUNCTION("""COMPUTED_VALUE"""),"-")</f>
        <v>-</v>
      </c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</row>
    <row r="1842" spans="1:26" x14ac:dyDescent="0.2">
      <c r="A1842" s="1"/>
      <c r="B1842" s="1"/>
      <c r="C1842" s="1"/>
      <c r="D1842" s="1"/>
      <c r="E1842" s="1" t="str">
        <f ca="1">IFERROR(__xludf.DUMMYFUNCTION("""COMPUTED_VALUE"""),"-")</f>
        <v>-</v>
      </c>
      <c r="F1842" s="1"/>
      <c r="G1842" s="1" t="str">
        <f ca="1">IFERROR(__xludf.DUMMYFUNCTION("""COMPUTED_VALUE"""),"-")</f>
        <v>-</v>
      </c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</row>
    <row r="1843" spans="1:26" x14ac:dyDescent="0.2">
      <c r="A1843" s="1"/>
      <c r="B1843" s="1"/>
      <c r="C1843" s="1"/>
      <c r="D1843" s="1"/>
      <c r="E1843" s="1" t="str">
        <f ca="1">IFERROR(__xludf.DUMMYFUNCTION("""COMPUTED_VALUE"""),"-")</f>
        <v>-</v>
      </c>
      <c r="F1843" s="1"/>
      <c r="G1843" s="1" t="str">
        <f ca="1">IFERROR(__xludf.DUMMYFUNCTION("""COMPUTED_VALUE"""),"-")</f>
        <v>-</v>
      </c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</row>
    <row r="1844" spans="1:26" x14ac:dyDescent="0.2">
      <c r="A1844" s="1"/>
      <c r="B1844" s="1"/>
      <c r="C1844" s="1"/>
      <c r="D1844" s="1"/>
      <c r="E1844" s="1" t="str">
        <f ca="1">IFERROR(__xludf.DUMMYFUNCTION("""COMPUTED_VALUE"""),"-")</f>
        <v>-</v>
      </c>
      <c r="F1844" s="1"/>
      <c r="G1844" s="1" t="str">
        <f ca="1">IFERROR(__xludf.DUMMYFUNCTION("""COMPUTED_VALUE"""),"-")</f>
        <v>-</v>
      </c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</row>
    <row r="1845" spans="1:26" x14ac:dyDescent="0.2">
      <c r="A1845" s="1"/>
      <c r="B1845" s="1"/>
      <c r="C1845" s="1"/>
      <c r="D1845" s="1"/>
      <c r="E1845" s="1" t="str">
        <f ca="1">IFERROR(__xludf.DUMMYFUNCTION("""COMPUTED_VALUE"""),"-")</f>
        <v>-</v>
      </c>
      <c r="F1845" s="1"/>
      <c r="G1845" s="1" t="str">
        <f ca="1">IFERROR(__xludf.DUMMYFUNCTION("""COMPUTED_VALUE"""),"-")</f>
        <v>-</v>
      </c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</row>
    <row r="1846" spans="1:26" x14ac:dyDescent="0.2">
      <c r="A1846" s="1"/>
      <c r="B1846" s="1"/>
      <c r="C1846" s="1"/>
      <c r="D1846" s="1"/>
      <c r="E1846" s="1" t="str">
        <f ca="1">IFERROR(__xludf.DUMMYFUNCTION("""COMPUTED_VALUE"""),"-")</f>
        <v>-</v>
      </c>
      <c r="F1846" s="1"/>
      <c r="G1846" s="1" t="str">
        <f ca="1">IFERROR(__xludf.DUMMYFUNCTION("""COMPUTED_VALUE"""),"-")</f>
        <v>-</v>
      </c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</row>
    <row r="1847" spans="1:26" x14ac:dyDescent="0.2">
      <c r="A1847" s="1"/>
      <c r="B1847" s="1"/>
      <c r="C1847" s="1"/>
      <c r="D1847" s="1"/>
      <c r="E1847" s="1" t="str">
        <f ca="1">IFERROR(__xludf.DUMMYFUNCTION("""COMPUTED_VALUE"""),"-")</f>
        <v>-</v>
      </c>
      <c r="F1847" s="1"/>
      <c r="G1847" s="1" t="str">
        <f ca="1">IFERROR(__xludf.DUMMYFUNCTION("""COMPUTED_VALUE"""),"-")</f>
        <v>-</v>
      </c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</row>
    <row r="1848" spans="1:26" x14ac:dyDescent="0.2">
      <c r="A1848" s="1"/>
      <c r="B1848" s="1"/>
      <c r="C1848" s="1"/>
      <c r="D1848" s="1"/>
      <c r="E1848" s="1" t="str">
        <f ca="1">IFERROR(__xludf.DUMMYFUNCTION("""COMPUTED_VALUE"""),"-")</f>
        <v>-</v>
      </c>
      <c r="F1848" s="1"/>
      <c r="G1848" s="1" t="str">
        <f ca="1">IFERROR(__xludf.DUMMYFUNCTION("""COMPUTED_VALUE"""),"-")</f>
        <v>-</v>
      </c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</row>
    <row r="1849" spans="1:26" x14ac:dyDescent="0.2">
      <c r="A1849" s="1"/>
      <c r="B1849" s="1"/>
      <c r="C1849" s="1"/>
      <c r="D1849" s="1"/>
      <c r="E1849" s="1" t="str">
        <f ca="1">IFERROR(__xludf.DUMMYFUNCTION("""COMPUTED_VALUE"""),"-")</f>
        <v>-</v>
      </c>
      <c r="F1849" s="1"/>
      <c r="G1849" s="1" t="str">
        <f ca="1">IFERROR(__xludf.DUMMYFUNCTION("""COMPUTED_VALUE"""),"-")</f>
        <v>-</v>
      </c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</row>
    <row r="1850" spans="1:26" x14ac:dyDescent="0.2">
      <c r="A1850" s="1"/>
      <c r="B1850" s="1"/>
      <c r="C1850" s="1"/>
      <c r="D1850" s="1"/>
      <c r="E1850" s="1" t="str">
        <f ca="1">IFERROR(__xludf.DUMMYFUNCTION("""COMPUTED_VALUE"""),"-")</f>
        <v>-</v>
      </c>
      <c r="F1850" s="1"/>
      <c r="G1850" s="1" t="str">
        <f ca="1">IFERROR(__xludf.DUMMYFUNCTION("""COMPUTED_VALUE"""),"-")</f>
        <v>-</v>
      </c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</row>
    <row r="1851" spans="1:26" x14ac:dyDescent="0.2">
      <c r="A1851" s="1"/>
      <c r="B1851" s="1"/>
      <c r="C1851" s="1"/>
      <c r="D1851" s="1"/>
      <c r="E1851" s="1" t="str">
        <f ca="1">IFERROR(__xludf.DUMMYFUNCTION("""COMPUTED_VALUE"""),"-")</f>
        <v>-</v>
      </c>
      <c r="F1851" s="1"/>
      <c r="G1851" s="1" t="str">
        <f ca="1">IFERROR(__xludf.DUMMYFUNCTION("""COMPUTED_VALUE"""),"-")</f>
        <v>-</v>
      </c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</row>
    <row r="1852" spans="1:26" x14ac:dyDescent="0.2">
      <c r="A1852" s="1"/>
      <c r="B1852" s="1"/>
      <c r="C1852" s="1"/>
      <c r="D1852" s="1"/>
      <c r="E1852" s="1" t="str">
        <f ca="1">IFERROR(__xludf.DUMMYFUNCTION("""COMPUTED_VALUE"""),"-")</f>
        <v>-</v>
      </c>
      <c r="F1852" s="1"/>
      <c r="G1852" s="1" t="str">
        <f ca="1">IFERROR(__xludf.DUMMYFUNCTION("""COMPUTED_VALUE"""),"-")</f>
        <v>-</v>
      </c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</row>
    <row r="1853" spans="1:26" x14ac:dyDescent="0.2">
      <c r="A1853" s="1"/>
      <c r="B1853" s="1"/>
      <c r="C1853" s="1"/>
      <c r="D1853" s="1"/>
      <c r="E1853" s="1" t="str">
        <f ca="1">IFERROR(__xludf.DUMMYFUNCTION("""COMPUTED_VALUE"""),"-")</f>
        <v>-</v>
      </c>
      <c r="F1853" s="1"/>
      <c r="G1853" s="1" t="str">
        <f ca="1">IFERROR(__xludf.DUMMYFUNCTION("""COMPUTED_VALUE"""),"-")</f>
        <v>-</v>
      </c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</row>
    <row r="1854" spans="1:26" x14ac:dyDescent="0.2">
      <c r="A1854" s="1"/>
      <c r="B1854" s="1"/>
      <c r="C1854" s="1"/>
      <c r="D1854" s="1"/>
      <c r="E1854" s="1" t="str">
        <f ca="1">IFERROR(__xludf.DUMMYFUNCTION("""COMPUTED_VALUE"""),"-")</f>
        <v>-</v>
      </c>
      <c r="F1854" s="1"/>
      <c r="G1854" s="1" t="str">
        <f ca="1">IFERROR(__xludf.DUMMYFUNCTION("""COMPUTED_VALUE"""),"-")</f>
        <v>-</v>
      </c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</row>
    <row r="1855" spans="1:26" x14ac:dyDescent="0.2">
      <c r="A1855" s="1"/>
      <c r="B1855" s="1"/>
      <c r="C1855" s="1"/>
      <c r="D1855" s="1"/>
      <c r="E1855" s="1" t="str">
        <f ca="1">IFERROR(__xludf.DUMMYFUNCTION("""COMPUTED_VALUE"""),"-")</f>
        <v>-</v>
      </c>
      <c r="F1855" s="1"/>
      <c r="G1855" s="1" t="str">
        <f ca="1">IFERROR(__xludf.DUMMYFUNCTION("""COMPUTED_VALUE"""),"-")</f>
        <v>-</v>
      </c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</row>
    <row r="1856" spans="1:26" x14ac:dyDescent="0.2">
      <c r="A1856" s="1"/>
      <c r="B1856" s="1"/>
      <c r="C1856" s="1"/>
      <c r="D1856" s="1"/>
      <c r="E1856" s="1" t="str">
        <f ca="1">IFERROR(__xludf.DUMMYFUNCTION("""COMPUTED_VALUE"""),"-")</f>
        <v>-</v>
      </c>
      <c r="F1856" s="1"/>
      <c r="G1856" s="1" t="str">
        <f ca="1">IFERROR(__xludf.DUMMYFUNCTION("""COMPUTED_VALUE"""),"-")</f>
        <v>-</v>
      </c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</row>
    <row r="1857" spans="1:26" x14ac:dyDescent="0.2">
      <c r="A1857" s="1"/>
      <c r="B1857" s="1"/>
      <c r="C1857" s="1"/>
      <c r="D1857" s="1"/>
      <c r="E1857" s="1" t="str">
        <f ca="1">IFERROR(__xludf.DUMMYFUNCTION("""COMPUTED_VALUE"""),"-")</f>
        <v>-</v>
      </c>
      <c r="F1857" s="1"/>
      <c r="G1857" s="1" t="str">
        <f ca="1">IFERROR(__xludf.DUMMYFUNCTION("""COMPUTED_VALUE"""),"-")</f>
        <v>-</v>
      </c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</row>
    <row r="1858" spans="1:26" x14ac:dyDescent="0.2">
      <c r="A1858" s="1"/>
      <c r="B1858" s="1"/>
      <c r="C1858" s="1"/>
      <c r="D1858" s="1"/>
      <c r="E1858" s="1" t="str">
        <f ca="1">IFERROR(__xludf.DUMMYFUNCTION("""COMPUTED_VALUE"""),"-")</f>
        <v>-</v>
      </c>
      <c r="F1858" s="1"/>
      <c r="G1858" s="1" t="str">
        <f ca="1">IFERROR(__xludf.DUMMYFUNCTION("""COMPUTED_VALUE"""),"-")</f>
        <v>-</v>
      </c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</row>
    <row r="1859" spans="1:26" x14ac:dyDescent="0.2">
      <c r="A1859" s="1"/>
      <c r="B1859" s="1"/>
      <c r="C1859" s="1"/>
      <c r="D1859" s="1"/>
      <c r="E1859" s="1" t="str">
        <f ca="1">IFERROR(__xludf.DUMMYFUNCTION("""COMPUTED_VALUE"""),"-")</f>
        <v>-</v>
      </c>
      <c r="F1859" s="1"/>
      <c r="G1859" s="1" t="str">
        <f ca="1">IFERROR(__xludf.DUMMYFUNCTION("""COMPUTED_VALUE"""),"-")</f>
        <v>-</v>
      </c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</row>
    <row r="1860" spans="1:26" x14ac:dyDescent="0.2">
      <c r="A1860" s="1"/>
      <c r="B1860" s="1"/>
      <c r="C1860" s="1"/>
      <c r="D1860" s="1"/>
      <c r="E1860" s="1" t="str">
        <f ca="1">IFERROR(__xludf.DUMMYFUNCTION("""COMPUTED_VALUE"""),"-")</f>
        <v>-</v>
      </c>
      <c r="F1860" s="1"/>
      <c r="G1860" s="1" t="str">
        <f ca="1">IFERROR(__xludf.DUMMYFUNCTION("""COMPUTED_VALUE"""),"-")</f>
        <v>-</v>
      </c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</row>
    <row r="1861" spans="1:26" x14ac:dyDescent="0.2">
      <c r="A1861" s="1"/>
      <c r="B1861" s="1"/>
      <c r="C1861" s="1"/>
      <c r="D1861" s="1"/>
      <c r="E1861" s="1" t="str">
        <f ca="1">IFERROR(__xludf.DUMMYFUNCTION("""COMPUTED_VALUE"""),"-")</f>
        <v>-</v>
      </c>
      <c r="F1861" s="1"/>
      <c r="G1861" s="1" t="str">
        <f ca="1">IFERROR(__xludf.DUMMYFUNCTION("""COMPUTED_VALUE"""),"-")</f>
        <v>-</v>
      </c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</row>
    <row r="1862" spans="1:26" x14ac:dyDescent="0.2">
      <c r="A1862" s="1"/>
      <c r="B1862" s="1"/>
      <c r="C1862" s="1"/>
      <c r="D1862" s="1"/>
      <c r="E1862" s="1" t="str">
        <f ca="1">IFERROR(__xludf.DUMMYFUNCTION("""COMPUTED_VALUE"""),"-")</f>
        <v>-</v>
      </c>
      <c r="F1862" s="1"/>
      <c r="G1862" s="1" t="str">
        <f ca="1">IFERROR(__xludf.DUMMYFUNCTION("""COMPUTED_VALUE"""),"-")</f>
        <v>-</v>
      </c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</row>
    <row r="1863" spans="1:26" x14ac:dyDescent="0.2">
      <c r="A1863" s="1"/>
      <c r="B1863" s="1"/>
      <c r="C1863" s="1"/>
      <c r="D1863" s="1"/>
      <c r="E1863" s="1" t="str">
        <f ca="1">IFERROR(__xludf.DUMMYFUNCTION("""COMPUTED_VALUE"""),"-")</f>
        <v>-</v>
      </c>
      <c r="F1863" s="1"/>
      <c r="G1863" s="1" t="str">
        <f ca="1">IFERROR(__xludf.DUMMYFUNCTION("""COMPUTED_VALUE"""),"-")</f>
        <v>-</v>
      </c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</row>
    <row r="1864" spans="1:26" x14ac:dyDescent="0.2">
      <c r="A1864" s="1"/>
      <c r="B1864" s="1"/>
      <c r="C1864" s="1"/>
      <c r="D1864" s="1"/>
      <c r="E1864" s="1" t="str">
        <f ca="1">IFERROR(__xludf.DUMMYFUNCTION("""COMPUTED_VALUE"""),"-")</f>
        <v>-</v>
      </c>
      <c r="F1864" s="1"/>
      <c r="G1864" s="1" t="str">
        <f ca="1">IFERROR(__xludf.DUMMYFUNCTION("""COMPUTED_VALUE"""),"-")</f>
        <v>-</v>
      </c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</row>
    <row r="1865" spans="1:26" x14ac:dyDescent="0.2">
      <c r="A1865" s="1"/>
      <c r="B1865" s="1"/>
      <c r="C1865" s="1"/>
      <c r="D1865" s="1"/>
      <c r="E1865" s="1" t="str">
        <f ca="1">IFERROR(__xludf.DUMMYFUNCTION("""COMPUTED_VALUE"""),"-")</f>
        <v>-</v>
      </c>
      <c r="F1865" s="1"/>
      <c r="G1865" s="1" t="str">
        <f ca="1">IFERROR(__xludf.DUMMYFUNCTION("""COMPUTED_VALUE"""),"-")</f>
        <v>-</v>
      </c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</row>
    <row r="1866" spans="1:26" x14ac:dyDescent="0.2">
      <c r="A1866" s="1"/>
      <c r="B1866" s="1"/>
      <c r="C1866" s="1"/>
      <c r="D1866" s="1"/>
      <c r="E1866" s="1" t="str">
        <f ca="1">IFERROR(__xludf.DUMMYFUNCTION("""COMPUTED_VALUE"""),"-")</f>
        <v>-</v>
      </c>
      <c r="F1866" s="1"/>
      <c r="G1866" s="1" t="str">
        <f ca="1">IFERROR(__xludf.DUMMYFUNCTION("""COMPUTED_VALUE"""),"-")</f>
        <v>-</v>
      </c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</row>
    <row r="1867" spans="1:26" x14ac:dyDescent="0.2">
      <c r="A1867" s="1"/>
      <c r="B1867" s="1"/>
      <c r="C1867" s="1"/>
      <c r="D1867" s="1"/>
      <c r="E1867" s="1" t="str">
        <f ca="1">IFERROR(__xludf.DUMMYFUNCTION("""COMPUTED_VALUE"""),"-")</f>
        <v>-</v>
      </c>
      <c r="F1867" s="1"/>
      <c r="G1867" s="1" t="str">
        <f ca="1">IFERROR(__xludf.DUMMYFUNCTION("""COMPUTED_VALUE"""),"-")</f>
        <v>-</v>
      </c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</row>
    <row r="1868" spans="1:26" x14ac:dyDescent="0.2">
      <c r="A1868" s="1"/>
      <c r="B1868" s="1"/>
      <c r="C1868" s="1"/>
      <c r="D1868" s="1"/>
      <c r="E1868" s="1" t="str">
        <f ca="1">IFERROR(__xludf.DUMMYFUNCTION("""COMPUTED_VALUE"""),"-")</f>
        <v>-</v>
      </c>
      <c r="F1868" s="1"/>
      <c r="G1868" s="1" t="str">
        <f ca="1">IFERROR(__xludf.DUMMYFUNCTION("""COMPUTED_VALUE"""),"-")</f>
        <v>-</v>
      </c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</row>
    <row r="1869" spans="1:26" x14ac:dyDescent="0.2">
      <c r="A1869" s="1"/>
      <c r="B1869" s="1"/>
      <c r="C1869" s="1"/>
      <c r="D1869" s="1"/>
      <c r="E1869" s="1" t="str">
        <f ca="1">IFERROR(__xludf.DUMMYFUNCTION("""COMPUTED_VALUE"""),"-")</f>
        <v>-</v>
      </c>
      <c r="F1869" s="1"/>
      <c r="G1869" s="1" t="str">
        <f ca="1">IFERROR(__xludf.DUMMYFUNCTION("""COMPUTED_VALUE"""),"-")</f>
        <v>-</v>
      </c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</row>
    <row r="1870" spans="1:26" x14ac:dyDescent="0.2">
      <c r="A1870" s="1"/>
      <c r="B1870" s="1"/>
      <c r="C1870" s="1"/>
      <c r="D1870" s="1"/>
      <c r="E1870" s="1" t="str">
        <f ca="1">IFERROR(__xludf.DUMMYFUNCTION("""COMPUTED_VALUE"""),"-")</f>
        <v>-</v>
      </c>
      <c r="F1870" s="1"/>
      <c r="G1870" s="1" t="str">
        <f ca="1">IFERROR(__xludf.DUMMYFUNCTION("""COMPUTED_VALUE"""),"-")</f>
        <v>-</v>
      </c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</row>
    <row r="1871" spans="1:26" x14ac:dyDescent="0.2">
      <c r="A1871" s="1"/>
      <c r="B1871" s="1"/>
      <c r="C1871" s="1"/>
      <c r="D1871" s="1"/>
      <c r="E1871" s="1" t="str">
        <f ca="1">IFERROR(__xludf.DUMMYFUNCTION("""COMPUTED_VALUE"""),"-")</f>
        <v>-</v>
      </c>
      <c r="F1871" s="1"/>
      <c r="G1871" s="1" t="str">
        <f ca="1">IFERROR(__xludf.DUMMYFUNCTION("""COMPUTED_VALUE"""),"-")</f>
        <v>-</v>
      </c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</row>
    <row r="1872" spans="1:26" x14ac:dyDescent="0.2">
      <c r="A1872" s="1"/>
      <c r="B1872" s="1"/>
      <c r="C1872" s="1"/>
      <c r="D1872" s="1"/>
      <c r="E1872" s="1" t="str">
        <f ca="1">IFERROR(__xludf.DUMMYFUNCTION("""COMPUTED_VALUE"""),"-")</f>
        <v>-</v>
      </c>
      <c r="F1872" s="1"/>
      <c r="G1872" s="1" t="str">
        <f ca="1">IFERROR(__xludf.DUMMYFUNCTION("""COMPUTED_VALUE"""),"-")</f>
        <v>-</v>
      </c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</row>
    <row r="1873" spans="1:26" x14ac:dyDescent="0.2">
      <c r="A1873" s="1"/>
      <c r="B1873" s="1"/>
      <c r="C1873" s="1"/>
      <c r="D1873" s="1"/>
      <c r="E1873" s="1" t="str">
        <f ca="1">IFERROR(__xludf.DUMMYFUNCTION("""COMPUTED_VALUE"""),"-")</f>
        <v>-</v>
      </c>
      <c r="F1873" s="1"/>
      <c r="G1873" s="1" t="str">
        <f ca="1">IFERROR(__xludf.DUMMYFUNCTION("""COMPUTED_VALUE"""),"-")</f>
        <v>-</v>
      </c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</row>
    <row r="1874" spans="1:26" x14ac:dyDescent="0.2">
      <c r="A1874" s="1"/>
      <c r="B1874" s="1"/>
      <c r="C1874" s="1"/>
      <c r="D1874" s="1"/>
      <c r="E1874" s="1" t="str">
        <f ca="1">IFERROR(__xludf.DUMMYFUNCTION("""COMPUTED_VALUE"""),"-")</f>
        <v>-</v>
      </c>
      <c r="F1874" s="1"/>
      <c r="G1874" s="1" t="str">
        <f ca="1">IFERROR(__xludf.DUMMYFUNCTION("""COMPUTED_VALUE"""),"-")</f>
        <v>-</v>
      </c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</row>
    <row r="1875" spans="1:26" x14ac:dyDescent="0.2">
      <c r="A1875" s="1"/>
      <c r="B1875" s="1"/>
      <c r="C1875" s="1"/>
      <c r="D1875" s="1"/>
      <c r="E1875" s="1" t="str">
        <f ca="1">IFERROR(__xludf.DUMMYFUNCTION("""COMPUTED_VALUE"""),"-")</f>
        <v>-</v>
      </c>
      <c r="F1875" s="1"/>
      <c r="G1875" s="1" t="str">
        <f ca="1">IFERROR(__xludf.DUMMYFUNCTION("""COMPUTED_VALUE"""),"-")</f>
        <v>-</v>
      </c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</row>
    <row r="1876" spans="1:26" x14ac:dyDescent="0.2">
      <c r="A1876" s="1"/>
      <c r="B1876" s="1"/>
      <c r="C1876" s="1"/>
      <c r="D1876" s="1"/>
      <c r="E1876" s="1" t="str">
        <f ca="1">IFERROR(__xludf.DUMMYFUNCTION("""COMPUTED_VALUE"""),"-")</f>
        <v>-</v>
      </c>
      <c r="F1876" s="1"/>
      <c r="G1876" s="1" t="str">
        <f ca="1">IFERROR(__xludf.DUMMYFUNCTION("""COMPUTED_VALUE"""),"-")</f>
        <v>-</v>
      </c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</row>
    <row r="1877" spans="1:26" x14ac:dyDescent="0.2">
      <c r="A1877" s="1"/>
      <c r="B1877" s="1"/>
      <c r="C1877" s="1"/>
      <c r="D1877" s="1"/>
      <c r="E1877" s="1" t="str">
        <f ca="1">IFERROR(__xludf.DUMMYFUNCTION("""COMPUTED_VALUE"""),"-")</f>
        <v>-</v>
      </c>
      <c r="F1877" s="1"/>
      <c r="G1877" s="1" t="str">
        <f ca="1">IFERROR(__xludf.DUMMYFUNCTION("""COMPUTED_VALUE"""),"-")</f>
        <v>-</v>
      </c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</row>
    <row r="1878" spans="1:26" x14ac:dyDescent="0.2">
      <c r="A1878" s="1"/>
      <c r="B1878" s="1"/>
      <c r="C1878" s="1"/>
      <c r="D1878" s="1"/>
      <c r="E1878" s="1" t="str">
        <f ca="1">IFERROR(__xludf.DUMMYFUNCTION("""COMPUTED_VALUE"""),"-")</f>
        <v>-</v>
      </c>
      <c r="F1878" s="1"/>
      <c r="G1878" s="1" t="str">
        <f ca="1">IFERROR(__xludf.DUMMYFUNCTION("""COMPUTED_VALUE"""),"-")</f>
        <v>-</v>
      </c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</row>
    <row r="1879" spans="1:26" x14ac:dyDescent="0.2">
      <c r="A1879" s="1"/>
      <c r="B1879" s="1"/>
      <c r="C1879" s="1"/>
      <c r="D1879" s="1"/>
      <c r="E1879" s="1" t="str">
        <f ca="1">IFERROR(__xludf.DUMMYFUNCTION("""COMPUTED_VALUE"""),"-")</f>
        <v>-</v>
      </c>
      <c r="F1879" s="1"/>
      <c r="G1879" s="1" t="str">
        <f ca="1">IFERROR(__xludf.DUMMYFUNCTION("""COMPUTED_VALUE"""),"-")</f>
        <v>-</v>
      </c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</row>
    <row r="1880" spans="1:26" x14ac:dyDescent="0.2">
      <c r="A1880" s="1"/>
      <c r="B1880" s="1"/>
      <c r="C1880" s="1"/>
      <c r="D1880" s="1"/>
      <c r="E1880" s="1" t="str">
        <f ca="1">IFERROR(__xludf.DUMMYFUNCTION("""COMPUTED_VALUE"""),"-")</f>
        <v>-</v>
      </c>
      <c r="F1880" s="1"/>
      <c r="G1880" s="1" t="str">
        <f ca="1">IFERROR(__xludf.DUMMYFUNCTION("""COMPUTED_VALUE"""),"-")</f>
        <v>-</v>
      </c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</row>
    <row r="1881" spans="1:26" x14ac:dyDescent="0.2">
      <c r="A1881" s="1"/>
      <c r="B1881" s="1"/>
      <c r="C1881" s="1"/>
      <c r="D1881" s="1"/>
      <c r="E1881" s="1" t="str">
        <f ca="1">IFERROR(__xludf.DUMMYFUNCTION("""COMPUTED_VALUE"""),"-")</f>
        <v>-</v>
      </c>
      <c r="F1881" s="1"/>
      <c r="G1881" s="1" t="str">
        <f ca="1">IFERROR(__xludf.DUMMYFUNCTION("""COMPUTED_VALUE"""),"-")</f>
        <v>-</v>
      </c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</row>
    <row r="1882" spans="1:26" x14ac:dyDescent="0.2">
      <c r="A1882" s="1"/>
      <c r="B1882" s="1"/>
      <c r="C1882" s="1"/>
      <c r="D1882" s="1"/>
      <c r="E1882" s="1" t="str">
        <f ca="1">IFERROR(__xludf.DUMMYFUNCTION("""COMPUTED_VALUE"""),"-")</f>
        <v>-</v>
      </c>
      <c r="F1882" s="1"/>
      <c r="G1882" s="1" t="str">
        <f ca="1">IFERROR(__xludf.DUMMYFUNCTION("""COMPUTED_VALUE"""),"-")</f>
        <v>-</v>
      </c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</row>
    <row r="1883" spans="1:26" x14ac:dyDescent="0.2">
      <c r="A1883" s="1"/>
      <c r="B1883" s="1"/>
      <c r="C1883" s="1"/>
      <c r="D1883" s="1"/>
      <c r="E1883" s="1" t="str">
        <f ca="1">IFERROR(__xludf.DUMMYFUNCTION("""COMPUTED_VALUE"""),"-")</f>
        <v>-</v>
      </c>
      <c r="F1883" s="1"/>
      <c r="G1883" s="1" t="str">
        <f ca="1">IFERROR(__xludf.DUMMYFUNCTION("""COMPUTED_VALUE"""),"-")</f>
        <v>-</v>
      </c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</row>
    <row r="1884" spans="1:26" x14ac:dyDescent="0.2">
      <c r="A1884" s="1"/>
      <c r="B1884" s="1"/>
      <c r="C1884" s="1"/>
      <c r="D1884" s="1"/>
      <c r="E1884" s="1" t="str">
        <f ca="1">IFERROR(__xludf.DUMMYFUNCTION("""COMPUTED_VALUE"""),"-")</f>
        <v>-</v>
      </c>
      <c r="F1884" s="1"/>
      <c r="G1884" s="1" t="str">
        <f ca="1">IFERROR(__xludf.DUMMYFUNCTION("""COMPUTED_VALUE"""),"-")</f>
        <v>-</v>
      </c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</row>
    <row r="1885" spans="1:26" x14ac:dyDescent="0.2">
      <c r="A1885" s="1"/>
      <c r="B1885" s="1"/>
      <c r="C1885" s="1"/>
      <c r="D1885" s="1"/>
      <c r="E1885" s="1" t="str">
        <f ca="1">IFERROR(__xludf.DUMMYFUNCTION("""COMPUTED_VALUE"""),"-")</f>
        <v>-</v>
      </c>
      <c r="F1885" s="1"/>
      <c r="G1885" s="1" t="str">
        <f ca="1">IFERROR(__xludf.DUMMYFUNCTION("""COMPUTED_VALUE"""),"-")</f>
        <v>-</v>
      </c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</row>
    <row r="1886" spans="1:26" x14ac:dyDescent="0.2">
      <c r="A1886" s="1"/>
      <c r="B1886" s="1"/>
      <c r="C1886" s="1"/>
      <c r="D1886" s="1"/>
      <c r="E1886" s="1" t="str">
        <f ca="1">IFERROR(__xludf.DUMMYFUNCTION("""COMPUTED_VALUE"""),"-")</f>
        <v>-</v>
      </c>
      <c r="F1886" s="1"/>
      <c r="G1886" s="1" t="str">
        <f ca="1">IFERROR(__xludf.DUMMYFUNCTION("""COMPUTED_VALUE"""),"-")</f>
        <v>-</v>
      </c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</row>
    <row r="1887" spans="1:26" x14ac:dyDescent="0.2">
      <c r="A1887" s="1"/>
      <c r="B1887" s="1"/>
      <c r="C1887" s="1"/>
      <c r="D1887" s="1"/>
      <c r="E1887" s="1" t="str">
        <f ca="1">IFERROR(__xludf.DUMMYFUNCTION("""COMPUTED_VALUE"""),"-")</f>
        <v>-</v>
      </c>
      <c r="F1887" s="1"/>
      <c r="G1887" s="1" t="str">
        <f ca="1">IFERROR(__xludf.DUMMYFUNCTION("""COMPUTED_VALUE"""),"-")</f>
        <v>-</v>
      </c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</row>
    <row r="1888" spans="1:26" x14ac:dyDescent="0.2">
      <c r="A1888" s="1"/>
      <c r="B1888" s="1"/>
      <c r="C1888" s="1"/>
      <c r="D1888" s="1"/>
      <c r="E1888" s="1" t="str">
        <f ca="1">IFERROR(__xludf.DUMMYFUNCTION("""COMPUTED_VALUE"""),"-")</f>
        <v>-</v>
      </c>
      <c r="F1888" s="1"/>
      <c r="G1888" s="1" t="str">
        <f ca="1">IFERROR(__xludf.DUMMYFUNCTION("""COMPUTED_VALUE"""),"-")</f>
        <v>-</v>
      </c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</row>
    <row r="1889" spans="1:26" x14ac:dyDescent="0.2">
      <c r="A1889" s="1"/>
      <c r="B1889" s="1"/>
      <c r="C1889" s="1"/>
      <c r="D1889" s="1"/>
      <c r="E1889" s="1" t="str">
        <f ca="1">IFERROR(__xludf.DUMMYFUNCTION("""COMPUTED_VALUE"""),"-")</f>
        <v>-</v>
      </c>
      <c r="F1889" s="1"/>
      <c r="G1889" s="1" t="str">
        <f ca="1">IFERROR(__xludf.DUMMYFUNCTION("""COMPUTED_VALUE"""),"-")</f>
        <v>-</v>
      </c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</row>
    <row r="1890" spans="1:26" x14ac:dyDescent="0.2">
      <c r="A1890" s="1"/>
      <c r="B1890" s="1"/>
      <c r="C1890" s="1"/>
      <c r="D1890" s="1"/>
      <c r="E1890" s="1" t="str">
        <f ca="1">IFERROR(__xludf.DUMMYFUNCTION("""COMPUTED_VALUE"""),"-")</f>
        <v>-</v>
      </c>
      <c r="F1890" s="1"/>
      <c r="G1890" s="1" t="str">
        <f ca="1">IFERROR(__xludf.DUMMYFUNCTION("""COMPUTED_VALUE"""),"-")</f>
        <v>-</v>
      </c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</row>
    <row r="1891" spans="1:26" x14ac:dyDescent="0.2">
      <c r="A1891" s="1"/>
      <c r="B1891" s="1"/>
      <c r="C1891" s="1"/>
      <c r="D1891" s="1"/>
      <c r="E1891" s="1" t="str">
        <f ca="1">IFERROR(__xludf.DUMMYFUNCTION("""COMPUTED_VALUE"""),"-")</f>
        <v>-</v>
      </c>
      <c r="F1891" s="1"/>
      <c r="G1891" s="1" t="str">
        <f ca="1">IFERROR(__xludf.DUMMYFUNCTION("""COMPUTED_VALUE"""),"-")</f>
        <v>-</v>
      </c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</row>
    <row r="1892" spans="1:26" x14ac:dyDescent="0.2">
      <c r="A1892" s="1"/>
      <c r="B1892" s="1"/>
      <c r="C1892" s="1"/>
      <c r="D1892" s="1"/>
      <c r="E1892" s="1" t="str">
        <f ca="1">IFERROR(__xludf.DUMMYFUNCTION("""COMPUTED_VALUE"""),"-")</f>
        <v>-</v>
      </c>
      <c r="F1892" s="1"/>
      <c r="G1892" s="1" t="str">
        <f ca="1">IFERROR(__xludf.DUMMYFUNCTION("""COMPUTED_VALUE"""),"-")</f>
        <v>-</v>
      </c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</row>
    <row r="1893" spans="1:26" x14ac:dyDescent="0.2">
      <c r="A1893" s="1"/>
      <c r="B1893" s="1"/>
      <c r="C1893" s="1"/>
      <c r="D1893" s="1"/>
      <c r="E1893" s="1" t="str">
        <f ca="1">IFERROR(__xludf.DUMMYFUNCTION("""COMPUTED_VALUE"""),"-")</f>
        <v>-</v>
      </c>
      <c r="F1893" s="1"/>
      <c r="G1893" s="1" t="str">
        <f ca="1">IFERROR(__xludf.DUMMYFUNCTION("""COMPUTED_VALUE"""),"-")</f>
        <v>-</v>
      </c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</row>
    <row r="1894" spans="1:26" x14ac:dyDescent="0.2">
      <c r="A1894" s="1"/>
      <c r="B1894" s="1"/>
      <c r="C1894" s="1"/>
      <c r="D1894" s="1"/>
      <c r="E1894" s="1" t="str">
        <f ca="1">IFERROR(__xludf.DUMMYFUNCTION("""COMPUTED_VALUE"""),"-")</f>
        <v>-</v>
      </c>
      <c r="F1894" s="1"/>
      <c r="G1894" s="1" t="str">
        <f ca="1">IFERROR(__xludf.DUMMYFUNCTION("""COMPUTED_VALUE"""),"-")</f>
        <v>-</v>
      </c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</row>
    <row r="1895" spans="1:26" x14ac:dyDescent="0.2">
      <c r="A1895" s="1"/>
      <c r="B1895" s="1"/>
      <c r="C1895" s="1"/>
      <c r="D1895" s="1"/>
      <c r="E1895" s="1" t="str">
        <f ca="1">IFERROR(__xludf.DUMMYFUNCTION("""COMPUTED_VALUE"""),"-")</f>
        <v>-</v>
      </c>
      <c r="F1895" s="1"/>
      <c r="G1895" s="1" t="str">
        <f ca="1">IFERROR(__xludf.DUMMYFUNCTION("""COMPUTED_VALUE"""),"-")</f>
        <v>-</v>
      </c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</row>
    <row r="1896" spans="1:26" x14ac:dyDescent="0.2">
      <c r="A1896" s="1"/>
      <c r="B1896" s="1"/>
      <c r="C1896" s="1"/>
      <c r="D1896" s="1"/>
      <c r="E1896" s="1" t="str">
        <f ca="1">IFERROR(__xludf.DUMMYFUNCTION("""COMPUTED_VALUE"""),"-")</f>
        <v>-</v>
      </c>
      <c r="F1896" s="1"/>
      <c r="G1896" s="1" t="str">
        <f ca="1">IFERROR(__xludf.DUMMYFUNCTION("""COMPUTED_VALUE"""),"-")</f>
        <v>-</v>
      </c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</row>
    <row r="1897" spans="1:26" x14ac:dyDescent="0.2">
      <c r="A1897" s="1"/>
      <c r="B1897" s="1"/>
      <c r="C1897" s="1"/>
      <c r="D1897" s="1"/>
      <c r="E1897" s="1" t="str">
        <f ca="1">IFERROR(__xludf.DUMMYFUNCTION("""COMPUTED_VALUE"""),"-")</f>
        <v>-</v>
      </c>
      <c r="F1897" s="1"/>
      <c r="G1897" s="1" t="str">
        <f ca="1">IFERROR(__xludf.DUMMYFUNCTION("""COMPUTED_VALUE"""),"-")</f>
        <v>-</v>
      </c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</row>
    <row r="1898" spans="1:26" x14ac:dyDescent="0.2">
      <c r="A1898" s="1"/>
      <c r="B1898" s="1"/>
      <c r="C1898" s="1"/>
      <c r="D1898" s="1"/>
      <c r="E1898" s="1" t="str">
        <f ca="1">IFERROR(__xludf.DUMMYFUNCTION("""COMPUTED_VALUE"""),"-")</f>
        <v>-</v>
      </c>
      <c r="F1898" s="1"/>
      <c r="G1898" s="1" t="str">
        <f ca="1">IFERROR(__xludf.DUMMYFUNCTION("""COMPUTED_VALUE"""),"-")</f>
        <v>-</v>
      </c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</row>
    <row r="1899" spans="1:26" x14ac:dyDescent="0.2">
      <c r="A1899" s="1"/>
      <c r="B1899" s="1"/>
      <c r="C1899" s="1"/>
      <c r="D1899" s="1"/>
      <c r="E1899" s="1" t="str">
        <f ca="1">IFERROR(__xludf.DUMMYFUNCTION("""COMPUTED_VALUE"""),"-")</f>
        <v>-</v>
      </c>
      <c r="F1899" s="1"/>
      <c r="G1899" s="1" t="str">
        <f ca="1">IFERROR(__xludf.DUMMYFUNCTION("""COMPUTED_VALUE"""),"-")</f>
        <v>-</v>
      </c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</row>
    <row r="1900" spans="1:26" x14ac:dyDescent="0.2">
      <c r="A1900" s="1"/>
      <c r="B1900" s="1"/>
      <c r="C1900" s="1"/>
      <c r="D1900" s="1"/>
      <c r="E1900" s="1" t="str">
        <f ca="1">IFERROR(__xludf.DUMMYFUNCTION("""COMPUTED_VALUE"""),"-")</f>
        <v>-</v>
      </c>
      <c r="F1900" s="1"/>
      <c r="G1900" s="1" t="str">
        <f ca="1">IFERROR(__xludf.DUMMYFUNCTION("""COMPUTED_VALUE"""),"-")</f>
        <v>-</v>
      </c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</row>
    <row r="1901" spans="1:26" x14ac:dyDescent="0.2">
      <c r="A1901" s="1"/>
      <c r="B1901" s="1"/>
      <c r="C1901" s="1"/>
      <c r="D1901" s="1"/>
      <c r="E1901" s="1" t="str">
        <f ca="1">IFERROR(__xludf.DUMMYFUNCTION("""COMPUTED_VALUE"""),"-")</f>
        <v>-</v>
      </c>
      <c r="F1901" s="1"/>
      <c r="G1901" s="1" t="str">
        <f ca="1">IFERROR(__xludf.DUMMYFUNCTION("""COMPUTED_VALUE"""),"-")</f>
        <v>-</v>
      </c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</row>
    <row r="1902" spans="1:26" x14ac:dyDescent="0.2">
      <c r="A1902" s="1"/>
      <c r="B1902" s="1"/>
      <c r="C1902" s="1"/>
      <c r="D1902" s="1"/>
      <c r="E1902" s="1" t="str">
        <f ca="1">IFERROR(__xludf.DUMMYFUNCTION("""COMPUTED_VALUE"""),"-")</f>
        <v>-</v>
      </c>
      <c r="F1902" s="1"/>
      <c r="G1902" s="1" t="str">
        <f ca="1">IFERROR(__xludf.DUMMYFUNCTION("""COMPUTED_VALUE"""),"-")</f>
        <v>-</v>
      </c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</row>
    <row r="1903" spans="1:26" x14ac:dyDescent="0.2">
      <c r="A1903" s="1"/>
      <c r="B1903" s="1"/>
      <c r="C1903" s="1"/>
      <c r="D1903" s="1"/>
      <c r="E1903" s="1" t="str">
        <f ca="1">IFERROR(__xludf.DUMMYFUNCTION("""COMPUTED_VALUE"""),"-")</f>
        <v>-</v>
      </c>
      <c r="F1903" s="1"/>
      <c r="G1903" s="1" t="str">
        <f ca="1">IFERROR(__xludf.DUMMYFUNCTION("""COMPUTED_VALUE"""),"-")</f>
        <v>-</v>
      </c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</row>
    <row r="1904" spans="1:26" x14ac:dyDescent="0.2">
      <c r="A1904" s="1"/>
      <c r="B1904" s="1"/>
      <c r="C1904" s="1"/>
      <c r="D1904" s="1"/>
      <c r="E1904" s="1" t="str">
        <f ca="1">IFERROR(__xludf.DUMMYFUNCTION("""COMPUTED_VALUE"""),"-")</f>
        <v>-</v>
      </c>
      <c r="F1904" s="1"/>
      <c r="G1904" s="1" t="str">
        <f ca="1">IFERROR(__xludf.DUMMYFUNCTION("""COMPUTED_VALUE"""),"-")</f>
        <v>-</v>
      </c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</row>
    <row r="1905" spans="1:26" x14ac:dyDescent="0.2">
      <c r="A1905" s="1"/>
      <c r="B1905" s="1"/>
      <c r="C1905" s="1"/>
      <c r="D1905" s="1"/>
      <c r="E1905" s="1" t="str">
        <f ca="1">IFERROR(__xludf.DUMMYFUNCTION("""COMPUTED_VALUE"""),"-")</f>
        <v>-</v>
      </c>
      <c r="F1905" s="1"/>
      <c r="G1905" s="1" t="str">
        <f ca="1">IFERROR(__xludf.DUMMYFUNCTION("""COMPUTED_VALUE"""),"-")</f>
        <v>-</v>
      </c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</row>
    <row r="1906" spans="1:26" x14ac:dyDescent="0.2">
      <c r="A1906" s="1"/>
      <c r="B1906" s="1"/>
      <c r="C1906" s="1"/>
      <c r="D1906" s="1"/>
      <c r="E1906" s="1" t="str">
        <f ca="1">IFERROR(__xludf.DUMMYFUNCTION("""COMPUTED_VALUE"""),"-")</f>
        <v>-</v>
      </c>
      <c r="F1906" s="1"/>
      <c r="G1906" s="1" t="str">
        <f ca="1">IFERROR(__xludf.DUMMYFUNCTION("""COMPUTED_VALUE"""),"-")</f>
        <v>-</v>
      </c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</row>
    <row r="1907" spans="1:26" x14ac:dyDescent="0.2">
      <c r="A1907" s="1"/>
      <c r="B1907" s="1"/>
      <c r="C1907" s="1"/>
      <c r="D1907" s="1"/>
      <c r="E1907" s="1" t="str">
        <f ca="1">IFERROR(__xludf.DUMMYFUNCTION("""COMPUTED_VALUE"""),"-")</f>
        <v>-</v>
      </c>
      <c r="F1907" s="1"/>
      <c r="G1907" s="1" t="str">
        <f ca="1">IFERROR(__xludf.DUMMYFUNCTION("""COMPUTED_VALUE"""),"-")</f>
        <v>-</v>
      </c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</row>
    <row r="1908" spans="1:26" x14ac:dyDescent="0.2">
      <c r="A1908" s="1"/>
      <c r="B1908" s="1"/>
      <c r="C1908" s="1"/>
      <c r="D1908" s="1"/>
      <c r="E1908" s="1" t="str">
        <f ca="1">IFERROR(__xludf.DUMMYFUNCTION("""COMPUTED_VALUE"""),"-")</f>
        <v>-</v>
      </c>
      <c r="F1908" s="1"/>
      <c r="G1908" s="1" t="str">
        <f ca="1">IFERROR(__xludf.DUMMYFUNCTION("""COMPUTED_VALUE"""),"-")</f>
        <v>-</v>
      </c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</row>
    <row r="1909" spans="1:26" x14ac:dyDescent="0.2">
      <c r="A1909" s="1"/>
      <c r="B1909" s="1"/>
      <c r="C1909" s="1"/>
      <c r="D1909" s="1"/>
      <c r="E1909" s="1" t="str">
        <f ca="1">IFERROR(__xludf.DUMMYFUNCTION("""COMPUTED_VALUE"""),"-")</f>
        <v>-</v>
      </c>
      <c r="F1909" s="1"/>
      <c r="G1909" s="1" t="str">
        <f ca="1">IFERROR(__xludf.DUMMYFUNCTION("""COMPUTED_VALUE"""),"-")</f>
        <v>-</v>
      </c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</row>
    <row r="1910" spans="1:26" x14ac:dyDescent="0.2">
      <c r="A1910" s="1"/>
      <c r="B1910" s="1"/>
      <c r="C1910" s="1"/>
      <c r="D1910" s="1"/>
      <c r="E1910" s="1" t="str">
        <f ca="1">IFERROR(__xludf.DUMMYFUNCTION("""COMPUTED_VALUE"""),"-")</f>
        <v>-</v>
      </c>
      <c r="F1910" s="1"/>
      <c r="G1910" s="1" t="str">
        <f ca="1">IFERROR(__xludf.DUMMYFUNCTION("""COMPUTED_VALUE"""),"-")</f>
        <v>-</v>
      </c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</row>
    <row r="1911" spans="1:26" x14ac:dyDescent="0.2">
      <c r="A1911" s="1"/>
      <c r="B1911" s="1"/>
      <c r="C1911" s="1"/>
      <c r="D1911" s="1"/>
      <c r="E1911" s="1" t="str">
        <f ca="1">IFERROR(__xludf.DUMMYFUNCTION("""COMPUTED_VALUE"""),"-")</f>
        <v>-</v>
      </c>
      <c r="F1911" s="1"/>
      <c r="G1911" s="1" t="str">
        <f ca="1">IFERROR(__xludf.DUMMYFUNCTION("""COMPUTED_VALUE"""),"-")</f>
        <v>-</v>
      </c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</row>
    <row r="1912" spans="1:26" x14ac:dyDescent="0.2">
      <c r="A1912" s="1"/>
      <c r="B1912" s="1"/>
      <c r="C1912" s="1"/>
      <c r="D1912" s="1"/>
      <c r="E1912" s="1" t="str">
        <f ca="1">IFERROR(__xludf.DUMMYFUNCTION("""COMPUTED_VALUE"""),"-")</f>
        <v>-</v>
      </c>
      <c r="F1912" s="1"/>
      <c r="G1912" s="1" t="str">
        <f ca="1">IFERROR(__xludf.DUMMYFUNCTION("""COMPUTED_VALUE"""),"-")</f>
        <v>-</v>
      </c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</row>
    <row r="1913" spans="1:26" x14ac:dyDescent="0.2">
      <c r="A1913" s="1"/>
      <c r="B1913" s="1"/>
      <c r="C1913" s="1"/>
      <c r="D1913" s="1"/>
      <c r="E1913" s="1" t="str">
        <f ca="1">IFERROR(__xludf.DUMMYFUNCTION("""COMPUTED_VALUE"""),"-")</f>
        <v>-</v>
      </c>
      <c r="F1913" s="1"/>
      <c r="G1913" s="1" t="str">
        <f ca="1">IFERROR(__xludf.DUMMYFUNCTION("""COMPUTED_VALUE"""),"-")</f>
        <v>-</v>
      </c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</row>
    <row r="1914" spans="1:26" x14ac:dyDescent="0.2">
      <c r="A1914" s="1"/>
      <c r="B1914" s="1"/>
      <c r="C1914" s="1"/>
      <c r="D1914" s="1"/>
      <c r="E1914" s="1" t="str">
        <f ca="1">IFERROR(__xludf.DUMMYFUNCTION("""COMPUTED_VALUE"""),"-")</f>
        <v>-</v>
      </c>
      <c r="F1914" s="1"/>
      <c r="G1914" s="1" t="str">
        <f ca="1">IFERROR(__xludf.DUMMYFUNCTION("""COMPUTED_VALUE"""),"-")</f>
        <v>-</v>
      </c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</row>
    <row r="1915" spans="1:26" x14ac:dyDescent="0.2">
      <c r="A1915" s="1"/>
      <c r="B1915" s="1"/>
      <c r="C1915" s="1"/>
      <c r="D1915" s="1"/>
      <c r="E1915" s="1" t="str">
        <f ca="1">IFERROR(__xludf.DUMMYFUNCTION("""COMPUTED_VALUE"""),"-")</f>
        <v>-</v>
      </c>
      <c r="F1915" s="1"/>
      <c r="G1915" s="1" t="str">
        <f ca="1">IFERROR(__xludf.DUMMYFUNCTION("""COMPUTED_VALUE"""),"-")</f>
        <v>-</v>
      </c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</row>
    <row r="1916" spans="1:26" x14ac:dyDescent="0.2">
      <c r="A1916" s="1"/>
      <c r="B1916" s="1"/>
      <c r="C1916" s="1"/>
      <c r="D1916" s="1"/>
      <c r="E1916" s="1" t="str">
        <f ca="1">IFERROR(__xludf.DUMMYFUNCTION("""COMPUTED_VALUE"""),"-")</f>
        <v>-</v>
      </c>
      <c r="F1916" s="1"/>
      <c r="G1916" s="1" t="str">
        <f ca="1">IFERROR(__xludf.DUMMYFUNCTION("""COMPUTED_VALUE"""),"-")</f>
        <v>-</v>
      </c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</row>
    <row r="1917" spans="1:26" x14ac:dyDescent="0.2">
      <c r="A1917" s="1"/>
      <c r="B1917" s="1"/>
      <c r="C1917" s="1"/>
      <c r="D1917" s="1"/>
      <c r="E1917" s="1" t="str">
        <f ca="1">IFERROR(__xludf.DUMMYFUNCTION("""COMPUTED_VALUE"""),"-")</f>
        <v>-</v>
      </c>
      <c r="F1917" s="1"/>
      <c r="G1917" s="1" t="str">
        <f ca="1">IFERROR(__xludf.DUMMYFUNCTION("""COMPUTED_VALUE"""),"-")</f>
        <v>-</v>
      </c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</row>
    <row r="1918" spans="1:26" x14ac:dyDescent="0.2">
      <c r="A1918" s="1"/>
      <c r="B1918" s="1"/>
      <c r="C1918" s="1"/>
      <c r="D1918" s="1"/>
      <c r="E1918" s="1" t="str">
        <f ca="1">IFERROR(__xludf.DUMMYFUNCTION("""COMPUTED_VALUE"""),"-")</f>
        <v>-</v>
      </c>
      <c r="F1918" s="1"/>
      <c r="G1918" s="1" t="str">
        <f ca="1">IFERROR(__xludf.DUMMYFUNCTION("""COMPUTED_VALUE"""),"-")</f>
        <v>-</v>
      </c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</row>
    <row r="1919" spans="1:26" x14ac:dyDescent="0.2">
      <c r="A1919" s="1"/>
      <c r="B1919" s="1"/>
      <c r="C1919" s="1"/>
      <c r="D1919" s="1"/>
      <c r="E1919" s="1" t="str">
        <f ca="1">IFERROR(__xludf.DUMMYFUNCTION("""COMPUTED_VALUE"""),"-")</f>
        <v>-</v>
      </c>
      <c r="F1919" s="1"/>
      <c r="G1919" s="1" t="str">
        <f ca="1">IFERROR(__xludf.DUMMYFUNCTION("""COMPUTED_VALUE"""),"-")</f>
        <v>-</v>
      </c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</row>
    <row r="1920" spans="1:26" x14ac:dyDescent="0.2">
      <c r="A1920" s="1"/>
      <c r="B1920" s="1"/>
      <c r="C1920" s="1"/>
      <c r="D1920" s="1"/>
      <c r="E1920" s="1" t="str">
        <f ca="1">IFERROR(__xludf.DUMMYFUNCTION("""COMPUTED_VALUE"""),"-")</f>
        <v>-</v>
      </c>
      <c r="F1920" s="1"/>
      <c r="G1920" s="1" t="str">
        <f ca="1">IFERROR(__xludf.DUMMYFUNCTION("""COMPUTED_VALUE"""),"-")</f>
        <v>-</v>
      </c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</row>
    <row r="1921" spans="1:26" x14ac:dyDescent="0.2">
      <c r="A1921" s="1"/>
      <c r="B1921" s="1"/>
      <c r="C1921" s="1"/>
      <c r="D1921" s="1"/>
      <c r="E1921" s="1" t="str">
        <f ca="1">IFERROR(__xludf.DUMMYFUNCTION("""COMPUTED_VALUE"""),"-")</f>
        <v>-</v>
      </c>
      <c r="F1921" s="1"/>
      <c r="G1921" s="1" t="str">
        <f ca="1">IFERROR(__xludf.DUMMYFUNCTION("""COMPUTED_VALUE"""),"-")</f>
        <v>-</v>
      </c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</row>
    <row r="1922" spans="1:26" x14ac:dyDescent="0.2">
      <c r="A1922" s="1"/>
      <c r="B1922" s="1"/>
      <c r="C1922" s="1"/>
      <c r="D1922" s="1"/>
      <c r="E1922" s="1" t="str">
        <f ca="1">IFERROR(__xludf.DUMMYFUNCTION("""COMPUTED_VALUE"""),"-")</f>
        <v>-</v>
      </c>
      <c r="F1922" s="1"/>
      <c r="G1922" s="1" t="str">
        <f ca="1">IFERROR(__xludf.DUMMYFUNCTION("""COMPUTED_VALUE"""),"-")</f>
        <v>-</v>
      </c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</row>
    <row r="1923" spans="1:26" x14ac:dyDescent="0.2">
      <c r="A1923" s="1"/>
      <c r="B1923" s="1"/>
      <c r="C1923" s="1"/>
      <c r="D1923" s="1"/>
      <c r="E1923" s="1" t="str">
        <f ca="1">IFERROR(__xludf.DUMMYFUNCTION("""COMPUTED_VALUE"""),"-")</f>
        <v>-</v>
      </c>
      <c r="F1923" s="1"/>
      <c r="G1923" s="1" t="str">
        <f ca="1">IFERROR(__xludf.DUMMYFUNCTION("""COMPUTED_VALUE"""),"-")</f>
        <v>-</v>
      </c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</row>
    <row r="1924" spans="1:26" x14ac:dyDescent="0.2">
      <c r="A1924" s="1"/>
      <c r="B1924" s="1"/>
      <c r="C1924" s="1"/>
      <c r="D1924" s="1"/>
      <c r="E1924" s="1" t="str">
        <f ca="1">IFERROR(__xludf.DUMMYFUNCTION("""COMPUTED_VALUE"""),"-")</f>
        <v>-</v>
      </c>
      <c r="F1924" s="1"/>
      <c r="G1924" s="1" t="str">
        <f ca="1">IFERROR(__xludf.DUMMYFUNCTION("""COMPUTED_VALUE"""),"-")</f>
        <v>-</v>
      </c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</row>
    <row r="1925" spans="1:26" x14ac:dyDescent="0.2">
      <c r="A1925" s="1"/>
      <c r="B1925" s="1"/>
      <c r="C1925" s="1"/>
      <c r="D1925" s="1"/>
      <c r="E1925" s="1" t="str">
        <f ca="1">IFERROR(__xludf.DUMMYFUNCTION("""COMPUTED_VALUE"""),"-")</f>
        <v>-</v>
      </c>
      <c r="F1925" s="1"/>
      <c r="G1925" s="1" t="str">
        <f ca="1">IFERROR(__xludf.DUMMYFUNCTION("""COMPUTED_VALUE"""),"-")</f>
        <v>-</v>
      </c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</row>
    <row r="1926" spans="1:26" x14ac:dyDescent="0.2">
      <c r="A1926" s="1"/>
      <c r="B1926" s="1"/>
      <c r="C1926" s="1"/>
      <c r="D1926" s="1"/>
      <c r="E1926" s="1" t="str">
        <f ca="1">IFERROR(__xludf.DUMMYFUNCTION("""COMPUTED_VALUE"""),"-")</f>
        <v>-</v>
      </c>
      <c r="F1926" s="1"/>
      <c r="G1926" s="1" t="str">
        <f ca="1">IFERROR(__xludf.DUMMYFUNCTION("""COMPUTED_VALUE"""),"-")</f>
        <v>-</v>
      </c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</row>
    <row r="1927" spans="1:26" x14ac:dyDescent="0.2">
      <c r="A1927" s="1"/>
      <c r="B1927" s="1"/>
      <c r="C1927" s="1"/>
      <c r="D1927" s="1"/>
      <c r="E1927" s="1" t="str">
        <f ca="1">IFERROR(__xludf.DUMMYFUNCTION("""COMPUTED_VALUE"""),"-")</f>
        <v>-</v>
      </c>
      <c r="F1927" s="1"/>
      <c r="G1927" s="1" t="str">
        <f ca="1">IFERROR(__xludf.DUMMYFUNCTION("""COMPUTED_VALUE"""),"-")</f>
        <v>-</v>
      </c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</row>
    <row r="1928" spans="1:26" x14ac:dyDescent="0.2">
      <c r="A1928" s="1"/>
      <c r="B1928" s="1"/>
      <c r="C1928" s="1"/>
      <c r="D1928" s="1"/>
      <c r="E1928" s="1" t="str">
        <f ca="1">IFERROR(__xludf.DUMMYFUNCTION("""COMPUTED_VALUE"""),"-")</f>
        <v>-</v>
      </c>
      <c r="F1928" s="1"/>
      <c r="G1928" s="1" t="str">
        <f ca="1">IFERROR(__xludf.DUMMYFUNCTION("""COMPUTED_VALUE"""),"-")</f>
        <v>-</v>
      </c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</row>
    <row r="1929" spans="1:26" x14ac:dyDescent="0.2">
      <c r="A1929" s="1"/>
      <c r="B1929" s="1"/>
      <c r="C1929" s="1"/>
      <c r="D1929" s="1"/>
      <c r="E1929" s="1" t="str">
        <f ca="1">IFERROR(__xludf.DUMMYFUNCTION("""COMPUTED_VALUE"""),"-")</f>
        <v>-</v>
      </c>
      <c r="F1929" s="1"/>
      <c r="G1929" s="1" t="str">
        <f ca="1">IFERROR(__xludf.DUMMYFUNCTION("""COMPUTED_VALUE"""),"-")</f>
        <v>-</v>
      </c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</row>
    <row r="1930" spans="1:26" x14ac:dyDescent="0.2">
      <c r="A1930" s="1"/>
      <c r="B1930" s="1"/>
      <c r="C1930" s="1"/>
      <c r="D1930" s="1"/>
      <c r="E1930" s="1" t="str">
        <f ca="1">IFERROR(__xludf.DUMMYFUNCTION("""COMPUTED_VALUE"""),"-")</f>
        <v>-</v>
      </c>
      <c r="F1930" s="1"/>
      <c r="G1930" s="1" t="str">
        <f ca="1">IFERROR(__xludf.DUMMYFUNCTION("""COMPUTED_VALUE"""),"-")</f>
        <v>-</v>
      </c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</row>
    <row r="1931" spans="1:26" x14ac:dyDescent="0.2">
      <c r="A1931" s="1"/>
      <c r="B1931" s="1"/>
      <c r="C1931" s="1"/>
      <c r="D1931" s="1"/>
      <c r="E1931" s="1" t="str">
        <f ca="1">IFERROR(__xludf.DUMMYFUNCTION("""COMPUTED_VALUE"""),"-")</f>
        <v>-</v>
      </c>
      <c r="F1931" s="1"/>
      <c r="G1931" s="1" t="str">
        <f ca="1">IFERROR(__xludf.DUMMYFUNCTION("""COMPUTED_VALUE"""),"-")</f>
        <v>-</v>
      </c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</row>
    <row r="1932" spans="1:26" x14ac:dyDescent="0.2">
      <c r="A1932" s="1"/>
      <c r="B1932" s="1"/>
      <c r="C1932" s="1"/>
      <c r="D1932" s="1"/>
      <c r="E1932" s="1" t="str">
        <f ca="1">IFERROR(__xludf.DUMMYFUNCTION("""COMPUTED_VALUE"""),"-")</f>
        <v>-</v>
      </c>
      <c r="F1932" s="1"/>
      <c r="G1932" s="1" t="str">
        <f ca="1">IFERROR(__xludf.DUMMYFUNCTION("""COMPUTED_VALUE"""),"-")</f>
        <v>-</v>
      </c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</row>
    <row r="1933" spans="1:26" x14ac:dyDescent="0.2">
      <c r="A1933" s="1"/>
      <c r="B1933" s="1"/>
      <c r="C1933" s="1"/>
      <c r="D1933" s="1"/>
      <c r="E1933" s="1" t="str">
        <f ca="1">IFERROR(__xludf.DUMMYFUNCTION("""COMPUTED_VALUE"""),"-")</f>
        <v>-</v>
      </c>
      <c r="F1933" s="1"/>
      <c r="G1933" s="1" t="str">
        <f ca="1">IFERROR(__xludf.DUMMYFUNCTION("""COMPUTED_VALUE"""),"-")</f>
        <v>-</v>
      </c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</row>
    <row r="1934" spans="1:26" x14ac:dyDescent="0.2">
      <c r="A1934" s="1"/>
      <c r="B1934" s="1"/>
      <c r="C1934" s="1"/>
      <c r="D1934" s="1"/>
      <c r="E1934" s="1" t="str">
        <f ca="1">IFERROR(__xludf.DUMMYFUNCTION("""COMPUTED_VALUE"""),"-")</f>
        <v>-</v>
      </c>
      <c r="F1934" s="1"/>
      <c r="G1934" s="1" t="str">
        <f ca="1">IFERROR(__xludf.DUMMYFUNCTION("""COMPUTED_VALUE"""),"-")</f>
        <v>-</v>
      </c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</row>
    <row r="1935" spans="1:26" x14ac:dyDescent="0.2">
      <c r="A1935" s="1"/>
      <c r="B1935" s="1"/>
      <c r="C1935" s="1"/>
      <c r="D1935" s="1"/>
      <c r="E1935" s="1" t="str">
        <f ca="1">IFERROR(__xludf.DUMMYFUNCTION("""COMPUTED_VALUE"""),"-")</f>
        <v>-</v>
      </c>
      <c r="F1935" s="1"/>
      <c r="G1935" s="1" t="str">
        <f ca="1">IFERROR(__xludf.DUMMYFUNCTION("""COMPUTED_VALUE"""),"-")</f>
        <v>-</v>
      </c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</row>
    <row r="1936" spans="1:26" x14ac:dyDescent="0.2">
      <c r="A1936" s="1"/>
      <c r="B1936" s="1"/>
      <c r="C1936" s="1"/>
      <c r="D1936" s="1"/>
      <c r="E1936" s="1" t="str">
        <f ca="1">IFERROR(__xludf.DUMMYFUNCTION("""COMPUTED_VALUE"""),"-")</f>
        <v>-</v>
      </c>
      <c r="F1936" s="1"/>
      <c r="G1936" s="1" t="str">
        <f ca="1">IFERROR(__xludf.DUMMYFUNCTION("""COMPUTED_VALUE"""),"-")</f>
        <v>-</v>
      </c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</row>
    <row r="1937" spans="1:26" x14ac:dyDescent="0.2">
      <c r="A1937" s="1"/>
      <c r="B1937" s="1"/>
      <c r="C1937" s="1"/>
      <c r="D1937" s="1"/>
      <c r="E1937" s="1" t="str">
        <f ca="1">IFERROR(__xludf.DUMMYFUNCTION("""COMPUTED_VALUE"""),"-")</f>
        <v>-</v>
      </c>
      <c r="F1937" s="1"/>
      <c r="G1937" s="1" t="str">
        <f ca="1">IFERROR(__xludf.DUMMYFUNCTION("""COMPUTED_VALUE"""),"-")</f>
        <v>-</v>
      </c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</row>
    <row r="1938" spans="1:26" x14ac:dyDescent="0.2">
      <c r="A1938" s="1"/>
      <c r="B1938" s="1"/>
      <c r="C1938" s="1"/>
      <c r="D1938" s="1"/>
      <c r="E1938" s="1" t="str">
        <f ca="1">IFERROR(__xludf.DUMMYFUNCTION("""COMPUTED_VALUE"""),"-")</f>
        <v>-</v>
      </c>
      <c r="F1938" s="1"/>
      <c r="G1938" s="1" t="str">
        <f ca="1">IFERROR(__xludf.DUMMYFUNCTION("""COMPUTED_VALUE"""),"-")</f>
        <v>-</v>
      </c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</row>
    <row r="1939" spans="1:26" x14ac:dyDescent="0.2">
      <c r="A1939" s="1"/>
      <c r="B1939" s="1"/>
      <c r="C1939" s="1"/>
      <c r="D1939" s="1"/>
      <c r="E1939" s="1" t="str">
        <f ca="1">IFERROR(__xludf.DUMMYFUNCTION("""COMPUTED_VALUE"""),"-")</f>
        <v>-</v>
      </c>
      <c r="F1939" s="1"/>
      <c r="G1939" s="1" t="str">
        <f ca="1">IFERROR(__xludf.DUMMYFUNCTION("""COMPUTED_VALUE"""),"-")</f>
        <v>-</v>
      </c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</row>
    <row r="1940" spans="1:26" x14ac:dyDescent="0.2">
      <c r="A1940" s="1"/>
      <c r="B1940" s="1"/>
      <c r="C1940" s="1"/>
      <c r="D1940" s="1"/>
      <c r="E1940" s="1" t="str">
        <f ca="1">IFERROR(__xludf.DUMMYFUNCTION("""COMPUTED_VALUE"""),"-")</f>
        <v>-</v>
      </c>
      <c r="F1940" s="1"/>
      <c r="G1940" s="1" t="str">
        <f ca="1">IFERROR(__xludf.DUMMYFUNCTION("""COMPUTED_VALUE"""),"-")</f>
        <v>-</v>
      </c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</row>
    <row r="1941" spans="1:26" x14ac:dyDescent="0.2">
      <c r="A1941" s="1"/>
      <c r="B1941" s="1"/>
      <c r="C1941" s="1"/>
      <c r="D1941" s="1"/>
      <c r="E1941" s="1" t="str">
        <f ca="1">IFERROR(__xludf.DUMMYFUNCTION("""COMPUTED_VALUE"""),"-")</f>
        <v>-</v>
      </c>
      <c r="F1941" s="1"/>
      <c r="G1941" s="1" t="str">
        <f ca="1">IFERROR(__xludf.DUMMYFUNCTION("""COMPUTED_VALUE"""),"-")</f>
        <v>-</v>
      </c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</row>
    <row r="1942" spans="1:26" x14ac:dyDescent="0.2">
      <c r="A1942" s="1"/>
      <c r="B1942" s="1"/>
      <c r="C1942" s="1"/>
      <c r="D1942" s="1"/>
      <c r="E1942" s="1" t="str">
        <f ca="1">IFERROR(__xludf.DUMMYFUNCTION("""COMPUTED_VALUE"""),"-")</f>
        <v>-</v>
      </c>
      <c r="F1942" s="1"/>
      <c r="G1942" s="1" t="str">
        <f ca="1">IFERROR(__xludf.DUMMYFUNCTION("""COMPUTED_VALUE"""),"-")</f>
        <v>-</v>
      </c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</row>
    <row r="1943" spans="1:26" x14ac:dyDescent="0.2">
      <c r="A1943" s="1"/>
      <c r="B1943" s="1"/>
      <c r="C1943" s="1"/>
      <c r="D1943" s="1"/>
      <c r="E1943" s="1" t="str">
        <f ca="1">IFERROR(__xludf.DUMMYFUNCTION("""COMPUTED_VALUE"""),"-")</f>
        <v>-</v>
      </c>
      <c r="F1943" s="1"/>
      <c r="G1943" s="1" t="str">
        <f ca="1">IFERROR(__xludf.DUMMYFUNCTION("""COMPUTED_VALUE"""),"-")</f>
        <v>-</v>
      </c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</row>
    <row r="1944" spans="1:26" x14ac:dyDescent="0.2">
      <c r="A1944" s="1"/>
      <c r="B1944" s="1"/>
      <c r="C1944" s="1"/>
      <c r="D1944" s="1"/>
      <c r="E1944" s="1" t="str">
        <f ca="1">IFERROR(__xludf.DUMMYFUNCTION("""COMPUTED_VALUE"""),"-")</f>
        <v>-</v>
      </c>
      <c r="F1944" s="1"/>
      <c r="G1944" s="1" t="str">
        <f ca="1">IFERROR(__xludf.DUMMYFUNCTION("""COMPUTED_VALUE"""),"-")</f>
        <v>-</v>
      </c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</row>
    <row r="1945" spans="1:26" x14ac:dyDescent="0.2">
      <c r="A1945" s="1"/>
      <c r="B1945" s="1"/>
      <c r="C1945" s="1"/>
      <c r="D1945" s="1"/>
      <c r="E1945" s="1" t="str">
        <f ca="1">IFERROR(__xludf.DUMMYFUNCTION("""COMPUTED_VALUE"""),"-")</f>
        <v>-</v>
      </c>
      <c r="F1945" s="1"/>
      <c r="G1945" s="1" t="str">
        <f ca="1">IFERROR(__xludf.DUMMYFUNCTION("""COMPUTED_VALUE"""),"-")</f>
        <v>-</v>
      </c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</row>
    <row r="1946" spans="1:26" x14ac:dyDescent="0.2">
      <c r="A1946" s="1"/>
      <c r="B1946" s="1"/>
      <c r="C1946" s="1"/>
      <c r="D1946" s="1"/>
      <c r="E1946" s="1" t="str">
        <f ca="1">IFERROR(__xludf.DUMMYFUNCTION("""COMPUTED_VALUE"""),"-")</f>
        <v>-</v>
      </c>
      <c r="F1946" s="1"/>
      <c r="G1946" s="1" t="str">
        <f ca="1">IFERROR(__xludf.DUMMYFUNCTION("""COMPUTED_VALUE"""),"-")</f>
        <v>-</v>
      </c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</row>
    <row r="1947" spans="1:26" x14ac:dyDescent="0.2">
      <c r="A1947" s="1"/>
      <c r="B1947" s="1"/>
      <c r="C1947" s="1"/>
      <c r="D1947" s="1"/>
      <c r="E1947" s="1" t="str">
        <f ca="1">IFERROR(__xludf.DUMMYFUNCTION("""COMPUTED_VALUE"""),"-")</f>
        <v>-</v>
      </c>
      <c r="F1947" s="1"/>
      <c r="G1947" s="1" t="str">
        <f ca="1">IFERROR(__xludf.DUMMYFUNCTION("""COMPUTED_VALUE"""),"-")</f>
        <v>-</v>
      </c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</row>
    <row r="1948" spans="1:26" x14ac:dyDescent="0.2">
      <c r="A1948" s="1"/>
      <c r="B1948" s="1"/>
      <c r="C1948" s="1"/>
      <c r="D1948" s="1"/>
      <c r="E1948" s="1" t="str">
        <f ca="1">IFERROR(__xludf.DUMMYFUNCTION("""COMPUTED_VALUE"""),"-")</f>
        <v>-</v>
      </c>
      <c r="F1948" s="1"/>
      <c r="G1948" s="1" t="str">
        <f ca="1">IFERROR(__xludf.DUMMYFUNCTION("""COMPUTED_VALUE"""),"-")</f>
        <v>-</v>
      </c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</row>
    <row r="1949" spans="1:26" x14ac:dyDescent="0.2">
      <c r="A1949" s="1"/>
      <c r="B1949" s="1"/>
      <c r="C1949" s="1"/>
      <c r="D1949" s="1"/>
      <c r="E1949" s="1" t="str">
        <f ca="1">IFERROR(__xludf.DUMMYFUNCTION("""COMPUTED_VALUE"""),"-")</f>
        <v>-</v>
      </c>
      <c r="F1949" s="1"/>
      <c r="G1949" s="1" t="str">
        <f ca="1">IFERROR(__xludf.DUMMYFUNCTION("""COMPUTED_VALUE"""),"-")</f>
        <v>-</v>
      </c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</row>
    <row r="1950" spans="1:26" x14ac:dyDescent="0.2">
      <c r="A1950" s="1"/>
      <c r="B1950" s="1"/>
      <c r="C1950" s="1"/>
      <c r="D1950" s="1"/>
      <c r="E1950" s="1" t="str">
        <f ca="1">IFERROR(__xludf.DUMMYFUNCTION("""COMPUTED_VALUE"""),"-")</f>
        <v>-</v>
      </c>
      <c r="F1950" s="1"/>
      <c r="G1950" s="1" t="str">
        <f ca="1">IFERROR(__xludf.DUMMYFUNCTION("""COMPUTED_VALUE"""),"-")</f>
        <v>-</v>
      </c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</row>
    <row r="1951" spans="1:26" x14ac:dyDescent="0.2">
      <c r="A1951" s="1"/>
      <c r="B1951" s="1"/>
      <c r="C1951" s="1"/>
      <c r="D1951" s="1"/>
      <c r="E1951" s="1" t="str">
        <f ca="1">IFERROR(__xludf.DUMMYFUNCTION("""COMPUTED_VALUE"""),"-")</f>
        <v>-</v>
      </c>
      <c r="F1951" s="1"/>
      <c r="G1951" s="1" t="str">
        <f ca="1">IFERROR(__xludf.DUMMYFUNCTION("""COMPUTED_VALUE"""),"-")</f>
        <v>-</v>
      </c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</row>
    <row r="1952" spans="1:26" x14ac:dyDescent="0.2">
      <c r="A1952" s="1"/>
      <c r="B1952" s="1"/>
      <c r="C1952" s="1"/>
      <c r="D1952" s="1"/>
      <c r="E1952" s="1" t="str">
        <f ca="1">IFERROR(__xludf.DUMMYFUNCTION("""COMPUTED_VALUE"""),"-")</f>
        <v>-</v>
      </c>
      <c r="F1952" s="1"/>
      <c r="G1952" s="1" t="str">
        <f ca="1">IFERROR(__xludf.DUMMYFUNCTION("""COMPUTED_VALUE"""),"-")</f>
        <v>-</v>
      </c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</row>
    <row r="1953" spans="1:26" x14ac:dyDescent="0.2">
      <c r="A1953" s="1"/>
      <c r="B1953" s="1"/>
      <c r="C1953" s="1"/>
      <c r="D1953" s="1"/>
      <c r="E1953" s="1" t="str">
        <f ca="1">IFERROR(__xludf.DUMMYFUNCTION("""COMPUTED_VALUE"""),"-")</f>
        <v>-</v>
      </c>
      <c r="F1953" s="1"/>
      <c r="G1953" s="1" t="str">
        <f ca="1">IFERROR(__xludf.DUMMYFUNCTION("""COMPUTED_VALUE"""),"-")</f>
        <v>-</v>
      </c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</row>
    <row r="1954" spans="1:26" x14ac:dyDescent="0.2">
      <c r="A1954" s="1"/>
      <c r="B1954" s="1"/>
      <c r="C1954" s="1"/>
      <c r="D1954" s="1"/>
      <c r="E1954" s="1" t="str">
        <f ca="1">IFERROR(__xludf.DUMMYFUNCTION("""COMPUTED_VALUE"""),"-")</f>
        <v>-</v>
      </c>
      <c r="F1954" s="1"/>
      <c r="G1954" s="1" t="str">
        <f ca="1">IFERROR(__xludf.DUMMYFUNCTION("""COMPUTED_VALUE"""),"-")</f>
        <v>-</v>
      </c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</row>
    <row r="1955" spans="1:26" x14ac:dyDescent="0.2">
      <c r="A1955" s="1"/>
      <c r="B1955" s="1"/>
      <c r="C1955" s="1"/>
      <c r="D1955" s="1"/>
      <c r="E1955" s="1" t="str">
        <f ca="1">IFERROR(__xludf.DUMMYFUNCTION("""COMPUTED_VALUE"""),"-")</f>
        <v>-</v>
      </c>
      <c r="F1955" s="1"/>
      <c r="G1955" s="1" t="str">
        <f ca="1">IFERROR(__xludf.DUMMYFUNCTION("""COMPUTED_VALUE"""),"-")</f>
        <v>-</v>
      </c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</row>
    <row r="1956" spans="1:26" x14ac:dyDescent="0.2">
      <c r="A1956" s="1"/>
      <c r="B1956" s="1"/>
      <c r="C1956" s="1"/>
      <c r="D1956" s="1"/>
      <c r="E1956" s="1" t="str">
        <f ca="1">IFERROR(__xludf.DUMMYFUNCTION("""COMPUTED_VALUE"""),"-")</f>
        <v>-</v>
      </c>
      <c r="F1956" s="1"/>
      <c r="G1956" s="1" t="str">
        <f ca="1">IFERROR(__xludf.DUMMYFUNCTION("""COMPUTED_VALUE"""),"-")</f>
        <v>-</v>
      </c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</row>
    <row r="1957" spans="1:26" x14ac:dyDescent="0.2">
      <c r="A1957" s="1"/>
      <c r="B1957" s="1"/>
      <c r="C1957" s="1"/>
      <c r="D1957" s="1"/>
      <c r="E1957" s="1" t="str">
        <f ca="1">IFERROR(__xludf.DUMMYFUNCTION("""COMPUTED_VALUE"""),"-")</f>
        <v>-</v>
      </c>
      <c r="F1957" s="1"/>
      <c r="G1957" s="1" t="str">
        <f ca="1">IFERROR(__xludf.DUMMYFUNCTION("""COMPUTED_VALUE"""),"-")</f>
        <v>-</v>
      </c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</row>
    <row r="1958" spans="1:26" x14ac:dyDescent="0.2">
      <c r="A1958" s="1"/>
      <c r="B1958" s="1"/>
      <c r="C1958" s="1"/>
      <c r="D1958" s="1"/>
      <c r="E1958" s="1" t="str">
        <f ca="1">IFERROR(__xludf.DUMMYFUNCTION("""COMPUTED_VALUE"""),"-")</f>
        <v>-</v>
      </c>
      <c r="F1958" s="1"/>
      <c r="G1958" s="1" t="str">
        <f ca="1">IFERROR(__xludf.DUMMYFUNCTION("""COMPUTED_VALUE"""),"-")</f>
        <v>-</v>
      </c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</row>
    <row r="1959" spans="1:26" x14ac:dyDescent="0.2">
      <c r="A1959" s="1"/>
      <c r="B1959" s="1"/>
      <c r="C1959" s="1"/>
      <c r="D1959" s="1"/>
      <c r="E1959" s="1" t="str">
        <f ca="1">IFERROR(__xludf.DUMMYFUNCTION("""COMPUTED_VALUE"""),"-")</f>
        <v>-</v>
      </c>
      <c r="F1959" s="1"/>
      <c r="G1959" s="1" t="str">
        <f ca="1">IFERROR(__xludf.DUMMYFUNCTION("""COMPUTED_VALUE"""),"-")</f>
        <v>-</v>
      </c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</row>
    <row r="1960" spans="1:26" x14ac:dyDescent="0.2">
      <c r="A1960" s="1"/>
      <c r="B1960" s="1"/>
      <c r="C1960" s="1"/>
      <c r="D1960" s="1"/>
      <c r="E1960" s="1" t="str">
        <f ca="1">IFERROR(__xludf.DUMMYFUNCTION("""COMPUTED_VALUE"""),"-")</f>
        <v>-</v>
      </c>
      <c r="F1960" s="1"/>
      <c r="G1960" s="1" t="str">
        <f ca="1">IFERROR(__xludf.DUMMYFUNCTION("""COMPUTED_VALUE"""),"-")</f>
        <v>-</v>
      </c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</row>
    <row r="1961" spans="1:26" x14ac:dyDescent="0.2">
      <c r="A1961" s="1"/>
      <c r="B1961" s="1"/>
      <c r="C1961" s="1"/>
      <c r="D1961" s="1"/>
      <c r="E1961" s="1" t="str">
        <f ca="1">IFERROR(__xludf.DUMMYFUNCTION("""COMPUTED_VALUE"""),"-")</f>
        <v>-</v>
      </c>
      <c r="F1961" s="1"/>
      <c r="G1961" s="1" t="str">
        <f ca="1">IFERROR(__xludf.DUMMYFUNCTION("""COMPUTED_VALUE"""),"-")</f>
        <v>-</v>
      </c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</row>
    <row r="1962" spans="1:26" x14ac:dyDescent="0.2">
      <c r="A1962" s="1"/>
      <c r="B1962" s="1"/>
      <c r="C1962" s="1"/>
      <c r="D1962" s="1"/>
      <c r="E1962" s="1" t="str">
        <f ca="1">IFERROR(__xludf.DUMMYFUNCTION("""COMPUTED_VALUE"""),"-")</f>
        <v>-</v>
      </c>
      <c r="F1962" s="1"/>
      <c r="G1962" s="1" t="str">
        <f ca="1">IFERROR(__xludf.DUMMYFUNCTION("""COMPUTED_VALUE"""),"-")</f>
        <v>-</v>
      </c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</row>
    <row r="1963" spans="1:26" x14ac:dyDescent="0.2">
      <c r="A1963" s="1"/>
      <c r="B1963" s="1"/>
      <c r="C1963" s="1"/>
      <c r="D1963" s="1"/>
      <c r="E1963" s="1" t="str">
        <f ca="1">IFERROR(__xludf.DUMMYFUNCTION("""COMPUTED_VALUE"""),"-")</f>
        <v>-</v>
      </c>
      <c r="F1963" s="1"/>
      <c r="G1963" s="1" t="str">
        <f ca="1">IFERROR(__xludf.DUMMYFUNCTION("""COMPUTED_VALUE"""),"-")</f>
        <v>-</v>
      </c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</row>
    <row r="1964" spans="1:26" x14ac:dyDescent="0.2">
      <c r="A1964" s="1"/>
      <c r="B1964" s="1"/>
      <c r="C1964" s="1"/>
      <c r="D1964" s="1"/>
      <c r="E1964" s="1" t="str">
        <f ca="1">IFERROR(__xludf.DUMMYFUNCTION("""COMPUTED_VALUE"""),"-")</f>
        <v>-</v>
      </c>
      <c r="F1964" s="1"/>
      <c r="G1964" s="1" t="str">
        <f ca="1">IFERROR(__xludf.DUMMYFUNCTION("""COMPUTED_VALUE"""),"-")</f>
        <v>-</v>
      </c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</row>
    <row r="1965" spans="1:26" x14ac:dyDescent="0.2">
      <c r="A1965" s="1"/>
      <c r="B1965" s="1"/>
      <c r="C1965" s="1"/>
      <c r="D1965" s="1"/>
      <c r="E1965" s="1" t="str">
        <f ca="1">IFERROR(__xludf.DUMMYFUNCTION("""COMPUTED_VALUE"""),"-")</f>
        <v>-</v>
      </c>
      <c r="F1965" s="1"/>
      <c r="G1965" s="1" t="str">
        <f ca="1">IFERROR(__xludf.DUMMYFUNCTION("""COMPUTED_VALUE"""),"-")</f>
        <v>-</v>
      </c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</row>
    <row r="1966" spans="1:26" x14ac:dyDescent="0.2">
      <c r="A1966" s="1"/>
      <c r="B1966" s="1"/>
      <c r="C1966" s="1"/>
      <c r="D1966" s="1"/>
      <c r="E1966" s="1" t="str">
        <f ca="1">IFERROR(__xludf.DUMMYFUNCTION("""COMPUTED_VALUE"""),"-")</f>
        <v>-</v>
      </c>
      <c r="F1966" s="1"/>
      <c r="G1966" s="1" t="str">
        <f ca="1">IFERROR(__xludf.DUMMYFUNCTION("""COMPUTED_VALUE"""),"-")</f>
        <v>-</v>
      </c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</row>
    <row r="1967" spans="1:26" x14ac:dyDescent="0.2">
      <c r="A1967" s="1"/>
      <c r="B1967" s="1"/>
      <c r="C1967" s="1"/>
      <c r="D1967" s="1"/>
      <c r="E1967" s="1" t="str">
        <f ca="1">IFERROR(__xludf.DUMMYFUNCTION("""COMPUTED_VALUE"""),"-")</f>
        <v>-</v>
      </c>
      <c r="F1967" s="1"/>
      <c r="G1967" s="1" t="str">
        <f ca="1">IFERROR(__xludf.DUMMYFUNCTION("""COMPUTED_VALUE"""),"-")</f>
        <v>-</v>
      </c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</row>
    <row r="1968" spans="1:26" x14ac:dyDescent="0.2">
      <c r="A1968" s="1"/>
      <c r="B1968" s="1"/>
      <c r="C1968" s="1"/>
      <c r="D1968" s="1"/>
      <c r="E1968" s="1" t="str">
        <f ca="1">IFERROR(__xludf.DUMMYFUNCTION("""COMPUTED_VALUE"""),"-")</f>
        <v>-</v>
      </c>
      <c r="F1968" s="1"/>
      <c r="G1968" s="1" t="str">
        <f ca="1">IFERROR(__xludf.DUMMYFUNCTION("""COMPUTED_VALUE"""),"-")</f>
        <v>-</v>
      </c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</row>
    <row r="1969" spans="1:26" x14ac:dyDescent="0.2">
      <c r="A1969" s="1"/>
      <c r="B1969" s="1"/>
      <c r="C1969" s="1"/>
      <c r="D1969" s="1"/>
      <c r="E1969" s="1" t="str">
        <f ca="1">IFERROR(__xludf.DUMMYFUNCTION("""COMPUTED_VALUE"""),"-")</f>
        <v>-</v>
      </c>
      <c r="F1969" s="1"/>
      <c r="G1969" s="1" t="str">
        <f ca="1">IFERROR(__xludf.DUMMYFUNCTION("""COMPUTED_VALUE"""),"-")</f>
        <v>-</v>
      </c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</row>
    <row r="1970" spans="1:26" x14ac:dyDescent="0.2">
      <c r="A1970" s="1"/>
      <c r="B1970" s="1"/>
      <c r="C1970" s="1"/>
      <c r="D1970" s="1"/>
      <c r="E1970" s="1" t="str">
        <f ca="1">IFERROR(__xludf.DUMMYFUNCTION("""COMPUTED_VALUE"""),"-")</f>
        <v>-</v>
      </c>
      <c r="F1970" s="1"/>
      <c r="G1970" s="1" t="str">
        <f ca="1">IFERROR(__xludf.DUMMYFUNCTION("""COMPUTED_VALUE"""),"-")</f>
        <v>-</v>
      </c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</row>
    <row r="1971" spans="1:26" x14ac:dyDescent="0.2">
      <c r="A1971" s="1"/>
      <c r="B1971" s="1"/>
      <c r="C1971" s="1"/>
      <c r="D1971" s="1"/>
      <c r="E1971" s="1" t="str">
        <f ca="1">IFERROR(__xludf.DUMMYFUNCTION("""COMPUTED_VALUE"""),"-")</f>
        <v>-</v>
      </c>
      <c r="F1971" s="1"/>
      <c r="G1971" s="1" t="str">
        <f ca="1">IFERROR(__xludf.DUMMYFUNCTION("""COMPUTED_VALUE"""),"-")</f>
        <v>-</v>
      </c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</row>
    <row r="1972" spans="1:26" x14ac:dyDescent="0.2">
      <c r="A1972" s="1"/>
      <c r="B1972" s="1"/>
      <c r="C1972" s="1"/>
      <c r="D1972" s="1"/>
      <c r="E1972" s="1" t="str">
        <f ca="1">IFERROR(__xludf.DUMMYFUNCTION("""COMPUTED_VALUE"""),"-")</f>
        <v>-</v>
      </c>
      <c r="F1972" s="1"/>
      <c r="G1972" s="1" t="str">
        <f ca="1">IFERROR(__xludf.DUMMYFUNCTION("""COMPUTED_VALUE"""),"-")</f>
        <v>-</v>
      </c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</row>
    <row r="1973" spans="1:26" x14ac:dyDescent="0.2">
      <c r="A1973" s="1"/>
      <c r="B1973" s="1"/>
      <c r="C1973" s="1"/>
      <c r="D1973" s="1"/>
      <c r="E1973" s="1" t="str">
        <f ca="1">IFERROR(__xludf.DUMMYFUNCTION("""COMPUTED_VALUE"""),"-")</f>
        <v>-</v>
      </c>
      <c r="F1973" s="1"/>
      <c r="G1973" s="1" t="str">
        <f ca="1">IFERROR(__xludf.DUMMYFUNCTION("""COMPUTED_VALUE"""),"-")</f>
        <v>-</v>
      </c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</row>
    <row r="1974" spans="1:26" x14ac:dyDescent="0.2">
      <c r="A1974" s="1"/>
      <c r="B1974" s="1"/>
      <c r="C1974" s="1"/>
      <c r="D1974" s="1"/>
      <c r="E1974" s="1" t="str">
        <f ca="1">IFERROR(__xludf.DUMMYFUNCTION("""COMPUTED_VALUE"""),"-")</f>
        <v>-</v>
      </c>
      <c r="F1974" s="1"/>
      <c r="G1974" s="1" t="str">
        <f ca="1">IFERROR(__xludf.DUMMYFUNCTION("""COMPUTED_VALUE"""),"-")</f>
        <v>-</v>
      </c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</row>
    <row r="1975" spans="1:26" x14ac:dyDescent="0.2">
      <c r="A1975" s="1"/>
      <c r="B1975" s="1"/>
      <c r="C1975" s="1"/>
      <c r="D1975" s="1"/>
      <c r="E1975" s="1" t="str">
        <f ca="1">IFERROR(__xludf.DUMMYFUNCTION("""COMPUTED_VALUE"""),"-")</f>
        <v>-</v>
      </c>
      <c r="F1975" s="1"/>
      <c r="G1975" s="1" t="str">
        <f ca="1">IFERROR(__xludf.DUMMYFUNCTION("""COMPUTED_VALUE"""),"-")</f>
        <v>-</v>
      </c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</row>
    <row r="1976" spans="1:26" x14ac:dyDescent="0.2">
      <c r="A1976" s="1"/>
      <c r="B1976" s="1"/>
      <c r="C1976" s="1"/>
      <c r="D1976" s="1"/>
      <c r="E1976" s="1" t="str">
        <f ca="1">IFERROR(__xludf.DUMMYFUNCTION("""COMPUTED_VALUE"""),"-")</f>
        <v>-</v>
      </c>
      <c r="F1976" s="1"/>
      <c r="G1976" s="1" t="str">
        <f ca="1">IFERROR(__xludf.DUMMYFUNCTION("""COMPUTED_VALUE"""),"-")</f>
        <v>-</v>
      </c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</row>
    <row r="1977" spans="1:26" x14ac:dyDescent="0.2">
      <c r="A1977" s="1"/>
      <c r="B1977" s="1"/>
      <c r="C1977" s="1"/>
      <c r="D1977" s="1"/>
      <c r="E1977" s="1" t="str">
        <f ca="1">IFERROR(__xludf.DUMMYFUNCTION("""COMPUTED_VALUE"""),"-")</f>
        <v>-</v>
      </c>
      <c r="F1977" s="1"/>
      <c r="G1977" s="1" t="str">
        <f ca="1">IFERROR(__xludf.DUMMYFUNCTION("""COMPUTED_VALUE"""),"-")</f>
        <v>-</v>
      </c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</row>
    <row r="1978" spans="1:26" x14ac:dyDescent="0.2">
      <c r="A1978" s="1"/>
      <c r="B1978" s="1"/>
      <c r="C1978" s="1"/>
      <c r="D1978" s="1"/>
      <c r="E1978" s="1" t="str">
        <f ca="1">IFERROR(__xludf.DUMMYFUNCTION("""COMPUTED_VALUE"""),"-")</f>
        <v>-</v>
      </c>
      <c r="F1978" s="1"/>
      <c r="G1978" s="1" t="str">
        <f ca="1">IFERROR(__xludf.DUMMYFUNCTION("""COMPUTED_VALUE"""),"-")</f>
        <v>-</v>
      </c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</row>
    <row r="1979" spans="1:26" x14ac:dyDescent="0.2">
      <c r="A1979" s="1"/>
      <c r="B1979" s="1"/>
      <c r="C1979" s="1"/>
      <c r="D1979" s="1"/>
      <c r="E1979" s="1" t="str">
        <f ca="1">IFERROR(__xludf.DUMMYFUNCTION("""COMPUTED_VALUE"""),"-")</f>
        <v>-</v>
      </c>
      <c r="F1979" s="1"/>
      <c r="G1979" s="1" t="str">
        <f ca="1">IFERROR(__xludf.DUMMYFUNCTION("""COMPUTED_VALUE"""),"-")</f>
        <v>-</v>
      </c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</row>
    <row r="1980" spans="1:26" x14ac:dyDescent="0.2">
      <c r="A1980" s="1"/>
      <c r="B1980" s="1"/>
      <c r="C1980" s="1"/>
      <c r="D1980" s="1"/>
      <c r="E1980" s="1" t="str">
        <f ca="1">IFERROR(__xludf.DUMMYFUNCTION("""COMPUTED_VALUE"""),"-")</f>
        <v>-</v>
      </c>
      <c r="F1980" s="1"/>
      <c r="G1980" s="1" t="str">
        <f ca="1">IFERROR(__xludf.DUMMYFUNCTION("""COMPUTED_VALUE"""),"-")</f>
        <v>-</v>
      </c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</row>
    <row r="1981" spans="1:26" x14ac:dyDescent="0.2">
      <c r="A1981" s="1"/>
      <c r="B1981" s="1"/>
      <c r="C1981" s="1"/>
      <c r="D1981" s="1"/>
      <c r="E1981" s="1" t="str">
        <f ca="1">IFERROR(__xludf.DUMMYFUNCTION("""COMPUTED_VALUE"""),"-")</f>
        <v>-</v>
      </c>
      <c r="F1981" s="1"/>
      <c r="G1981" s="1" t="str">
        <f ca="1">IFERROR(__xludf.DUMMYFUNCTION("""COMPUTED_VALUE"""),"-")</f>
        <v>-</v>
      </c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</row>
    <row r="1982" spans="1:26" x14ac:dyDescent="0.2">
      <c r="A1982" s="1"/>
      <c r="B1982" s="1"/>
      <c r="C1982" s="1"/>
      <c r="D1982" s="1"/>
      <c r="E1982" s="1" t="str">
        <f ca="1">IFERROR(__xludf.DUMMYFUNCTION("""COMPUTED_VALUE"""),"-")</f>
        <v>-</v>
      </c>
      <c r="F1982" s="1"/>
      <c r="G1982" s="1" t="str">
        <f ca="1">IFERROR(__xludf.DUMMYFUNCTION("""COMPUTED_VALUE"""),"-")</f>
        <v>-</v>
      </c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</row>
    <row r="1983" spans="1:26" x14ac:dyDescent="0.2">
      <c r="A1983" s="1"/>
      <c r="B1983" s="1"/>
      <c r="C1983" s="1"/>
      <c r="D1983" s="1"/>
      <c r="E1983" s="1" t="str">
        <f ca="1">IFERROR(__xludf.DUMMYFUNCTION("""COMPUTED_VALUE"""),"-")</f>
        <v>-</v>
      </c>
      <c r="F1983" s="1"/>
      <c r="G1983" s="1" t="str">
        <f ca="1">IFERROR(__xludf.DUMMYFUNCTION("""COMPUTED_VALUE"""),"-")</f>
        <v>-</v>
      </c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</row>
    <row r="1984" spans="1:26" x14ac:dyDescent="0.2">
      <c r="A1984" s="1"/>
      <c r="B1984" s="1"/>
      <c r="C1984" s="1"/>
      <c r="D1984" s="1"/>
      <c r="E1984" s="1" t="str">
        <f ca="1">IFERROR(__xludf.DUMMYFUNCTION("""COMPUTED_VALUE"""),"-")</f>
        <v>-</v>
      </c>
      <c r="F1984" s="1"/>
      <c r="G1984" s="1" t="str">
        <f ca="1">IFERROR(__xludf.DUMMYFUNCTION("""COMPUTED_VALUE"""),"-")</f>
        <v>-</v>
      </c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</row>
    <row r="1985" spans="1:26" x14ac:dyDescent="0.2">
      <c r="A1985" s="1"/>
      <c r="B1985" s="1"/>
      <c r="C1985" s="1"/>
      <c r="D1985" s="1"/>
      <c r="E1985" s="1" t="str">
        <f ca="1">IFERROR(__xludf.DUMMYFUNCTION("""COMPUTED_VALUE"""),"-")</f>
        <v>-</v>
      </c>
      <c r="F1985" s="1"/>
      <c r="G1985" s="1" t="str">
        <f ca="1">IFERROR(__xludf.DUMMYFUNCTION("""COMPUTED_VALUE"""),"-")</f>
        <v>-</v>
      </c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</row>
    <row r="1986" spans="1:26" x14ac:dyDescent="0.2">
      <c r="A1986" s="1"/>
      <c r="B1986" s="1"/>
      <c r="C1986" s="1"/>
      <c r="D1986" s="1"/>
      <c r="E1986" s="1" t="str">
        <f ca="1">IFERROR(__xludf.DUMMYFUNCTION("""COMPUTED_VALUE"""),"-")</f>
        <v>-</v>
      </c>
      <c r="F1986" s="1"/>
      <c r="G1986" s="1" t="str">
        <f ca="1">IFERROR(__xludf.DUMMYFUNCTION("""COMPUTED_VALUE"""),"-")</f>
        <v>-</v>
      </c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</row>
    <row r="1987" spans="1:26" x14ac:dyDescent="0.2">
      <c r="A1987" s="1"/>
      <c r="B1987" s="1"/>
      <c r="C1987" s="1"/>
      <c r="D1987" s="1"/>
      <c r="E1987" s="1" t="str">
        <f ca="1">IFERROR(__xludf.DUMMYFUNCTION("""COMPUTED_VALUE"""),"-")</f>
        <v>-</v>
      </c>
      <c r="F1987" s="1"/>
      <c r="G1987" s="1" t="str">
        <f ca="1">IFERROR(__xludf.DUMMYFUNCTION("""COMPUTED_VALUE"""),"-")</f>
        <v>-</v>
      </c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</row>
    <row r="1988" spans="1:26" x14ac:dyDescent="0.2">
      <c r="A1988" s="1"/>
      <c r="B1988" s="1"/>
      <c r="C1988" s="1"/>
      <c r="D1988" s="1"/>
      <c r="E1988" s="1" t="str">
        <f ca="1">IFERROR(__xludf.DUMMYFUNCTION("""COMPUTED_VALUE"""),"-")</f>
        <v>-</v>
      </c>
      <c r="F1988" s="1"/>
      <c r="G1988" s="1" t="str">
        <f ca="1">IFERROR(__xludf.DUMMYFUNCTION("""COMPUTED_VALUE"""),"-")</f>
        <v>-</v>
      </c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</row>
    <row r="1989" spans="1:26" x14ac:dyDescent="0.2">
      <c r="A1989" s="1"/>
      <c r="B1989" s="1"/>
      <c r="C1989" s="1"/>
      <c r="D1989" s="1"/>
      <c r="E1989" s="1" t="str">
        <f ca="1">IFERROR(__xludf.DUMMYFUNCTION("""COMPUTED_VALUE"""),"-")</f>
        <v>-</v>
      </c>
      <c r="F1989" s="1"/>
      <c r="G1989" s="1" t="str">
        <f ca="1">IFERROR(__xludf.DUMMYFUNCTION("""COMPUTED_VALUE"""),"-")</f>
        <v>-</v>
      </c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</row>
    <row r="1990" spans="1:26" x14ac:dyDescent="0.2">
      <c r="A1990" s="1"/>
      <c r="B1990" s="1"/>
      <c r="C1990" s="1"/>
      <c r="D1990" s="1"/>
      <c r="E1990" s="1" t="str">
        <f ca="1">IFERROR(__xludf.DUMMYFUNCTION("""COMPUTED_VALUE"""),"-")</f>
        <v>-</v>
      </c>
      <c r="F1990" s="1"/>
      <c r="G1990" s="1" t="str">
        <f ca="1">IFERROR(__xludf.DUMMYFUNCTION("""COMPUTED_VALUE"""),"-")</f>
        <v>-</v>
      </c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</row>
    <row r="1991" spans="1:26" x14ac:dyDescent="0.2">
      <c r="A1991" s="1"/>
      <c r="B1991" s="1"/>
      <c r="C1991" s="1"/>
      <c r="D1991" s="1"/>
      <c r="E1991" s="1" t="str">
        <f ca="1">IFERROR(__xludf.DUMMYFUNCTION("""COMPUTED_VALUE"""),"-")</f>
        <v>-</v>
      </c>
      <c r="F1991" s="1"/>
      <c r="G1991" s="1" t="str">
        <f ca="1">IFERROR(__xludf.DUMMYFUNCTION("""COMPUTED_VALUE"""),"-")</f>
        <v>-</v>
      </c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</row>
    <row r="1992" spans="1:26" x14ac:dyDescent="0.2">
      <c r="A1992" s="1"/>
      <c r="B1992" s="1"/>
      <c r="C1992" s="1"/>
      <c r="D1992" s="1"/>
      <c r="E1992" s="1" t="str">
        <f ca="1">IFERROR(__xludf.DUMMYFUNCTION("""COMPUTED_VALUE"""),"-")</f>
        <v>-</v>
      </c>
      <c r="F1992" s="1"/>
      <c r="G1992" s="1" t="str">
        <f ca="1">IFERROR(__xludf.DUMMYFUNCTION("""COMPUTED_VALUE"""),"-")</f>
        <v>-</v>
      </c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</row>
    <row r="1993" spans="1:26" x14ac:dyDescent="0.2">
      <c r="A1993" s="1"/>
      <c r="B1993" s="1"/>
      <c r="C1993" s="1"/>
      <c r="D1993" s="1"/>
      <c r="E1993" s="1" t="str">
        <f ca="1">IFERROR(__xludf.DUMMYFUNCTION("""COMPUTED_VALUE"""),"-")</f>
        <v>-</v>
      </c>
      <c r="F1993" s="1"/>
      <c r="G1993" s="1" t="str">
        <f ca="1">IFERROR(__xludf.DUMMYFUNCTION("""COMPUTED_VALUE"""),"-")</f>
        <v>-</v>
      </c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</row>
    <row r="1994" spans="1:26" x14ac:dyDescent="0.2">
      <c r="A1994" s="1"/>
      <c r="B1994" s="1"/>
      <c r="C1994" s="1"/>
      <c r="D1994" s="1"/>
      <c r="E1994" s="1" t="str">
        <f ca="1">IFERROR(__xludf.DUMMYFUNCTION("""COMPUTED_VALUE"""),"-")</f>
        <v>-</v>
      </c>
      <c r="F1994" s="1"/>
      <c r="G1994" s="1" t="str">
        <f ca="1">IFERROR(__xludf.DUMMYFUNCTION("""COMPUTED_VALUE"""),"-")</f>
        <v>-</v>
      </c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</row>
    <row r="1995" spans="1:26" x14ac:dyDescent="0.2">
      <c r="A1995" s="1"/>
      <c r="B1995" s="1"/>
      <c r="C1995" s="1"/>
      <c r="D1995" s="1"/>
      <c r="E1995" s="1" t="str">
        <f ca="1">IFERROR(__xludf.DUMMYFUNCTION("""COMPUTED_VALUE"""),"-")</f>
        <v>-</v>
      </c>
      <c r="F1995" s="1"/>
      <c r="G1995" s="1" t="str">
        <f ca="1">IFERROR(__xludf.DUMMYFUNCTION("""COMPUTED_VALUE"""),"-")</f>
        <v>-</v>
      </c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</row>
    <row r="1996" spans="1:26" x14ac:dyDescent="0.2">
      <c r="A1996" s="1"/>
      <c r="B1996" s="1"/>
      <c r="C1996" s="1"/>
      <c r="D1996" s="1"/>
      <c r="E1996" s="1" t="str">
        <f ca="1">IFERROR(__xludf.DUMMYFUNCTION("""COMPUTED_VALUE"""),"-")</f>
        <v>-</v>
      </c>
      <c r="F1996" s="1"/>
      <c r="G1996" s="1" t="str">
        <f ca="1">IFERROR(__xludf.DUMMYFUNCTION("""COMPUTED_VALUE"""),"-")</f>
        <v>-</v>
      </c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</row>
    <row r="1997" spans="1:26" x14ac:dyDescent="0.2">
      <c r="A1997" s="1"/>
      <c r="B1997" s="1"/>
      <c r="C1997" s="1"/>
      <c r="D1997" s="1"/>
      <c r="E1997" s="1" t="str">
        <f ca="1">IFERROR(__xludf.DUMMYFUNCTION("""COMPUTED_VALUE"""),"-")</f>
        <v>-</v>
      </c>
      <c r="F1997" s="1"/>
      <c r="G1997" s="1" t="str">
        <f ca="1">IFERROR(__xludf.DUMMYFUNCTION("""COMPUTED_VALUE"""),"-")</f>
        <v>-</v>
      </c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</row>
    <row r="1998" spans="1:26" x14ac:dyDescent="0.2">
      <c r="A1998" s="1"/>
      <c r="B1998" s="1"/>
      <c r="C1998" s="1"/>
      <c r="D1998" s="1"/>
      <c r="E1998" s="1" t="str">
        <f ca="1">IFERROR(__xludf.DUMMYFUNCTION("""COMPUTED_VALUE"""),"-")</f>
        <v>-</v>
      </c>
      <c r="F1998" s="1"/>
      <c r="G1998" s="1" t="str">
        <f ca="1">IFERROR(__xludf.DUMMYFUNCTION("""COMPUTED_VALUE"""),"-")</f>
        <v>-</v>
      </c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</row>
    <row r="1999" spans="1:26" x14ac:dyDescent="0.2">
      <c r="A1999" s="1"/>
      <c r="B1999" s="1"/>
      <c r="C1999" s="1"/>
      <c r="D1999" s="1"/>
      <c r="E1999" s="1" t="str">
        <f ca="1">IFERROR(__xludf.DUMMYFUNCTION("""COMPUTED_VALUE"""),"-")</f>
        <v>-</v>
      </c>
      <c r="F1999" s="1"/>
      <c r="G1999" s="1" t="str">
        <f ca="1">IFERROR(__xludf.DUMMYFUNCTION("""COMPUTED_VALUE"""),"-")</f>
        <v>-</v>
      </c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</row>
    <row r="2000" spans="1:26" x14ac:dyDescent="0.2">
      <c r="A2000" s="1"/>
      <c r="B2000" s="1"/>
      <c r="C2000" s="1"/>
      <c r="D2000" s="1"/>
      <c r="E2000" s="1" t="str">
        <f ca="1">IFERROR(__xludf.DUMMYFUNCTION("""COMPUTED_VALUE"""),"-")</f>
        <v>-</v>
      </c>
      <c r="F2000" s="1"/>
      <c r="G2000" s="1" t="str">
        <f ca="1">IFERROR(__xludf.DUMMYFUNCTION("""COMPUTED_VALUE"""),"-")</f>
        <v>-</v>
      </c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</row>
    <row r="2001" spans="1:26" x14ac:dyDescent="0.2">
      <c r="A2001" s="1"/>
      <c r="B2001" s="1"/>
      <c r="C2001" s="1"/>
      <c r="D2001" s="1"/>
      <c r="E2001" s="1" t="str">
        <f ca="1">IFERROR(__xludf.DUMMYFUNCTION("""COMPUTED_VALUE"""),"-")</f>
        <v>-</v>
      </c>
      <c r="F2001" s="1"/>
      <c r="G2001" s="1" t="str">
        <f ca="1">IFERROR(__xludf.DUMMYFUNCTION("""COMPUTED_VALUE"""),"-")</f>
        <v>-</v>
      </c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</row>
    <row r="2002" spans="1:26" x14ac:dyDescent="0.2">
      <c r="A2002" s="1"/>
      <c r="B2002" s="1"/>
      <c r="C2002" s="1"/>
      <c r="D2002" s="1"/>
      <c r="E2002" s="1" t="str">
        <f ca="1">IFERROR(__xludf.DUMMYFUNCTION("""COMPUTED_VALUE"""),"-")</f>
        <v>-</v>
      </c>
      <c r="F2002" s="1"/>
      <c r="G2002" s="1" t="str">
        <f ca="1">IFERROR(__xludf.DUMMYFUNCTION("""COMPUTED_VALUE"""),"-")</f>
        <v>-</v>
      </c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</row>
    <row r="2003" spans="1:26" x14ac:dyDescent="0.2">
      <c r="A2003" s="1"/>
      <c r="B2003" s="1"/>
      <c r="C2003" s="1"/>
      <c r="D2003" s="1"/>
      <c r="E2003" s="1" t="str">
        <f ca="1">IFERROR(__xludf.DUMMYFUNCTION("""COMPUTED_VALUE"""),"-")</f>
        <v>-</v>
      </c>
      <c r="F2003" s="1"/>
      <c r="G2003" s="1" t="str">
        <f ca="1">IFERROR(__xludf.DUMMYFUNCTION("""COMPUTED_VALUE"""),"-")</f>
        <v>-</v>
      </c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</row>
    <row r="2004" spans="1:26" x14ac:dyDescent="0.2">
      <c r="A2004" s="1"/>
      <c r="B2004" s="1"/>
      <c r="C2004" s="1"/>
      <c r="D2004" s="1"/>
      <c r="E2004" s="1" t="str">
        <f ca="1">IFERROR(__xludf.DUMMYFUNCTION("""COMPUTED_VALUE"""),"-")</f>
        <v>-</v>
      </c>
      <c r="F2004" s="1"/>
      <c r="G2004" s="1" t="str">
        <f ca="1">IFERROR(__xludf.DUMMYFUNCTION("""COMPUTED_VALUE"""),"-")</f>
        <v>-</v>
      </c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</row>
    <row r="2005" spans="1:26" x14ac:dyDescent="0.2">
      <c r="A2005" s="1"/>
      <c r="B2005" s="1"/>
      <c r="C2005" s="1"/>
      <c r="D2005" s="1"/>
      <c r="E2005" s="1" t="str">
        <f ca="1">IFERROR(__xludf.DUMMYFUNCTION("""COMPUTED_VALUE"""),"-")</f>
        <v>-</v>
      </c>
      <c r="F2005" s="1"/>
      <c r="G2005" s="1" t="str">
        <f ca="1">IFERROR(__xludf.DUMMYFUNCTION("""COMPUTED_VALUE"""),"-")</f>
        <v>-</v>
      </c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</row>
    <row r="2006" spans="1:26" x14ac:dyDescent="0.2">
      <c r="A2006" s="1"/>
      <c r="B2006" s="1"/>
      <c r="C2006" s="1"/>
      <c r="D2006" s="1"/>
      <c r="E2006" s="1" t="str">
        <f ca="1">IFERROR(__xludf.DUMMYFUNCTION("""COMPUTED_VALUE"""),"-")</f>
        <v>-</v>
      </c>
      <c r="F2006" s="1"/>
      <c r="G2006" s="1" t="str">
        <f ca="1">IFERROR(__xludf.DUMMYFUNCTION("""COMPUTED_VALUE"""),"-")</f>
        <v>-</v>
      </c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</row>
    <row r="2007" spans="1:26" x14ac:dyDescent="0.2">
      <c r="A2007" s="1"/>
      <c r="B2007" s="1"/>
      <c r="C2007" s="1"/>
      <c r="D2007" s="1"/>
      <c r="E2007" s="1" t="str">
        <f ca="1">IFERROR(__xludf.DUMMYFUNCTION("""COMPUTED_VALUE"""),"-")</f>
        <v>-</v>
      </c>
      <c r="F2007" s="1"/>
      <c r="G2007" s="1" t="str">
        <f ca="1">IFERROR(__xludf.DUMMYFUNCTION("""COMPUTED_VALUE"""),"-")</f>
        <v>-</v>
      </c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</row>
    <row r="2008" spans="1:26" x14ac:dyDescent="0.2">
      <c r="A2008" s="1"/>
      <c r="B2008" s="1"/>
      <c r="C2008" s="1"/>
      <c r="D2008" s="1"/>
      <c r="E2008" s="1" t="str">
        <f ca="1">IFERROR(__xludf.DUMMYFUNCTION("""COMPUTED_VALUE"""),"-")</f>
        <v>-</v>
      </c>
      <c r="F2008" s="1"/>
      <c r="G2008" s="1" t="str">
        <f ca="1">IFERROR(__xludf.DUMMYFUNCTION("""COMPUTED_VALUE"""),"-")</f>
        <v>-</v>
      </c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</row>
    <row r="2009" spans="1:26" x14ac:dyDescent="0.2">
      <c r="A2009" s="1"/>
      <c r="B2009" s="1"/>
      <c r="C2009" s="1"/>
      <c r="D2009" s="1"/>
      <c r="E2009" s="1" t="str">
        <f ca="1">IFERROR(__xludf.DUMMYFUNCTION("""COMPUTED_VALUE"""),"-")</f>
        <v>-</v>
      </c>
      <c r="F2009" s="1"/>
      <c r="G2009" s="1" t="str">
        <f ca="1">IFERROR(__xludf.DUMMYFUNCTION("""COMPUTED_VALUE"""),"-")</f>
        <v>-</v>
      </c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</row>
    <row r="2010" spans="1:26" x14ac:dyDescent="0.2">
      <c r="A2010" s="1"/>
      <c r="B2010" s="1"/>
      <c r="C2010" s="1"/>
      <c r="D2010" s="1"/>
      <c r="E2010" s="1" t="str">
        <f ca="1">IFERROR(__xludf.DUMMYFUNCTION("""COMPUTED_VALUE"""),"-")</f>
        <v>-</v>
      </c>
      <c r="F2010" s="1"/>
      <c r="G2010" s="1" t="str">
        <f ca="1">IFERROR(__xludf.DUMMYFUNCTION("""COMPUTED_VALUE"""),"-")</f>
        <v>-</v>
      </c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</row>
    <row r="2011" spans="1:26" x14ac:dyDescent="0.2">
      <c r="A2011" s="1"/>
      <c r="B2011" s="1"/>
      <c r="C2011" s="1"/>
      <c r="D2011" s="1"/>
      <c r="E2011" s="1" t="str">
        <f ca="1">IFERROR(__xludf.DUMMYFUNCTION("""COMPUTED_VALUE"""),"-")</f>
        <v>-</v>
      </c>
      <c r="F2011" s="1"/>
      <c r="G2011" s="1" t="str">
        <f ca="1">IFERROR(__xludf.DUMMYFUNCTION("""COMPUTED_VALUE"""),"-")</f>
        <v>-</v>
      </c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</row>
    <row r="2012" spans="1:26" x14ac:dyDescent="0.2">
      <c r="A2012" s="1"/>
      <c r="B2012" s="1"/>
      <c r="C2012" s="1"/>
      <c r="D2012" s="1"/>
      <c r="E2012" s="1" t="str">
        <f ca="1">IFERROR(__xludf.DUMMYFUNCTION("""COMPUTED_VALUE"""),"-")</f>
        <v>-</v>
      </c>
      <c r="F2012" s="1"/>
      <c r="G2012" s="1" t="str">
        <f ca="1">IFERROR(__xludf.DUMMYFUNCTION("""COMPUTED_VALUE"""),"-")</f>
        <v>-</v>
      </c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</row>
    <row r="2013" spans="1:26" x14ac:dyDescent="0.2">
      <c r="A2013" s="1"/>
      <c r="B2013" s="1"/>
      <c r="C2013" s="1"/>
      <c r="D2013" s="1"/>
      <c r="E2013" s="1" t="str">
        <f ca="1">IFERROR(__xludf.DUMMYFUNCTION("""COMPUTED_VALUE"""),"-")</f>
        <v>-</v>
      </c>
      <c r="F2013" s="1"/>
      <c r="G2013" s="1" t="str">
        <f ca="1">IFERROR(__xludf.DUMMYFUNCTION("""COMPUTED_VALUE"""),"-")</f>
        <v>-</v>
      </c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</row>
    <row r="2014" spans="1:26" x14ac:dyDescent="0.2">
      <c r="A2014" s="1"/>
      <c r="B2014" s="1"/>
      <c r="C2014" s="1"/>
      <c r="D2014" s="1"/>
      <c r="E2014" s="1" t="str">
        <f ca="1">IFERROR(__xludf.DUMMYFUNCTION("""COMPUTED_VALUE"""),"-")</f>
        <v>-</v>
      </c>
      <c r="F2014" s="1"/>
      <c r="G2014" s="1" t="str">
        <f ca="1">IFERROR(__xludf.DUMMYFUNCTION("""COMPUTED_VALUE"""),"-")</f>
        <v>-</v>
      </c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</row>
    <row r="2015" spans="1:26" x14ac:dyDescent="0.2">
      <c r="A2015" s="1"/>
      <c r="B2015" s="1"/>
      <c r="C2015" s="1"/>
      <c r="D2015" s="1"/>
      <c r="E2015" s="1" t="str">
        <f ca="1">IFERROR(__xludf.DUMMYFUNCTION("""COMPUTED_VALUE"""),"-")</f>
        <v>-</v>
      </c>
      <c r="F2015" s="1"/>
      <c r="G2015" s="1" t="str">
        <f ca="1">IFERROR(__xludf.DUMMYFUNCTION("""COMPUTED_VALUE"""),"-")</f>
        <v>-</v>
      </c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</row>
    <row r="2016" spans="1:26" x14ac:dyDescent="0.2">
      <c r="A2016" s="1"/>
      <c r="B2016" s="1"/>
      <c r="C2016" s="1"/>
      <c r="D2016" s="1"/>
      <c r="E2016" s="1" t="str">
        <f ca="1">IFERROR(__xludf.DUMMYFUNCTION("""COMPUTED_VALUE"""),"-")</f>
        <v>-</v>
      </c>
      <c r="F2016" s="1"/>
      <c r="G2016" s="1" t="str">
        <f ca="1">IFERROR(__xludf.DUMMYFUNCTION("""COMPUTED_VALUE"""),"-")</f>
        <v>-</v>
      </c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</row>
    <row r="2017" spans="1:26" x14ac:dyDescent="0.2">
      <c r="A2017" s="1"/>
      <c r="B2017" s="1"/>
      <c r="C2017" s="1"/>
      <c r="D2017" s="1"/>
      <c r="E2017" s="1" t="str">
        <f ca="1">IFERROR(__xludf.DUMMYFUNCTION("""COMPUTED_VALUE"""),"-")</f>
        <v>-</v>
      </c>
      <c r="F2017" s="1"/>
      <c r="G2017" s="1" t="str">
        <f ca="1">IFERROR(__xludf.DUMMYFUNCTION("""COMPUTED_VALUE"""),"-")</f>
        <v>-</v>
      </c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</row>
    <row r="2018" spans="1:26" x14ac:dyDescent="0.2">
      <c r="A2018" s="1"/>
      <c r="B2018" s="1"/>
      <c r="C2018" s="1"/>
      <c r="D2018" s="1"/>
      <c r="E2018" s="1" t="str">
        <f ca="1">IFERROR(__xludf.DUMMYFUNCTION("""COMPUTED_VALUE"""),"-")</f>
        <v>-</v>
      </c>
      <c r="F2018" s="1"/>
      <c r="G2018" s="1" t="str">
        <f ca="1">IFERROR(__xludf.DUMMYFUNCTION("""COMPUTED_VALUE"""),"-")</f>
        <v>-</v>
      </c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</row>
    <row r="2019" spans="1:26" x14ac:dyDescent="0.2">
      <c r="A2019" s="1"/>
      <c r="B2019" s="1"/>
      <c r="C2019" s="1"/>
      <c r="D2019" s="1"/>
      <c r="E2019" s="1" t="str">
        <f ca="1">IFERROR(__xludf.DUMMYFUNCTION("""COMPUTED_VALUE"""),"-")</f>
        <v>-</v>
      </c>
      <c r="F2019" s="1"/>
      <c r="G2019" s="1" t="str">
        <f ca="1">IFERROR(__xludf.DUMMYFUNCTION("""COMPUTED_VALUE"""),"-")</f>
        <v>-</v>
      </c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</row>
    <row r="2020" spans="1:26" x14ac:dyDescent="0.2">
      <c r="A2020" s="1"/>
      <c r="B2020" s="1"/>
      <c r="C2020" s="1"/>
      <c r="D2020" s="1"/>
      <c r="E2020" s="1" t="str">
        <f ca="1">IFERROR(__xludf.DUMMYFUNCTION("""COMPUTED_VALUE"""),"-")</f>
        <v>-</v>
      </c>
      <c r="F2020" s="1"/>
      <c r="G2020" s="1" t="str">
        <f ca="1">IFERROR(__xludf.DUMMYFUNCTION("""COMPUTED_VALUE"""),"-")</f>
        <v>-</v>
      </c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</row>
    <row r="2021" spans="1:26" x14ac:dyDescent="0.2">
      <c r="A2021" s="1"/>
      <c r="B2021" s="1"/>
      <c r="C2021" s="1"/>
      <c r="D2021" s="1"/>
      <c r="E2021" s="1" t="str">
        <f ca="1">IFERROR(__xludf.DUMMYFUNCTION("""COMPUTED_VALUE"""),"-")</f>
        <v>-</v>
      </c>
      <c r="F2021" s="1"/>
      <c r="G2021" s="1" t="str">
        <f ca="1">IFERROR(__xludf.DUMMYFUNCTION("""COMPUTED_VALUE"""),"-")</f>
        <v>-</v>
      </c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</row>
    <row r="2022" spans="1:26" x14ac:dyDescent="0.2">
      <c r="A2022" s="1"/>
      <c r="B2022" s="1"/>
      <c r="C2022" s="1"/>
      <c r="D2022" s="1"/>
      <c r="E2022" s="1" t="str">
        <f ca="1">IFERROR(__xludf.DUMMYFUNCTION("""COMPUTED_VALUE"""),"-")</f>
        <v>-</v>
      </c>
      <c r="F2022" s="1"/>
      <c r="G2022" s="1" t="str">
        <f ca="1">IFERROR(__xludf.DUMMYFUNCTION("""COMPUTED_VALUE"""),"-")</f>
        <v>-</v>
      </c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</row>
    <row r="2023" spans="1:26" x14ac:dyDescent="0.2">
      <c r="A2023" s="1"/>
      <c r="B2023" s="1"/>
      <c r="C2023" s="1"/>
      <c r="D2023" s="1"/>
      <c r="E2023" s="1" t="str">
        <f ca="1">IFERROR(__xludf.DUMMYFUNCTION("""COMPUTED_VALUE"""),"-")</f>
        <v>-</v>
      </c>
      <c r="F2023" s="1"/>
      <c r="G2023" s="1" t="str">
        <f ca="1">IFERROR(__xludf.DUMMYFUNCTION("""COMPUTED_VALUE"""),"-")</f>
        <v>-</v>
      </c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</row>
    <row r="2024" spans="1:26" x14ac:dyDescent="0.2">
      <c r="A2024" s="1"/>
      <c r="B2024" s="1"/>
      <c r="C2024" s="1"/>
      <c r="D2024" s="1"/>
      <c r="E2024" s="1" t="str">
        <f ca="1">IFERROR(__xludf.DUMMYFUNCTION("""COMPUTED_VALUE"""),"-")</f>
        <v>-</v>
      </c>
      <c r="F2024" s="1"/>
      <c r="G2024" s="1" t="str">
        <f ca="1">IFERROR(__xludf.DUMMYFUNCTION("""COMPUTED_VALUE"""),"-")</f>
        <v>-</v>
      </c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</row>
    <row r="2025" spans="1:26" x14ac:dyDescent="0.2">
      <c r="A2025" s="1"/>
      <c r="B2025" s="1"/>
      <c r="C2025" s="1"/>
      <c r="D2025" s="1"/>
      <c r="E2025" s="1" t="str">
        <f ca="1">IFERROR(__xludf.DUMMYFUNCTION("""COMPUTED_VALUE"""),"-")</f>
        <v>-</v>
      </c>
      <c r="F2025" s="1"/>
      <c r="G2025" s="1" t="str">
        <f ca="1">IFERROR(__xludf.DUMMYFUNCTION("""COMPUTED_VALUE"""),"-")</f>
        <v>-</v>
      </c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</row>
    <row r="2026" spans="1:26" x14ac:dyDescent="0.2">
      <c r="A2026" s="1"/>
      <c r="B2026" s="1"/>
      <c r="C2026" s="1"/>
      <c r="D2026" s="1"/>
      <c r="E2026" s="1" t="str">
        <f ca="1">IFERROR(__xludf.DUMMYFUNCTION("""COMPUTED_VALUE"""),"-")</f>
        <v>-</v>
      </c>
      <c r="F2026" s="1"/>
      <c r="G2026" s="1" t="str">
        <f ca="1">IFERROR(__xludf.DUMMYFUNCTION("""COMPUTED_VALUE"""),"-")</f>
        <v>-</v>
      </c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</row>
    <row r="2027" spans="1:26" x14ac:dyDescent="0.2">
      <c r="A2027" s="1"/>
      <c r="B2027" s="1"/>
      <c r="C2027" s="1"/>
      <c r="D2027" s="1"/>
      <c r="E2027" s="1" t="str">
        <f ca="1">IFERROR(__xludf.DUMMYFUNCTION("""COMPUTED_VALUE"""),"-")</f>
        <v>-</v>
      </c>
      <c r="F2027" s="1"/>
      <c r="G2027" s="1" t="str">
        <f ca="1">IFERROR(__xludf.DUMMYFUNCTION("""COMPUTED_VALUE"""),"-")</f>
        <v>-</v>
      </c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</row>
    <row r="2028" spans="1:26" x14ac:dyDescent="0.2">
      <c r="A2028" s="1"/>
      <c r="B2028" s="1"/>
      <c r="C2028" s="1"/>
      <c r="D2028" s="1"/>
      <c r="E2028" s="1" t="str">
        <f ca="1">IFERROR(__xludf.DUMMYFUNCTION("""COMPUTED_VALUE"""),"-")</f>
        <v>-</v>
      </c>
      <c r="F2028" s="1"/>
      <c r="G2028" s="1" t="str">
        <f ca="1">IFERROR(__xludf.DUMMYFUNCTION("""COMPUTED_VALUE"""),"-")</f>
        <v>-</v>
      </c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</row>
    <row r="2029" spans="1:26" x14ac:dyDescent="0.2">
      <c r="A2029" s="1"/>
      <c r="B2029" s="1"/>
      <c r="C2029" s="1"/>
      <c r="D2029" s="1"/>
      <c r="E2029" s="1" t="str">
        <f ca="1">IFERROR(__xludf.DUMMYFUNCTION("""COMPUTED_VALUE"""),"-")</f>
        <v>-</v>
      </c>
      <c r="F2029" s="1"/>
      <c r="G2029" s="1" t="str">
        <f ca="1">IFERROR(__xludf.DUMMYFUNCTION("""COMPUTED_VALUE"""),"-")</f>
        <v>-</v>
      </c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</row>
    <row r="2030" spans="1:26" x14ac:dyDescent="0.2">
      <c r="A2030" s="1"/>
      <c r="B2030" s="1"/>
      <c r="C2030" s="1"/>
      <c r="D2030" s="1"/>
      <c r="E2030" s="1" t="str">
        <f ca="1">IFERROR(__xludf.DUMMYFUNCTION("""COMPUTED_VALUE"""),"-")</f>
        <v>-</v>
      </c>
      <c r="F2030" s="1"/>
      <c r="G2030" s="1" t="str">
        <f ca="1">IFERROR(__xludf.DUMMYFUNCTION("""COMPUTED_VALUE"""),"-")</f>
        <v>-</v>
      </c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</row>
    <row r="2031" spans="1:26" x14ac:dyDescent="0.2">
      <c r="A2031" s="1"/>
      <c r="B2031" s="1"/>
      <c r="C2031" s="1"/>
      <c r="D2031" s="1"/>
      <c r="E2031" s="1" t="str">
        <f ca="1">IFERROR(__xludf.DUMMYFUNCTION("""COMPUTED_VALUE"""),"-")</f>
        <v>-</v>
      </c>
      <c r="F2031" s="1"/>
      <c r="G2031" s="1" t="str">
        <f ca="1">IFERROR(__xludf.DUMMYFUNCTION("""COMPUTED_VALUE"""),"-")</f>
        <v>-</v>
      </c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</row>
    <row r="2032" spans="1:26" x14ac:dyDescent="0.2">
      <c r="A2032" s="1"/>
      <c r="B2032" s="1"/>
      <c r="C2032" s="1"/>
      <c r="D2032" s="1"/>
      <c r="E2032" s="1" t="str">
        <f ca="1">IFERROR(__xludf.DUMMYFUNCTION("""COMPUTED_VALUE"""),"-")</f>
        <v>-</v>
      </c>
      <c r="F2032" s="1"/>
      <c r="G2032" s="1" t="str">
        <f ca="1">IFERROR(__xludf.DUMMYFUNCTION("""COMPUTED_VALUE"""),"-")</f>
        <v>-</v>
      </c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</row>
    <row r="2033" spans="1:26" x14ac:dyDescent="0.2">
      <c r="A2033" s="1"/>
      <c r="B2033" s="1"/>
      <c r="C2033" s="1"/>
      <c r="D2033" s="1"/>
      <c r="E2033" s="1" t="str">
        <f ca="1">IFERROR(__xludf.DUMMYFUNCTION("""COMPUTED_VALUE"""),"-")</f>
        <v>-</v>
      </c>
      <c r="F2033" s="1"/>
      <c r="G2033" s="1" t="str">
        <f ca="1">IFERROR(__xludf.DUMMYFUNCTION("""COMPUTED_VALUE"""),"-")</f>
        <v>-</v>
      </c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</row>
    <row r="2034" spans="1:26" x14ac:dyDescent="0.2">
      <c r="A2034" s="1"/>
      <c r="B2034" s="1"/>
      <c r="C2034" s="1"/>
      <c r="D2034" s="1"/>
      <c r="E2034" s="1" t="str">
        <f ca="1">IFERROR(__xludf.DUMMYFUNCTION("""COMPUTED_VALUE"""),"-")</f>
        <v>-</v>
      </c>
      <c r="F2034" s="1"/>
      <c r="G2034" s="1" t="str">
        <f ca="1">IFERROR(__xludf.DUMMYFUNCTION("""COMPUTED_VALUE"""),"-")</f>
        <v>-</v>
      </c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</row>
    <row r="2035" spans="1:26" x14ac:dyDescent="0.2">
      <c r="A2035" s="1"/>
      <c r="B2035" s="1"/>
      <c r="C2035" s="1"/>
      <c r="D2035" s="1"/>
      <c r="E2035" s="1" t="str">
        <f ca="1">IFERROR(__xludf.DUMMYFUNCTION("""COMPUTED_VALUE"""),"-")</f>
        <v>-</v>
      </c>
      <c r="F2035" s="1"/>
      <c r="G2035" s="1" t="str">
        <f ca="1">IFERROR(__xludf.DUMMYFUNCTION("""COMPUTED_VALUE"""),"-")</f>
        <v>-</v>
      </c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</row>
    <row r="2036" spans="1:26" x14ac:dyDescent="0.2">
      <c r="A2036" s="1"/>
      <c r="B2036" s="1"/>
      <c r="C2036" s="1"/>
      <c r="D2036" s="1"/>
      <c r="E2036" s="1" t="str">
        <f ca="1">IFERROR(__xludf.DUMMYFUNCTION("""COMPUTED_VALUE"""),"-")</f>
        <v>-</v>
      </c>
      <c r="F2036" s="1"/>
      <c r="G2036" s="1" t="str">
        <f ca="1">IFERROR(__xludf.DUMMYFUNCTION("""COMPUTED_VALUE"""),"-")</f>
        <v>-</v>
      </c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</row>
    <row r="2037" spans="1:26" x14ac:dyDescent="0.2">
      <c r="A2037" s="1"/>
      <c r="B2037" s="1"/>
      <c r="C2037" s="1"/>
      <c r="D2037" s="1"/>
      <c r="E2037" s="1" t="str">
        <f ca="1">IFERROR(__xludf.DUMMYFUNCTION("""COMPUTED_VALUE"""),"-")</f>
        <v>-</v>
      </c>
      <c r="F2037" s="1"/>
      <c r="G2037" s="1" t="str">
        <f ca="1">IFERROR(__xludf.DUMMYFUNCTION("""COMPUTED_VALUE"""),"-")</f>
        <v>-</v>
      </c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</row>
    <row r="2038" spans="1:26" x14ac:dyDescent="0.2">
      <c r="A2038" s="1"/>
      <c r="B2038" s="1"/>
      <c r="C2038" s="1"/>
      <c r="D2038" s="1"/>
      <c r="E2038" s="1" t="str">
        <f ca="1">IFERROR(__xludf.DUMMYFUNCTION("""COMPUTED_VALUE"""),"-")</f>
        <v>-</v>
      </c>
      <c r="F2038" s="1"/>
      <c r="G2038" s="1" t="str">
        <f ca="1">IFERROR(__xludf.DUMMYFUNCTION("""COMPUTED_VALUE"""),"-")</f>
        <v>-</v>
      </c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</row>
    <row r="2039" spans="1:26" x14ac:dyDescent="0.2">
      <c r="A2039" s="1"/>
      <c r="B2039" s="1"/>
      <c r="C2039" s="1"/>
      <c r="D2039" s="1"/>
      <c r="E2039" s="1" t="str">
        <f ca="1">IFERROR(__xludf.DUMMYFUNCTION("""COMPUTED_VALUE"""),"-")</f>
        <v>-</v>
      </c>
      <c r="F2039" s="1"/>
      <c r="G2039" s="1" t="str">
        <f ca="1">IFERROR(__xludf.DUMMYFUNCTION("""COMPUTED_VALUE"""),"-")</f>
        <v>-</v>
      </c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</row>
    <row r="2040" spans="1:26" x14ac:dyDescent="0.2">
      <c r="A2040" s="1"/>
      <c r="B2040" s="1"/>
      <c r="C2040" s="1"/>
      <c r="D2040" s="1"/>
      <c r="E2040" s="1" t="str">
        <f ca="1">IFERROR(__xludf.DUMMYFUNCTION("""COMPUTED_VALUE"""),"-")</f>
        <v>-</v>
      </c>
      <c r="F2040" s="1"/>
      <c r="G2040" s="1" t="str">
        <f ca="1">IFERROR(__xludf.DUMMYFUNCTION("""COMPUTED_VALUE"""),"-")</f>
        <v>-</v>
      </c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</row>
    <row r="2041" spans="1:26" x14ac:dyDescent="0.2">
      <c r="A2041" s="1"/>
      <c r="B2041" s="1"/>
      <c r="C2041" s="1"/>
      <c r="D2041" s="1"/>
      <c r="E2041" s="1" t="str">
        <f ca="1">IFERROR(__xludf.DUMMYFUNCTION("""COMPUTED_VALUE"""),"-")</f>
        <v>-</v>
      </c>
      <c r="F2041" s="1"/>
      <c r="G2041" s="1" t="str">
        <f ca="1">IFERROR(__xludf.DUMMYFUNCTION("""COMPUTED_VALUE"""),"-")</f>
        <v>-</v>
      </c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</row>
    <row r="2042" spans="1:26" x14ac:dyDescent="0.2">
      <c r="A2042" s="1"/>
      <c r="B2042" s="1"/>
      <c r="C2042" s="1"/>
      <c r="D2042" s="1"/>
      <c r="E2042" s="1" t="str">
        <f ca="1">IFERROR(__xludf.DUMMYFUNCTION("""COMPUTED_VALUE"""),"-")</f>
        <v>-</v>
      </c>
      <c r="F2042" s="1"/>
      <c r="G2042" s="1" t="str">
        <f ca="1">IFERROR(__xludf.DUMMYFUNCTION("""COMPUTED_VALUE"""),"-")</f>
        <v>-</v>
      </c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</row>
    <row r="2043" spans="1:26" x14ac:dyDescent="0.2">
      <c r="A2043" s="1"/>
      <c r="B2043" s="1"/>
      <c r="C2043" s="1"/>
      <c r="D2043" s="1"/>
      <c r="E2043" s="1" t="str">
        <f ca="1">IFERROR(__xludf.DUMMYFUNCTION("""COMPUTED_VALUE"""),"-")</f>
        <v>-</v>
      </c>
      <c r="F2043" s="1"/>
      <c r="G2043" s="1" t="str">
        <f ca="1">IFERROR(__xludf.DUMMYFUNCTION("""COMPUTED_VALUE"""),"-")</f>
        <v>-</v>
      </c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</row>
    <row r="2044" spans="1:26" x14ac:dyDescent="0.2">
      <c r="A2044" s="1"/>
      <c r="B2044" s="1"/>
      <c r="C2044" s="1"/>
      <c r="D2044" s="1"/>
      <c r="E2044" s="1" t="str">
        <f ca="1">IFERROR(__xludf.DUMMYFUNCTION("""COMPUTED_VALUE"""),"-")</f>
        <v>-</v>
      </c>
      <c r="F2044" s="1"/>
      <c r="G2044" s="1" t="str">
        <f ca="1">IFERROR(__xludf.DUMMYFUNCTION("""COMPUTED_VALUE"""),"-")</f>
        <v>-</v>
      </c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</row>
    <row r="2045" spans="1:26" x14ac:dyDescent="0.2">
      <c r="A2045" s="1"/>
      <c r="B2045" s="1"/>
      <c r="C2045" s="1"/>
      <c r="D2045" s="1"/>
      <c r="E2045" s="1" t="str">
        <f ca="1">IFERROR(__xludf.DUMMYFUNCTION("""COMPUTED_VALUE"""),"-")</f>
        <v>-</v>
      </c>
      <c r="F2045" s="1"/>
      <c r="G2045" s="1" t="str">
        <f ca="1">IFERROR(__xludf.DUMMYFUNCTION("""COMPUTED_VALUE"""),"-")</f>
        <v>-</v>
      </c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</row>
    <row r="2046" spans="1:26" x14ac:dyDescent="0.2">
      <c r="A2046" s="1"/>
      <c r="B2046" s="1"/>
      <c r="C2046" s="1"/>
      <c r="D2046" s="1"/>
      <c r="E2046" s="1" t="str">
        <f ca="1">IFERROR(__xludf.DUMMYFUNCTION("""COMPUTED_VALUE"""),"-")</f>
        <v>-</v>
      </c>
      <c r="F2046" s="1"/>
      <c r="G2046" s="1" t="str">
        <f ca="1">IFERROR(__xludf.DUMMYFUNCTION("""COMPUTED_VALUE"""),"-")</f>
        <v>-</v>
      </c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</row>
    <row r="2047" spans="1:26" x14ac:dyDescent="0.2">
      <c r="A2047" s="1"/>
      <c r="B2047" s="1"/>
      <c r="C2047" s="1"/>
      <c r="D2047" s="1"/>
      <c r="E2047" s="1" t="str">
        <f ca="1">IFERROR(__xludf.DUMMYFUNCTION("""COMPUTED_VALUE"""),"-")</f>
        <v>-</v>
      </c>
      <c r="F2047" s="1"/>
      <c r="G2047" s="1" t="str">
        <f ca="1">IFERROR(__xludf.DUMMYFUNCTION("""COMPUTED_VALUE"""),"-")</f>
        <v>-</v>
      </c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</row>
    <row r="2048" spans="1:26" x14ac:dyDescent="0.2">
      <c r="A2048" s="1"/>
      <c r="B2048" s="1"/>
      <c r="C2048" s="1"/>
      <c r="D2048" s="1"/>
      <c r="E2048" s="1" t="str">
        <f ca="1">IFERROR(__xludf.DUMMYFUNCTION("""COMPUTED_VALUE"""),"-")</f>
        <v>-</v>
      </c>
      <c r="F2048" s="1"/>
      <c r="G2048" s="1" t="str">
        <f ca="1">IFERROR(__xludf.DUMMYFUNCTION("""COMPUTED_VALUE"""),"-")</f>
        <v>-</v>
      </c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</row>
    <row r="2049" spans="1:26" x14ac:dyDescent="0.2">
      <c r="A2049" s="1"/>
      <c r="B2049" s="1"/>
      <c r="C2049" s="1"/>
      <c r="D2049" s="1"/>
      <c r="E2049" s="1" t="str">
        <f ca="1">IFERROR(__xludf.DUMMYFUNCTION("""COMPUTED_VALUE"""),"-")</f>
        <v>-</v>
      </c>
      <c r="F2049" s="1"/>
      <c r="G2049" s="1" t="str">
        <f ca="1">IFERROR(__xludf.DUMMYFUNCTION("""COMPUTED_VALUE"""),"-")</f>
        <v>-</v>
      </c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</row>
    <row r="2050" spans="1:26" x14ac:dyDescent="0.2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</row>
    <row r="2051" spans="1:26" x14ac:dyDescent="0.2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</row>
    <row r="2052" spans="1:26" x14ac:dyDescent="0.2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</row>
    <row r="2053" spans="1:26" x14ac:dyDescent="0.2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</row>
    <row r="2054" spans="1:26" x14ac:dyDescent="0.2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</row>
    <row r="2055" spans="1:26" x14ac:dyDescent="0.2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</row>
    <row r="2056" spans="1:26" x14ac:dyDescent="0.2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</row>
    <row r="2057" spans="1:26" x14ac:dyDescent="0.2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</row>
    <row r="2058" spans="1:26" x14ac:dyDescent="0.2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</row>
    <row r="2059" spans="1:26" x14ac:dyDescent="0.2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</row>
    <row r="2060" spans="1:26" x14ac:dyDescent="0.2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</row>
    <row r="2061" spans="1:26" x14ac:dyDescent="0.2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</row>
    <row r="2062" spans="1:26" x14ac:dyDescent="0.2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</row>
    <row r="2063" spans="1:26" x14ac:dyDescent="0.2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</row>
    <row r="2064" spans="1:26" x14ac:dyDescent="0.2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</row>
    <row r="2065" spans="1:26" x14ac:dyDescent="0.2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</row>
    <row r="2066" spans="1:26" x14ac:dyDescent="0.2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</row>
    <row r="2067" spans="1:26" x14ac:dyDescent="0.2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</row>
    <row r="2068" spans="1:26" x14ac:dyDescent="0.2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</row>
    <row r="2069" spans="1:26" x14ac:dyDescent="0.2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</row>
    <row r="2070" spans="1:26" x14ac:dyDescent="0.2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</row>
    <row r="2071" spans="1:26" x14ac:dyDescent="0.2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</row>
    <row r="2072" spans="1:26" x14ac:dyDescent="0.2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</row>
    <row r="2073" spans="1:26" x14ac:dyDescent="0.2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</row>
    <row r="2074" spans="1:26" x14ac:dyDescent="0.2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</row>
    <row r="2075" spans="1:26" x14ac:dyDescent="0.2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</row>
    <row r="2076" spans="1:26" x14ac:dyDescent="0.2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</row>
    <row r="2077" spans="1:26" x14ac:dyDescent="0.2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</row>
    <row r="2078" spans="1:26" x14ac:dyDescent="0.2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</row>
    <row r="2079" spans="1:26" x14ac:dyDescent="0.2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</row>
    <row r="2080" spans="1:26" x14ac:dyDescent="0.2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</row>
    <row r="2081" spans="1:26" x14ac:dyDescent="0.2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</row>
    <row r="2082" spans="1:26" x14ac:dyDescent="0.2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</row>
    <row r="2083" spans="1:26" x14ac:dyDescent="0.2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</row>
    <row r="2084" spans="1:26" x14ac:dyDescent="0.2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</row>
    <row r="2085" spans="1:26" x14ac:dyDescent="0.2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</row>
    <row r="2086" spans="1:26" x14ac:dyDescent="0.2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</row>
    <row r="2087" spans="1:26" x14ac:dyDescent="0.2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</row>
    <row r="2088" spans="1:26" x14ac:dyDescent="0.2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</row>
    <row r="2089" spans="1:26" x14ac:dyDescent="0.2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</row>
    <row r="2090" spans="1:26" x14ac:dyDescent="0.2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</row>
    <row r="2091" spans="1:26" x14ac:dyDescent="0.2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</row>
    <row r="2092" spans="1:26" x14ac:dyDescent="0.2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</row>
    <row r="2093" spans="1:26" x14ac:dyDescent="0.2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</row>
    <row r="2094" spans="1:26" x14ac:dyDescent="0.2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</row>
    <row r="2095" spans="1:26" x14ac:dyDescent="0.2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</row>
    <row r="2096" spans="1:26" x14ac:dyDescent="0.2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</row>
    <row r="2097" spans="1:26" x14ac:dyDescent="0.2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</row>
    <row r="2098" spans="1:26" x14ac:dyDescent="0.2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</row>
    <row r="2099" spans="1:26" x14ac:dyDescent="0.2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</row>
    <row r="2100" spans="1:26" x14ac:dyDescent="0.2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</row>
    <row r="2101" spans="1:26" x14ac:dyDescent="0.2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</row>
    <row r="2102" spans="1:26" x14ac:dyDescent="0.2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</row>
    <row r="2103" spans="1:26" x14ac:dyDescent="0.2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</row>
    <row r="2104" spans="1:26" x14ac:dyDescent="0.2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</row>
    <row r="2105" spans="1:26" x14ac:dyDescent="0.2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</row>
    <row r="2106" spans="1:26" x14ac:dyDescent="0.2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</row>
    <row r="2107" spans="1:26" x14ac:dyDescent="0.2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</row>
    <row r="2108" spans="1:26" x14ac:dyDescent="0.2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</row>
    <row r="2109" spans="1:26" x14ac:dyDescent="0.2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</row>
    <row r="2110" spans="1:26" x14ac:dyDescent="0.2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</row>
    <row r="2111" spans="1:26" x14ac:dyDescent="0.2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</row>
    <row r="2112" spans="1:26" x14ac:dyDescent="0.2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</row>
    <row r="2113" spans="1:26" x14ac:dyDescent="0.2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</row>
    <row r="2114" spans="1:26" x14ac:dyDescent="0.2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</row>
    <row r="2115" spans="1:26" x14ac:dyDescent="0.2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</row>
    <row r="2116" spans="1:26" x14ac:dyDescent="0.2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</row>
    <row r="2117" spans="1:26" x14ac:dyDescent="0.2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</row>
    <row r="2118" spans="1:26" x14ac:dyDescent="0.2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</row>
    <row r="2119" spans="1:26" x14ac:dyDescent="0.2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</row>
    <row r="2120" spans="1:26" x14ac:dyDescent="0.2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</row>
    <row r="2121" spans="1:26" x14ac:dyDescent="0.2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</row>
    <row r="2122" spans="1:26" x14ac:dyDescent="0.2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</row>
    <row r="2123" spans="1:26" x14ac:dyDescent="0.2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</row>
    <row r="2124" spans="1:26" x14ac:dyDescent="0.2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</row>
    <row r="2125" spans="1:26" x14ac:dyDescent="0.2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</row>
    <row r="2126" spans="1:26" x14ac:dyDescent="0.2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</row>
    <row r="2127" spans="1:26" x14ac:dyDescent="0.2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</row>
    <row r="2128" spans="1:26" x14ac:dyDescent="0.2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</row>
    <row r="2129" spans="1:26" x14ac:dyDescent="0.2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</row>
    <row r="2130" spans="1:26" x14ac:dyDescent="0.2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</row>
    <row r="2131" spans="1:26" x14ac:dyDescent="0.2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</row>
    <row r="2132" spans="1:26" x14ac:dyDescent="0.2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</row>
    <row r="2133" spans="1:26" x14ac:dyDescent="0.2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</row>
    <row r="2134" spans="1:26" x14ac:dyDescent="0.2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</row>
    <row r="2135" spans="1:26" x14ac:dyDescent="0.2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</row>
    <row r="2136" spans="1:26" x14ac:dyDescent="0.2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</row>
    <row r="2137" spans="1:26" x14ac:dyDescent="0.2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</row>
    <row r="2138" spans="1:26" x14ac:dyDescent="0.2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</row>
    <row r="2139" spans="1:26" x14ac:dyDescent="0.2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</row>
    <row r="2140" spans="1:26" x14ac:dyDescent="0.2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</row>
    <row r="2141" spans="1:26" x14ac:dyDescent="0.2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</row>
    <row r="2142" spans="1:26" x14ac:dyDescent="0.2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</row>
    <row r="2143" spans="1:26" x14ac:dyDescent="0.2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</row>
    <row r="2144" spans="1:26" x14ac:dyDescent="0.2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</row>
    <row r="2145" spans="1:26" x14ac:dyDescent="0.2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</row>
    <row r="2146" spans="1:26" x14ac:dyDescent="0.2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</row>
    <row r="2147" spans="1:26" x14ac:dyDescent="0.2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</row>
    <row r="2148" spans="1:26" x14ac:dyDescent="0.2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</row>
    <row r="2149" spans="1:26" x14ac:dyDescent="0.2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</row>
    <row r="2150" spans="1:26" x14ac:dyDescent="0.2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</row>
    <row r="2151" spans="1:26" x14ac:dyDescent="0.2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</row>
    <row r="2152" spans="1:26" x14ac:dyDescent="0.2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</row>
    <row r="2153" spans="1:26" x14ac:dyDescent="0.2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</row>
    <row r="2154" spans="1:26" x14ac:dyDescent="0.2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</row>
    <row r="2155" spans="1:26" x14ac:dyDescent="0.2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</row>
    <row r="2156" spans="1:26" x14ac:dyDescent="0.2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</row>
    <row r="2157" spans="1:26" x14ac:dyDescent="0.2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</row>
    <row r="2158" spans="1:26" x14ac:dyDescent="0.2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</row>
    <row r="2159" spans="1:26" x14ac:dyDescent="0.2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</row>
    <row r="2160" spans="1:26" x14ac:dyDescent="0.2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</row>
    <row r="2161" spans="1:26" x14ac:dyDescent="0.2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</row>
    <row r="2162" spans="1:26" x14ac:dyDescent="0.2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</row>
    <row r="2163" spans="1:26" x14ac:dyDescent="0.2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</row>
    <row r="2164" spans="1:26" x14ac:dyDescent="0.2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</row>
    <row r="2165" spans="1:26" x14ac:dyDescent="0.2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</row>
    <row r="2166" spans="1:26" x14ac:dyDescent="0.2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</row>
    <row r="2167" spans="1:26" x14ac:dyDescent="0.2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</row>
    <row r="2168" spans="1:26" x14ac:dyDescent="0.2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</row>
    <row r="2169" spans="1:26" x14ac:dyDescent="0.2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</row>
    <row r="2170" spans="1:26" x14ac:dyDescent="0.2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</row>
    <row r="2171" spans="1:26" x14ac:dyDescent="0.2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</row>
    <row r="2172" spans="1:26" x14ac:dyDescent="0.2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</row>
    <row r="2173" spans="1:26" x14ac:dyDescent="0.2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</row>
    <row r="2174" spans="1:26" x14ac:dyDescent="0.2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</row>
    <row r="2175" spans="1:26" x14ac:dyDescent="0.2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</row>
    <row r="2176" spans="1:26" x14ac:dyDescent="0.2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</row>
    <row r="2177" spans="1:26" x14ac:dyDescent="0.2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</row>
    <row r="2178" spans="1:26" x14ac:dyDescent="0.2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</row>
    <row r="2179" spans="1:26" x14ac:dyDescent="0.2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</row>
    <row r="2180" spans="1:26" x14ac:dyDescent="0.2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</row>
    <row r="2181" spans="1:26" x14ac:dyDescent="0.2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</row>
    <row r="2182" spans="1:26" x14ac:dyDescent="0.2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</row>
    <row r="2183" spans="1:26" x14ac:dyDescent="0.2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</row>
    <row r="2184" spans="1:26" x14ac:dyDescent="0.2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</row>
    <row r="2185" spans="1:26" x14ac:dyDescent="0.2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</row>
    <row r="2186" spans="1:26" x14ac:dyDescent="0.2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</row>
    <row r="2187" spans="1:26" x14ac:dyDescent="0.2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</row>
    <row r="2188" spans="1:26" x14ac:dyDescent="0.2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</row>
    <row r="2189" spans="1:26" x14ac:dyDescent="0.2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</row>
    <row r="2190" spans="1:26" x14ac:dyDescent="0.2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</row>
    <row r="2191" spans="1:26" x14ac:dyDescent="0.2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</row>
    <row r="2192" spans="1:26" x14ac:dyDescent="0.2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</row>
    <row r="2193" spans="1:26" x14ac:dyDescent="0.2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</row>
    <row r="2194" spans="1:26" x14ac:dyDescent="0.2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</row>
    <row r="2195" spans="1:26" x14ac:dyDescent="0.2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</row>
    <row r="2196" spans="1:26" x14ac:dyDescent="0.2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</row>
    <row r="2197" spans="1:26" x14ac:dyDescent="0.2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</row>
    <row r="2198" spans="1:26" x14ac:dyDescent="0.2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</row>
    <row r="2199" spans="1:26" x14ac:dyDescent="0.2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</row>
    <row r="2200" spans="1:26" x14ac:dyDescent="0.2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</row>
    <row r="2201" spans="1:26" x14ac:dyDescent="0.2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</row>
    <row r="2202" spans="1:26" x14ac:dyDescent="0.2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</row>
    <row r="2203" spans="1:26" x14ac:dyDescent="0.2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</row>
    <row r="2204" spans="1:26" x14ac:dyDescent="0.2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</row>
    <row r="2205" spans="1:26" x14ac:dyDescent="0.2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</row>
    <row r="2206" spans="1:26" x14ac:dyDescent="0.2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</row>
    <row r="2207" spans="1:26" x14ac:dyDescent="0.2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</row>
    <row r="2208" spans="1:26" x14ac:dyDescent="0.2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</row>
    <row r="2209" spans="1:26" x14ac:dyDescent="0.2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</row>
    <row r="2210" spans="1:26" x14ac:dyDescent="0.2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</row>
    <row r="2211" spans="1:26" x14ac:dyDescent="0.2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</row>
    <row r="2212" spans="1:26" x14ac:dyDescent="0.2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</row>
    <row r="2213" spans="1:26" x14ac:dyDescent="0.2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</row>
    <row r="2214" spans="1:26" x14ac:dyDescent="0.2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</row>
    <row r="2215" spans="1:26" x14ac:dyDescent="0.2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</row>
    <row r="2216" spans="1:26" x14ac:dyDescent="0.2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</row>
    <row r="2217" spans="1:26" x14ac:dyDescent="0.2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</row>
    <row r="2218" spans="1:26" x14ac:dyDescent="0.2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</row>
    <row r="2219" spans="1:26" x14ac:dyDescent="0.2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</row>
    <row r="2220" spans="1:26" x14ac:dyDescent="0.2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</row>
    <row r="2221" spans="1:26" x14ac:dyDescent="0.2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</row>
    <row r="2222" spans="1:26" x14ac:dyDescent="0.2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</row>
    <row r="2223" spans="1:26" x14ac:dyDescent="0.2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</row>
    <row r="2224" spans="1:26" x14ac:dyDescent="0.2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</row>
    <row r="2225" spans="1:26" x14ac:dyDescent="0.2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</row>
    <row r="2226" spans="1:26" x14ac:dyDescent="0.2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</row>
    <row r="2227" spans="1:26" x14ac:dyDescent="0.2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</row>
    <row r="2228" spans="1:26" x14ac:dyDescent="0.2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</row>
    <row r="2229" spans="1:26" x14ac:dyDescent="0.2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</row>
    <row r="2230" spans="1:26" x14ac:dyDescent="0.2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</row>
    <row r="2231" spans="1:26" x14ac:dyDescent="0.2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</row>
    <row r="2232" spans="1:26" x14ac:dyDescent="0.2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</row>
    <row r="2233" spans="1:26" x14ac:dyDescent="0.2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</row>
    <row r="2234" spans="1:26" x14ac:dyDescent="0.2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</row>
    <row r="2235" spans="1:26" x14ac:dyDescent="0.2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</row>
    <row r="2236" spans="1:26" x14ac:dyDescent="0.2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</row>
    <row r="2237" spans="1:26" x14ac:dyDescent="0.2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</row>
    <row r="2238" spans="1:26" x14ac:dyDescent="0.2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</row>
    <row r="2239" spans="1:26" x14ac:dyDescent="0.2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</row>
    <row r="2240" spans="1:26" x14ac:dyDescent="0.2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</row>
    <row r="2241" spans="1:26" x14ac:dyDescent="0.2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</row>
    <row r="2242" spans="1:26" x14ac:dyDescent="0.2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</row>
    <row r="2243" spans="1:26" x14ac:dyDescent="0.2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</row>
    <row r="2244" spans="1:26" x14ac:dyDescent="0.2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</row>
    <row r="2245" spans="1:26" x14ac:dyDescent="0.2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</row>
    <row r="2246" spans="1:26" x14ac:dyDescent="0.2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</row>
    <row r="2247" spans="1:26" x14ac:dyDescent="0.2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</row>
    <row r="2248" spans="1:26" x14ac:dyDescent="0.2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</row>
    <row r="2249" spans="1:26" x14ac:dyDescent="0.2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</row>
    <row r="2250" spans="1:26" x14ac:dyDescent="0.2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</row>
    <row r="2251" spans="1:26" x14ac:dyDescent="0.2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</row>
    <row r="2252" spans="1:26" x14ac:dyDescent="0.2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</row>
    <row r="2253" spans="1:26" x14ac:dyDescent="0.2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</row>
    <row r="2254" spans="1:26" x14ac:dyDescent="0.2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</row>
    <row r="2255" spans="1:26" x14ac:dyDescent="0.2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</row>
    <row r="2256" spans="1:26" x14ac:dyDescent="0.2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</row>
    <row r="2257" spans="1:26" x14ac:dyDescent="0.2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</row>
    <row r="2258" spans="1:26" x14ac:dyDescent="0.2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</row>
    <row r="2259" spans="1:26" x14ac:dyDescent="0.2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</row>
    <row r="2260" spans="1:26" x14ac:dyDescent="0.2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</row>
    <row r="2261" spans="1:26" x14ac:dyDescent="0.2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</row>
    <row r="2262" spans="1:26" x14ac:dyDescent="0.2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</row>
    <row r="2263" spans="1:26" x14ac:dyDescent="0.2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</row>
    <row r="2264" spans="1:26" x14ac:dyDescent="0.2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</row>
    <row r="2265" spans="1:26" x14ac:dyDescent="0.2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</row>
    <row r="2266" spans="1:26" x14ac:dyDescent="0.2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</row>
    <row r="2267" spans="1:26" x14ac:dyDescent="0.2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</row>
    <row r="2268" spans="1:26" x14ac:dyDescent="0.2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</row>
    <row r="2269" spans="1:26" x14ac:dyDescent="0.2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</row>
    <row r="2270" spans="1:26" x14ac:dyDescent="0.2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</row>
    <row r="2271" spans="1:26" x14ac:dyDescent="0.2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</row>
    <row r="2272" spans="1:26" x14ac:dyDescent="0.2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</row>
    <row r="2273" spans="1:26" x14ac:dyDescent="0.2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</row>
    <row r="2274" spans="1:26" x14ac:dyDescent="0.2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</row>
    <row r="2275" spans="1:26" x14ac:dyDescent="0.2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</row>
    <row r="2276" spans="1:26" x14ac:dyDescent="0.2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</row>
    <row r="2277" spans="1:26" x14ac:dyDescent="0.2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</row>
    <row r="2278" spans="1:26" x14ac:dyDescent="0.2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</row>
    <row r="2279" spans="1:26" x14ac:dyDescent="0.2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</row>
    <row r="2280" spans="1:26" x14ac:dyDescent="0.2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</row>
    <row r="2281" spans="1:26" x14ac:dyDescent="0.2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</row>
    <row r="2282" spans="1:26" x14ac:dyDescent="0.2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</row>
    <row r="2283" spans="1:26" x14ac:dyDescent="0.2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</row>
    <row r="2284" spans="1:26" x14ac:dyDescent="0.2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</row>
    <row r="2285" spans="1:26" x14ac:dyDescent="0.2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</row>
    <row r="2286" spans="1:26" x14ac:dyDescent="0.2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</row>
    <row r="2287" spans="1:26" x14ac:dyDescent="0.2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</row>
    <row r="2288" spans="1:26" x14ac:dyDescent="0.2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</row>
    <row r="2289" spans="1:26" x14ac:dyDescent="0.2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</row>
    <row r="2290" spans="1:26" x14ac:dyDescent="0.2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</row>
    <row r="2291" spans="1:26" x14ac:dyDescent="0.2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</row>
    <row r="2292" spans="1:26" x14ac:dyDescent="0.2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</row>
    <row r="2293" spans="1:26" x14ac:dyDescent="0.2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</row>
    <row r="2294" spans="1:26" x14ac:dyDescent="0.2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</row>
    <row r="2295" spans="1:26" x14ac:dyDescent="0.2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</row>
    <row r="2296" spans="1:26" x14ac:dyDescent="0.2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</row>
    <row r="2297" spans="1:26" x14ac:dyDescent="0.2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</row>
    <row r="2298" spans="1:26" x14ac:dyDescent="0.2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</row>
    <row r="2299" spans="1:26" x14ac:dyDescent="0.2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</row>
    <row r="2300" spans="1:26" x14ac:dyDescent="0.2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</row>
    <row r="2301" spans="1:26" x14ac:dyDescent="0.2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</row>
    <row r="2302" spans="1:26" x14ac:dyDescent="0.2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</row>
    <row r="2303" spans="1:26" x14ac:dyDescent="0.2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</row>
    <row r="2304" spans="1:26" x14ac:dyDescent="0.2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</row>
    <row r="2305" spans="1:26" x14ac:dyDescent="0.2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</row>
    <row r="2306" spans="1:26" x14ac:dyDescent="0.2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</row>
    <row r="2307" spans="1:26" x14ac:dyDescent="0.2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</row>
    <row r="2308" spans="1:26" x14ac:dyDescent="0.2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</row>
    <row r="2309" spans="1:26" x14ac:dyDescent="0.2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</row>
    <row r="2310" spans="1:26" x14ac:dyDescent="0.2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</row>
    <row r="2311" spans="1:26" x14ac:dyDescent="0.2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</row>
    <row r="2312" spans="1:26" x14ac:dyDescent="0.2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</row>
    <row r="2313" spans="1:26" x14ac:dyDescent="0.2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</row>
    <row r="2314" spans="1:26" x14ac:dyDescent="0.2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</row>
    <row r="2315" spans="1:26" x14ac:dyDescent="0.2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</row>
    <row r="2316" spans="1:26" x14ac:dyDescent="0.2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</row>
    <row r="2317" spans="1:26" x14ac:dyDescent="0.2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</row>
    <row r="2318" spans="1:26" x14ac:dyDescent="0.2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</row>
    <row r="2319" spans="1:26" x14ac:dyDescent="0.2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</row>
    <row r="2320" spans="1:26" x14ac:dyDescent="0.2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</row>
    <row r="2321" spans="1:26" x14ac:dyDescent="0.2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</row>
    <row r="2322" spans="1:26" x14ac:dyDescent="0.2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</row>
    <row r="2323" spans="1:26" x14ac:dyDescent="0.2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</row>
    <row r="2324" spans="1:26" x14ac:dyDescent="0.2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</row>
    <row r="2325" spans="1:26" x14ac:dyDescent="0.2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</row>
    <row r="2326" spans="1:26" x14ac:dyDescent="0.2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</row>
    <row r="2327" spans="1:26" x14ac:dyDescent="0.2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</row>
    <row r="2328" spans="1:26" x14ac:dyDescent="0.2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</row>
    <row r="2329" spans="1:26" x14ac:dyDescent="0.2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</row>
    <row r="2330" spans="1:26" x14ac:dyDescent="0.2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</row>
    <row r="2331" spans="1:26" x14ac:dyDescent="0.2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</row>
    <row r="2332" spans="1:26" x14ac:dyDescent="0.2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</row>
    <row r="2333" spans="1:26" x14ac:dyDescent="0.2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</row>
    <row r="2334" spans="1:26" x14ac:dyDescent="0.2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</row>
    <row r="2335" spans="1:26" x14ac:dyDescent="0.2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</row>
    <row r="2336" spans="1:26" x14ac:dyDescent="0.2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</row>
    <row r="2337" spans="1:26" x14ac:dyDescent="0.2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</row>
    <row r="2338" spans="1:26" x14ac:dyDescent="0.2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</row>
    <row r="2339" spans="1:26" x14ac:dyDescent="0.2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</row>
    <row r="2340" spans="1:26" x14ac:dyDescent="0.2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</row>
    <row r="2341" spans="1:26" x14ac:dyDescent="0.2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</row>
    <row r="2342" spans="1:26" x14ac:dyDescent="0.2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</row>
    <row r="2343" spans="1:26" x14ac:dyDescent="0.2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</row>
    <row r="2344" spans="1:26" x14ac:dyDescent="0.2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</row>
    <row r="2345" spans="1:26" x14ac:dyDescent="0.2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</row>
    <row r="2346" spans="1:26" x14ac:dyDescent="0.2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</row>
    <row r="2347" spans="1:26" x14ac:dyDescent="0.2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</row>
    <row r="2348" spans="1:26" x14ac:dyDescent="0.2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</row>
    <row r="2349" spans="1:26" x14ac:dyDescent="0.2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</row>
    <row r="2350" spans="1:26" x14ac:dyDescent="0.2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</row>
    <row r="2351" spans="1:26" x14ac:dyDescent="0.2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</row>
    <row r="2352" spans="1:26" x14ac:dyDescent="0.2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</row>
    <row r="2353" spans="1:26" x14ac:dyDescent="0.2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</row>
    <row r="2354" spans="1:26" x14ac:dyDescent="0.2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</row>
    <row r="2355" spans="1:26" x14ac:dyDescent="0.2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</row>
    <row r="2356" spans="1:26" x14ac:dyDescent="0.2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</row>
    <row r="2357" spans="1:26" x14ac:dyDescent="0.2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</row>
    <row r="2358" spans="1:26" x14ac:dyDescent="0.2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</row>
    <row r="2359" spans="1:26" x14ac:dyDescent="0.2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</row>
    <row r="2360" spans="1:26" x14ac:dyDescent="0.2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</row>
    <row r="2361" spans="1:26" x14ac:dyDescent="0.2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</row>
    <row r="2362" spans="1:26" x14ac:dyDescent="0.2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</row>
    <row r="2363" spans="1:26" x14ac:dyDescent="0.2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</row>
    <row r="2364" spans="1:26" x14ac:dyDescent="0.2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</row>
    <row r="2365" spans="1:26" x14ac:dyDescent="0.2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</row>
    <row r="2366" spans="1:26" x14ac:dyDescent="0.2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</row>
    <row r="2367" spans="1:26" x14ac:dyDescent="0.2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</row>
    <row r="2368" spans="1:26" x14ac:dyDescent="0.2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</row>
    <row r="2369" spans="1:26" x14ac:dyDescent="0.2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</row>
    <row r="2370" spans="1:26" x14ac:dyDescent="0.2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</row>
    <row r="2371" spans="1:26" x14ac:dyDescent="0.2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</row>
    <row r="2372" spans="1:26" x14ac:dyDescent="0.2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</row>
    <row r="2373" spans="1:26" x14ac:dyDescent="0.2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</row>
    <row r="2374" spans="1:26" x14ac:dyDescent="0.2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</row>
    <row r="2375" spans="1:26" x14ac:dyDescent="0.2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</row>
    <row r="2376" spans="1:26" x14ac:dyDescent="0.2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</row>
    <row r="2377" spans="1:26" x14ac:dyDescent="0.2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</row>
    <row r="2378" spans="1:26" x14ac:dyDescent="0.2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</row>
    <row r="2379" spans="1:26" x14ac:dyDescent="0.2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</row>
    <row r="2380" spans="1:26" x14ac:dyDescent="0.2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</row>
    <row r="2381" spans="1:26" x14ac:dyDescent="0.2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</row>
    <row r="2382" spans="1:26" x14ac:dyDescent="0.2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</row>
    <row r="2383" spans="1:26" x14ac:dyDescent="0.2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</row>
    <row r="2384" spans="1:26" x14ac:dyDescent="0.2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</row>
    <row r="2385" spans="1:26" x14ac:dyDescent="0.2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</row>
    <row r="2386" spans="1:26" x14ac:dyDescent="0.2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</row>
    <row r="2387" spans="1:26" x14ac:dyDescent="0.2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</row>
    <row r="2388" spans="1:26" x14ac:dyDescent="0.2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</row>
    <row r="2389" spans="1:26" x14ac:dyDescent="0.2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</row>
    <row r="2390" spans="1:26" x14ac:dyDescent="0.2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</row>
    <row r="2391" spans="1:26" x14ac:dyDescent="0.2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</row>
    <row r="2392" spans="1:26" x14ac:dyDescent="0.2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</row>
    <row r="2393" spans="1:26" x14ac:dyDescent="0.2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</row>
    <row r="2394" spans="1:26" x14ac:dyDescent="0.2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</row>
    <row r="2395" spans="1:26" x14ac:dyDescent="0.2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</row>
    <row r="2396" spans="1:26" x14ac:dyDescent="0.2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</row>
    <row r="2397" spans="1:26" x14ac:dyDescent="0.2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</row>
    <row r="2398" spans="1:26" x14ac:dyDescent="0.2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</row>
    <row r="2399" spans="1:26" x14ac:dyDescent="0.2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</row>
    <row r="2400" spans="1:26" x14ac:dyDescent="0.2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</row>
    <row r="2401" spans="1:26" x14ac:dyDescent="0.2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</row>
    <row r="2402" spans="1:26" x14ac:dyDescent="0.2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</row>
    <row r="2403" spans="1:26" x14ac:dyDescent="0.2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</row>
    <row r="2404" spans="1:26" x14ac:dyDescent="0.2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</row>
    <row r="2405" spans="1:26" x14ac:dyDescent="0.2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</row>
    <row r="2406" spans="1:26" x14ac:dyDescent="0.2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</row>
    <row r="2407" spans="1:26" x14ac:dyDescent="0.2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</row>
    <row r="2408" spans="1:26" x14ac:dyDescent="0.2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</row>
    <row r="2409" spans="1:26" x14ac:dyDescent="0.2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</row>
    <row r="2410" spans="1:26" x14ac:dyDescent="0.2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</row>
    <row r="2411" spans="1:26" x14ac:dyDescent="0.2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</row>
    <row r="2412" spans="1:26" x14ac:dyDescent="0.2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</row>
    <row r="2413" spans="1:26" x14ac:dyDescent="0.2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</row>
    <row r="2414" spans="1:26" x14ac:dyDescent="0.2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</row>
    <row r="2415" spans="1:26" x14ac:dyDescent="0.2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</row>
    <row r="2416" spans="1:26" x14ac:dyDescent="0.2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</row>
    <row r="2417" spans="1:26" x14ac:dyDescent="0.2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</row>
    <row r="2418" spans="1:26" x14ac:dyDescent="0.2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</row>
    <row r="2419" spans="1:26" x14ac:dyDescent="0.2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</row>
    <row r="2420" spans="1:26" x14ac:dyDescent="0.2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</row>
    <row r="2421" spans="1:26" x14ac:dyDescent="0.2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</row>
    <row r="2422" spans="1:26" x14ac:dyDescent="0.2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</row>
    <row r="2423" spans="1:26" x14ac:dyDescent="0.2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</row>
    <row r="2424" spans="1:26" x14ac:dyDescent="0.2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</row>
    <row r="2425" spans="1:26" x14ac:dyDescent="0.2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</row>
    <row r="2426" spans="1:26" x14ac:dyDescent="0.2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</row>
    <row r="2427" spans="1:26" x14ac:dyDescent="0.2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</row>
    <row r="2428" spans="1:26" x14ac:dyDescent="0.2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</row>
    <row r="2429" spans="1:26" x14ac:dyDescent="0.2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</row>
    <row r="2430" spans="1:26" x14ac:dyDescent="0.2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</row>
    <row r="2431" spans="1:26" x14ac:dyDescent="0.2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</row>
    <row r="2432" spans="1:26" x14ac:dyDescent="0.2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</row>
    <row r="2433" spans="1:26" x14ac:dyDescent="0.2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</row>
    <row r="2434" spans="1:26" x14ac:dyDescent="0.2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</row>
    <row r="2435" spans="1:26" x14ac:dyDescent="0.2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</row>
    <row r="2436" spans="1:26" x14ac:dyDescent="0.2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</row>
    <row r="2437" spans="1:26" x14ac:dyDescent="0.2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</row>
    <row r="2438" spans="1:26" x14ac:dyDescent="0.2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</row>
    <row r="2439" spans="1:26" x14ac:dyDescent="0.2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</row>
    <row r="2440" spans="1:26" x14ac:dyDescent="0.2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</row>
    <row r="2441" spans="1:26" x14ac:dyDescent="0.2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</row>
    <row r="2442" spans="1:26" x14ac:dyDescent="0.2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</row>
    <row r="2443" spans="1:26" x14ac:dyDescent="0.2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</row>
    <row r="2444" spans="1:26" x14ac:dyDescent="0.2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</row>
    <row r="2445" spans="1:26" x14ac:dyDescent="0.2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</row>
    <row r="2446" spans="1:26" x14ac:dyDescent="0.2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</row>
    <row r="2447" spans="1:26" x14ac:dyDescent="0.2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</row>
    <row r="2448" spans="1:26" x14ac:dyDescent="0.2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</row>
    <row r="2449" spans="1:26" x14ac:dyDescent="0.2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</row>
    <row r="2450" spans="1:26" x14ac:dyDescent="0.2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</row>
    <row r="2451" spans="1:26" x14ac:dyDescent="0.2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</row>
    <row r="2452" spans="1:26" x14ac:dyDescent="0.2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</row>
    <row r="2453" spans="1:26" x14ac:dyDescent="0.2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</row>
    <row r="2454" spans="1:26" x14ac:dyDescent="0.2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</row>
    <row r="2455" spans="1:26" x14ac:dyDescent="0.2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</row>
    <row r="2456" spans="1:26" x14ac:dyDescent="0.2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</row>
    <row r="2457" spans="1:26" x14ac:dyDescent="0.2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</row>
    <row r="2458" spans="1:26" x14ac:dyDescent="0.2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</row>
    <row r="2459" spans="1:26" x14ac:dyDescent="0.2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</row>
    <row r="2460" spans="1:26" x14ac:dyDescent="0.2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</row>
    <row r="2461" spans="1:26" x14ac:dyDescent="0.2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</row>
    <row r="2462" spans="1:26" x14ac:dyDescent="0.2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</row>
    <row r="2463" spans="1:26" x14ac:dyDescent="0.2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</row>
    <row r="2464" spans="1:26" x14ac:dyDescent="0.2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</row>
    <row r="2465" spans="1:26" x14ac:dyDescent="0.2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</row>
    <row r="2466" spans="1:26" x14ac:dyDescent="0.2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</row>
    <row r="2467" spans="1:26" x14ac:dyDescent="0.2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</row>
    <row r="2468" spans="1:26" x14ac:dyDescent="0.2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</row>
    <row r="2469" spans="1:26" x14ac:dyDescent="0.2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</row>
    <row r="2470" spans="1:26" x14ac:dyDescent="0.2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</row>
    <row r="2471" spans="1:26" x14ac:dyDescent="0.2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</row>
    <row r="2472" spans="1:26" x14ac:dyDescent="0.2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</row>
    <row r="2473" spans="1:26" x14ac:dyDescent="0.2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</row>
    <row r="2474" spans="1:26" x14ac:dyDescent="0.2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</row>
    <row r="2475" spans="1:26" x14ac:dyDescent="0.2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</row>
    <row r="2476" spans="1:26" x14ac:dyDescent="0.2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</row>
    <row r="2477" spans="1:26" x14ac:dyDescent="0.2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</row>
    <row r="2478" spans="1:26" x14ac:dyDescent="0.2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</row>
    <row r="2479" spans="1:26" x14ac:dyDescent="0.2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</row>
    <row r="2480" spans="1:26" x14ac:dyDescent="0.2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</row>
    <row r="2481" spans="1:26" x14ac:dyDescent="0.2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</row>
    <row r="2482" spans="1:26" x14ac:dyDescent="0.2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</row>
    <row r="2483" spans="1:26" x14ac:dyDescent="0.2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</row>
    <row r="2484" spans="1:26" x14ac:dyDescent="0.2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</row>
    <row r="2485" spans="1:26" x14ac:dyDescent="0.2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</row>
    <row r="2486" spans="1:26" x14ac:dyDescent="0.2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</row>
    <row r="2487" spans="1:26" x14ac:dyDescent="0.2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</row>
    <row r="2488" spans="1:26" x14ac:dyDescent="0.2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</row>
    <row r="2489" spans="1:26" x14ac:dyDescent="0.2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</row>
    <row r="2490" spans="1:26" x14ac:dyDescent="0.2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</row>
    <row r="2491" spans="1:26" x14ac:dyDescent="0.2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</row>
    <row r="2492" spans="1:26" x14ac:dyDescent="0.2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</row>
    <row r="2493" spans="1:26" x14ac:dyDescent="0.2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</row>
    <row r="2494" spans="1:26" x14ac:dyDescent="0.2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</row>
    <row r="2495" spans="1:26" x14ac:dyDescent="0.2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</row>
    <row r="2496" spans="1:26" x14ac:dyDescent="0.2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</row>
    <row r="2497" spans="1:26" x14ac:dyDescent="0.2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</row>
    <row r="2498" spans="1:26" x14ac:dyDescent="0.2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</row>
    <row r="2499" spans="1:26" x14ac:dyDescent="0.2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</row>
    <row r="2500" spans="1:26" x14ac:dyDescent="0.2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</row>
    <row r="2501" spans="1:26" x14ac:dyDescent="0.2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</row>
    <row r="2502" spans="1:26" x14ac:dyDescent="0.2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</row>
    <row r="2503" spans="1:26" x14ac:dyDescent="0.2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</row>
    <row r="2504" spans="1:26" x14ac:dyDescent="0.2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</row>
    <row r="2505" spans="1:26" x14ac:dyDescent="0.2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</row>
    <row r="2506" spans="1:26" x14ac:dyDescent="0.2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</row>
    <row r="2507" spans="1:26" x14ac:dyDescent="0.2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</row>
    <row r="2508" spans="1:26" x14ac:dyDescent="0.2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</row>
    <row r="2509" spans="1:26" x14ac:dyDescent="0.2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</row>
    <row r="2510" spans="1:26" x14ac:dyDescent="0.2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</row>
    <row r="2511" spans="1:26" x14ac:dyDescent="0.2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</row>
    <row r="2512" spans="1:26" x14ac:dyDescent="0.2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</row>
    <row r="2513" spans="1:26" x14ac:dyDescent="0.2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</row>
    <row r="2514" spans="1:26" x14ac:dyDescent="0.2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</row>
    <row r="2515" spans="1:26" x14ac:dyDescent="0.2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</row>
    <row r="2516" spans="1:26" x14ac:dyDescent="0.2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</row>
    <row r="2517" spans="1:26" x14ac:dyDescent="0.2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</row>
    <row r="2518" spans="1:26" x14ac:dyDescent="0.2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</row>
    <row r="2519" spans="1:26" x14ac:dyDescent="0.2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</row>
    <row r="2520" spans="1:26" x14ac:dyDescent="0.2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</row>
    <row r="2521" spans="1:26" x14ac:dyDescent="0.2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</row>
    <row r="2522" spans="1:26" x14ac:dyDescent="0.2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</row>
    <row r="2523" spans="1:26" x14ac:dyDescent="0.2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</row>
    <row r="2524" spans="1:26" x14ac:dyDescent="0.2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</row>
    <row r="2525" spans="1:26" x14ac:dyDescent="0.2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</row>
    <row r="2526" spans="1:26" x14ac:dyDescent="0.2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</row>
    <row r="2527" spans="1:26" x14ac:dyDescent="0.2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</row>
    <row r="2528" spans="1:26" x14ac:dyDescent="0.2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</row>
    <row r="2529" spans="1:26" x14ac:dyDescent="0.2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</row>
    <row r="2530" spans="1:26" x14ac:dyDescent="0.2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</row>
    <row r="2531" spans="1:26" x14ac:dyDescent="0.2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</row>
    <row r="2532" spans="1:26" x14ac:dyDescent="0.2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</row>
    <row r="2533" spans="1:26" x14ac:dyDescent="0.2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</row>
    <row r="2534" spans="1:26" x14ac:dyDescent="0.2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</row>
    <row r="2535" spans="1:26" x14ac:dyDescent="0.2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</row>
    <row r="2536" spans="1:26" x14ac:dyDescent="0.2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</row>
    <row r="2537" spans="1:26" x14ac:dyDescent="0.2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</row>
    <row r="2538" spans="1:26" x14ac:dyDescent="0.2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</row>
    <row r="2539" spans="1:26" x14ac:dyDescent="0.2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</row>
    <row r="2540" spans="1:26" x14ac:dyDescent="0.2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</row>
    <row r="2541" spans="1:26" x14ac:dyDescent="0.2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</row>
    <row r="2542" spans="1:26" x14ac:dyDescent="0.2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</row>
    <row r="2543" spans="1:26" x14ac:dyDescent="0.2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</row>
    <row r="2544" spans="1:26" x14ac:dyDescent="0.2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</row>
    <row r="2545" spans="1:26" x14ac:dyDescent="0.2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</row>
    <row r="2546" spans="1:26" x14ac:dyDescent="0.2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</row>
    <row r="2547" spans="1:26" x14ac:dyDescent="0.2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</row>
    <row r="2548" spans="1:26" x14ac:dyDescent="0.2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</row>
    <row r="2549" spans="1:26" x14ac:dyDescent="0.2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</row>
    <row r="2550" spans="1:26" x14ac:dyDescent="0.2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</row>
    <row r="2551" spans="1:26" x14ac:dyDescent="0.2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</row>
    <row r="2552" spans="1:26" x14ac:dyDescent="0.2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</row>
    <row r="2553" spans="1:26" x14ac:dyDescent="0.2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</row>
    <row r="2554" spans="1:26" x14ac:dyDescent="0.2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</row>
    <row r="2555" spans="1:26" x14ac:dyDescent="0.2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</row>
    <row r="2556" spans="1:26" x14ac:dyDescent="0.2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</row>
    <row r="2557" spans="1:26" x14ac:dyDescent="0.2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</row>
    <row r="2558" spans="1:26" x14ac:dyDescent="0.2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</row>
    <row r="2559" spans="1:26" x14ac:dyDescent="0.2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</row>
    <row r="2560" spans="1:26" x14ac:dyDescent="0.2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</row>
    <row r="2561" spans="1:26" x14ac:dyDescent="0.2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</row>
    <row r="2562" spans="1:26" x14ac:dyDescent="0.2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</row>
    <row r="2563" spans="1:26" x14ac:dyDescent="0.2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</row>
    <row r="2564" spans="1:26" x14ac:dyDescent="0.2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</row>
    <row r="2565" spans="1:26" x14ac:dyDescent="0.2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</row>
    <row r="2566" spans="1:26" x14ac:dyDescent="0.2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</row>
    <row r="2567" spans="1:26" x14ac:dyDescent="0.2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</row>
    <row r="2568" spans="1:26" x14ac:dyDescent="0.2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</row>
    <row r="2569" spans="1:26" x14ac:dyDescent="0.2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</row>
    <row r="2570" spans="1:26" x14ac:dyDescent="0.2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</row>
    <row r="2571" spans="1:26" x14ac:dyDescent="0.2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</row>
    <row r="2572" spans="1:26" x14ac:dyDescent="0.2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</row>
    <row r="2573" spans="1:26" x14ac:dyDescent="0.2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</row>
    <row r="2574" spans="1:26" x14ac:dyDescent="0.2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</row>
    <row r="2575" spans="1:26" x14ac:dyDescent="0.2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</row>
    <row r="2576" spans="1:26" x14ac:dyDescent="0.2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</row>
    <row r="2577" spans="1:26" x14ac:dyDescent="0.2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</row>
    <row r="2578" spans="1:26" x14ac:dyDescent="0.2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</row>
    <row r="2579" spans="1:26" x14ac:dyDescent="0.2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</row>
    <row r="2580" spans="1:26" x14ac:dyDescent="0.2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</row>
    <row r="2581" spans="1:26" x14ac:dyDescent="0.2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</row>
    <row r="2582" spans="1:26" x14ac:dyDescent="0.2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</row>
    <row r="2583" spans="1:26" x14ac:dyDescent="0.2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</row>
    <row r="2584" spans="1:26" x14ac:dyDescent="0.2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</row>
    <row r="2585" spans="1:26" x14ac:dyDescent="0.2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</row>
    <row r="2586" spans="1:26" x14ac:dyDescent="0.2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</row>
    <row r="2587" spans="1:26" x14ac:dyDescent="0.2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</row>
    <row r="2588" spans="1:26" x14ac:dyDescent="0.2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</row>
    <row r="2589" spans="1:26" x14ac:dyDescent="0.2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</row>
    <row r="2590" spans="1:26" x14ac:dyDescent="0.2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</row>
    <row r="2591" spans="1:26" x14ac:dyDescent="0.2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</row>
    <row r="2592" spans="1:26" x14ac:dyDescent="0.2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</row>
    <row r="2593" spans="1:26" x14ac:dyDescent="0.2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</row>
    <row r="2594" spans="1:26" x14ac:dyDescent="0.2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</row>
    <row r="2595" spans="1:26" x14ac:dyDescent="0.2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</row>
    <row r="2596" spans="1:26" x14ac:dyDescent="0.2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</row>
    <row r="2597" spans="1:26" x14ac:dyDescent="0.2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</row>
    <row r="2598" spans="1:26" x14ac:dyDescent="0.2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</row>
    <row r="2599" spans="1:26" x14ac:dyDescent="0.2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</row>
    <row r="2600" spans="1:26" x14ac:dyDescent="0.2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</row>
    <row r="2601" spans="1:26" x14ac:dyDescent="0.2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</row>
    <row r="2602" spans="1:26" x14ac:dyDescent="0.2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</row>
    <row r="2603" spans="1:26" x14ac:dyDescent="0.2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</row>
    <row r="2604" spans="1:26" x14ac:dyDescent="0.2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</row>
    <row r="2605" spans="1:26" x14ac:dyDescent="0.2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</row>
    <row r="2606" spans="1:26" x14ac:dyDescent="0.2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</row>
    <row r="2607" spans="1:26" x14ac:dyDescent="0.2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</row>
    <row r="2608" spans="1:26" x14ac:dyDescent="0.2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</row>
    <row r="2609" spans="1:26" x14ac:dyDescent="0.2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</row>
    <row r="2610" spans="1:26" x14ac:dyDescent="0.2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</row>
    <row r="2611" spans="1:26" x14ac:dyDescent="0.2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</row>
    <row r="2612" spans="1:26" x14ac:dyDescent="0.2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</row>
    <row r="2613" spans="1:26" x14ac:dyDescent="0.2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</row>
    <row r="2614" spans="1:26" x14ac:dyDescent="0.2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</row>
    <row r="2615" spans="1:26" x14ac:dyDescent="0.2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</row>
    <row r="2616" spans="1:26" x14ac:dyDescent="0.2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</row>
    <row r="2617" spans="1:26" x14ac:dyDescent="0.2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</row>
    <row r="2618" spans="1:26" x14ac:dyDescent="0.2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</row>
    <row r="2619" spans="1:26" x14ac:dyDescent="0.2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</row>
    <row r="2620" spans="1:26" x14ac:dyDescent="0.2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</row>
    <row r="2621" spans="1:26" x14ac:dyDescent="0.2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</row>
    <row r="2622" spans="1:26" x14ac:dyDescent="0.2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</row>
    <row r="2623" spans="1:26" x14ac:dyDescent="0.2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</row>
    <row r="2624" spans="1:26" x14ac:dyDescent="0.2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</row>
    <row r="2625" spans="1:26" x14ac:dyDescent="0.2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</row>
    <row r="2626" spans="1:26" x14ac:dyDescent="0.2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</row>
    <row r="2627" spans="1:26" x14ac:dyDescent="0.2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</row>
    <row r="2628" spans="1:26" x14ac:dyDescent="0.2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</row>
    <row r="2629" spans="1:26" x14ac:dyDescent="0.2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</row>
    <row r="2630" spans="1:26" x14ac:dyDescent="0.2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</row>
    <row r="2631" spans="1:26" x14ac:dyDescent="0.2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</row>
    <row r="2632" spans="1:26" x14ac:dyDescent="0.2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</row>
    <row r="2633" spans="1:26" x14ac:dyDescent="0.2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</row>
    <row r="2634" spans="1:26" x14ac:dyDescent="0.2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</row>
    <row r="2635" spans="1:26" x14ac:dyDescent="0.2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</row>
    <row r="2636" spans="1:26" x14ac:dyDescent="0.2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</row>
    <row r="2637" spans="1:26" x14ac:dyDescent="0.2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</row>
    <row r="2638" spans="1:26" x14ac:dyDescent="0.2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</row>
    <row r="2639" spans="1:26" x14ac:dyDescent="0.2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</row>
    <row r="2640" spans="1:26" x14ac:dyDescent="0.2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</row>
    <row r="2641" spans="1:26" x14ac:dyDescent="0.2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</row>
    <row r="2642" spans="1:26" x14ac:dyDescent="0.2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</row>
    <row r="2643" spans="1:26" x14ac:dyDescent="0.2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</row>
    <row r="2644" spans="1:26" x14ac:dyDescent="0.2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</row>
    <row r="2645" spans="1:26" x14ac:dyDescent="0.2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</row>
    <row r="2646" spans="1:26" x14ac:dyDescent="0.2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</row>
    <row r="2647" spans="1:26" x14ac:dyDescent="0.2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</row>
    <row r="2648" spans="1:26" x14ac:dyDescent="0.2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</row>
    <row r="2649" spans="1:26" x14ac:dyDescent="0.2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</row>
    <row r="2650" spans="1:26" x14ac:dyDescent="0.2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</row>
    <row r="2651" spans="1:26" x14ac:dyDescent="0.2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</row>
    <row r="2652" spans="1:26" x14ac:dyDescent="0.2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</row>
    <row r="2653" spans="1:26" x14ac:dyDescent="0.2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</row>
    <row r="2654" spans="1:26" x14ac:dyDescent="0.2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</row>
    <row r="2655" spans="1:26" x14ac:dyDescent="0.2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</row>
    <row r="2656" spans="1:26" x14ac:dyDescent="0.2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</row>
    <row r="2657" spans="1:26" x14ac:dyDescent="0.2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</row>
    <row r="2658" spans="1:26" x14ac:dyDescent="0.2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</row>
    <row r="2659" spans="1:26" x14ac:dyDescent="0.2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</row>
    <row r="2660" spans="1:26" x14ac:dyDescent="0.2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</row>
    <row r="2661" spans="1:26" x14ac:dyDescent="0.2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</row>
    <row r="2662" spans="1:26" x14ac:dyDescent="0.2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</row>
    <row r="2663" spans="1:26" x14ac:dyDescent="0.2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</row>
    <row r="2664" spans="1:26" x14ac:dyDescent="0.2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</row>
    <row r="2665" spans="1:26" x14ac:dyDescent="0.2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</row>
    <row r="2666" spans="1:26" x14ac:dyDescent="0.2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</row>
    <row r="2667" spans="1:26" x14ac:dyDescent="0.2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</row>
    <row r="2668" spans="1:26" x14ac:dyDescent="0.2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</row>
    <row r="2669" spans="1:26" x14ac:dyDescent="0.2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</row>
    <row r="2670" spans="1:26" x14ac:dyDescent="0.2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</row>
    <row r="2671" spans="1:26" x14ac:dyDescent="0.2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</row>
    <row r="2672" spans="1:26" x14ac:dyDescent="0.2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</row>
    <row r="2673" spans="1:26" x14ac:dyDescent="0.2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</row>
    <row r="2674" spans="1:26" x14ac:dyDescent="0.2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</row>
    <row r="2675" spans="1:26" x14ac:dyDescent="0.2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</row>
    <row r="2676" spans="1:26" x14ac:dyDescent="0.2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</row>
    <row r="2677" spans="1:26" x14ac:dyDescent="0.2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</row>
    <row r="2678" spans="1:26" x14ac:dyDescent="0.2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</row>
    <row r="2679" spans="1:26" x14ac:dyDescent="0.2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</row>
    <row r="2680" spans="1:26" x14ac:dyDescent="0.2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</row>
    <row r="2681" spans="1:26" x14ac:dyDescent="0.2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</row>
    <row r="2682" spans="1:26" x14ac:dyDescent="0.2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</row>
    <row r="2683" spans="1:26" x14ac:dyDescent="0.2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</row>
    <row r="2684" spans="1:26" x14ac:dyDescent="0.2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</row>
    <row r="2685" spans="1:26" x14ac:dyDescent="0.2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</row>
    <row r="2686" spans="1:26" x14ac:dyDescent="0.2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</row>
    <row r="2687" spans="1:26" x14ac:dyDescent="0.2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</row>
    <row r="2688" spans="1:26" x14ac:dyDescent="0.2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</row>
    <row r="2689" spans="1:26" x14ac:dyDescent="0.2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</row>
    <row r="2690" spans="1:26" x14ac:dyDescent="0.2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</row>
    <row r="2691" spans="1:26" x14ac:dyDescent="0.2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</row>
    <row r="2692" spans="1:26" x14ac:dyDescent="0.2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</row>
    <row r="2693" spans="1:26" x14ac:dyDescent="0.2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</row>
    <row r="2694" spans="1:26" x14ac:dyDescent="0.2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</row>
    <row r="2695" spans="1:26" x14ac:dyDescent="0.2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</row>
    <row r="2696" spans="1:26" x14ac:dyDescent="0.2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</row>
    <row r="2697" spans="1:26" x14ac:dyDescent="0.2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</row>
    <row r="2698" spans="1:26" x14ac:dyDescent="0.2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</row>
    <row r="2699" spans="1:26" x14ac:dyDescent="0.2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</row>
    <row r="2700" spans="1:26" x14ac:dyDescent="0.2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</row>
    <row r="2701" spans="1:26" x14ac:dyDescent="0.2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</row>
    <row r="2702" spans="1:26" x14ac:dyDescent="0.2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</row>
    <row r="2703" spans="1:26" x14ac:dyDescent="0.2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</row>
    <row r="2704" spans="1:26" x14ac:dyDescent="0.2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</row>
    <row r="2705" spans="1:26" x14ac:dyDescent="0.2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</row>
    <row r="2706" spans="1:26" x14ac:dyDescent="0.2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</row>
    <row r="2707" spans="1:26" x14ac:dyDescent="0.2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</row>
    <row r="2708" spans="1:26" x14ac:dyDescent="0.2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</row>
    <row r="2709" spans="1:26" x14ac:dyDescent="0.2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</row>
    <row r="2710" spans="1:26" x14ac:dyDescent="0.2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</row>
    <row r="2711" spans="1:26" x14ac:dyDescent="0.2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</row>
    <row r="2712" spans="1:26" x14ac:dyDescent="0.2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</row>
    <row r="2713" spans="1:26" x14ac:dyDescent="0.2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</row>
    <row r="2714" spans="1:26" x14ac:dyDescent="0.2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</row>
    <row r="2715" spans="1:26" x14ac:dyDescent="0.2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</row>
    <row r="2716" spans="1:26" x14ac:dyDescent="0.2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</row>
    <row r="2717" spans="1:26" x14ac:dyDescent="0.2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</row>
    <row r="2718" spans="1:26" x14ac:dyDescent="0.2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</row>
    <row r="2719" spans="1:26" x14ac:dyDescent="0.2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</row>
    <row r="2720" spans="1:26" x14ac:dyDescent="0.2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</row>
    <row r="2721" spans="1:26" x14ac:dyDescent="0.2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</row>
    <row r="2722" spans="1:26" x14ac:dyDescent="0.2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</row>
    <row r="2723" spans="1:26" x14ac:dyDescent="0.2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</row>
    <row r="2724" spans="1:26" x14ac:dyDescent="0.2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</row>
    <row r="2725" spans="1:26" x14ac:dyDescent="0.2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</row>
    <row r="2726" spans="1:26" x14ac:dyDescent="0.2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</row>
    <row r="2727" spans="1:26" x14ac:dyDescent="0.2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</row>
    <row r="2728" spans="1:26" x14ac:dyDescent="0.2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</row>
    <row r="2729" spans="1:26" x14ac:dyDescent="0.2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</row>
    <row r="2730" spans="1:26" x14ac:dyDescent="0.2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</row>
    <row r="2731" spans="1:26" x14ac:dyDescent="0.2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</row>
    <row r="2732" spans="1:26" x14ac:dyDescent="0.2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</row>
    <row r="2733" spans="1:26" x14ac:dyDescent="0.2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</row>
    <row r="2734" spans="1:26" x14ac:dyDescent="0.2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</row>
    <row r="2735" spans="1:26" x14ac:dyDescent="0.2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</row>
    <row r="2736" spans="1:26" x14ac:dyDescent="0.2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</row>
    <row r="2737" spans="1:26" x14ac:dyDescent="0.2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</row>
    <row r="2738" spans="1:26" x14ac:dyDescent="0.2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</row>
    <row r="2739" spans="1:26" x14ac:dyDescent="0.2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</row>
    <row r="2740" spans="1:26" x14ac:dyDescent="0.2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</row>
    <row r="2741" spans="1:26" x14ac:dyDescent="0.2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</row>
    <row r="2742" spans="1:26" x14ac:dyDescent="0.2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</row>
    <row r="2743" spans="1:26" x14ac:dyDescent="0.2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</row>
    <row r="2744" spans="1:26" x14ac:dyDescent="0.2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</row>
    <row r="2745" spans="1:26" x14ac:dyDescent="0.2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</row>
    <row r="2746" spans="1:26" x14ac:dyDescent="0.2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</row>
    <row r="2747" spans="1:26" x14ac:dyDescent="0.2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</row>
    <row r="2748" spans="1:26" x14ac:dyDescent="0.2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</row>
    <row r="2749" spans="1:26" x14ac:dyDescent="0.2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</row>
    <row r="2750" spans="1:26" x14ac:dyDescent="0.2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</row>
    <row r="2751" spans="1:26" x14ac:dyDescent="0.2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</row>
    <row r="2752" spans="1:26" x14ac:dyDescent="0.2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</row>
    <row r="2753" spans="1:26" x14ac:dyDescent="0.2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</row>
    <row r="2754" spans="1:26" x14ac:dyDescent="0.2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</row>
    <row r="2755" spans="1:26" x14ac:dyDescent="0.2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</row>
    <row r="2756" spans="1:26" x14ac:dyDescent="0.2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</row>
    <row r="2757" spans="1:26" x14ac:dyDescent="0.2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</row>
    <row r="2758" spans="1:26" x14ac:dyDescent="0.2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</row>
    <row r="2759" spans="1:26" x14ac:dyDescent="0.2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</row>
    <row r="2760" spans="1:26" x14ac:dyDescent="0.2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</row>
    <row r="2761" spans="1:26" x14ac:dyDescent="0.2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</row>
    <row r="2762" spans="1:26" x14ac:dyDescent="0.2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</row>
    <row r="2763" spans="1:26" x14ac:dyDescent="0.2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</row>
    <row r="2764" spans="1:26" x14ac:dyDescent="0.2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</row>
    <row r="2765" spans="1:26" x14ac:dyDescent="0.2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</row>
    <row r="2766" spans="1:26" x14ac:dyDescent="0.2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</row>
    <row r="2767" spans="1:26" x14ac:dyDescent="0.2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</row>
    <row r="2768" spans="1:26" x14ac:dyDescent="0.2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</row>
    <row r="2769" spans="1:26" x14ac:dyDescent="0.2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</row>
    <row r="2770" spans="1:26" x14ac:dyDescent="0.2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</row>
    <row r="2771" spans="1:26" x14ac:dyDescent="0.2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</row>
    <row r="2772" spans="1:26" x14ac:dyDescent="0.2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</row>
    <row r="2773" spans="1:26" x14ac:dyDescent="0.2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</row>
    <row r="2774" spans="1:26" x14ac:dyDescent="0.2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</row>
    <row r="2775" spans="1:26" x14ac:dyDescent="0.2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</row>
    <row r="2776" spans="1:26" x14ac:dyDescent="0.2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</row>
    <row r="2777" spans="1:26" x14ac:dyDescent="0.2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</row>
    <row r="2778" spans="1:26" x14ac:dyDescent="0.2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</row>
    <row r="2779" spans="1:26" x14ac:dyDescent="0.2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</row>
    <row r="2780" spans="1:26" x14ac:dyDescent="0.2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</row>
    <row r="2781" spans="1:26" x14ac:dyDescent="0.2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</row>
    <row r="2782" spans="1:26" x14ac:dyDescent="0.2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</row>
    <row r="2783" spans="1:26" x14ac:dyDescent="0.2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</row>
    <row r="2784" spans="1:26" x14ac:dyDescent="0.2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</row>
    <row r="2785" spans="1:26" x14ac:dyDescent="0.2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</row>
    <row r="2786" spans="1:26" x14ac:dyDescent="0.2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</row>
    <row r="2787" spans="1:26" x14ac:dyDescent="0.2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</row>
    <row r="2788" spans="1:26" x14ac:dyDescent="0.2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</row>
    <row r="2789" spans="1:26" x14ac:dyDescent="0.2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</row>
    <row r="2790" spans="1:26" x14ac:dyDescent="0.2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</row>
    <row r="2791" spans="1:26" x14ac:dyDescent="0.2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</row>
    <row r="2792" spans="1:26" x14ac:dyDescent="0.2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</row>
    <row r="2793" spans="1:26" x14ac:dyDescent="0.2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</row>
    <row r="2794" spans="1:26" x14ac:dyDescent="0.2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</row>
    <row r="2795" spans="1:26" x14ac:dyDescent="0.2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</row>
    <row r="2796" spans="1:26" x14ac:dyDescent="0.2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</row>
    <row r="2797" spans="1:26" x14ac:dyDescent="0.2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</row>
    <row r="2798" spans="1:26" x14ac:dyDescent="0.2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</row>
    <row r="2799" spans="1:26" x14ac:dyDescent="0.2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</row>
    <row r="2800" spans="1:26" x14ac:dyDescent="0.2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</row>
    <row r="2801" spans="1:26" x14ac:dyDescent="0.2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</row>
    <row r="2802" spans="1:26" x14ac:dyDescent="0.2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</row>
    <row r="2803" spans="1:26" x14ac:dyDescent="0.2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</row>
    <row r="2804" spans="1:26" x14ac:dyDescent="0.2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</row>
    <row r="2805" spans="1:26" x14ac:dyDescent="0.2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</row>
    <row r="2806" spans="1:26" x14ac:dyDescent="0.2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</row>
    <row r="2807" spans="1:26" x14ac:dyDescent="0.2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</row>
    <row r="2808" spans="1:26" x14ac:dyDescent="0.2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</row>
    <row r="2809" spans="1:26" x14ac:dyDescent="0.2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</row>
    <row r="2810" spans="1:26" x14ac:dyDescent="0.2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</row>
    <row r="2811" spans="1:26" x14ac:dyDescent="0.2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</row>
    <row r="2812" spans="1:26" x14ac:dyDescent="0.2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</row>
    <row r="2813" spans="1:26" x14ac:dyDescent="0.2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</row>
    <row r="2814" spans="1:26" x14ac:dyDescent="0.2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</row>
    <row r="2815" spans="1:26" x14ac:dyDescent="0.2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</row>
    <row r="2816" spans="1:26" x14ac:dyDescent="0.2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</row>
    <row r="2817" spans="1:26" x14ac:dyDescent="0.2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</row>
    <row r="2818" spans="1:26" x14ac:dyDescent="0.2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</row>
    <row r="2819" spans="1:26" x14ac:dyDescent="0.2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</row>
    <row r="2820" spans="1:26" x14ac:dyDescent="0.2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</row>
    <row r="2821" spans="1:26" x14ac:dyDescent="0.2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</row>
    <row r="2822" spans="1:26" x14ac:dyDescent="0.2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</row>
    <row r="2823" spans="1:26" x14ac:dyDescent="0.2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</row>
    <row r="2824" spans="1:26" x14ac:dyDescent="0.2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</row>
    <row r="2825" spans="1:26" x14ac:dyDescent="0.2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</row>
    <row r="2826" spans="1:26" x14ac:dyDescent="0.2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</row>
    <row r="2827" spans="1:26" x14ac:dyDescent="0.2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</row>
    <row r="2828" spans="1:26" x14ac:dyDescent="0.2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</row>
    <row r="2829" spans="1:26" x14ac:dyDescent="0.2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</row>
    <row r="2830" spans="1:26" x14ac:dyDescent="0.2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</row>
    <row r="2831" spans="1:26" x14ac:dyDescent="0.2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</row>
    <row r="2832" spans="1:26" x14ac:dyDescent="0.2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</row>
    <row r="2833" spans="1:26" x14ac:dyDescent="0.2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</row>
    <row r="2834" spans="1:26" x14ac:dyDescent="0.2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</row>
    <row r="2835" spans="1:26" x14ac:dyDescent="0.2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</row>
    <row r="2836" spans="1:26" x14ac:dyDescent="0.2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</row>
    <row r="2837" spans="1:26" x14ac:dyDescent="0.2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</row>
    <row r="2838" spans="1:26" x14ac:dyDescent="0.2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</row>
    <row r="2839" spans="1:26" x14ac:dyDescent="0.2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</row>
    <row r="2840" spans="1:26" x14ac:dyDescent="0.2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</row>
    <row r="2841" spans="1:26" x14ac:dyDescent="0.2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</row>
    <row r="2842" spans="1:26" x14ac:dyDescent="0.2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</row>
    <row r="2843" spans="1:26" x14ac:dyDescent="0.2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</row>
    <row r="2844" spans="1:26" x14ac:dyDescent="0.2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</row>
    <row r="2845" spans="1:26" x14ac:dyDescent="0.2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</row>
    <row r="2846" spans="1:26" x14ac:dyDescent="0.2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</row>
    <row r="2847" spans="1:26" x14ac:dyDescent="0.2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</row>
    <row r="2848" spans="1:26" x14ac:dyDescent="0.2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</row>
    <row r="2849" spans="1:26" x14ac:dyDescent="0.2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</row>
    <row r="2850" spans="1:26" x14ac:dyDescent="0.2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</row>
    <row r="2851" spans="1:26" x14ac:dyDescent="0.2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</row>
    <row r="2852" spans="1:26" x14ac:dyDescent="0.2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</row>
    <row r="2853" spans="1:26" x14ac:dyDescent="0.2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</row>
    <row r="2854" spans="1:26" x14ac:dyDescent="0.2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</row>
    <row r="2855" spans="1:26" x14ac:dyDescent="0.2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</row>
    <row r="2856" spans="1:26" x14ac:dyDescent="0.2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</row>
    <row r="2857" spans="1:26" x14ac:dyDescent="0.2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</row>
    <row r="2858" spans="1:26" x14ac:dyDescent="0.2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</row>
    <row r="2859" spans="1:26" x14ac:dyDescent="0.2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</row>
    <row r="2860" spans="1:26" x14ac:dyDescent="0.2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</row>
    <row r="2861" spans="1:26" x14ac:dyDescent="0.2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</row>
    <row r="2862" spans="1:26" x14ac:dyDescent="0.2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</row>
    <row r="2863" spans="1:26" x14ac:dyDescent="0.2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</row>
    <row r="2864" spans="1:26" x14ac:dyDescent="0.2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</row>
    <row r="2865" spans="1:26" x14ac:dyDescent="0.2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</row>
    <row r="2866" spans="1:26" x14ac:dyDescent="0.2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</row>
    <row r="2867" spans="1:26" x14ac:dyDescent="0.2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</row>
    <row r="2868" spans="1:26" x14ac:dyDescent="0.2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</row>
    <row r="2869" spans="1:26" x14ac:dyDescent="0.2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</row>
    <row r="2870" spans="1:26" x14ac:dyDescent="0.2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</row>
    <row r="2871" spans="1:26" x14ac:dyDescent="0.2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</row>
    <row r="2872" spans="1:26" x14ac:dyDescent="0.2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</row>
    <row r="2873" spans="1:26" x14ac:dyDescent="0.2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</row>
    <row r="2874" spans="1:26" x14ac:dyDescent="0.2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</row>
    <row r="2875" spans="1:26" x14ac:dyDescent="0.2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</row>
    <row r="2876" spans="1:26" x14ac:dyDescent="0.2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</row>
    <row r="2877" spans="1:26" x14ac:dyDescent="0.2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</row>
    <row r="2878" spans="1:26" x14ac:dyDescent="0.2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</row>
    <row r="2879" spans="1:26" x14ac:dyDescent="0.2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</row>
    <row r="2880" spans="1:26" x14ac:dyDescent="0.2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</row>
    <row r="2881" spans="1:26" x14ac:dyDescent="0.2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</row>
    <row r="2882" spans="1:26" x14ac:dyDescent="0.2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</row>
    <row r="2883" spans="1:26" x14ac:dyDescent="0.2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</row>
    <row r="2884" spans="1:26" x14ac:dyDescent="0.2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</row>
    <row r="2885" spans="1:26" x14ac:dyDescent="0.2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</row>
    <row r="2886" spans="1:26" x14ac:dyDescent="0.2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</row>
    <row r="2887" spans="1:26" x14ac:dyDescent="0.2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</row>
    <row r="2888" spans="1:26" x14ac:dyDescent="0.2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</row>
    <row r="2889" spans="1:26" x14ac:dyDescent="0.2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</row>
    <row r="2890" spans="1:26" x14ac:dyDescent="0.2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</row>
    <row r="2891" spans="1:26" x14ac:dyDescent="0.2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</row>
    <row r="2892" spans="1:26" x14ac:dyDescent="0.2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</row>
    <row r="2893" spans="1:26" x14ac:dyDescent="0.2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</row>
    <row r="2894" spans="1:26" x14ac:dyDescent="0.2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</row>
    <row r="2895" spans="1:26" x14ac:dyDescent="0.2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</row>
    <row r="2896" spans="1:26" x14ac:dyDescent="0.2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</row>
    <row r="2897" spans="1:26" x14ac:dyDescent="0.2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</row>
    <row r="2898" spans="1:26" x14ac:dyDescent="0.2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</row>
    <row r="2899" spans="1:26" x14ac:dyDescent="0.2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</row>
    <row r="2900" spans="1:26" x14ac:dyDescent="0.2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</row>
    <row r="2901" spans="1:26" x14ac:dyDescent="0.2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</row>
    <row r="2902" spans="1:26" x14ac:dyDescent="0.2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</row>
    <row r="2903" spans="1:26" x14ac:dyDescent="0.2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</row>
    <row r="2904" spans="1:26" x14ac:dyDescent="0.2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</row>
    <row r="2905" spans="1:26" x14ac:dyDescent="0.2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</row>
    <row r="2906" spans="1:26" x14ac:dyDescent="0.2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</row>
    <row r="2907" spans="1:26" x14ac:dyDescent="0.2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</row>
    <row r="2908" spans="1:26" x14ac:dyDescent="0.2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</row>
    <row r="2909" spans="1:26" x14ac:dyDescent="0.2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</row>
    <row r="2910" spans="1:26" x14ac:dyDescent="0.2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</row>
    <row r="2911" spans="1:26" x14ac:dyDescent="0.2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</row>
    <row r="2912" spans="1:26" x14ac:dyDescent="0.2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</row>
    <row r="2913" spans="1:26" x14ac:dyDescent="0.2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</row>
    <row r="2914" spans="1:26" x14ac:dyDescent="0.2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</row>
    <row r="2915" spans="1:26" x14ac:dyDescent="0.2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</row>
    <row r="2916" spans="1:26" x14ac:dyDescent="0.2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</row>
    <row r="2917" spans="1:26" x14ac:dyDescent="0.2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</row>
    <row r="2918" spans="1:26" x14ac:dyDescent="0.2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</row>
    <row r="2919" spans="1:26" x14ac:dyDescent="0.2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</row>
    <row r="2920" spans="1:26" x14ac:dyDescent="0.2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</row>
    <row r="2921" spans="1:26" x14ac:dyDescent="0.2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</row>
    <row r="2922" spans="1:26" x14ac:dyDescent="0.2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</row>
    <row r="2923" spans="1:26" x14ac:dyDescent="0.2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</row>
    <row r="2924" spans="1:26" x14ac:dyDescent="0.2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</row>
    <row r="2925" spans="1:26" x14ac:dyDescent="0.2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</row>
    <row r="2926" spans="1:26" x14ac:dyDescent="0.2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</row>
    <row r="2927" spans="1:26" x14ac:dyDescent="0.2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</row>
    <row r="2928" spans="1:26" x14ac:dyDescent="0.2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</row>
    <row r="2929" spans="1:26" x14ac:dyDescent="0.2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</row>
    <row r="2930" spans="1:26" x14ac:dyDescent="0.2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</row>
    <row r="2931" spans="1:26" x14ac:dyDescent="0.2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</row>
    <row r="2932" spans="1:26" x14ac:dyDescent="0.2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</row>
    <row r="2933" spans="1:26" x14ac:dyDescent="0.2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</row>
    <row r="2934" spans="1:26" x14ac:dyDescent="0.2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</row>
    <row r="2935" spans="1:26" x14ac:dyDescent="0.2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</row>
    <row r="2936" spans="1:26" x14ac:dyDescent="0.2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</row>
    <row r="2937" spans="1:26" x14ac:dyDescent="0.2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</row>
    <row r="2938" spans="1:26" x14ac:dyDescent="0.2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</row>
    <row r="2939" spans="1:26" x14ac:dyDescent="0.2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</row>
    <row r="2940" spans="1:26" x14ac:dyDescent="0.2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</row>
    <row r="2941" spans="1:26" x14ac:dyDescent="0.2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</row>
    <row r="2942" spans="1:26" x14ac:dyDescent="0.2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</row>
    <row r="2943" spans="1:26" x14ac:dyDescent="0.2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</row>
    <row r="2944" spans="1:26" x14ac:dyDescent="0.2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</row>
    <row r="2945" spans="1:26" x14ac:dyDescent="0.2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</row>
    <row r="2946" spans="1:26" x14ac:dyDescent="0.2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</row>
    <row r="2947" spans="1:26" x14ac:dyDescent="0.2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</row>
    <row r="2948" spans="1:26" x14ac:dyDescent="0.2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</row>
    <row r="2949" spans="1:26" x14ac:dyDescent="0.2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</row>
    <row r="2950" spans="1:26" x14ac:dyDescent="0.2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</row>
    <row r="2951" spans="1:26" x14ac:dyDescent="0.2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</row>
    <row r="2952" spans="1:26" x14ac:dyDescent="0.2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</row>
    <row r="2953" spans="1:26" x14ac:dyDescent="0.2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</row>
    <row r="2954" spans="1:26" x14ac:dyDescent="0.2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</row>
    <row r="2955" spans="1:26" x14ac:dyDescent="0.2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</row>
    <row r="2956" spans="1:26" x14ac:dyDescent="0.2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</row>
    <row r="2957" spans="1:26" x14ac:dyDescent="0.2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</row>
    <row r="2958" spans="1:26" x14ac:dyDescent="0.2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</row>
    <row r="2959" spans="1:26" x14ac:dyDescent="0.2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</row>
    <row r="2960" spans="1:26" x14ac:dyDescent="0.2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</row>
    <row r="2961" spans="1:26" x14ac:dyDescent="0.2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</row>
    <row r="2962" spans="1:26" x14ac:dyDescent="0.2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</row>
    <row r="2963" spans="1:26" x14ac:dyDescent="0.2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</row>
    <row r="2964" spans="1:26" x14ac:dyDescent="0.2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</row>
    <row r="2965" spans="1:26" x14ac:dyDescent="0.2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</row>
    <row r="2966" spans="1:26" x14ac:dyDescent="0.2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</row>
    <row r="2967" spans="1:26" x14ac:dyDescent="0.2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</row>
    <row r="2968" spans="1:26" x14ac:dyDescent="0.2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</row>
    <row r="2969" spans="1:26" x14ac:dyDescent="0.2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/>
      <c r="Z2969" s="1"/>
    </row>
    <row r="2970" spans="1:26" x14ac:dyDescent="0.2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</row>
    <row r="2971" spans="1:26" x14ac:dyDescent="0.2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</row>
    <row r="2972" spans="1:26" x14ac:dyDescent="0.2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</row>
    <row r="2973" spans="1:26" x14ac:dyDescent="0.2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</row>
    <row r="2974" spans="1:26" x14ac:dyDescent="0.2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</row>
    <row r="2975" spans="1:26" x14ac:dyDescent="0.2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</row>
    <row r="2976" spans="1:26" x14ac:dyDescent="0.2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</row>
    <row r="2977" spans="1:26" x14ac:dyDescent="0.2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</row>
    <row r="2978" spans="1:26" x14ac:dyDescent="0.2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</row>
    <row r="2979" spans="1:26" x14ac:dyDescent="0.2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</row>
    <row r="2980" spans="1:26" x14ac:dyDescent="0.2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</row>
    <row r="2981" spans="1:26" x14ac:dyDescent="0.2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</row>
    <row r="2982" spans="1:26" x14ac:dyDescent="0.2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</row>
    <row r="2983" spans="1:26" x14ac:dyDescent="0.2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</row>
    <row r="2984" spans="1:26" x14ac:dyDescent="0.2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</row>
    <row r="2985" spans="1:26" x14ac:dyDescent="0.2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</row>
    <row r="2986" spans="1:26" x14ac:dyDescent="0.2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</row>
    <row r="2987" spans="1:26" x14ac:dyDescent="0.2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</row>
    <row r="2988" spans="1:26" x14ac:dyDescent="0.2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</row>
    <row r="2989" spans="1:26" x14ac:dyDescent="0.2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</row>
    <row r="2990" spans="1:26" x14ac:dyDescent="0.2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</row>
    <row r="2991" spans="1:26" x14ac:dyDescent="0.2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</row>
    <row r="2992" spans="1:26" x14ac:dyDescent="0.2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</row>
    <row r="2993" spans="1:26" x14ac:dyDescent="0.2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</row>
    <row r="2994" spans="1:26" x14ac:dyDescent="0.2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</row>
    <row r="2995" spans="1:26" x14ac:dyDescent="0.2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</row>
    <row r="2996" spans="1:26" x14ac:dyDescent="0.2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</row>
    <row r="2997" spans="1:26" x14ac:dyDescent="0.2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</row>
    <row r="2998" spans="1:26" x14ac:dyDescent="0.2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  <c r="X2998" s="1"/>
      <c r="Y2998" s="1"/>
      <c r="Z2998" s="1"/>
    </row>
    <row r="2999" spans="1:26" x14ac:dyDescent="0.2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  <c r="X2999" s="1"/>
      <c r="Y2999" s="1"/>
      <c r="Z2999" s="1"/>
    </row>
    <row r="3000" spans="1:26" x14ac:dyDescent="0.2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  <c r="X3000" s="1"/>
      <c r="Y3000" s="1"/>
      <c r="Z3000" s="1"/>
    </row>
    <row r="3001" spans="1:26" x14ac:dyDescent="0.2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</row>
    <row r="3002" spans="1:26" x14ac:dyDescent="0.2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  <c r="X3002" s="1"/>
      <c r="Y3002" s="1"/>
      <c r="Z3002" s="1"/>
    </row>
    <row r="3003" spans="1:26" x14ac:dyDescent="0.2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  <c r="X3003" s="1"/>
      <c r="Y3003" s="1"/>
      <c r="Z3003" s="1"/>
    </row>
    <row r="3004" spans="1:26" x14ac:dyDescent="0.2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  <c r="X3004" s="1"/>
      <c r="Y3004" s="1"/>
      <c r="Z3004" s="1"/>
    </row>
    <row r="3005" spans="1:26" x14ac:dyDescent="0.2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  <c r="X3005" s="1"/>
      <c r="Y3005" s="1"/>
      <c r="Z3005" s="1"/>
    </row>
    <row r="3006" spans="1:26" x14ac:dyDescent="0.2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  <c r="Q3006" s="1"/>
      <c r="R3006" s="1"/>
      <c r="S3006" s="1"/>
      <c r="T3006" s="1"/>
      <c r="U3006" s="1"/>
      <c r="V3006" s="1"/>
      <c r="W3006" s="1"/>
      <c r="X3006" s="1"/>
      <c r="Y3006" s="1"/>
      <c r="Z3006" s="1"/>
    </row>
    <row r="3007" spans="1:26" x14ac:dyDescent="0.2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  <c r="Q3007" s="1"/>
      <c r="R3007" s="1"/>
      <c r="S3007" s="1"/>
      <c r="T3007" s="1"/>
      <c r="U3007" s="1"/>
      <c r="V3007" s="1"/>
      <c r="W3007" s="1"/>
      <c r="X3007" s="1"/>
      <c r="Y3007" s="1"/>
      <c r="Z3007" s="1"/>
    </row>
    <row r="3008" spans="1:26" x14ac:dyDescent="0.2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  <c r="X3008" s="1"/>
      <c r="Y3008" s="1"/>
      <c r="Z3008" s="1"/>
    </row>
    <row r="3009" spans="1:26" x14ac:dyDescent="0.2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  <c r="Q3009" s="1"/>
      <c r="R3009" s="1"/>
      <c r="S3009" s="1"/>
      <c r="T3009" s="1"/>
      <c r="U3009" s="1"/>
      <c r="V3009" s="1"/>
      <c r="W3009" s="1"/>
      <c r="X3009" s="1"/>
      <c r="Y3009" s="1"/>
      <c r="Z3009" s="1"/>
    </row>
    <row r="3010" spans="1:26" x14ac:dyDescent="0.2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  <c r="Q3010" s="1"/>
      <c r="R3010" s="1"/>
      <c r="S3010" s="1"/>
      <c r="T3010" s="1"/>
      <c r="U3010" s="1"/>
      <c r="V3010" s="1"/>
      <c r="W3010" s="1"/>
      <c r="X3010" s="1"/>
      <c r="Y3010" s="1"/>
      <c r="Z3010" s="1"/>
    </row>
    <row r="3011" spans="1:26" x14ac:dyDescent="0.2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  <c r="Q3011" s="1"/>
      <c r="R3011" s="1"/>
      <c r="S3011" s="1"/>
      <c r="T3011" s="1"/>
      <c r="U3011" s="1"/>
      <c r="V3011" s="1"/>
      <c r="W3011" s="1"/>
      <c r="X3011" s="1"/>
      <c r="Y3011" s="1"/>
      <c r="Z3011" s="1"/>
    </row>
    <row r="3012" spans="1:26" x14ac:dyDescent="0.2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  <c r="Q3012" s="1"/>
      <c r="R3012" s="1"/>
      <c r="S3012" s="1"/>
      <c r="T3012" s="1"/>
      <c r="U3012" s="1"/>
      <c r="V3012" s="1"/>
      <c r="W3012" s="1"/>
      <c r="X3012" s="1"/>
      <c r="Y3012" s="1"/>
      <c r="Z3012" s="1"/>
    </row>
    <row r="3013" spans="1:26" x14ac:dyDescent="0.2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  <c r="Q3013" s="1"/>
      <c r="R3013" s="1"/>
      <c r="S3013" s="1"/>
      <c r="T3013" s="1"/>
      <c r="U3013" s="1"/>
      <c r="V3013" s="1"/>
      <c r="W3013" s="1"/>
      <c r="X3013" s="1"/>
      <c r="Y3013" s="1"/>
      <c r="Z3013" s="1"/>
    </row>
    <row r="3014" spans="1:26" x14ac:dyDescent="0.2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  <c r="Q3014" s="1"/>
      <c r="R3014" s="1"/>
      <c r="S3014" s="1"/>
      <c r="T3014" s="1"/>
      <c r="U3014" s="1"/>
      <c r="V3014" s="1"/>
      <c r="W3014" s="1"/>
      <c r="X3014" s="1"/>
      <c r="Y3014" s="1"/>
      <c r="Z3014" s="1"/>
    </row>
    <row r="3015" spans="1:26" x14ac:dyDescent="0.2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  <c r="Q3015" s="1"/>
      <c r="R3015" s="1"/>
      <c r="S3015" s="1"/>
      <c r="T3015" s="1"/>
      <c r="U3015" s="1"/>
      <c r="V3015" s="1"/>
      <c r="W3015" s="1"/>
      <c r="X3015" s="1"/>
      <c r="Y3015" s="1"/>
      <c r="Z3015" s="1"/>
    </row>
    <row r="3016" spans="1:26" x14ac:dyDescent="0.2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  <c r="Q3016" s="1"/>
      <c r="R3016" s="1"/>
      <c r="S3016" s="1"/>
      <c r="T3016" s="1"/>
      <c r="U3016" s="1"/>
      <c r="V3016" s="1"/>
      <c r="W3016" s="1"/>
      <c r="X3016" s="1"/>
      <c r="Y3016" s="1"/>
      <c r="Z3016" s="1"/>
    </row>
    <row r="3017" spans="1:26" x14ac:dyDescent="0.2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  <c r="Q3017" s="1"/>
      <c r="R3017" s="1"/>
      <c r="S3017" s="1"/>
      <c r="T3017" s="1"/>
      <c r="U3017" s="1"/>
      <c r="V3017" s="1"/>
      <c r="W3017" s="1"/>
      <c r="X3017" s="1"/>
      <c r="Y3017" s="1"/>
      <c r="Z3017" s="1"/>
    </row>
    <row r="3018" spans="1:26" x14ac:dyDescent="0.2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  <c r="Q3018" s="1"/>
      <c r="R3018" s="1"/>
      <c r="S3018" s="1"/>
      <c r="T3018" s="1"/>
      <c r="U3018" s="1"/>
      <c r="V3018" s="1"/>
      <c r="W3018" s="1"/>
      <c r="X3018" s="1"/>
      <c r="Y3018" s="1"/>
      <c r="Z3018" s="1"/>
    </row>
    <row r="3019" spans="1:26" x14ac:dyDescent="0.2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  <c r="X3019" s="1"/>
      <c r="Y3019" s="1"/>
      <c r="Z3019" s="1"/>
    </row>
    <row r="3020" spans="1:26" x14ac:dyDescent="0.2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  <c r="X3020" s="1"/>
      <c r="Y3020" s="1"/>
      <c r="Z3020" s="1"/>
    </row>
    <row r="3021" spans="1:26" x14ac:dyDescent="0.2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  <c r="X3021" s="1"/>
      <c r="Y3021" s="1"/>
      <c r="Z3021" s="1"/>
    </row>
    <row r="3022" spans="1:26" x14ac:dyDescent="0.2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  <c r="Q3022" s="1"/>
      <c r="R3022" s="1"/>
      <c r="S3022" s="1"/>
      <c r="T3022" s="1"/>
      <c r="U3022" s="1"/>
      <c r="V3022" s="1"/>
      <c r="W3022" s="1"/>
      <c r="X3022" s="1"/>
      <c r="Y3022" s="1"/>
      <c r="Z3022" s="1"/>
    </row>
    <row r="3023" spans="1:26" x14ac:dyDescent="0.2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  <c r="Q3023" s="1"/>
      <c r="R3023" s="1"/>
      <c r="S3023" s="1"/>
      <c r="T3023" s="1"/>
      <c r="U3023" s="1"/>
      <c r="V3023" s="1"/>
      <c r="W3023" s="1"/>
      <c r="X3023" s="1"/>
      <c r="Y3023" s="1"/>
      <c r="Z3023" s="1"/>
    </row>
    <row r="3024" spans="1:26" x14ac:dyDescent="0.2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  <c r="Q3024" s="1"/>
      <c r="R3024" s="1"/>
      <c r="S3024" s="1"/>
      <c r="T3024" s="1"/>
      <c r="U3024" s="1"/>
      <c r="V3024" s="1"/>
      <c r="W3024" s="1"/>
      <c r="X3024" s="1"/>
      <c r="Y3024" s="1"/>
      <c r="Z3024" s="1"/>
    </row>
    <row r="3025" spans="1:26" x14ac:dyDescent="0.2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  <c r="Q3025" s="1"/>
      <c r="R3025" s="1"/>
      <c r="S3025" s="1"/>
      <c r="T3025" s="1"/>
      <c r="U3025" s="1"/>
      <c r="V3025" s="1"/>
      <c r="W3025" s="1"/>
      <c r="X3025" s="1"/>
      <c r="Y3025" s="1"/>
      <c r="Z3025" s="1"/>
    </row>
    <row r="3026" spans="1:26" x14ac:dyDescent="0.2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  <c r="X3026" s="1"/>
      <c r="Y3026" s="1"/>
      <c r="Z3026" s="1"/>
    </row>
    <row r="3027" spans="1:26" x14ac:dyDescent="0.2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  <c r="X3027" s="1"/>
      <c r="Y3027" s="1"/>
      <c r="Z3027" s="1"/>
    </row>
    <row r="3028" spans="1:26" x14ac:dyDescent="0.2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  <c r="X3028" s="1"/>
      <c r="Y3028" s="1"/>
      <c r="Z3028" s="1"/>
    </row>
    <row r="3029" spans="1:26" x14ac:dyDescent="0.2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</row>
    <row r="3030" spans="1:26" x14ac:dyDescent="0.2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  <c r="X3030" s="1"/>
      <c r="Y3030" s="1"/>
      <c r="Z3030" s="1"/>
    </row>
    <row r="3031" spans="1:26" x14ac:dyDescent="0.2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  <c r="X3031" s="1"/>
      <c r="Y3031" s="1"/>
      <c r="Z3031" s="1"/>
    </row>
    <row r="3032" spans="1:26" x14ac:dyDescent="0.2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  <c r="X3032" s="1"/>
      <c r="Y3032" s="1"/>
      <c r="Z3032" s="1"/>
    </row>
    <row r="3033" spans="1:26" x14ac:dyDescent="0.2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  <c r="X3033" s="1"/>
      <c r="Y3033" s="1"/>
      <c r="Z3033" s="1"/>
    </row>
    <row r="3034" spans="1:26" x14ac:dyDescent="0.2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  <c r="X3034" s="1"/>
      <c r="Y3034" s="1"/>
      <c r="Z3034" s="1"/>
    </row>
    <row r="3035" spans="1:26" x14ac:dyDescent="0.2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  <c r="X3035" s="1"/>
      <c r="Y3035" s="1"/>
      <c r="Z3035" s="1"/>
    </row>
    <row r="3036" spans="1:26" x14ac:dyDescent="0.2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  <c r="X3036" s="1"/>
      <c r="Y3036" s="1"/>
      <c r="Z3036" s="1"/>
    </row>
    <row r="3037" spans="1:26" x14ac:dyDescent="0.2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  <c r="X3037" s="1"/>
      <c r="Y3037" s="1"/>
      <c r="Z3037" s="1"/>
    </row>
    <row r="3038" spans="1:26" x14ac:dyDescent="0.2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  <c r="X3038" s="1"/>
      <c r="Y3038" s="1"/>
      <c r="Z3038" s="1"/>
    </row>
    <row r="3039" spans="1:26" x14ac:dyDescent="0.2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  <c r="X3039" s="1"/>
      <c r="Y3039" s="1"/>
      <c r="Z3039" s="1"/>
    </row>
    <row r="3040" spans="1:26" x14ac:dyDescent="0.2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  <c r="X3040" s="1"/>
      <c r="Y3040" s="1"/>
      <c r="Z3040" s="1"/>
    </row>
    <row r="3041" spans="1:26" x14ac:dyDescent="0.2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  <c r="X3041" s="1"/>
      <c r="Y3041" s="1"/>
      <c r="Z3041" s="1"/>
    </row>
    <row r="3042" spans="1:26" x14ac:dyDescent="0.2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  <c r="X3042" s="1"/>
      <c r="Y3042" s="1"/>
      <c r="Z3042" s="1"/>
    </row>
    <row r="3043" spans="1:26" x14ac:dyDescent="0.2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  <c r="X3043" s="1"/>
      <c r="Y3043" s="1"/>
      <c r="Z3043" s="1"/>
    </row>
    <row r="3044" spans="1:26" x14ac:dyDescent="0.2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  <c r="X3044" s="1"/>
      <c r="Y3044" s="1"/>
      <c r="Z3044" s="1"/>
    </row>
    <row r="3045" spans="1:26" x14ac:dyDescent="0.2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  <c r="X3045" s="1"/>
      <c r="Y3045" s="1"/>
      <c r="Z3045" s="1"/>
    </row>
    <row r="3046" spans="1:26" x14ac:dyDescent="0.2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  <c r="X3046" s="1"/>
      <c r="Y3046" s="1"/>
      <c r="Z3046" s="1"/>
    </row>
    <row r="3047" spans="1:26" x14ac:dyDescent="0.2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  <c r="X3047" s="1"/>
      <c r="Y3047" s="1"/>
      <c r="Z3047" s="1"/>
    </row>
    <row r="3048" spans="1:26" x14ac:dyDescent="0.2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  <c r="X3048" s="1"/>
      <c r="Y3048" s="1"/>
      <c r="Z3048" s="1"/>
    </row>
    <row r="3049" spans="1:26" x14ac:dyDescent="0.2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  <c r="X3049" s="1"/>
      <c r="Y3049" s="1"/>
      <c r="Z3049" s="1"/>
    </row>
    <row r="3050" spans="1:26" x14ac:dyDescent="0.2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  <c r="X3050" s="1"/>
      <c r="Y3050" s="1"/>
      <c r="Z3050" s="1"/>
    </row>
    <row r="3051" spans="1:26" x14ac:dyDescent="0.2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  <c r="X3051" s="1"/>
      <c r="Y3051" s="1"/>
      <c r="Z3051" s="1"/>
    </row>
    <row r="3052" spans="1:26" x14ac:dyDescent="0.2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  <c r="X3052" s="1"/>
      <c r="Y3052" s="1"/>
      <c r="Z3052" s="1"/>
    </row>
    <row r="3053" spans="1:26" x14ac:dyDescent="0.2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  <c r="X3053" s="1"/>
      <c r="Y3053" s="1"/>
      <c r="Z3053" s="1"/>
    </row>
    <row r="3054" spans="1:26" x14ac:dyDescent="0.2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  <c r="X3054" s="1"/>
      <c r="Y3054" s="1"/>
      <c r="Z3054" s="1"/>
    </row>
    <row r="3055" spans="1:26" x14ac:dyDescent="0.2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  <c r="Q3055" s="1"/>
      <c r="R3055" s="1"/>
      <c r="S3055" s="1"/>
      <c r="T3055" s="1"/>
      <c r="U3055" s="1"/>
      <c r="V3055" s="1"/>
      <c r="W3055" s="1"/>
      <c r="X3055" s="1"/>
      <c r="Y3055" s="1"/>
      <c r="Z3055" s="1"/>
    </row>
    <row r="3056" spans="1:26" x14ac:dyDescent="0.2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  <c r="Q3056" s="1"/>
      <c r="R3056" s="1"/>
      <c r="S3056" s="1"/>
      <c r="T3056" s="1"/>
      <c r="U3056" s="1"/>
      <c r="V3056" s="1"/>
      <c r="W3056" s="1"/>
      <c r="X3056" s="1"/>
      <c r="Y3056" s="1"/>
      <c r="Z3056" s="1"/>
    </row>
    <row r="3057" spans="1:26" x14ac:dyDescent="0.2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  <c r="Q3057" s="1"/>
      <c r="R3057" s="1"/>
      <c r="S3057" s="1"/>
      <c r="T3057" s="1"/>
      <c r="U3057" s="1"/>
      <c r="V3057" s="1"/>
      <c r="W3057" s="1"/>
      <c r="X3057" s="1"/>
      <c r="Y3057" s="1"/>
      <c r="Z3057" s="1"/>
    </row>
    <row r="3058" spans="1:26" x14ac:dyDescent="0.2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  <c r="Q3058" s="1"/>
      <c r="R3058" s="1"/>
      <c r="S3058" s="1"/>
      <c r="T3058" s="1"/>
      <c r="U3058" s="1"/>
      <c r="V3058" s="1"/>
      <c r="W3058" s="1"/>
      <c r="X3058" s="1"/>
      <c r="Y3058" s="1"/>
      <c r="Z3058" s="1"/>
    </row>
    <row r="3059" spans="1:26" x14ac:dyDescent="0.2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  <c r="Q3059" s="1"/>
      <c r="R3059" s="1"/>
      <c r="S3059" s="1"/>
      <c r="T3059" s="1"/>
      <c r="U3059" s="1"/>
      <c r="V3059" s="1"/>
      <c r="W3059" s="1"/>
      <c r="X3059" s="1"/>
      <c r="Y3059" s="1"/>
      <c r="Z3059" s="1"/>
    </row>
    <row r="3060" spans="1:26" x14ac:dyDescent="0.2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  <c r="Q3060" s="1"/>
      <c r="R3060" s="1"/>
      <c r="S3060" s="1"/>
      <c r="T3060" s="1"/>
      <c r="U3060" s="1"/>
      <c r="V3060" s="1"/>
      <c r="W3060" s="1"/>
      <c r="X3060" s="1"/>
      <c r="Y3060" s="1"/>
      <c r="Z3060" s="1"/>
    </row>
    <row r="3061" spans="1:26" x14ac:dyDescent="0.2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  <c r="Q3061" s="1"/>
      <c r="R3061" s="1"/>
      <c r="S3061" s="1"/>
      <c r="T3061" s="1"/>
      <c r="U3061" s="1"/>
      <c r="V3061" s="1"/>
      <c r="W3061" s="1"/>
      <c r="X3061" s="1"/>
      <c r="Y3061" s="1"/>
      <c r="Z3061" s="1"/>
    </row>
    <row r="3062" spans="1:26" x14ac:dyDescent="0.2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  <c r="Q3062" s="1"/>
      <c r="R3062" s="1"/>
      <c r="S3062" s="1"/>
      <c r="T3062" s="1"/>
      <c r="U3062" s="1"/>
      <c r="V3062" s="1"/>
      <c r="W3062" s="1"/>
      <c r="X3062" s="1"/>
      <c r="Y3062" s="1"/>
      <c r="Z3062" s="1"/>
    </row>
    <row r="3063" spans="1:26" x14ac:dyDescent="0.2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  <c r="Q3063" s="1"/>
      <c r="R3063" s="1"/>
      <c r="S3063" s="1"/>
      <c r="T3063" s="1"/>
      <c r="U3063" s="1"/>
      <c r="V3063" s="1"/>
      <c r="W3063" s="1"/>
      <c r="X3063" s="1"/>
      <c r="Y3063" s="1"/>
      <c r="Z3063" s="1"/>
    </row>
    <row r="3064" spans="1:26" x14ac:dyDescent="0.2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  <c r="Q3064" s="1"/>
      <c r="R3064" s="1"/>
      <c r="S3064" s="1"/>
      <c r="T3064" s="1"/>
      <c r="U3064" s="1"/>
      <c r="V3064" s="1"/>
      <c r="W3064" s="1"/>
      <c r="X3064" s="1"/>
      <c r="Y3064" s="1"/>
      <c r="Z3064" s="1"/>
    </row>
    <row r="3065" spans="1:26" x14ac:dyDescent="0.2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  <c r="Q3065" s="1"/>
      <c r="R3065" s="1"/>
      <c r="S3065" s="1"/>
      <c r="T3065" s="1"/>
      <c r="U3065" s="1"/>
      <c r="V3065" s="1"/>
      <c r="W3065" s="1"/>
      <c r="X3065" s="1"/>
      <c r="Y3065" s="1"/>
      <c r="Z3065" s="1"/>
    </row>
    <row r="3066" spans="1:26" x14ac:dyDescent="0.2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  <c r="X3066" s="1"/>
      <c r="Y3066" s="1"/>
      <c r="Z3066" s="1"/>
    </row>
    <row r="3067" spans="1:26" x14ac:dyDescent="0.2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  <c r="X3067" s="1"/>
      <c r="Y3067" s="1"/>
      <c r="Z3067" s="1"/>
    </row>
    <row r="3068" spans="1:26" x14ac:dyDescent="0.2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  <c r="X3068" s="1"/>
      <c r="Y3068" s="1"/>
      <c r="Z3068" s="1"/>
    </row>
    <row r="3069" spans="1:26" x14ac:dyDescent="0.2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  <c r="X3069" s="1"/>
      <c r="Y3069" s="1"/>
      <c r="Z3069" s="1"/>
    </row>
    <row r="3070" spans="1:26" x14ac:dyDescent="0.2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  <c r="X3070" s="1"/>
      <c r="Y3070" s="1"/>
      <c r="Z3070" s="1"/>
    </row>
    <row r="3071" spans="1:26" x14ac:dyDescent="0.2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  <c r="X3071" s="1"/>
      <c r="Y3071" s="1"/>
      <c r="Z3071" s="1"/>
    </row>
    <row r="3072" spans="1:26" x14ac:dyDescent="0.2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  <c r="X3072" s="1"/>
      <c r="Y3072" s="1"/>
      <c r="Z3072" s="1"/>
    </row>
    <row r="3073" spans="1:26" x14ac:dyDescent="0.2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  <c r="X3073" s="1"/>
      <c r="Y3073" s="1"/>
      <c r="Z3073" s="1"/>
    </row>
    <row r="3074" spans="1:26" x14ac:dyDescent="0.2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  <c r="X3074" s="1"/>
      <c r="Y3074" s="1"/>
      <c r="Z3074" s="1"/>
    </row>
    <row r="3075" spans="1:26" x14ac:dyDescent="0.2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  <c r="X3075" s="1"/>
      <c r="Y3075" s="1"/>
      <c r="Z3075" s="1"/>
    </row>
    <row r="3076" spans="1:26" x14ac:dyDescent="0.2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  <c r="X3076" s="1"/>
      <c r="Y3076" s="1"/>
      <c r="Z3076" s="1"/>
    </row>
    <row r="3077" spans="1:26" x14ac:dyDescent="0.2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  <c r="X3077" s="1"/>
      <c r="Y3077" s="1"/>
      <c r="Z3077" s="1"/>
    </row>
    <row r="3078" spans="1:26" x14ac:dyDescent="0.2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  <c r="X3078" s="1"/>
      <c r="Y3078" s="1"/>
      <c r="Z3078" s="1"/>
    </row>
    <row r="3079" spans="1:26" x14ac:dyDescent="0.2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  <c r="X3079" s="1"/>
      <c r="Y3079" s="1"/>
      <c r="Z3079" s="1"/>
    </row>
    <row r="3080" spans="1:26" x14ac:dyDescent="0.2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  <c r="X3080" s="1"/>
      <c r="Y3080" s="1"/>
      <c r="Z3080" s="1"/>
    </row>
    <row r="3081" spans="1:26" x14ac:dyDescent="0.2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  <c r="X3081" s="1"/>
      <c r="Y3081" s="1"/>
      <c r="Z3081" s="1"/>
    </row>
    <row r="3082" spans="1:26" x14ac:dyDescent="0.2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  <c r="X3082" s="1"/>
      <c r="Y3082" s="1"/>
      <c r="Z3082" s="1"/>
    </row>
    <row r="3083" spans="1:26" x14ac:dyDescent="0.2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  <c r="X3083" s="1"/>
      <c r="Y3083" s="1"/>
      <c r="Z3083" s="1"/>
    </row>
    <row r="3084" spans="1:26" x14ac:dyDescent="0.2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  <c r="X3084" s="1"/>
      <c r="Y3084" s="1"/>
      <c r="Z3084" s="1"/>
    </row>
    <row r="3085" spans="1:26" x14ac:dyDescent="0.2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  <c r="X3085" s="1"/>
      <c r="Y3085" s="1"/>
      <c r="Z3085" s="1"/>
    </row>
    <row r="3086" spans="1:26" x14ac:dyDescent="0.2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  <c r="X3086" s="1"/>
      <c r="Y3086" s="1"/>
      <c r="Z3086" s="1"/>
    </row>
    <row r="3087" spans="1:26" x14ac:dyDescent="0.2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</row>
    <row r="3088" spans="1:26" x14ac:dyDescent="0.2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  <c r="X3088" s="1"/>
      <c r="Y3088" s="1"/>
      <c r="Z3088" s="1"/>
    </row>
    <row r="3089" spans="1:26" x14ac:dyDescent="0.2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  <c r="X3089" s="1"/>
      <c r="Y3089" s="1"/>
      <c r="Z3089" s="1"/>
    </row>
    <row r="3090" spans="1:26" x14ac:dyDescent="0.2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  <c r="X3090" s="1"/>
      <c r="Y3090" s="1"/>
      <c r="Z3090" s="1"/>
    </row>
    <row r="3091" spans="1:26" x14ac:dyDescent="0.2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  <c r="X3091" s="1"/>
      <c r="Y3091" s="1"/>
      <c r="Z3091" s="1"/>
    </row>
    <row r="3092" spans="1:26" x14ac:dyDescent="0.2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  <c r="X3092" s="1"/>
      <c r="Y3092" s="1"/>
      <c r="Z3092" s="1"/>
    </row>
    <row r="3093" spans="1:26" x14ac:dyDescent="0.2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  <c r="X3093" s="1"/>
      <c r="Y3093" s="1"/>
      <c r="Z3093" s="1"/>
    </row>
    <row r="3094" spans="1:26" x14ac:dyDescent="0.2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  <c r="X3094" s="1"/>
      <c r="Y3094" s="1"/>
      <c r="Z3094" s="1"/>
    </row>
    <row r="3095" spans="1:26" x14ac:dyDescent="0.2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  <c r="X3095" s="1"/>
      <c r="Y3095" s="1"/>
      <c r="Z3095" s="1"/>
    </row>
    <row r="3096" spans="1:26" x14ac:dyDescent="0.2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  <c r="X3096" s="1"/>
      <c r="Y3096" s="1"/>
      <c r="Z3096" s="1"/>
    </row>
    <row r="3097" spans="1:26" x14ac:dyDescent="0.2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  <c r="X3097" s="1"/>
      <c r="Y3097" s="1"/>
      <c r="Z3097" s="1"/>
    </row>
    <row r="3098" spans="1:26" x14ac:dyDescent="0.2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  <c r="Q3098" s="1"/>
      <c r="R3098" s="1"/>
      <c r="S3098" s="1"/>
      <c r="T3098" s="1"/>
      <c r="U3098" s="1"/>
      <c r="V3098" s="1"/>
      <c r="W3098" s="1"/>
      <c r="X3098" s="1"/>
      <c r="Y3098" s="1"/>
      <c r="Z3098" s="1"/>
    </row>
    <row r="3099" spans="1:26" x14ac:dyDescent="0.2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  <c r="Q3099" s="1"/>
      <c r="R3099" s="1"/>
      <c r="S3099" s="1"/>
      <c r="T3099" s="1"/>
      <c r="U3099" s="1"/>
      <c r="V3099" s="1"/>
      <c r="W3099" s="1"/>
      <c r="X3099" s="1"/>
      <c r="Y3099" s="1"/>
      <c r="Z3099" s="1"/>
    </row>
    <row r="3100" spans="1:26" x14ac:dyDescent="0.2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  <c r="Q3100" s="1"/>
      <c r="R3100" s="1"/>
      <c r="S3100" s="1"/>
      <c r="T3100" s="1"/>
      <c r="U3100" s="1"/>
      <c r="V3100" s="1"/>
      <c r="W3100" s="1"/>
      <c r="X3100" s="1"/>
      <c r="Y3100" s="1"/>
      <c r="Z3100" s="1"/>
    </row>
    <row r="3101" spans="1:26" x14ac:dyDescent="0.2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  <c r="Q3101" s="1"/>
      <c r="R3101" s="1"/>
      <c r="S3101" s="1"/>
      <c r="T3101" s="1"/>
      <c r="U3101" s="1"/>
      <c r="V3101" s="1"/>
      <c r="W3101" s="1"/>
      <c r="X3101" s="1"/>
      <c r="Y3101" s="1"/>
      <c r="Z3101" s="1"/>
    </row>
    <row r="3102" spans="1:26" x14ac:dyDescent="0.2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  <c r="Q3102" s="1"/>
      <c r="R3102" s="1"/>
      <c r="S3102" s="1"/>
      <c r="T3102" s="1"/>
      <c r="U3102" s="1"/>
      <c r="V3102" s="1"/>
      <c r="W3102" s="1"/>
      <c r="X3102" s="1"/>
      <c r="Y3102" s="1"/>
      <c r="Z3102" s="1"/>
    </row>
    <row r="3103" spans="1:26" x14ac:dyDescent="0.2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  <c r="Q3103" s="1"/>
      <c r="R3103" s="1"/>
      <c r="S3103" s="1"/>
      <c r="T3103" s="1"/>
      <c r="U3103" s="1"/>
      <c r="V3103" s="1"/>
      <c r="W3103" s="1"/>
      <c r="X3103" s="1"/>
      <c r="Y3103" s="1"/>
      <c r="Z3103" s="1"/>
    </row>
    <row r="3104" spans="1:26" x14ac:dyDescent="0.2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  <c r="Q3104" s="1"/>
      <c r="R3104" s="1"/>
      <c r="S3104" s="1"/>
      <c r="T3104" s="1"/>
      <c r="U3104" s="1"/>
      <c r="V3104" s="1"/>
      <c r="W3104" s="1"/>
      <c r="X3104" s="1"/>
      <c r="Y3104" s="1"/>
      <c r="Z3104" s="1"/>
    </row>
    <row r="3105" spans="1:26" x14ac:dyDescent="0.2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  <c r="Q3105" s="1"/>
      <c r="R3105" s="1"/>
      <c r="S3105" s="1"/>
      <c r="T3105" s="1"/>
      <c r="U3105" s="1"/>
      <c r="V3105" s="1"/>
      <c r="W3105" s="1"/>
      <c r="X3105" s="1"/>
      <c r="Y3105" s="1"/>
      <c r="Z3105" s="1"/>
    </row>
    <row r="3106" spans="1:26" x14ac:dyDescent="0.2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  <c r="Q3106" s="1"/>
      <c r="R3106" s="1"/>
      <c r="S3106" s="1"/>
      <c r="T3106" s="1"/>
      <c r="U3106" s="1"/>
      <c r="V3106" s="1"/>
      <c r="W3106" s="1"/>
      <c r="X3106" s="1"/>
      <c r="Y3106" s="1"/>
      <c r="Z3106" s="1"/>
    </row>
    <row r="3107" spans="1:26" x14ac:dyDescent="0.2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  <c r="Q3107" s="1"/>
      <c r="R3107" s="1"/>
      <c r="S3107" s="1"/>
      <c r="T3107" s="1"/>
      <c r="U3107" s="1"/>
      <c r="V3107" s="1"/>
      <c r="W3107" s="1"/>
      <c r="X3107" s="1"/>
      <c r="Y3107" s="1"/>
      <c r="Z3107" s="1"/>
    </row>
    <row r="3108" spans="1:26" x14ac:dyDescent="0.2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  <c r="Q3108" s="1"/>
      <c r="R3108" s="1"/>
      <c r="S3108" s="1"/>
      <c r="T3108" s="1"/>
      <c r="U3108" s="1"/>
      <c r="V3108" s="1"/>
      <c r="W3108" s="1"/>
      <c r="X3108" s="1"/>
      <c r="Y3108" s="1"/>
      <c r="Z3108" s="1"/>
    </row>
    <row r="3109" spans="1:26" x14ac:dyDescent="0.2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  <c r="Q3109" s="1"/>
      <c r="R3109" s="1"/>
      <c r="S3109" s="1"/>
      <c r="T3109" s="1"/>
      <c r="U3109" s="1"/>
      <c r="V3109" s="1"/>
      <c r="W3109" s="1"/>
      <c r="X3109" s="1"/>
      <c r="Y3109" s="1"/>
      <c r="Z3109" s="1"/>
    </row>
    <row r="3110" spans="1:26" x14ac:dyDescent="0.2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  <c r="Q3110" s="1"/>
      <c r="R3110" s="1"/>
      <c r="S3110" s="1"/>
      <c r="T3110" s="1"/>
      <c r="U3110" s="1"/>
      <c r="V3110" s="1"/>
      <c r="W3110" s="1"/>
      <c r="X3110" s="1"/>
      <c r="Y3110" s="1"/>
      <c r="Z3110" s="1"/>
    </row>
    <row r="3111" spans="1:26" x14ac:dyDescent="0.2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  <c r="Q3111" s="1"/>
      <c r="R3111" s="1"/>
      <c r="S3111" s="1"/>
      <c r="T3111" s="1"/>
      <c r="U3111" s="1"/>
      <c r="V3111" s="1"/>
      <c r="W3111" s="1"/>
      <c r="X3111" s="1"/>
      <c r="Y3111" s="1"/>
      <c r="Z3111" s="1"/>
    </row>
    <row r="3112" spans="1:26" x14ac:dyDescent="0.2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  <c r="Q3112" s="1"/>
      <c r="R3112" s="1"/>
      <c r="S3112" s="1"/>
      <c r="T3112" s="1"/>
      <c r="U3112" s="1"/>
      <c r="V3112" s="1"/>
      <c r="W3112" s="1"/>
      <c r="X3112" s="1"/>
      <c r="Y3112" s="1"/>
      <c r="Z3112" s="1"/>
    </row>
    <row r="3113" spans="1:26" x14ac:dyDescent="0.2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  <c r="Q3113" s="1"/>
      <c r="R3113" s="1"/>
      <c r="S3113" s="1"/>
      <c r="T3113" s="1"/>
      <c r="U3113" s="1"/>
      <c r="V3113" s="1"/>
      <c r="W3113" s="1"/>
      <c r="X3113" s="1"/>
      <c r="Y3113" s="1"/>
      <c r="Z3113" s="1"/>
    </row>
    <row r="3114" spans="1:26" x14ac:dyDescent="0.2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  <c r="Q3114" s="1"/>
      <c r="R3114" s="1"/>
      <c r="S3114" s="1"/>
      <c r="T3114" s="1"/>
      <c r="U3114" s="1"/>
      <c r="V3114" s="1"/>
      <c r="W3114" s="1"/>
      <c r="X3114" s="1"/>
      <c r="Y3114" s="1"/>
      <c r="Z3114" s="1"/>
    </row>
    <row r="3115" spans="1:26" x14ac:dyDescent="0.2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  <c r="Q3115" s="1"/>
      <c r="R3115" s="1"/>
      <c r="S3115" s="1"/>
      <c r="T3115" s="1"/>
      <c r="U3115" s="1"/>
      <c r="V3115" s="1"/>
      <c r="W3115" s="1"/>
      <c r="X3115" s="1"/>
      <c r="Y3115" s="1"/>
      <c r="Z3115" s="1"/>
    </row>
    <row r="3116" spans="1:26" x14ac:dyDescent="0.2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  <c r="Q3116" s="1"/>
      <c r="R3116" s="1"/>
      <c r="S3116" s="1"/>
      <c r="T3116" s="1"/>
      <c r="U3116" s="1"/>
      <c r="V3116" s="1"/>
      <c r="W3116" s="1"/>
      <c r="X3116" s="1"/>
      <c r="Y3116" s="1"/>
      <c r="Z3116" s="1"/>
    </row>
    <row r="3117" spans="1:26" x14ac:dyDescent="0.2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  <c r="Q3117" s="1"/>
      <c r="R3117" s="1"/>
      <c r="S3117" s="1"/>
      <c r="T3117" s="1"/>
      <c r="U3117" s="1"/>
      <c r="V3117" s="1"/>
      <c r="W3117" s="1"/>
      <c r="X3117" s="1"/>
      <c r="Y3117" s="1"/>
      <c r="Z3117" s="1"/>
    </row>
    <row r="3118" spans="1:26" x14ac:dyDescent="0.2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  <c r="Q3118" s="1"/>
      <c r="R3118" s="1"/>
      <c r="S3118" s="1"/>
      <c r="T3118" s="1"/>
      <c r="U3118" s="1"/>
      <c r="V3118" s="1"/>
      <c r="W3118" s="1"/>
      <c r="X3118" s="1"/>
      <c r="Y3118" s="1"/>
      <c r="Z3118" s="1"/>
    </row>
    <row r="3119" spans="1:26" x14ac:dyDescent="0.2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  <c r="Q3119" s="1"/>
      <c r="R3119" s="1"/>
      <c r="S3119" s="1"/>
      <c r="T3119" s="1"/>
      <c r="U3119" s="1"/>
      <c r="V3119" s="1"/>
      <c r="W3119" s="1"/>
      <c r="X3119" s="1"/>
      <c r="Y3119" s="1"/>
      <c r="Z3119" s="1"/>
    </row>
    <row r="3120" spans="1:26" x14ac:dyDescent="0.2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  <c r="Q3120" s="1"/>
      <c r="R3120" s="1"/>
      <c r="S3120" s="1"/>
      <c r="T3120" s="1"/>
      <c r="U3120" s="1"/>
      <c r="V3120" s="1"/>
      <c r="W3120" s="1"/>
      <c r="X3120" s="1"/>
      <c r="Y3120" s="1"/>
      <c r="Z3120" s="1"/>
    </row>
    <row r="3121" spans="1:26" x14ac:dyDescent="0.2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  <c r="Q3121" s="1"/>
      <c r="R3121" s="1"/>
      <c r="S3121" s="1"/>
      <c r="T3121" s="1"/>
      <c r="U3121" s="1"/>
      <c r="V3121" s="1"/>
      <c r="W3121" s="1"/>
      <c r="X3121" s="1"/>
      <c r="Y3121" s="1"/>
      <c r="Z3121" s="1"/>
    </row>
    <row r="3122" spans="1:26" x14ac:dyDescent="0.2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  <c r="Q3122" s="1"/>
      <c r="R3122" s="1"/>
      <c r="S3122" s="1"/>
      <c r="T3122" s="1"/>
      <c r="U3122" s="1"/>
      <c r="V3122" s="1"/>
      <c r="W3122" s="1"/>
      <c r="X3122" s="1"/>
      <c r="Y3122" s="1"/>
      <c r="Z3122" s="1"/>
    </row>
    <row r="3123" spans="1:26" x14ac:dyDescent="0.2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  <c r="X3123" s="1"/>
      <c r="Y3123" s="1"/>
      <c r="Z3123" s="1"/>
    </row>
    <row r="3124" spans="1:26" x14ac:dyDescent="0.2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  <c r="Q3124" s="1"/>
      <c r="R3124" s="1"/>
      <c r="S3124" s="1"/>
      <c r="T3124" s="1"/>
      <c r="U3124" s="1"/>
      <c r="V3124" s="1"/>
      <c r="W3124" s="1"/>
      <c r="X3124" s="1"/>
      <c r="Y3124" s="1"/>
      <c r="Z3124" s="1"/>
    </row>
    <row r="3125" spans="1:26" x14ac:dyDescent="0.2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  <c r="Q3125" s="1"/>
      <c r="R3125" s="1"/>
      <c r="S3125" s="1"/>
      <c r="T3125" s="1"/>
      <c r="U3125" s="1"/>
      <c r="V3125" s="1"/>
      <c r="W3125" s="1"/>
      <c r="X3125" s="1"/>
      <c r="Y3125" s="1"/>
      <c r="Z3125" s="1"/>
    </row>
    <row r="3126" spans="1:26" x14ac:dyDescent="0.2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  <c r="Q3126" s="1"/>
      <c r="R3126" s="1"/>
      <c r="S3126" s="1"/>
      <c r="T3126" s="1"/>
      <c r="U3126" s="1"/>
      <c r="V3126" s="1"/>
      <c r="W3126" s="1"/>
      <c r="X3126" s="1"/>
      <c r="Y3126" s="1"/>
      <c r="Z3126" s="1"/>
    </row>
    <row r="3127" spans="1:26" x14ac:dyDescent="0.2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  <c r="Q3127" s="1"/>
      <c r="R3127" s="1"/>
      <c r="S3127" s="1"/>
      <c r="T3127" s="1"/>
      <c r="U3127" s="1"/>
      <c r="V3127" s="1"/>
      <c r="W3127" s="1"/>
      <c r="X3127" s="1"/>
      <c r="Y3127" s="1"/>
      <c r="Z3127" s="1"/>
    </row>
    <row r="3128" spans="1:26" x14ac:dyDescent="0.2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  <c r="Q3128" s="1"/>
      <c r="R3128" s="1"/>
      <c r="S3128" s="1"/>
      <c r="T3128" s="1"/>
      <c r="U3128" s="1"/>
      <c r="V3128" s="1"/>
      <c r="W3128" s="1"/>
      <c r="X3128" s="1"/>
      <c r="Y3128" s="1"/>
      <c r="Z3128" s="1"/>
    </row>
    <row r="3129" spans="1:26" x14ac:dyDescent="0.2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  <c r="X3129" s="1"/>
      <c r="Y3129" s="1"/>
      <c r="Z3129" s="1"/>
    </row>
    <row r="3130" spans="1:26" x14ac:dyDescent="0.2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  <c r="Q3130" s="1"/>
      <c r="R3130" s="1"/>
      <c r="S3130" s="1"/>
      <c r="T3130" s="1"/>
      <c r="U3130" s="1"/>
      <c r="V3130" s="1"/>
      <c r="W3130" s="1"/>
      <c r="X3130" s="1"/>
      <c r="Y3130" s="1"/>
      <c r="Z3130" s="1"/>
    </row>
    <row r="3131" spans="1:26" x14ac:dyDescent="0.2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  <c r="Q3131" s="1"/>
      <c r="R3131" s="1"/>
      <c r="S3131" s="1"/>
      <c r="T3131" s="1"/>
      <c r="U3131" s="1"/>
      <c r="V3131" s="1"/>
      <c r="W3131" s="1"/>
      <c r="X3131" s="1"/>
      <c r="Y3131" s="1"/>
      <c r="Z3131" s="1"/>
    </row>
    <row r="3132" spans="1:26" x14ac:dyDescent="0.2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  <c r="Q3132" s="1"/>
      <c r="R3132" s="1"/>
      <c r="S3132" s="1"/>
      <c r="T3132" s="1"/>
      <c r="U3132" s="1"/>
      <c r="V3132" s="1"/>
      <c r="W3132" s="1"/>
      <c r="X3132" s="1"/>
      <c r="Y3132" s="1"/>
      <c r="Z3132" s="1"/>
    </row>
    <row r="3133" spans="1:26" x14ac:dyDescent="0.2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  <c r="Q3133" s="1"/>
      <c r="R3133" s="1"/>
      <c r="S3133" s="1"/>
      <c r="T3133" s="1"/>
      <c r="U3133" s="1"/>
      <c r="V3133" s="1"/>
      <c r="W3133" s="1"/>
      <c r="X3133" s="1"/>
      <c r="Y3133" s="1"/>
      <c r="Z3133" s="1"/>
    </row>
    <row r="3134" spans="1:26" x14ac:dyDescent="0.2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  <c r="Q3134" s="1"/>
      <c r="R3134" s="1"/>
      <c r="S3134" s="1"/>
      <c r="T3134" s="1"/>
      <c r="U3134" s="1"/>
      <c r="V3134" s="1"/>
      <c r="W3134" s="1"/>
      <c r="X3134" s="1"/>
      <c r="Y3134" s="1"/>
      <c r="Z3134" s="1"/>
    </row>
    <row r="3135" spans="1:26" x14ac:dyDescent="0.2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  <c r="Q3135" s="1"/>
      <c r="R3135" s="1"/>
      <c r="S3135" s="1"/>
      <c r="T3135" s="1"/>
      <c r="U3135" s="1"/>
      <c r="V3135" s="1"/>
      <c r="W3135" s="1"/>
      <c r="X3135" s="1"/>
      <c r="Y3135" s="1"/>
      <c r="Z3135" s="1"/>
    </row>
    <row r="3136" spans="1:26" x14ac:dyDescent="0.2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  <c r="Q3136" s="1"/>
      <c r="R3136" s="1"/>
      <c r="S3136" s="1"/>
      <c r="T3136" s="1"/>
      <c r="U3136" s="1"/>
      <c r="V3136" s="1"/>
      <c r="W3136" s="1"/>
      <c r="X3136" s="1"/>
      <c r="Y3136" s="1"/>
      <c r="Z3136" s="1"/>
    </row>
    <row r="3137" spans="1:26" x14ac:dyDescent="0.2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  <c r="Q3137" s="1"/>
      <c r="R3137" s="1"/>
      <c r="S3137" s="1"/>
      <c r="T3137" s="1"/>
      <c r="U3137" s="1"/>
      <c r="V3137" s="1"/>
      <c r="W3137" s="1"/>
      <c r="X3137" s="1"/>
      <c r="Y3137" s="1"/>
      <c r="Z3137" s="1"/>
    </row>
    <row r="3138" spans="1:26" x14ac:dyDescent="0.2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  <c r="Q3138" s="1"/>
      <c r="R3138" s="1"/>
      <c r="S3138" s="1"/>
      <c r="T3138" s="1"/>
      <c r="U3138" s="1"/>
      <c r="V3138" s="1"/>
      <c r="W3138" s="1"/>
      <c r="X3138" s="1"/>
      <c r="Y3138" s="1"/>
      <c r="Z3138" s="1"/>
    </row>
    <row r="3139" spans="1:26" x14ac:dyDescent="0.2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  <c r="Q3139" s="1"/>
      <c r="R3139" s="1"/>
      <c r="S3139" s="1"/>
      <c r="T3139" s="1"/>
      <c r="U3139" s="1"/>
      <c r="V3139" s="1"/>
      <c r="W3139" s="1"/>
      <c r="X3139" s="1"/>
      <c r="Y3139" s="1"/>
      <c r="Z3139" s="1"/>
    </row>
    <row r="3140" spans="1:26" x14ac:dyDescent="0.2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  <c r="Q3140" s="1"/>
      <c r="R3140" s="1"/>
      <c r="S3140" s="1"/>
      <c r="T3140" s="1"/>
      <c r="U3140" s="1"/>
      <c r="V3140" s="1"/>
      <c r="W3140" s="1"/>
      <c r="X3140" s="1"/>
      <c r="Y3140" s="1"/>
      <c r="Z3140" s="1"/>
    </row>
    <row r="3141" spans="1:26" x14ac:dyDescent="0.2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  <c r="Q3141" s="1"/>
      <c r="R3141" s="1"/>
      <c r="S3141" s="1"/>
      <c r="T3141" s="1"/>
      <c r="U3141" s="1"/>
      <c r="V3141" s="1"/>
      <c r="W3141" s="1"/>
      <c r="X3141" s="1"/>
      <c r="Y3141" s="1"/>
      <c r="Z3141" s="1"/>
    </row>
    <row r="3142" spans="1:26" x14ac:dyDescent="0.2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  <c r="Q3142" s="1"/>
      <c r="R3142" s="1"/>
      <c r="S3142" s="1"/>
      <c r="T3142" s="1"/>
      <c r="U3142" s="1"/>
      <c r="V3142" s="1"/>
      <c r="W3142" s="1"/>
      <c r="X3142" s="1"/>
      <c r="Y3142" s="1"/>
      <c r="Z3142" s="1"/>
    </row>
    <row r="3143" spans="1:26" x14ac:dyDescent="0.2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  <c r="Q3143" s="1"/>
      <c r="R3143" s="1"/>
      <c r="S3143" s="1"/>
      <c r="T3143" s="1"/>
      <c r="U3143" s="1"/>
      <c r="V3143" s="1"/>
      <c r="W3143" s="1"/>
      <c r="X3143" s="1"/>
      <c r="Y3143" s="1"/>
      <c r="Z3143" s="1"/>
    </row>
    <row r="3144" spans="1:26" x14ac:dyDescent="0.2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  <c r="Q3144" s="1"/>
      <c r="R3144" s="1"/>
      <c r="S3144" s="1"/>
      <c r="T3144" s="1"/>
      <c r="U3144" s="1"/>
      <c r="V3144" s="1"/>
      <c r="W3144" s="1"/>
      <c r="X3144" s="1"/>
      <c r="Y3144" s="1"/>
      <c r="Z3144" s="1"/>
    </row>
    <row r="3145" spans="1:26" x14ac:dyDescent="0.2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  <c r="Q3145" s="1"/>
      <c r="R3145" s="1"/>
      <c r="S3145" s="1"/>
      <c r="T3145" s="1"/>
      <c r="U3145" s="1"/>
      <c r="V3145" s="1"/>
      <c r="W3145" s="1"/>
      <c r="X3145" s="1"/>
      <c r="Y3145" s="1"/>
      <c r="Z3145" s="1"/>
    </row>
    <row r="3146" spans="1:26" x14ac:dyDescent="0.2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  <c r="Q3146" s="1"/>
      <c r="R3146" s="1"/>
      <c r="S3146" s="1"/>
      <c r="T3146" s="1"/>
      <c r="U3146" s="1"/>
      <c r="V3146" s="1"/>
      <c r="W3146" s="1"/>
      <c r="X3146" s="1"/>
      <c r="Y3146" s="1"/>
      <c r="Z3146" s="1"/>
    </row>
    <row r="3147" spans="1:26" x14ac:dyDescent="0.2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  <c r="Q3147" s="1"/>
      <c r="R3147" s="1"/>
      <c r="S3147" s="1"/>
      <c r="T3147" s="1"/>
      <c r="U3147" s="1"/>
      <c r="V3147" s="1"/>
      <c r="W3147" s="1"/>
      <c r="X3147" s="1"/>
      <c r="Y3147" s="1"/>
      <c r="Z3147" s="1"/>
    </row>
    <row r="3148" spans="1:26" x14ac:dyDescent="0.2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  <c r="Q3148" s="1"/>
      <c r="R3148" s="1"/>
      <c r="S3148" s="1"/>
      <c r="T3148" s="1"/>
      <c r="U3148" s="1"/>
      <c r="V3148" s="1"/>
      <c r="W3148" s="1"/>
      <c r="X3148" s="1"/>
      <c r="Y3148" s="1"/>
      <c r="Z3148" s="1"/>
    </row>
    <row r="3149" spans="1:26" x14ac:dyDescent="0.2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  <c r="Q3149" s="1"/>
      <c r="R3149" s="1"/>
      <c r="S3149" s="1"/>
      <c r="T3149" s="1"/>
      <c r="U3149" s="1"/>
      <c r="V3149" s="1"/>
      <c r="W3149" s="1"/>
      <c r="X3149" s="1"/>
      <c r="Y3149" s="1"/>
      <c r="Z3149" s="1"/>
    </row>
    <row r="3150" spans="1:26" x14ac:dyDescent="0.2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  <c r="Q3150" s="1"/>
      <c r="R3150" s="1"/>
      <c r="S3150" s="1"/>
      <c r="T3150" s="1"/>
      <c r="U3150" s="1"/>
      <c r="V3150" s="1"/>
      <c r="W3150" s="1"/>
      <c r="X3150" s="1"/>
      <c r="Y3150" s="1"/>
      <c r="Z3150" s="1"/>
    </row>
    <row r="3151" spans="1:26" x14ac:dyDescent="0.2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  <c r="Q3151" s="1"/>
      <c r="R3151" s="1"/>
      <c r="S3151" s="1"/>
      <c r="T3151" s="1"/>
      <c r="U3151" s="1"/>
      <c r="V3151" s="1"/>
      <c r="W3151" s="1"/>
      <c r="X3151" s="1"/>
      <c r="Y3151" s="1"/>
      <c r="Z3151" s="1"/>
    </row>
    <row r="3152" spans="1:26" x14ac:dyDescent="0.2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  <c r="Q3152" s="1"/>
      <c r="R3152" s="1"/>
      <c r="S3152" s="1"/>
      <c r="T3152" s="1"/>
      <c r="U3152" s="1"/>
      <c r="V3152" s="1"/>
      <c r="W3152" s="1"/>
      <c r="X3152" s="1"/>
      <c r="Y3152" s="1"/>
      <c r="Z3152" s="1"/>
    </row>
    <row r="3153" spans="1:26" x14ac:dyDescent="0.2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  <c r="Q3153" s="1"/>
      <c r="R3153" s="1"/>
      <c r="S3153" s="1"/>
      <c r="T3153" s="1"/>
      <c r="U3153" s="1"/>
      <c r="V3153" s="1"/>
      <c r="W3153" s="1"/>
      <c r="X3153" s="1"/>
      <c r="Y3153" s="1"/>
      <c r="Z3153" s="1"/>
    </row>
    <row r="3154" spans="1:26" x14ac:dyDescent="0.2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  <c r="Q3154" s="1"/>
      <c r="R3154" s="1"/>
      <c r="S3154" s="1"/>
      <c r="T3154" s="1"/>
      <c r="U3154" s="1"/>
      <c r="V3154" s="1"/>
      <c r="W3154" s="1"/>
      <c r="X3154" s="1"/>
      <c r="Y3154" s="1"/>
      <c r="Z3154" s="1"/>
    </row>
    <row r="3155" spans="1:26" x14ac:dyDescent="0.2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  <c r="Q3155" s="1"/>
      <c r="R3155" s="1"/>
      <c r="S3155" s="1"/>
      <c r="T3155" s="1"/>
      <c r="U3155" s="1"/>
      <c r="V3155" s="1"/>
      <c r="W3155" s="1"/>
      <c r="X3155" s="1"/>
      <c r="Y3155" s="1"/>
      <c r="Z3155" s="1"/>
    </row>
    <row r="3156" spans="1:26" x14ac:dyDescent="0.2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  <c r="Q3156" s="1"/>
      <c r="R3156" s="1"/>
      <c r="S3156" s="1"/>
      <c r="T3156" s="1"/>
      <c r="U3156" s="1"/>
      <c r="V3156" s="1"/>
      <c r="W3156" s="1"/>
      <c r="X3156" s="1"/>
      <c r="Y3156" s="1"/>
      <c r="Z3156" s="1"/>
    </row>
    <row r="3157" spans="1:26" x14ac:dyDescent="0.2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  <c r="Q3157" s="1"/>
      <c r="R3157" s="1"/>
      <c r="S3157" s="1"/>
      <c r="T3157" s="1"/>
      <c r="U3157" s="1"/>
      <c r="V3157" s="1"/>
      <c r="W3157" s="1"/>
      <c r="X3157" s="1"/>
      <c r="Y3157" s="1"/>
      <c r="Z3157" s="1"/>
    </row>
    <row r="3158" spans="1:26" x14ac:dyDescent="0.2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  <c r="Q3158" s="1"/>
      <c r="R3158" s="1"/>
      <c r="S3158" s="1"/>
      <c r="T3158" s="1"/>
      <c r="U3158" s="1"/>
      <c r="V3158" s="1"/>
      <c r="W3158" s="1"/>
      <c r="X3158" s="1"/>
      <c r="Y3158" s="1"/>
      <c r="Z3158" s="1"/>
    </row>
    <row r="3159" spans="1:26" x14ac:dyDescent="0.2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  <c r="Q3159" s="1"/>
      <c r="R3159" s="1"/>
      <c r="S3159" s="1"/>
      <c r="T3159" s="1"/>
      <c r="U3159" s="1"/>
      <c r="V3159" s="1"/>
      <c r="W3159" s="1"/>
      <c r="X3159" s="1"/>
      <c r="Y3159" s="1"/>
      <c r="Z3159" s="1"/>
    </row>
    <row r="3160" spans="1:26" x14ac:dyDescent="0.2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  <c r="Q3160" s="1"/>
      <c r="R3160" s="1"/>
      <c r="S3160" s="1"/>
      <c r="T3160" s="1"/>
      <c r="U3160" s="1"/>
      <c r="V3160" s="1"/>
      <c r="W3160" s="1"/>
      <c r="X3160" s="1"/>
      <c r="Y3160" s="1"/>
      <c r="Z3160" s="1"/>
    </row>
    <row r="3161" spans="1:26" x14ac:dyDescent="0.2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  <c r="Q3161" s="1"/>
      <c r="R3161" s="1"/>
      <c r="S3161" s="1"/>
      <c r="T3161" s="1"/>
      <c r="U3161" s="1"/>
      <c r="V3161" s="1"/>
      <c r="W3161" s="1"/>
      <c r="X3161" s="1"/>
      <c r="Y3161" s="1"/>
      <c r="Z3161" s="1"/>
    </row>
    <row r="3162" spans="1:26" x14ac:dyDescent="0.2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  <c r="Q3162" s="1"/>
      <c r="R3162" s="1"/>
      <c r="S3162" s="1"/>
      <c r="T3162" s="1"/>
      <c r="U3162" s="1"/>
      <c r="V3162" s="1"/>
      <c r="W3162" s="1"/>
      <c r="X3162" s="1"/>
      <c r="Y3162" s="1"/>
      <c r="Z3162" s="1"/>
    </row>
    <row r="3163" spans="1:26" x14ac:dyDescent="0.2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  <c r="Q3163" s="1"/>
      <c r="R3163" s="1"/>
      <c r="S3163" s="1"/>
      <c r="T3163" s="1"/>
      <c r="U3163" s="1"/>
      <c r="V3163" s="1"/>
      <c r="W3163" s="1"/>
      <c r="X3163" s="1"/>
      <c r="Y3163" s="1"/>
      <c r="Z3163" s="1"/>
    </row>
    <row r="3164" spans="1:26" x14ac:dyDescent="0.2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  <c r="Q3164" s="1"/>
      <c r="R3164" s="1"/>
      <c r="S3164" s="1"/>
      <c r="T3164" s="1"/>
      <c r="U3164" s="1"/>
      <c r="V3164" s="1"/>
      <c r="W3164" s="1"/>
      <c r="X3164" s="1"/>
      <c r="Y3164" s="1"/>
      <c r="Z3164" s="1"/>
    </row>
    <row r="3165" spans="1:26" x14ac:dyDescent="0.2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1"/>
      <c r="Y3165" s="1"/>
      <c r="Z3165" s="1"/>
    </row>
    <row r="3166" spans="1:26" x14ac:dyDescent="0.2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  <c r="Q3166" s="1"/>
      <c r="R3166" s="1"/>
      <c r="S3166" s="1"/>
      <c r="T3166" s="1"/>
      <c r="U3166" s="1"/>
      <c r="V3166" s="1"/>
      <c r="W3166" s="1"/>
      <c r="X3166" s="1"/>
      <c r="Y3166" s="1"/>
      <c r="Z3166" s="1"/>
    </row>
    <row r="3167" spans="1:26" x14ac:dyDescent="0.2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  <c r="Q3167" s="1"/>
      <c r="R3167" s="1"/>
      <c r="S3167" s="1"/>
      <c r="T3167" s="1"/>
      <c r="U3167" s="1"/>
      <c r="V3167" s="1"/>
      <c r="W3167" s="1"/>
      <c r="X3167" s="1"/>
      <c r="Y3167" s="1"/>
      <c r="Z3167" s="1"/>
    </row>
    <row r="3168" spans="1:26" x14ac:dyDescent="0.2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  <c r="Q3168" s="1"/>
      <c r="R3168" s="1"/>
      <c r="S3168" s="1"/>
      <c r="T3168" s="1"/>
      <c r="U3168" s="1"/>
      <c r="V3168" s="1"/>
      <c r="W3168" s="1"/>
      <c r="X3168" s="1"/>
      <c r="Y3168" s="1"/>
      <c r="Z3168" s="1"/>
    </row>
    <row r="3169" spans="1:26" x14ac:dyDescent="0.2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  <c r="Q3169" s="1"/>
      <c r="R3169" s="1"/>
      <c r="S3169" s="1"/>
      <c r="T3169" s="1"/>
      <c r="U3169" s="1"/>
      <c r="V3169" s="1"/>
      <c r="W3169" s="1"/>
      <c r="X3169" s="1"/>
      <c r="Y3169" s="1"/>
      <c r="Z3169" s="1"/>
    </row>
    <row r="3170" spans="1:26" x14ac:dyDescent="0.2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  <c r="Q3170" s="1"/>
      <c r="R3170" s="1"/>
      <c r="S3170" s="1"/>
      <c r="T3170" s="1"/>
      <c r="U3170" s="1"/>
      <c r="V3170" s="1"/>
      <c r="W3170" s="1"/>
      <c r="X3170" s="1"/>
      <c r="Y3170" s="1"/>
      <c r="Z3170" s="1"/>
    </row>
    <row r="3171" spans="1:26" x14ac:dyDescent="0.2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  <c r="Q3171" s="1"/>
      <c r="R3171" s="1"/>
      <c r="S3171" s="1"/>
      <c r="T3171" s="1"/>
      <c r="U3171" s="1"/>
      <c r="V3171" s="1"/>
      <c r="W3171" s="1"/>
      <c r="X3171" s="1"/>
      <c r="Y3171" s="1"/>
      <c r="Z3171" s="1"/>
    </row>
    <row r="3172" spans="1:26" x14ac:dyDescent="0.2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  <c r="Q3172" s="1"/>
      <c r="R3172" s="1"/>
      <c r="S3172" s="1"/>
      <c r="T3172" s="1"/>
      <c r="U3172" s="1"/>
      <c r="V3172" s="1"/>
      <c r="W3172" s="1"/>
      <c r="X3172" s="1"/>
      <c r="Y3172" s="1"/>
      <c r="Z3172" s="1"/>
    </row>
    <row r="3173" spans="1:26" x14ac:dyDescent="0.2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  <c r="Q3173" s="1"/>
      <c r="R3173" s="1"/>
      <c r="S3173" s="1"/>
      <c r="T3173" s="1"/>
      <c r="U3173" s="1"/>
      <c r="V3173" s="1"/>
      <c r="W3173" s="1"/>
      <c r="X3173" s="1"/>
      <c r="Y3173" s="1"/>
      <c r="Z3173" s="1"/>
    </row>
    <row r="3174" spans="1:26" x14ac:dyDescent="0.2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  <c r="Q3174" s="1"/>
      <c r="R3174" s="1"/>
      <c r="S3174" s="1"/>
      <c r="T3174" s="1"/>
      <c r="U3174" s="1"/>
      <c r="V3174" s="1"/>
      <c r="W3174" s="1"/>
      <c r="X3174" s="1"/>
      <c r="Y3174" s="1"/>
      <c r="Z3174" s="1"/>
    </row>
    <row r="3175" spans="1:26" x14ac:dyDescent="0.2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  <c r="Q3175" s="1"/>
      <c r="R3175" s="1"/>
      <c r="S3175" s="1"/>
      <c r="T3175" s="1"/>
      <c r="U3175" s="1"/>
      <c r="V3175" s="1"/>
      <c r="W3175" s="1"/>
      <c r="X3175" s="1"/>
      <c r="Y3175" s="1"/>
      <c r="Z3175" s="1"/>
    </row>
    <row r="3176" spans="1:26" x14ac:dyDescent="0.2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  <c r="Q3176" s="1"/>
      <c r="R3176" s="1"/>
      <c r="S3176" s="1"/>
      <c r="T3176" s="1"/>
      <c r="U3176" s="1"/>
      <c r="V3176" s="1"/>
      <c r="W3176" s="1"/>
      <c r="X3176" s="1"/>
      <c r="Y3176" s="1"/>
      <c r="Z3176" s="1"/>
    </row>
    <row r="3177" spans="1:26" x14ac:dyDescent="0.2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  <c r="Q3177" s="1"/>
      <c r="R3177" s="1"/>
      <c r="S3177" s="1"/>
      <c r="T3177" s="1"/>
      <c r="U3177" s="1"/>
      <c r="V3177" s="1"/>
      <c r="W3177" s="1"/>
      <c r="X3177" s="1"/>
      <c r="Y3177" s="1"/>
      <c r="Z3177" s="1"/>
    </row>
    <row r="3178" spans="1:26" x14ac:dyDescent="0.2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  <c r="Q3178" s="1"/>
      <c r="R3178" s="1"/>
      <c r="S3178" s="1"/>
      <c r="T3178" s="1"/>
      <c r="U3178" s="1"/>
      <c r="V3178" s="1"/>
      <c r="W3178" s="1"/>
      <c r="X3178" s="1"/>
      <c r="Y3178" s="1"/>
      <c r="Z3178" s="1"/>
    </row>
    <row r="3179" spans="1:26" x14ac:dyDescent="0.2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  <c r="Q3179" s="1"/>
      <c r="R3179" s="1"/>
      <c r="S3179" s="1"/>
      <c r="T3179" s="1"/>
      <c r="U3179" s="1"/>
      <c r="V3179" s="1"/>
      <c r="W3179" s="1"/>
      <c r="X3179" s="1"/>
      <c r="Y3179" s="1"/>
      <c r="Z3179" s="1"/>
    </row>
    <row r="3180" spans="1:26" x14ac:dyDescent="0.2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  <c r="Q3180" s="1"/>
      <c r="R3180" s="1"/>
      <c r="S3180" s="1"/>
      <c r="T3180" s="1"/>
      <c r="U3180" s="1"/>
      <c r="V3180" s="1"/>
      <c r="W3180" s="1"/>
      <c r="X3180" s="1"/>
      <c r="Y3180" s="1"/>
      <c r="Z3180" s="1"/>
    </row>
    <row r="3181" spans="1:26" x14ac:dyDescent="0.2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  <c r="Q3181" s="1"/>
      <c r="R3181" s="1"/>
      <c r="S3181" s="1"/>
      <c r="T3181" s="1"/>
      <c r="U3181" s="1"/>
      <c r="V3181" s="1"/>
      <c r="W3181" s="1"/>
      <c r="X3181" s="1"/>
      <c r="Y3181" s="1"/>
      <c r="Z3181" s="1"/>
    </row>
    <row r="3182" spans="1:26" x14ac:dyDescent="0.2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  <c r="Q3182" s="1"/>
      <c r="R3182" s="1"/>
      <c r="S3182" s="1"/>
      <c r="T3182" s="1"/>
      <c r="U3182" s="1"/>
      <c r="V3182" s="1"/>
      <c r="W3182" s="1"/>
      <c r="X3182" s="1"/>
      <c r="Y3182" s="1"/>
      <c r="Z3182" s="1"/>
    </row>
    <row r="3183" spans="1:26" x14ac:dyDescent="0.2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  <c r="Q3183" s="1"/>
      <c r="R3183" s="1"/>
      <c r="S3183" s="1"/>
      <c r="T3183" s="1"/>
      <c r="U3183" s="1"/>
      <c r="V3183" s="1"/>
      <c r="W3183" s="1"/>
      <c r="X3183" s="1"/>
      <c r="Y3183" s="1"/>
      <c r="Z3183" s="1"/>
    </row>
    <row r="3184" spans="1:26" x14ac:dyDescent="0.2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  <c r="Q3184" s="1"/>
      <c r="R3184" s="1"/>
      <c r="S3184" s="1"/>
      <c r="T3184" s="1"/>
      <c r="U3184" s="1"/>
      <c r="V3184" s="1"/>
      <c r="W3184" s="1"/>
      <c r="X3184" s="1"/>
      <c r="Y3184" s="1"/>
      <c r="Z3184" s="1"/>
    </row>
    <row r="3185" spans="1:26" x14ac:dyDescent="0.2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  <c r="Q3185" s="1"/>
      <c r="R3185" s="1"/>
      <c r="S3185" s="1"/>
      <c r="T3185" s="1"/>
      <c r="U3185" s="1"/>
      <c r="V3185" s="1"/>
      <c r="W3185" s="1"/>
      <c r="X3185" s="1"/>
      <c r="Y3185" s="1"/>
      <c r="Z3185" s="1"/>
    </row>
    <row r="3186" spans="1:26" x14ac:dyDescent="0.2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  <c r="Q3186" s="1"/>
      <c r="R3186" s="1"/>
      <c r="S3186" s="1"/>
      <c r="T3186" s="1"/>
      <c r="U3186" s="1"/>
      <c r="V3186" s="1"/>
      <c r="W3186" s="1"/>
      <c r="X3186" s="1"/>
      <c r="Y3186" s="1"/>
      <c r="Z3186" s="1"/>
    </row>
    <row r="3187" spans="1:26" x14ac:dyDescent="0.2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  <c r="Q3187" s="1"/>
      <c r="R3187" s="1"/>
      <c r="S3187" s="1"/>
      <c r="T3187" s="1"/>
      <c r="U3187" s="1"/>
      <c r="V3187" s="1"/>
      <c r="W3187" s="1"/>
      <c r="X3187" s="1"/>
      <c r="Y3187" s="1"/>
      <c r="Z3187" s="1"/>
    </row>
    <row r="3188" spans="1:26" x14ac:dyDescent="0.2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  <c r="Q3188" s="1"/>
      <c r="R3188" s="1"/>
      <c r="S3188" s="1"/>
      <c r="T3188" s="1"/>
      <c r="U3188" s="1"/>
      <c r="V3188" s="1"/>
      <c r="W3188" s="1"/>
      <c r="X3188" s="1"/>
      <c r="Y3188" s="1"/>
      <c r="Z3188" s="1"/>
    </row>
    <row r="3189" spans="1:26" x14ac:dyDescent="0.2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  <c r="Q3189" s="1"/>
      <c r="R3189" s="1"/>
      <c r="S3189" s="1"/>
      <c r="T3189" s="1"/>
      <c r="U3189" s="1"/>
      <c r="V3189" s="1"/>
      <c r="W3189" s="1"/>
      <c r="X3189" s="1"/>
      <c r="Y3189" s="1"/>
      <c r="Z3189" s="1"/>
    </row>
    <row r="3190" spans="1:26" x14ac:dyDescent="0.2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  <c r="Q3190" s="1"/>
      <c r="R3190" s="1"/>
      <c r="S3190" s="1"/>
      <c r="T3190" s="1"/>
      <c r="U3190" s="1"/>
      <c r="V3190" s="1"/>
      <c r="W3190" s="1"/>
      <c r="X3190" s="1"/>
      <c r="Y3190" s="1"/>
      <c r="Z3190" s="1"/>
    </row>
    <row r="3191" spans="1:26" x14ac:dyDescent="0.2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  <c r="Q3191" s="1"/>
      <c r="R3191" s="1"/>
      <c r="S3191" s="1"/>
      <c r="T3191" s="1"/>
      <c r="U3191" s="1"/>
      <c r="V3191" s="1"/>
      <c r="W3191" s="1"/>
      <c r="X3191" s="1"/>
      <c r="Y3191" s="1"/>
      <c r="Z3191" s="1"/>
    </row>
    <row r="3192" spans="1:26" x14ac:dyDescent="0.2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  <c r="Q3192" s="1"/>
      <c r="R3192" s="1"/>
      <c r="S3192" s="1"/>
      <c r="T3192" s="1"/>
      <c r="U3192" s="1"/>
      <c r="V3192" s="1"/>
      <c r="W3192" s="1"/>
      <c r="X3192" s="1"/>
      <c r="Y3192" s="1"/>
      <c r="Z3192" s="1"/>
    </row>
    <row r="3193" spans="1:26" x14ac:dyDescent="0.2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  <c r="Q3193" s="1"/>
      <c r="R3193" s="1"/>
      <c r="S3193" s="1"/>
      <c r="T3193" s="1"/>
      <c r="U3193" s="1"/>
      <c r="V3193" s="1"/>
      <c r="W3193" s="1"/>
      <c r="X3193" s="1"/>
      <c r="Y3193" s="1"/>
      <c r="Z3193" s="1"/>
    </row>
    <row r="3194" spans="1:26" x14ac:dyDescent="0.2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</row>
    <row r="3195" spans="1:26" x14ac:dyDescent="0.2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  <c r="Q3195" s="1"/>
      <c r="R3195" s="1"/>
      <c r="S3195" s="1"/>
      <c r="T3195" s="1"/>
      <c r="U3195" s="1"/>
      <c r="V3195" s="1"/>
      <c r="W3195" s="1"/>
      <c r="X3195" s="1"/>
      <c r="Y3195" s="1"/>
      <c r="Z3195" s="1"/>
    </row>
    <row r="3196" spans="1:26" x14ac:dyDescent="0.2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  <c r="Q3196" s="1"/>
      <c r="R3196" s="1"/>
      <c r="S3196" s="1"/>
      <c r="T3196" s="1"/>
      <c r="U3196" s="1"/>
      <c r="V3196" s="1"/>
      <c r="W3196" s="1"/>
      <c r="X3196" s="1"/>
      <c r="Y3196" s="1"/>
      <c r="Z3196" s="1"/>
    </row>
    <row r="3197" spans="1:26" x14ac:dyDescent="0.2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  <c r="Q3197" s="1"/>
      <c r="R3197" s="1"/>
      <c r="S3197" s="1"/>
      <c r="T3197" s="1"/>
      <c r="U3197" s="1"/>
      <c r="V3197" s="1"/>
      <c r="W3197" s="1"/>
      <c r="X3197" s="1"/>
      <c r="Y3197" s="1"/>
      <c r="Z3197" s="1"/>
    </row>
    <row r="3198" spans="1:26" x14ac:dyDescent="0.2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  <c r="Q3198" s="1"/>
      <c r="R3198" s="1"/>
      <c r="S3198" s="1"/>
      <c r="T3198" s="1"/>
      <c r="U3198" s="1"/>
      <c r="V3198" s="1"/>
      <c r="W3198" s="1"/>
      <c r="X3198" s="1"/>
      <c r="Y3198" s="1"/>
      <c r="Z3198" s="1"/>
    </row>
    <row r="3199" spans="1:26" x14ac:dyDescent="0.2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  <c r="Q3199" s="1"/>
      <c r="R3199" s="1"/>
      <c r="S3199" s="1"/>
      <c r="T3199" s="1"/>
      <c r="U3199" s="1"/>
      <c r="V3199" s="1"/>
      <c r="W3199" s="1"/>
      <c r="X3199" s="1"/>
      <c r="Y3199" s="1"/>
      <c r="Z3199" s="1"/>
    </row>
    <row r="3200" spans="1:26" x14ac:dyDescent="0.2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  <c r="Q3200" s="1"/>
      <c r="R3200" s="1"/>
      <c r="S3200" s="1"/>
      <c r="T3200" s="1"/>
      <c r="U3200" s="1"/>
      <c r="V3200" s="1"/>
      <c r="W3200" s="1"/>
      <c r="X3200" s="1"/>
      <c r="Y3200" s="1"/>
      <c r="Z3200" s="1"/>
    </row>
    <row r="3201" spans="1:26" x14ac:dyDescent="0.2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  <c r="Q3201" s="1"/>
      <c r="R3201" s="1"/>
      <c r="S3201" s="1"/>
      <c r="T3201" s="1"/>
      <c r="U3201" s="1"/>
      <c r="V3201" s="1"/>
      <c r="W3201" s="1"/>
      <c r="X3201" s="1"/>
      <c r="Y3201" s="1"/>
      <c r="Z3201" s="1"/>
    </row>
    <row r="3202" spans="1:26" x14ac:dyDescent="0.2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  <c r="Q3202" s="1"/>
      <c r="R3202" s="1"/>
      <c r="S3202" s="1"/>
      <c r="T3202" s="1"/>
      <c r="U3202" s="1"/>
      <c r="V3202" s="1"/>
      <c r="W3202" s="1"/>
      <c r="X3202" s="1"/>
      <c r="Y3202" s="1"/>
      <c r="Z3202" s="1"/>
    </row>
    <row r="3203" spans="1:26" x14ac:dyDescent="0.2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  <c r="Q3203" s="1"/>
      <c r="R3203" s="1"/>
      <c r="S3203" s="1"/>
      <c r="T3203" s="1"/>
      <c r="U3203" s="1"/>
      <c r="V3203" s="1"/>
      <c r="W3203" s="1"/>
      <c r="X3203" s="1"/>
      <c r="Y3203" s="1"/>
      <c r="Z3203" s="1"/>
    </row>
    <row r="3204" spans="1:26" x14ac:dyDescent="0.2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  <c r="Q3204" s="1"/>
      <c r="R3204" s="1"/>
      <c r="S3204" s="1"/>
      <c r="T3204" s="1"/>
      <c r="U3204" s="1"/>
      <c r="V3204" s="1"/>
      <c r="W3204" s="1"/>
      <c r="X3204" s="1"/>
      <c r="Y3204" s="1"/>
      <c r="Z3204" s="1"/>
    </row>
    <row r="3205" spans="1:26" x14ac:dyDescent="0.2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  <c r="Q3205" s="1"/>
      <c r="R3205" s="1"/>
      <c r="S3205" s="1"/>
      <c r="T3205" s="1"/>
      <c r="U3205" s="1"/>
      <c r="V3205" s="1"/>
      <c r="W3205" s="1"/>
      <c r="X3205" s="1"/>
      <c r="Y3205" s="1"/>
      <c r="Z3205" s="1"/>
    </row>
    <row r="3206" spans="1:26" x14ac:dyDescent="0.2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  <c r="Q3206" s="1"/>
      <c r="R3206" s="1"/>
      <c r="S3206" s="1"/>
      <c r="T3206" s="1"/>
      <c r="U3206" s="1"/>
      <c r="V3206" s="1"/>
      <c r="W3206" s="1"/>
      <c r="X3206" s="1"/>
      <c r="Y3206" s="1"/>
      <c r="Z3206" s="1"/>
    </row>
    <row r="3207" spans="1:26" x14ac:dyDescent="0.2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  <c r="Q3207" s="1"/>
      <c r="R3207" s="1"/>
      <c r="S3207" s="1"/>
      <c r="T3207" s="1"/>
      <c r="U3207" s="1"/>
      <c r="V3207" s="1"/>
      <c r="W3207" s="1"/>
      <c r="X3207" s="1"/>
      <c r="Y3207" s="1"/>
      <c r="Z3207" s="1"/>
    </row>
    <row r="3208" spans="1:26" x14ac:dyDescent="0.2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  <c r="Q3208" s="1"/>
      <c r="R3208" s="1"/>
      <c r="S3208" s="1"/>
      <c r="T3208" s="1"/>
      <c r="U3208" s="1"/>
      <c r="V3208" s="1"/>
      <c r="W3208" s="1"/>
      <c r="X3208" s="1"/>
      <c r="Y3208" s="1"/>
      <c r="Z3208" s="1"/>
    </row>
    <row r="3209" spans="1:26" x14ac:dyDescent="0.2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  <c r="Q3209" s="1"/>
      <c r="R3209" s="1"/>
      <c r="S3209" s="1"/>
      <c r="T3209" s="1"/>
      <c r="U3209" s="1"/>
      <c r="V3209" s="1"/>
      <c r="W3209" s="1"/>
      <c r="X3209" s="1"/>
      <c r="Y3209" s="1"/>
      <c r="Z3209" s="1"/>
    </row>
    <row r="3210" spans="1:26" x14ac:dyDescent="0.2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  <c r="Q3210" s="1"/>
      <c r="R3210" s="1"/>
      <c r="S3210" s="1"/>
      <c r="T3210" s="1"/>
      <c r="U3210" s="1"/>
      <c r="V3210" s="1"/>
      <c r="W3210" s="1"/>
      <c r="X3210" s="1"/>
      <c r="Y3210" s="1"/>
      <c r="Z3210" s="1"/>
    </row>
    <row r="3211" spans="1:26" x14ac:dyDescent="0.2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  <c r="Q3211" s="1"/>
      <c r="R3211" s="1"/>
      <c r="S3211" s="1"/>
      <c r="T3211" s="1"/>
      <c r="U3211" s="1"/>
      <c r="V3211" s="1"/>
      <c r="W3211" s="1"/>
      <c r="X3211" s="1"/>
      <c r="Y3211" s="1"/>
      <c r="Z3211" s="1"/>
    </row>
    <row r="3212" spans="1:26" x14ac:dyDescent="0.2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  <c r="Q3212" s="1"/>
      <c r="R3212" s="1"/>
      <c r="S3212" s="1"/>
      <c r="T3212" s="1"/>
      <c r="U3212" s="1"/>
      <c r="V3212" s="1"/>
      <c r="W3212" s="1"/>
      <c r="X3212" s="1"/>
      <c r="Y3212" s="1"/>
      <c r="Z3212" s="1"/>
    </row>
    <row r="3213" spans="1:26" x14ac:dyDescent="0.2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  <c r="Q3213" s="1"/>
      <c r="R3213" s="1"/>
      <c r="S3213" s="1"/>
      <c r="T3213" s="1"/>
      <c r="U3213" s="1"/>
      <c r="V3213" s="1"/>
      <c r="W3213" s="1"/>
      <c r="X3213" s="1"/>
      <c r="Y3213" s="1"/>
      <c r="Z3213" s="1"/>
    </row>
    <row r="3214" spans="1:26" x14ac:dyDescent="0.2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  <c r="Q3214" s="1"/>
      <c r="R3214" s="1"/>
      <c r="S3214" s="1"/>
      <c r="T3214" s="1"/>
      <c r="U3214" s="1"/>
      <c r="V3214" s="1"/>
      <c r="W3214" s="1"/>
      <c r="X3214" s="1"/>
      <c r="Y3214" s="1"/>
      <c r="Z3214" s="1"/>
    </row>
    <row r="3215" spans="1:26" x14ac:dyDescent="0.2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  <c r="Q3215" s="1"/>
      <c r="R3215" s="1"/>
      <c r="S3215" s="1"/>
      <c r="T3215" s="1"/>
      <c r="U3215" s="1"/>
      <c r="V3215" s="1"/>
      <c r="W3215" s="1"/>
      <c r="X3215" s="1"/>
      <c r="Y3215" s="1"/>
      <c r="Z3215" s="1"/>
    </row>
    <row r="3216" spans="1:26" x14ac:dyDescent="0.2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  <c r="Q3216" s="1"/>
      <c r="R3216" s="1"/>
      <c r="S3216" s="1"/>
      <c r="T3216" s="1"/>
      <c r="U3216" s="1"/>
      <c r="V3216" s="1"/>
      <c r="W3216" s="1"/>
      <c r="X3216" s="1"/>
      <c r="Y3216" s="1"/>
      <c r="Z3216" s="1"/>
    </row>
    <row r="3217" spans="1:26" x14ac:dyDescent="0.2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</row>
    <row r="3218" spans="1:26" x14ac:dyDescent="0.2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  <c r="Q3218" s="1"/>
      <c r="R3218" s="1"/>
      <c r="S3218" s="1"/>
      <c r="T3218" s="1"/>
      <c r="U3218" s="1"/>
      <c r="V3218" s="1"/>
      <c r="W3218" s="1"/>
      <c r="X3218" s="1"/>
      <c r="Y3218" s="1"/>
      <c r="Z3218" s="1"/>
    </row>
    <row r="3219" spans="1:26" x14ac:dyDescent="0.2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  <c r="Q3219" s="1"/>
      <c r="R3219" s="1"/>
      <c r="S3219" s="1"/>
      <c r="T3219" s="1"/>
      <c r="U3219" s="1"/>
      <c r="V3219" s="1"/>
      <c r="W3219" s="1"/>
      <c r="X3219" s="1"/>
      <c r="Y3219" s="1"/>
      <c r="Z3219" s="1"/>
    </row>
    <row r="3220" spans="1:26" x14ac:dyDescent="0.2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  <c r="Q3220" s="1"/>
      <c r="R3220" s="1"/>
      <c r="S3220" s="1"/>
      <c r="T3220" s="1"/>
      <c r="U3220" s="1"/>
      <c r="V3220" s="1"/>
      <c r="W3220" s="1"/>
      <c r="X3220" s="1"/>
      <c r="Y3220" s="1"/>
      <c r="Z3220" s="1"/>
    </row>
    <row r="3221" spans="1:26" x14ac:dyDescent="0.2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  <c r="Q3221" s="1"/>
      <c r="R3221" s="1"/>
      <c r="S3221" s="1"/>
      <c r="T3221" s="1"/>
      <c r="U3221" s="1"/>
      <c r="V3221" s="1"/>
      <c r="W3221" s="1"/>
      <c r="X3221" s="1"/>
      <c r="Y3221" s="1"/>
      <c r="Z3221" s="1"/>
    </row>
    <row r="3222" spans="1:26" x14ac:dyDescent="0.2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  <c r="Q3222" s="1"/>
      <c r="R3222" s="1"/>
      <c r="S3222" s="1"/>
      <c r="T3222" s="1"/>
      <c r="U3222" s="1"/>
      <c r="V3222" s="1"/>
      <c r="W3222" s="1"/>
      <c r="X3222" s="1"/>
      <c r="Y3222" s="1"/>
      <c r="Z3222" s="1"/>
    </row>
    <row r="3223" spans="1:26" x14ac:dyDescent="0.2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  <c r="Q3223" s="1"/>
      <c r="R3223" s="1"/>
      <c r="S3223" s="1"/>
      <c r="T3223" s="1"/>
      <c r="U3223" s="1"/>
      <c r="V3223" s="1"/>
      <c r="W3223" s="1"/>
      <c r="X3223" s="1"/>
      <c r="Y3223" s="1"/>
      <c r="Z3223" s="1"/>
    </row>
    <row r="3224" spans="1:26" x14ac:dyDescent="0.2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  <c r="Q3224" s="1"/>
      <c r="R3224" s="1"/>
      <c r="S3224" s="1"/>
      <c r="T3224" s="1"/>
      <c r="U3224" s="1"/>
      <c r="V3224" s="1"/>
      <c r="W3224" s="1"/>
      <c r="X3224" s="1"/>
      <c r="Y3224" s="1"/>
      <c r="Z3224" s="1"/>
    </row>
    <row r="3225" spans="1:26" x14ac:dyDescent="0.2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  <c r="Q3225" s="1"/>
      <c r="R3225" s="1"/>
      <c r="S3225" s="1"/>
      <c r="T3225" s="1"/>
      <c r="U3225" s="1"/>
      <c r="V3225" s="1"/>
      <c r="W3225" s="1"/>
      <c r="X3225" s="1"/>
      <c r="Y3225" s="1"/>
      <c r="Z3225" s="1"/>
    </row>
    <row r="3226" spans="1:26" x14ac:dyDescent="0.2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  <c r="Q3226" s="1"/>
      <c r="R3226" s="1"/>
      <c r="S3226" s="1"/>
      <c r="T3226" s="1"/>
      <c r="U3226" s="1"/>
      <c r="V3226" s="1"/>
      <c r="W3226" s="1"/>
      <c r="X3226" s="1"/>
      <c r="Y3226" s="1"/>
      <c r="Z3226" s="1"/>
    </row>
    <row r="3227" spans="1:26" x14ac:dyDescent="0.2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  <c r="Q3227" s="1"/>
      <c r="R3227" s="1"/>
      <c r="S3227" s="1"/>
      <c r="T3227" s="1"/>
      <c r="U3227" s="1"/>
      <c r="V3227" s="1"/>
      <c r="W3227" s="1"/>
      <c r="X3227" s="1"/>
      <c r="Y3227" s="1"/>
      <c r="Z3227" s="1"/>
    </row>
    <row r="3228" spans="1:26" x14ac:dyDescent="0.2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  <c r="Q3228" s="1"/>
      <c r="R3228" s="1"/>
      <c r="S3228" s="1"/>
      <c r="T3228" s="1"/>
      <c r="U3228" s="1"/>
      <c r="V3228" s="1"/>
      <c r="W3228" s="1"/>
      <c r="X3228" s="1"/>
      <c r="Y3228" s="1"/>
      <c r="Z3228" s="1"/>
    </row>
    <row r="3229" spans="1:26" x14ac:dyDescent="0.2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</row>
    <row r="3230" spans="1:26" x14ac:dyDescent="0.2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  <c r="Q3230" s="1"/>
      <c r="R3230" s="1"/>
      <c r="S3230" s="1"/>
      <c r="T3230" s="1"/>
      <c r="U3230" s="1"/>
      <c r="V3230" s="1"/>
      <c r="W3230" s="1"/>
      <c r="X3230" s="1"/>
      <c r="Y3230" s="1"/>
      <c r="Z3230" s="1"/>
    </row>
    <row r="3231" spans="1:26" x14ac:dyDescent="0.2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  <c r="Q3231" s="1"/>
      <c r="R3231" s="1"/>
      <c r="S3231" s="1"/>
      <c r="T3231" s="1"/>
      <c r="U3231" s="1"/>
      <c r="V3231" s="1"/>
      <c r="W3231" s="1"/>
      <c r="X3231" s="1"/>
      <c r="Y3231" s="1"/>
      <c r="Z3231" s="1"/>
    </row>
    <row r="3232" spans="1:26" x14ac:dyDescent="0.2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  <c r="Q3232" s="1"/>
      <c r="R3232" s="1"/>
      <c r="S3232" s="1"/>
      <c r="T3232" s="1"/>
      <c r="U3232" s="1"/>
      <c r="V3232" s="1"/>
      <c r="W3232" s="1"/>
      <c r="X3232" s="1"/>
      <c r="Y3232" s="1"/>
      <c r="Z3232" s="1"/>
    </row>
    <row r="3233" spans="1:26" x14ac:dyDescent="0.2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  <c r="Q3233" s="1"/>
      <c r="R3233" s="1"/>
      <c r="S3233" s="1"/>
      <c r="T3233" s="1"/>
      <c r="U3233" s="1"/>
      <c r="V3233" s="1"/>
      <c r="W3233" s="1"/>
      <c r="X3233" s="1"/>
      <c r="Y3233" s="1"/>
      <c r="Z3233" s="1"/>
    </row>
    <row r="3234" spans="1:26" x14ac:dyDescent="0.2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  <c r="Q3234" s="1"/>
      <c r="R3234" s="1"/>
      <c r="S3234" s="1"/>
      <c r="T3234" s="1"/>
      <c r="U3234" s="1"/>
      <c r="V3234" s="1"/>
      <c r="W3234" s="1"/>
      <c r="X3234" s="1"/>
      <c r="Y3234" s="1"/>
      <c r="Z3234" s="1"/>
    </row>
    <row r="3235" spans="1:26" x14ac:dyDescent="0.2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</row>
    <row r="3236" spans="1:26" x14ac:dyDescent="0.2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  <c r="Q3236" s="1"/>
      <c r="R3236" s="1"/>
      <c r="S3236" s="1"/>
      <c r="T3236" s="1"/>
      <c r="U3236" s="1"/>
      <c r="V3236" s="1"/>
      <c r="W3236" s="1"/>
      <c r="X3236" s="1"/>
      <c r="Y3236" s="1"/>
      <c r="Z3236" s="1"/>
    </row>
    <row r="3237" spans="1:26" x14ac:dyDescent="0.2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  <c r="Q3237" s="1"/>
      <c r="R3237" s="1"/>
      <c r="S3237" s="1"/>
      <c r="T3237" s="1"/>
      <c r="U3237" s="1"/>
      <c r="V3237" s="1"/>
      <c r="W3237" s="1"/>
      <c r="X3237" s="1"/>
      <c r="Y3237" s="1"/>
      <c r="Z3237" s="1"/>
    </row>
    <row r="3238" spans="1:26" x14ac:dyDescent="0.2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  <c r="Q3238" s="1"/>
      <c r="R3238" s="1"/>
      <c r="S3238" s="1"/>
      <c r="T3238" s="1"/>
      <c r="U3238" s="1"/>
      <c r="V3238" s="1"/>
      <c r="W3238" s="1"/>
      <c r="X3238" s="1"/>
      <c r="Y3238" s="1"/>
      <c r="Z3238" s="1"/>
    </row>
    <row r="3239" spans="1:26" x14ac:dyDescent="0.2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  <c r="Q3239" s="1"/>
      <c r="R3239" s="1"/>
      <c r="S3239" s="1"/>
      <c r="T3239" s="1"/>
      <c r="U3239" s="1"/>
      <c r="V3239" s="1"/>
      <c r="W3239" s="1"/>
      <c r="X3239" s="1"/>
      <c r="Y3239" s="1"/>
      <c r="Z3239" s="1"/>
    </row>
    <row r="3240" spans="1:26" x14ac:dyDescent="0.2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  <c r="Q3240" s="1"/>
      <c r="R3240" s="1"/>
      <c r="S3240" s="1"/>
      <c r="T3240" s="1"/>
      <c r="U3240" s="1"/>
      <c r="V3240" s="1"/>
      <c r="W3240" s="1"/>
      <c r="X3240" s="1"/>
      <c r="Y3240" s="1"/>
      <c r="Z3240" s="1"/>
    </row>
    <row r="3241" spans="1:26" x14ac:dyDescent="0.2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  <c r="Q3241" s="1"/>
      <c r="R3241" s="1"/>
      <c r="S3241" s="1"/>
      <c r="T3241" s="1"/>
      <c r="U3241" s="1"/>
      <c r="V3241" s="1"/>
      <c r="W3241" s="1"/>
      <c r="X3241" s="1"/>
      <c r="Y3241" s="1"/>
      <c r="Z3241" s="1"/>
    </row>
    <row r="3242" spans="1:26" x14ac:dyDescent="0.2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  <c r="Q3242" s="1"/>
      <c r="R3242" s="1"/>
      <c r="S3242" s="1"/>
      <c r="T3242" s="1"/>
      <c r="U3242" s="1"/>
      <c r="V3242" s="1"/>
      <c r="W3242" s="1"/>
      <c r="X3242" s="1"/>
      <c r="Y3242" s="1"/>
      <c r="Z3242" s="1"/>
    </row>
    <row r="3243" spans="1:26" x14ac:dyDescent="0.2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  <c r="Q3243" s="1"/>
      <c r="R3243" s="1"/>
      <c r="S3243" s="1"/>
      <c r="T3243" s="1"/>
      <c r="U3243" s="1"/>
      <c r="V3243" s="1"/>
      <c r="W3243" s="1"/>
      <c r="X3243" s="1"/>
      <c r="Y3243" s="1"/>
      <c r="Z3243" s="1"/>
    </row>
    <row r="3244" spans="1:26" x14ac:dyDescent="0.2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  <c r="Q3244" s="1"/>
      <c r="R3244" s="1"/>
      <c r="S3244" s="1"/>
      <c r="T3244" s="1"/>
      <c r="U3244" s="1"/>
      <c r="V3244" s="1"/>
      <c r="W3244" s="1"/>
      <c r="X3244" s="1"/>
      <c r="Y3244" s="1"/>
      <c r="Z3244" s="1"/>
    </row>
    <row r="3245" spans="1:26" x14ac:dyDescent="0.2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  <c r="Q3245" s="1"/>
      <c r="R3245" s="1"/>
      <c r="S3245" s="1"/>
      <c r="T3245" s="1"/>
      <c r="U3245" s="1"/>
      <c r="V3245" s="1"/>
      <c r="W3245" s="1"/>
      <c r="X3245" s="1"/>
      <c r="Y3245" s="1"/>
      <c r="Z3245" s="1"/>
    </row>
    <row r="3246" spans="1:26" x14ac:dyDescent="0.2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  <c r="Q3246" s="1"/>
      <c r="R3246" s="1"/>
      <c r="S3246" s="1"/>
      <c r="T3246" s="1"/>
      <c r="U3246" s="1"/>
      <c r="V3246" s="1"/>
      <c r="W3246" s="1"/>
      <c r="X3246" s="1"/>
      <c r="Y3246" s="1"/>
      <c r="Z3246" s="1"/>
    </row>
    <row r="3247" spans="1:26" x14ac:dyDescent="0.2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  <c r="Q3247" s="1"/>
      <c r="R3247" s="1"/>
      <c r="S3247" s="1"/>
      <c r="T3247" s="1"/>
      <c r="U3247" s="1"/>
      <c r="V3247" s="1"/>
      <c r="W3247" s="1"/>
      <c r="X3247" s="1"/>
      <c r="Y3247" s="1"/>
      <c r="Z3247" s="1"/>
    </row>
    <row r="3248" spans="1:26" x14ac:dyDescent="0.2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  <c r="Q3248" s="1"/>
      <c r="R3248" s="1"/>
      <c r="S3248" s="1"/>
      <c r="T3248" s="1"/>
      <c r="U3248" s="1"/>
      <c r="V3248" s="1"/>
      <c r="W3248" s="1"/>
      <c r="X3248" s="1"/>
      <c r="Y3248" s="1"/>
      <c r="Z3248" s="1"/>
    </row>
    <row r="3249" spans="1:26" x14ac:dyDescent="0.2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  <c r="Q3249" s="1"/>
      <c r="R3249" s="1"/>
      <c r="S3249" s="1"/>
      <c r="T3249" s="1"/>
      <c r="U3249" s="1"/>
      <c r="V3249" s="1"/>
      <c r="W3249" s="1"/>
      <c r="X3249" s="1"/>
      <c r="Y3249" s="1"/>
      <c r="Z3249" s="1"/>
    </row>
    <row r="3250" spans="1:26" x14ac:dyDescent="0.2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  <c r="Q3250" s="1"/>
      <c r="R3250" s="1"/>
      <c r="S3250" s="1"/>
      <c r="T3250" s="1"/>
      <c r="U3250" s="1"/>
      <c r="V3250" s="1"/>
      <c r="W3250" s="1"/>
      <c r="X3250" s="1"/>
      <c r="Y3250" s="1"/>
      <c r="Z3250" s="1"/>
    </row>
    <row r="3251" spans="1:26" x14ac:dyDescent="0.2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  <c r="Q3251" s="1"/>
      <c r="R3251" s="1"/>
      <c r="S3251" s="1"/>
      <c r="T3251" s="1"/>
      <c r="U3251" s="1"/>
      <c r="V3251" s="1"/>
      <c r="W3251" s="1"/>
      <c r="X3251" s="1"/>
      <c r="Y3251" s="1"/>
      <c r="Z3251" s="1"/>
    </row>
    <row r="3252" spans="1:26" x14ac:dyDescent="0.2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  <c r="Q3252" s="1"/>
      <c r="R3252" s="1"/>
      <c r="S3252" s="1"/>
      <c r="T3252" s="1"/>
      <c r="U3252" s="1"/>
      <c r="V3252" s="1"/>
      <c r="W3252" s="1"/>
      <c r="X3252" s="1"/>
      <c r="Y3252" s="1"/>
      <c r="Z3252" s="1"/>
    </row>
    <row r="3253" spans="1:26" x14ac:dyDescent="0.2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  <c r="Q3253" s="1"/>
      <c r="R3253" s="1"/>
      <c r="S3253" s="1"/>
      <c r="T3253" s="1"/>
      <c r="U3253" s="1"/>
      <c r="V3253" s="1"/>
      <c r="W3253" s="1"/>
      <c r="X3253" s="1"/>
      <c r="Y3253" s="1"/>
      <c r="Z3253" s="1"/>
    </row>
    <row r="3254" spans="1:26" x14ac:dyDescent="0.2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  <c r="Q3254" s="1"/>
      <c r="R3254" s="1"/>
      <c r="S3254" s="1"/>
      <c r="T3254" s="1"/>
      <c r="U3254" s="1"/>
      <c r="V3254" s="1"/>
      <c r="W3254" s="1"/>
      <c r="X3254" s="1"/>
      <c r="Y3254" s="1"/>
      <c r="Z3254" s="1"/>
    </row>
    <row r="3255" spans="1:26" x14ac:dyDescent="0.2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  <c r="Q3255" s="1"/>
      <c r="R3255" s="1"/>
      <c r="S3255" s="1"/>
      <c r="T3255" s="1"/>
      <c r="U3255" s="1"/>
      <c r="V3255" s="1"/>
      <c r="W3255" s="1"/>
      <c r="X3255" s="1"/>
      <c r="Y3255" s="1"/>
      <c r="Z3255" s="1"/>
    </row>
    <row r="3256" spans="1:26" x14ac:dyDescent="0.2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  <c r="Q3256" s="1"/>
      <c r="R3256" s="1"/>
      <c r="S3256" s="1"/>
      <c r="T3256" s="1"/>
      <c r="U3256" s="1"/>
      <c r="V3256" s="1"/>
      <c r="W3256" s="1"/>
      <c r="X3256" s="1"/>
      <c r="Y3256" s="1"/>
      <c r="Z3256" s="1"/>
    </row>
    <row r="3257" spans="1:26" x14ac:dyDescent="0.2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  <c r="Q3257" s="1"/>
      <c r="R3257" s="1"/>
      <c r="S3257" s="1"/>
      <c r="T3257" s="1"/>
      <c r="U3257" s="1"/>
      <c r="V3257" s="1"/>
      <c r="W3257" s="1"/>
      <c r="X3257" s="1"/>
      <c r="Y3257" s="1"/>
      <c r="Z3257" s="1"/>
    </row>
    <row r="3258" spans="1:26" x14ac:dyDescent="0.2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  <c r="Q3258" s="1"/>
      <c r="R3258" s="1"/>
      <c r="S3258" s="1"/>
      <c r="T3258" s="1"/>
      <c r="U3258" s="1"/>
      <c r="V3258" s="1"/>
      <c r="W3258" s="1"/>
      <c r="X3258" s="1"/>
      <c r="Y3258" s="1"/>
      <c r="Z3258" s="1"/>
    </row>
    <row r="3259" spans="1:26" x14ac:dyDescent="0.2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  <c r="Q3259" s="1"/>
      <c r="R3259" s="1"/>
      <c r="S3259" s="1"/>
      <c r="T3259" s="1"/>
      <c r="U3259" s="1"/>
      <c r="V3259" s="1"/>
      <c r="W3259" s="1"/>
      <c r="X3259" s="1"/>
      <c r="Y3259" s="1"/>
      <c r="Z3259" s="1"/>
    </row>
    <row r="3260" spans="1:26" x14ac:dyDescent="0.2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</row>
    <row r="3261" spans="1:26" x14ac:dyDescent="0.2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  <c r="Q3261" s="1"/>
      <c r="R3261" s="1"/>
      <c r="S3261" s="1"/>
      <c r="T3261" s="1"/>
      <c r="U3261" s="1"/>
      <c r="V3261" s="1"/>
      <c r="W3261" s="1"/>
      <c r="X3261" s="1"/>
      <c r="Y3261" s="1"/>
      <c r="Z3261" s="1"/>
    </row>
    <row r="3262" spans="1:26" x14ac:dyDescent="0.2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  <c r="Q3262" s="1"/>
      <c r="R3262" s="1"/>
      <c r="S3262" s="1"/>
      <c r="T3262" s="1"/>
      <c r="U3262" s="1"/>
      <c r="V3262" s="1"/>
      <c r="W3262" s="1"/>
      <c r="X3262" s="1"/>
      <c r="Y3262" s="1"/>
      <c r="Z3262" s="1"/>
    </row>
    <row r="3263" spans="1:26" x14ac:dyDescent="0.2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  <c r="Q3263" s="1"/>
      <c r="R3263" s="1"/>
      <c r="S3263" s="1"/>
      <c r="T3263" s="1"/>
      <c r="U3263" s="1"/>
      <c r="V3263" s="1"/>
      <c r="W3263" s="1"/>
      <c r="X3263" s="1"/>
      <c r="Y3263" s="1"/>
      <c r="Z3263" s="1"/>
    </row>
    <row r="3264" spans="1:26" x14ac:dyDescent="0.2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  <c r="Q3264" s="1"/>
      <c r="R3264" s="1"/>
      <c r="S3264" s="1"/>
      <c r="T3264" s="1"/>
      <c r="U3264" s="1"/>
      <c r="V3264" s="1"/>
      <c r="W3264" s="1"/>
      <c r="X3264" s="1"/>
      <c r="Y3264" s="1"/>
      <c r="Z3264" s="1"/>
    </row>
    <row r="3265" spans="1:26" x14ac:dyDescent="0.2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  <c r="Q3265" s="1"/>
      <c r="R3265" s="1"/>
      <c r="S3265" s="1"/>
      <c r="T3265" s="1"/>
      <c r="U3265" s="1"/>
      <c r="V3265" s="1"/>
      <c r="W3265" s="1"/>
      <c r="X3265" s="1"/>
      <c r="Y3265" s="1"/>
      <c r="Z3265" s="1"/>
    </row>
    <row r="3266" spans="1:26" x14ac:dyDescent="0.2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  <c r="Q3266" s="1"/>
      <c r="R3266" s="1"/>
      <c r="S3266" s="1"/>
      <c r="T3266" s="1"/>
      <c r="U3266" s="1"/>
      <c r="V3266" s="1"/>
      <c r="W3266" s="1"/>
      <c r="X3266" s="1"/>
      <c r="Y3266" s="1"/>
      <c r="Z3266" s="1"/>
    </row>
    <row r="3267" spans="1:26" x14ac:dyDescent="0.2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  <c r="Q3267" s="1"/>
      <c r="R3267" s="1"/>
      <c r="S3267" s="1"/>
      <c r="T3267" s="1"/>
      <c r="U3267" s="1"/>
      <c r="V3267" s="1"/>
      <c r="W3267" s="1"/>
      <c r="X3267" s="1"/>
      <c r="Y3267" s="1"/>
      <c r="Z3267" s="1"/>
    </row>
    <row r="3268" spans="1:26" x14ac:dyDescent="0.2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  <c r="Q3268" s="1"/>
      <c r="R3268" s="1"/>
      <c r="S3268" s="1"/>
      <c r="T3268" s="1"/>
      <c r="U3268" s="1"/>
      <c r="V3268" s="1"/>
      <c r="W3268" s="1"/>
      <c r="X3268" s="1"/>
      <c r="Y3268" s="1"/>
      <c r="Z3268" s="1"/>
    </row>
    <row r="3269" spans="1:26" x14ac:dyDescent="0.2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  <c r="Q3269" s="1"/>
      <c r="R3269" s="1"/>
      <c r="S3269" s="1"/>
      <c r="T3269" s="1"/>
      <c r="U3269" s="1"/>
      <c r="V3269" s="1"/>
      <c r="W3269" s="1"/>
      <c r="X3269" s="1"/>
      <c r="Y3269" s="1"/>
      <c r="Z3269" s="1"/>
    </row>
    <row r="3270" spans="1:26" x14ac:dyDescent="0.2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  <c r="Q3270" s="1"/>
      <c r="R3270" s="1"/>
      <c r="S3270" s="1"/>
      <c r="T3270" s="1"/>
      <c r="U3270" s="1"/>
      <c r="V3270" s="1"/>
      <c r="W3270" s="1"/>
      <c r="X3270" s="1"/>
      <c r="Y3270" s="1"/>
      <c r="Z3270" s="1"/>
    </row>
    <row r="3271" spans="1:26" x14ac:dyDescent="0.2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  <c r="Q3271" s="1"/>
      <c r="R3271" s="1"/>
      <c r="S3271" s="1"/>
      <c r="T3271" s="1"/>
      <c r="U3271" s="1"/>
      <c r="V3271" s="1"/>
      <c r="W3271" s="1"/>
      <c r="X3271" s="1"/>
      <c r="Y3271" s="1"/>
      <c r="Z3271" s="1"/>
    </row>
    <row r="3272" spans="1:26" x14ac:dyDescent="0.2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  <c r="Q3272" s="1"/>
      <c r="R3272" s="1"/>
      <c r="S3272" s="1"/>
      <c r="T3272" s="1"/>
      <c r="U3272" s="1"/>
      <c r="V3272" s="1"/>
      <c r="W3272" s="1"/>
      <c r="X3272" s="1"/>
      <c r="Y3272" s="1"/>
      <c r="Z3272" s="1"/>
    </row>
    <row r="3273" spans="1:26" x14ac:dyDescent="0.2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  <c r="Q3273" s="1"/>
      <c r="R3273" s="1"/>
      <c r="S3273" s="1"/>
      <c r="T3273" s="1"/>
      <c r="U3273" s="1"/>
      <c r="V3273" s="1"/>
      <c r="W3273" s="1"/>
      <c r="X3273" s="1"/>
      <c r="Y3273" s="1"/>
      <c r="Z3273" s="1"/>
    </row>
    <row r="3274" spans="1:26" x14ac:dyDescent="0.2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  <c r="Q3274" s="1"/>
      <c r="R3274" s="1"/>
      <c r="S3274" s="1"/>
      <c r="T3274" s="1"/>
      <c r="U3274" s="1"/>
      <c r="V3274" s="1"/>
      <c r="W3274" s="1"/>
      <c r="X3274" s="1"/>
      <c r="Y3274" s="1"/>
      <c r="Z3274" s="1"/>
    </row>
    <row r="3275" spans="1:26" x14ac:dyDescent="0.2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  <c r="Q3275" s="1"/>
      <c r="R3275" s="1"/>
      <c r="S3275" s="1"/>
      <c r="T3275" s="1"/>
      <c r="U3275" s="1"/>
      <c r="V3275" s="1"/>
      <c r="W3275" s="1"/>
      <c r="X3275" s="1"/>
      <c r="Y3275" s="1"/>
      <c r="Z3275" s="1"/>
    </row>
    <row r="3276" spans="1:26" x14ac:dyDescent="0.2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  <c r="Q3276" s="1"/>
      <c r="R3276" s="1"/>
      <c r="S3276" s="1"/>
      <c r="T3276" s="1"/>
      <c r="U3276" s="1"/>
      <c r="V3276" s="1"/>
      <c r="W3276" s="1"/>
      <c r="X3276" s="1"/>
      <c r="Y3276" s="1"/>
      <c r="Z3276" s="1"/>
    </row>
    <row r="3277" spans="1:26" x14ac:dyDescent="0.2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  <c r="Q3277" s="1"/>
      <c r="R3277" s="1"/>
      <c r="S3277" s="1"/>
      <c r="T3277" s="1"/>
      <c r="U3277" s="1"/>
      <c r="V3277" s="1"/>
      <c r="W3277" s="1"/>
      <c r="X3277" s="1"/>
      <c r="Y3277" s="1"/>
      <c r="Z3277" s="1"/>
    </row>
    <row r="3278" spans="1:26" x14ac:dyDescent="0.2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  <c r="Q3278" s="1"/>
      <c r="R3278" s="1"/>
      <c r="S3278" s="1"/>
      <c r="T3278" s="1"/>
      <c r="U3278" s="1"/>
      <c r="V3278" s="1"/>
      <c r="W3278" s="1"/>
      <c r="X3278" s="1"/>
      <c r="Y3278" s="1"/>
      <c r="Z3278" s="1"/>
    </row>
    <row r="3279" spans="1:26" x14ac:dyDescent="0.2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  <c r="Q3279" s="1"/>
      <c r="R3279" s="1"/>
      <c r="S3279" s="1"/>
      <c r="T3279" s="1"/>
      <c r="U3279" s="1"/>
      <c r="V3279" s="1"/>
      <c r="W3279" s="1"/>
      <c r="X3279" s="1"/>
      <c r="Y3279" s="1"/>
      <c r="Z3279" s="1"/>
    </row>
    <row r="3280" spans="1:26" x14ac:dyDescent="0.2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  <c r="Q3280" s="1"/>
      <c r="R3280" s="1"/>
      <c r="S3280" s="1"/>
      <c r="T3280" s="1"/>
      <c r="U3280" s="1"/>
      <c r="V3280" s="1"/>
      <c r="W3280" s="1"/>
      <c r="X3280" s="1"/>
      <c r="Y3280" s="1"/>
      <c r="Z3280" s="1"/>
    </row>
    <row r="3281" spans="1:26" x14ac:dyDescent="0.2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  <c r="Q3281" s="1"/>
      <c r="R3281" s="1"/>
      <c r="S3281" s="1"/>
      <c r="T3281" s="1"/>
      <c r="U3281" s="1"/>
      <c r="V3281" s="1"/>
      <c r="W3281" s="1"/>
      <c r="X3281" s="1"/>
      <c r="Y3281" s="1"/>
      <c r="Z3281" s="1"/>
    </row>
    <row r="3282" spans="1:26" x14ac:dyDescent="0.2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  <c r="Q3282" s="1"/>
      <c r="R3282" s="1"/>
      <c r="S3282" s="1"/>
      <c r="T3282" s="1"/>
      <c r="U3282" s="1"/>
      <c r="V3282" s="1"/>
      <c r="W3282" s="1"/>
      <c r="X3282" s="1"/>
      <c r="Y3282" s="1"/>
      <c r="Z3282" s="1"/>
    </row>
    <row r="3283" spans="1:26" x14ac:dyDescent="0.2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  <c r="Q3283" s="1"/>
      <c r="R3283" s="1"/>
      <c r="S3283" s="1"/>
      <c r="T3283" s="1"/>
      <c r="U3283" s="1"/>
      <c r="V3283" s="1"/>
      <c r="W3283" s="1"/>
      <c r="X3283" s="1"/>
      <c r="Y3283" s="1"/>
      <c r="Z3283" s="1"/>
    </row>
    <row r="3284" spans="1:26" x14ac:dyDescent="0.2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  <c r="Q3284" s="1"/>
      <c r="R3284" s="1"/>
      <c r="S3284" s="1"/>
      <c r="T3284" s="1"/>
      <c r="U3284" s="1"/>
      <c r="V3284" s="1"/>
      <c r="W3284" s="1"/>
      <c r="X3284" s="1"/>
      <c r="Y3284" s="1"/>
      <c r="Z3284" s="1"/>
    </row>
    <row r="3285" spans="1:26" x14ac:dyDescent="0.2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  <c r="Q3285" s="1"/>
      <c r="R3285" s="1"/>
      <c r="S3285" s="1"/>
      <c r="T3285" s="1"/>
      <c r="U3285" s="1"/>
      <c r="V3285" s="1"/>
      <c r="W3285" s="1"/>
      <c r="X3285" s="1"/>
      <c r="Y3285" s="1"/>
      <c r="Z3285" s="1"/>
    </row>
    <row r="3286" spans="1:26" x14ac:dyDescent="0.2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  <c r="Q3286" s="1"/>
      <c r="R3286" s="1"/>
      <c r="S3286" s="1"/>
      <c r="T3286" s="1"/>
      <c r="U3286" s="1"/>
      <c r="V3286" s="1"/>
      <c r="W3286" s="1"/>
      <c r="X3286" s="1"/>
      <c r="Y3286" s="1"/>
      <c r="Z3286" s="1"/>
    </row>
    <row r="3287" spans="1:26" x14ac:dyDescent="0.2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  <c r="Q3287" s="1"/>
      <c r="R3287" s="1"/>
      <c r="S3287" s="1"/>
      <c r="T3287" s="1"/>
      <c r="U3287" s="1"/>
      <c r="V3287" s="1"/>
      <c r="W3287" s="1"/>
      <c r="X3287" s="1"/>
      <c r="Y3287" s="1"/>
      <c r="Z3287" s="1"/>
    </row>
    <row r="3288" spans="1:26" x14ac:dyDescent="0.2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  <c r="Q3288" s="1"/>
      <c r="R3288" s="1"/>
      <c r="S3288" s="1"/>
      <c r="T3288" s="1"/>
      <c r="U3288" s="1"/>
      <c r="V3288" s="1"/>
      <c r="W3288" s="1"/>
      <c r="X3288" s="1"/>
      <c r="Y3288" s="1"/>
      <c r="Z3288" s="1"/>
    </row>
    <row r="3289" spans="1:26" x14ac:dyDescent="0.2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  <c r="Q3289" s="1"/>
      <c r="R3289" s="1"/>
      <c r="S3289" s="1"/>
      <c r="T3289" s="1"/>
      <c r="U3289" s="1"/>
      <c r="V3289" s="1"/>
      <c r="W3289" s="1"/>
      <c r="X3289" s="1"/>
      <c r="Y3289" s="1"/>
      <c r="Z3289" s="1"/>
    </row>
    <row r="3290" spans="1:26" x14ac:dyDescent="0.2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  <c r="Q3290" s="1"/>
      <c r="R3290" s="1"/>
      <c r="S3290" s="1"/>
      <c r="T3290" s="1"/>
      <c r="U3290" s="1"/>
      <c r="V3290" s="1"/>
      <c r="W3290" s="1"/>
      <c r="X3290" s="1"/>
      <c r="Y3290" s="1"/>
      <c r="Z3290" s="1"/>
    </row>
    <row r="3291" spans="1:26" x14ac:dyDescent="0.2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  <c r="Q3291" s="1"/>
      <c r="R3291" s="1"/>
      <c r="S3291" s="1"/>
      <c r="T3291" s="1"/>
      <c r="U3291" s="1"/>
      <c r="V3291" s="1"/>
      <c r="W3291" s="1"/>
      <c r="X3291" s="1"/>
      <c r="Y3291" s="1"/>
      <c r="Z3291" s="1"/>
    </row>
    <row r="3292" spans="1:26" x14ac:dyDescent="0.2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  <c r="Q3292" s="1"/>
      <c r="R3292" s="1"/>
      <c r="S3292" s="1"/>
      <c r="T3292" s="1"/>
      <c r="U3292" s="1"/>
      <c r="V3292" s="1"/>
      <c r="W3292" s="1"/>
      <c r="X3292" s="1"/>
      <c r="Y3292" s="1"/>
      <c r="Z3292" s="1"/>
    </row>
    <row r="3293" spans="1:26" x14ac:dyDescent="0.2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  <c r="Q3293" s="1"/>
      <c r="R3293" s="1"/>
      <c r="S3293" s="1"/>
      <c r="T3293" s="1"/>
      <c r="U3293" s="1"/>
      <c r="V3293" s="1"/>
      <c r="W3293" s="1"/>
      <c r="X3293" s="1"/>
      <c r="Y3293" s="1"/>
      <c r="Z3293" s="1"/>
    </row>
    <row r="3294" spans="1:26" x14ac:dyDescent="0.2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  <c r="Q3294" s="1"/>
      <c r="R3294" s="1"/>
      <c r="S3294" s="1"/>
      <c r="T3294" s="1"/>
      <c r="U3294" s="1"/>
      <c r="V3294" s="1"/>
      <c r="W3294" s="1"/>
      <c r="X3294" s="1"/>
      <c r="Y3294" s="1"/>
      <c r="Z3294" s="1"/>
    </row>
    <row r="3295" spans="1:26" x14ac:dyDescent="0.2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  <c r="Q3295" s="1"/>
      <c r="R3295" s="1"/>
      <c r="S3295" s="1"/>
      <c r="T3295" s="1"/>
      <c r="U3295" s="1"/>
      <c r="V3295" s="1"/>
      <c r="W3295" s="1"/>
      <c r="X3295" s="1"/>
      <c r="Y3295" s="1"/>
      <c r="Z3295" s="1"/>
    </row>
    <row r="3296" spans="1:26" x14ac:dyDescent="0.2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  <c r="Q3296" s="1"/>
      <c r="R3296" s="1"/>
      <c r="S3296" s="1"/>
      <c r="T3296" s="1"/>
      <c r="U3296" s="1"/>
      <c r="V3296" s="1"/>
      <c r="W3296" s="1"/>
      <c r="X3296" s="1"/>
      <c r="Y3296" s="1"/>
      <c r="Z3296" s="1"/>
    </row>
    <row r="3297" spans="1:26" x14ac:dyDescent="0.2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  <c r="Q3297" s="1"/>
      <c r="R3297" s="1"/>
      <c r="S3297" s="1"/>
      <c r="T3297" s="1"/>
      <c r="U3297" s="1"/>
      <c r="V3297" s="1"/>
      <c r="W3297" s="1"/>
      <c r="X3297" s="1"/>
      <c r="Y3297" s="1"/>
      <c r="Z3297" s="1"/>
    </row>
    <row r="3298" spans="1:26" x14ac:dyDescent="0.2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  <c r="Q3298" s="1"/>
      <c r="R3298" s="1"/>
      <c r="S3298" s="1"/>
      <c r="T3298" s="1"/>
      <c r="U3298" s="1"/>
      <c r="V3298" s="1"/>
      <c r="W3298" s="1"/>
      <c r="X3298" s="1"/>
      <c r="Y3298" s="1"/>
      <c r="Z3298" s="1"/>
    </row>
    <row r="3299" spans="1:26" x14ac:dyDescent="0.2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  <c r="Q3299" s="1"/>
      <c r="R3299" s="1"/>
      <c r="S3299" s="1"/>
      <c r="T3299" s="1"/>
      <c r="U3299" s="1"/>
      <c r="V3299" s="1"/>
      <c r="W3299" s="1"/>
      <c r="X3299" s="1"/>
      <c r="Y3299" s="1"/>
      <c r="Z3299" s="1"/>
    </row>
    <row r="3300" spans="1:26" x14ac:dyDescent="0.2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  <c r="Q3300" s="1"/>
      <c r="R3300" s="1"/>
      <c r="S3300" s="1"/>
      <c r="T3300" s="1"/>
      <c r="U3300" s="1"/>
      <c r="V3300" s="1"/>
      <c r="W3300" s="1"/>
      <c r="X3300" s="1"/>
      <c r="Y3300" s="1"/>
      <c r="Z3300" s="1"/>
    </row>
    <row r="3301" spans="1:26" x14ac:dyDescent="0.2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  <c r="Q3301" s="1"/>
      <c r="R3301" s="1"/>
      <c r="S3301" s="1"/>
      <c r="T3301" s="1"/>
      <c r="U3301" s="1"/>
      <c r="V3301" s="1"/>
      <c r="W3301" s="1"/>
      <c r="X3301" s="1"/>
      <c r="Y3301" s="1"/>
      <c r="Z3301" s="1"/>
    </row>
    <row r="3302" spans="1:26" x14ac:dyDescent="0.2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  <c r="Q3302" s="1"/>
      <c r="R3302" s="1"/>
      <c r="S3302" s="1"/>
      <c r="T3302" s="1"/>
      <c r="U3302" s="1"/>
      <c r="V3302" s="1"/>
      <c r="W3302" s="1"/>
      <c r="X3302" s="1"/>
      <c r="Y3302" s="1"/>
      <c r="Z3302" s="1"/>
    </row>
    <row r="3303" spans="1:26" x14ac:dyDescent="0.2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  <c r="Q3303" s="1"/>
      <c r="R3303" s="1"/>
      <c r="S3303" s="1"/>
      <c r="T3303" s="1"/>
      <c r="U3303" s="1"/>
      <c r="V3303" s="1"/>
      <c r="W3303" s="1"/>
      <c r="X3303" s="1"/>
      <c r="Y3303" s="1"/>
      <c r="Z3303" s="1"/>
    </row>
    <row r="3304" spans="1:26" x14ac:dyDescent="0.2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  <c r="Q3304" s="1"/>
      <c r="R3304" s="1"/>
      <c r="S3304" s="1"/>
      <c r="T3304" s="1"/>
      <c r="U3304" s="1"/>
      <c r="V3304" s="1"/>
      <c r="W3304" s="1"/>
      <c r="X3304" s="1"/>
      <c r="Y3304" s="1"/>
      <c r="Z3304" s="1"/>
    </row>
    <row r="3305" spans="1:26" x14ac:dyDescent="0.2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  <c r="Q3305" s="1"/>
      <c r="R3305" s="1"/>
      <c r="S3305" s="1"/>
      <c r="T3305" s="1"/>
      <c r="U3305" s="1"/>
      <c r="V3305" s="1"/>
      <c r="W3305" s="1"/>
      <c r="X3305" s="1"/>
      <c r="Y3305" s="1"/>
      <c r="Z3305" s="1"/>
    </row>
    <row r="3306" spans="1:26" x14ac:dyDescent="0.2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  <c r="Q3306" s="1"/>
      <c r="R3306" s="1"/>
      <c r="S3306" s="1"/>
      <c r="T3306" s="1"/>
      <c r="U3306" s="1"/>
      <c r="V3306" s="1"/>
      <c r="W3306" s="1"/>
      <c r="X3306" s="1"/>
      <c r="Y3306" s="1"/>
      <c r="Z3306" s="1"/>
    </row>
    <row r="3307" spans="1:26" x14ac:dyDescent="0.2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  <c r="Q3307" s="1"/>
      <c r="R3307" s="1"/>
      <c r="S3307" s="1"/>
      <c r="T3307" s="1"/>
      <c r="U3307" s="1"/>
      <c r="V3307" s="1"/>
      <c r="W3307" s="1"/>
      <c r="X3307" s="1"/>
      <c r="Y3307" s="1"/>
      <c r="Z3307" s="1"/>
    </row>
    <row r="3308" spans="1:26" x14ac:dyDescent="0.2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  <c r="Q3308" s="1"/>
      <c r="R3308" s="1"/>
      <c r="S3308" s="1"/>
      <c r="T3308" s="1"/>
      <c r="U3308" s="1"/>
      <c r="V3308" s="1"/>
      <c r="W3308" s="1"/>
      <c r="X3308" s="1"/>
      <c r="Y3308" s="1"/>
      <c r="Z3308" s="1"/>
    </row>
    <row r="3309" spans="1:26" x14ac:dyDescent="0.2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  <c r="Q3309" s="1"/>
      <c r="R3309" s="1"/>
      <c r="S3309" s="1"/>
      <c r="T3309" s="1"/>
      <c r="U3309" s="1"/>
      <c r="V3309" s="1"/>
      <c r="W3309" s="1"/>
      <c r="X3309" s="1"/>
      <c r="Y3309" s="1"/>
      <c r="Z3309" s="1"/>
    </row>
    <row r="3310" spans="1:26" x14ac:dyDescent="0.2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  <c r="Q3310" s="1"/>
      <c r="R3310" s="1"/>
      <c r="S3310" s="1"/>
      <c r="T3310" s="1"/>
      <c r="U3310" s="1"/>
      <c r="V3310" s="1"/>
      <c r="W3310" s="1"/>
      <c r="X3310" s="1"/>
      <c r="Y3310" s="1"/>
      <c r="Z3310" s="1"/>
    </row>
    <row r="3311" spans="1:26" x14ac:dyDescent="0.2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  <c r="Q3311" s="1"/>
      <c r="R3311" s="1"/>
      <c r="S3311" s="1"/>
      <c r="T3311" s="1"/>
      <c r="U3311" s="1"/>
      <c r="V3311" s="1"/>
      <c r="W3311" s="1"/>
      <c r="X3311" s="1"/>
      <c r="Y3311" s="1"/>
      <c r="Z3311" s="1"/>
    </row>
    <row r="3312" spans="1:26" x14ac:dyDescent="0.2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  <c r="Q3312" s="1"/>
      <c r="R3312" s="1"/>
      <c r="S3312" s="1"/>
      <c r="T3312" s="1"/>
      <c r="U3312" s="1"/>
      <c r="V3312" s="1"/>
      <c r="W3312" s="1"/>
      <c r="X3312" s="1"/>
      <c r="Y3312" s="1"/>
      <c r="Z3312" s="1"/>
    </row>
    <row r="3313" spans="1:26" x14ac:dyDescent="0.2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  <c r="Q3313" s="1"/>
      <c r="R3313" s="1"/>
      <c r="S3313" s="1"/>
      <c r="T3313" s="1"/>
      <c r="U3313" s="1"/>
      <c r="V3313" s="1"/>
      <c r="W3313" s="1"/>
      <c r="X3313" s="1"/>
      <c r="Y3313" s="1"/>
      <c r="Z3313" s="1"/>
    </row>
    <row r="3314" spans="1:26" x14ac:dyDescent="0.2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  <c r="Q3314" s="1"/>
      <c r="R3314" s="1"/>
      <c r="S3314" s="1"/>
      <c r="T3314" s="1"/>
      <c r="U3314" s="1"/>
      <c r="V3314" s="1"/>
      <c r="W3314" s="1"/>
      <c r="X3314" s="1"/>
      <c r="Y3314" s="1"/>
      <c r="Z3314" s="1"/>
    </row>
    <row r="3315" spans="1:26" x14ac:dyDescent="0.2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  <c r="Q3315" s="1"/>
      <c r="R3315" s="1"/>
      <c r="S3315" s="1"/>
      <c r="T3315" s="1"/>
      <c r="U3315" s="1"/>
      <c r="V3315" s="1"/>
      <c r="W3315" s="1"/>
      <c r="X3315" s="1"/>
      <c r="Y3315" s="1"/>
      <c r="Z3315" s="1"/>
    </row>
    <row r="3316" spans="1:26" x14ac:dyDescent="0.2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  <c r="Q3316" s="1"/>
      <c r="R3316" s="1"/>
      <c r="S3316" s="1"/>
      <c r="T3316" s="1"/>
      <c r="U3316" s="1"/>
      <c r="V3316" s="1"/>
      <c r="W3316" s="1"/>
      <c r="X3316" s="1"/>
      <c r="Y3316" s="1"/>
      <c r="Z3316" s="1"/>
    </row>
    <row r="3317" spans="1:26" x14ac:dyDescent="0.2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  <c r="Q3317" s="1"/>
      <c r="R3317" s="1"/>
      <c r="S3317" s="1"/>
      <c r="T3317" s="1"/>
      <c r="U3317" s="1"/>
      <c r="V3317" s="1"/>
      <c r="W3317" s="1"/>
      <c r="X3317" s="1"/>
      <c r="Y3317" s="1"/>
      <c r="Z3317" s="1"/>
    </row>
    <row r="3318" spans="1:26" x14ac:dyDescent="0.2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  <c r="Q3318" s="1"/>
      <c r="R3318" s="1"/>
      <c r="S3318" s="1"/>
      <c r="T3318" s="1"/>
      <c r="U3318" s="1"/>
      <c r="V3318" s="1"/>
      <c r="W3318" s="1"/>
      <c r="X3318" s="1"/>
      <c r="Y3318" s="1"/>
      <c r="Z3318" s="1"/>
    </row>
    <row r="3319" spans="1:26" x14ac:dyDescent="0.2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  <c r="Q3319" s="1"/>
      <c r="R3319" s="1"/>
      <c r="S3319" s="1"/>
      <c r="T3319" s="1"/>
      <c r="U3319" s="1"/>
      <c r="V3319" s="1"/>
      <c r="W3319" s="1"/>
      <c r="X3319" s="1"/>
      <c r="Y3319" s="1"/>
      <c r="Z3319" s="1"/>
    </row>
    <row r="3320" spans="1:26" x14ac:dyDescent="0.2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  <c r="Q3320" s="1"/>
      <c r="R3320" s="1"/>
      <c r="S3320" s="1"/>
      <c r="T3320" s="1"/>
      <c r="U3320" s="1"/>
      <c r="V3320" s="1"/>
      <c r="W3320" s="1"/>
      <c r="X3320" s="1"/>
      <c r="Y3320" s="1"/>
      <c r="Z3320" s="1"/>
    </row>
    <row r="3321" spans="1:26" x14ac:dyDescent="0.2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</row>
    <row r="3322" spans="1:26" x14ac:dyDescent="0.2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  <c r="Q3322" s="1"/>
      <c r="R3322" s="1"/>
      <c r="S3322" s="1"/>
      <c r="T3322" s="1"/>
      <c r="U3322" s="1"/>
      <c r="V3322" s="1"/>
      <c r="W3322" s="1"/>
      <c r="X3322" s="1"/>
      <c r="Y3322" s="1"/>
      <c r="Z3322" s="1"/>
    </row>
    <row r="3323" spans="1:26" x14ac:dyDescent="0.2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  <c r="Q3323" s="1"/>
      <c r="R3323" s="1"/>
      <c r="S3323" s="1"/>
      <c r="T3323" s="1"/>
      <c r="U3323" s="1"/>
      <c r="V3323" s="1"/>
      <c r="W3323" s="1"/>
      <c r="X3323" s="1"/>
      <c r="Y3323" s="1"/>
      <c r="Z3323" s="1"/>
    </row>
    <row r="3324" spans="1:26" x14ac:dyDescent="0.2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  <c r="Q3324" s="1"/>
      <c r="R3324" s="1"/>
      <c r="S3324" s="1"/>
      <c r="T3324" s="1"/>
      <c r="U3324" s="1"/>
      <c r="V3324" s="1"/>
      <c r="W3324" s="1"/>
      <c r="X3324" s="1"/>
      <c r="Y3324" s="1"/>
      <c r="Z3324" s="1"/>
    </row>
    <row r="3325" spans="1:26" x14ac:dyDescent="0.2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  <c r="Q3325" s="1"/>
      <c r="R3325" s="1"/>
      <c r="S3325" s="1"/>
      <c r="T3325" s="1"/>
      <c r="U3325" s="1"/>
      <c r="V3325" s="1"/>
      <c r="W3325" s="1"/>
      <c r="X3325" s="1"/>
      <c r="Y3325" s="1"/>
      <c r="Z3325" s="1"/>
    </row>
    <row r="3326" spans="1:26" x14ac:dyDescent="0.2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  <c r="Q3326" s="1"/>
      <c r="R3326" s="1"/>
      <c r="S3326" s="1"/>
      <c r="T3326" s="1"/>
      <c r="U3326" s="1"/>
      <c r="V3326" s="1"/>
      <c r="W3326" s="1"/>
      <c r="X3326" s="1"/>
      <c r="Y3326" s="1"/>
      <c r="Z3326" s="1"/>
    </row>
    <row r="3327" spans="1:26" x14ac:dyDescent="0.2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  <c r="Q3327" s="1"/>
      <c r="R3327" s="1"/>
      <c r="S3327" s="1"/>
      <c r="T3327" s="1"/>
      <c r="U3327" s="1"/>
      <c r="V3327" s="1"/>
      <c r="W3327" s="1"/>
      <c r="X3327" s="1"/>
      <c r="Y3327" s="1"/>
      <c r="Z3327" s="1"/>
    </row>
    <row r="3328" spans="1:26" x14ac:dyDescent="0.2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  <c r="Q3328" s="1"/>
      <c r="R3328" s="1"/>
      <c r="S3328" s="1"/>
      <c r="T3328" s="1"/>
      <c r="U3328" s="1"/>
      <c r="V3328" s="1"/>
      <c r="W3328" s="1"/>
      <c r="X3328" s="1"/>
      <c r="Y3328" s="1"/>
      <c r="Z3328" s="1"/>
    </row>
    <row r="3329" spans="1:26" x14ac:dyDescent="0.2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  <c r="Q3329" s="1"/>
      <c r="R3329" s="1"/>
      <c r="S3329" s="1"/>
      <c r="T3329" s="1"/>
      <c r="U3329" s="1"/>
      <c r="V3329" s="1"/>
      <c r="W3329" s="1"/>
      <c r="X3329" s="1"/>
      <c r="Y3329" s="1"/>
      <c r="Z3329" s="1"/>
    </row>
    <row r="3330" spans="1:26" x14ac:dyDescent="0.2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  <c r="Q3330" s="1"/>
      <c r="R3330" s="1"/>
      <c r="S3330" s="1"/>
      <c r="T3330" s="1"/>
      <c r="U3330" s="1"/>
      <c r="V3330" s="1"/>
      <c r="W3330" s="1"/>
      <c r="X3330" s="1"/>
      <c r="Y3330" s="1"/>
      <c r="Z3330" s="1"/>
    </row>
    <row r="3331" spans="1:26" x14ac:dyDescent="0.2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  <c r="Q3331" s="1"/>
      <c r="R3331" s="1"/>
      <c r="S3331" s="1"/>
      <c r="T3331" s="1"/>
      <c r="U3331" s="1"/>
      <c r="V3331" s="1"/>
      <c r="W3331" s="1"/>
      <c r="X3331" s="1"/>
      <c r="Y3331" s="1"/>
      <c r="Z3331" s="1"/>
    </row>
    <row r="3332" spans="1:26" x14ac:dyDescent="0.2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</row>
    <row r="3333" spans="1:26" x14ac:dyDescent="0.2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  <c r="Q3333" s="1"/>
      <c r="R3333" s="1"/>
      <c r="S3333" s="1"/>
      <c r="T3333" s="1"/>
      <c r="U3333" s="1"/>
      <c r="V3333" s="1"/>
      <c r="W3333" s="1"/>
      <c r="X3333" s="1"/>
      <c r="Y3333" s="1"/>
      <c r="Z3333" s="1"/>
    </row>
    <row r="3334" spans="1:26" x14ac:dyDescent="0.2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  <c r="Q3334" s="1"/>
      <c r="R3334" s="1"/>
      <c r="S3334" s="1"/>
      <c r="T3334" s="1"/>
      <c r="U3334" s="1"/>
      <c r="V3334" s="1"/>
      <c r="W3334" s="1"/>
      <c r="X3334" s="1"/>
      <c r="Y3334" s="1"/>
      <c r="Z3334" s="1"/>
    </row>
    <row r="3335" spans="1:26" x14ac:dyDescent="0.2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  <c r="Q3335" s="1"/>
      <c r="R3335" s="1"/>
      <c r="S3335" s="1"/>
      <c r="T3335" s="1"/>
      <c r="U3335" s="1"/>
      <c r="V3335" s="1"/>
      <c r="W3335" s="1"/>
      <c r="X3335" s="1"/>
      <c r="Y3335" s="1"/>
      <c r="Z3335" s="1"/>
    </row>
    <row r="3336" spans="1:26" x14ac:dyDescent="0.2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  <c r="Q3336" s="1"/>
      <c r="R3336" s="1"/>
      <c r="S3336" s="1"/>
      <c r="T3336" s="1"/>
      <c r="U3336" s="1"/>
      <c r="V3336" s="1"/>
      <c r="W3336" s="1"/>
      <c r="X3336" s="1"/>
      <c r="Y3336" s="1"/>
      <c r="Z3336" s="1"/>
    </row>
    <row r="3337" spans="1:26" x14ac:dyDescent="0.2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  <c r="Q3337" s="1"/>
      <c r="R3337" s="1"/>
      <c r="S3337" s="1"/>
      <c r="T3337" s="1"/>
      <c r="U3337" s="1"/>
      <c r="V3337" s="1"/>
      <c r="W3337" s="1"/>
      <c r="X3337" s="1"/>
      <c r="Y3337" s="1"/>
      <c r="Z3337" s="1"/>
    </row>
    <row r="3338" spans="1:26" x14ac:dyDescent="0.2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  <c r="Q3338" s="1"/>
      <c r="R3338" s="1"/>
      <c r="S3338" s="1"/>
      <c r="T3338" s="1"/>
      <c r="U3338" s="1"/>
      <c r="V3338" s="1"/>
      <c r="W3338" s="1"/>
      <c r="X3338" s="1"/>
      <c r="Y3338" s="1"/>
      <c r="Z3338" s="1"/>
    </row>
    <row r="3339" spans="1:26" x14ac:dyDescent="0.2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  <c r="Q3339" s="1"/>
      <c r="R3339" s="1"/>
      <c r="S3339" s="1"/>
      <c r="T3339" s="1"/>
      <c r="U3339" s="1"/>
      <c r="V3339" s="1"/>
      <c r="W3339" s="1"/>
      <c r="X3339" s="1"/>
      <c r="Y3339" s="1"/>
      <c r="Z3339" s="1"/>
    </row>
    <row r="3340" spans="1:26" x14ac:dyDescent="0.2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  <c r="Q3340" s="1"/>
      <c r="R3340" s="1"/>
      <c r="S3340" s="1"/>
      <c r="T3340" s="1"/>
      <c r="U3340" s="1"/>
      <c r="V3340" s="1"/>
      <c r="W3340" s="1"/>
      <c r="X3340" s="1"/>
      <c r="Y3340" s="1"/>
      <c r="Z3340" s="1"/>
    </row>
    <row r="3341" spans="1:26" x14ac:dyDescent="0.2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  <c r="Q3341" s="1"/>
      <c r="R3341" s="1"/>
      <c r="S3341" s="1"/>
      <c r="T3341" s="1"/>
      <c r="U3341" s="1"/>
      <c r="V3341" s="1"/>
      <c r="W3341" s="1"/>
      <c r="X3341" s="1"/>
      <c r="Y3341" s="1"/>
      <c r="Z3341" s="1"/>
    </row>
    <row r="3342" spans="1:26" x14ac:dyDescent="0.2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  <c r="Q3342" s="1"/>
      <c r="R3342" s="1"/>
      <c r="S3342" s="1"/>
      <c r="T3342" s="1"/>
      <c r="U3342" s="1"/>
      <c r="V3342" s="1"/>
      <c r="W3342" s="1"/>
      <c r="X3342" s="1"/>
      <c r="Y3342" s="1"/>
      <c r="Z3342" s="1"/>
    </row>
    <row r="3343" spans="1:26" x14ac:dyDescent="0.2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  <c r="Q3343" s="1"/>
      <c r="R3343" s="1"/>
      <c r="S3343" s="1"/>
      <c r="T3343" s="1"/>
      <c r="U3343" s="1"/>
      <c r="V3343" s="1"/>
      <c r="W3343" s="1"/>
      <c r="X3343" s="1"/>
      <c r="Y3343" s="1"/>
      <c r="Z3343" s="1"/>
    </row>
    <row r="3344" spans="1:26" x14ac:dyDescent="0.2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  <c r="Q3344" s="1"/>
      <c r="R3344" s="1"/>
      <c r="S3344" s="1"/>
      <c r="T3344" s="1"/>
      <c r="U3344" s="1"/>
      <c r="V3344" s="1"/>
      <c r="W3344" s="1"/>
      <c r="X3344" s="1"/>
      <c r="Y3344" s="1"/>
      <c r="Z3344" s="1"/>
    </row>
    <row r="3345" spans="1:26" x14ac:dyDescent="0.2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  <c r="Q3345" s="1"/>
      <c r="R3345" s="1"/>
      <c r="S3345" s="1"/>
      <c r="T3345" s="1"/>
      <c r="U3345" s="1"/>
      <c r="V3345" s="1"/>
      <c r="W3345" s="1"/>
      <c r="X3345" s="1"/>
      <c r="Y3345" s="1"/>
      <c r="Z3345" s="1"/>
    </row>
    <row r="3346" spans="1:26" x14ac:dyDescent="0.2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  <c r="Q3346" s="1"/>
      <c r="R3346" s="1"/>
      <c r="S3346" s="1"/>
      <c r="T3346" s="1"/>
      <c r="U3346" s="1"/>
      <c r="V3346" s="1"/>
      <c r="W3346" s="1"/>
      <c r="X3346" s="1"/>
      <c r="Y3346" s="1"/>
      <c r="Z3346" s="1"/>
    </row>
    <row r="3347" spans="1:26" x14ac:dyDescent="0.2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  <c r="Q3347" s="1"/>
      <c r="R3347" s="1"/>
      <c r="S3347" s="1"/>
      <c r="T3347" s="1"/>
      <c r="U3347" s="1"/>
      <c r="V3347" s="1"/>
      <c r="W3347" s="1"/>
      <c r="X3347" s="1"/>
      <c r="Y3347" s="1"/>
      <c r="Z3347" s="1"/>
    </row>
    <row r="3348" spans="1:26" x14ac:dyDescent="0.2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  <c r="Q3348" s="1"/>
      <c r="R3348" s="1"/>
      <c r="S3348" s="1"/>
      <c r="T3348" s="1"/>
      <c r="U3348" s="1"/>
      <c r="V3348" s="1"/>
      <c r="W3348" s="1"/>
      <c r="X3348" s="1"/>
      <c r="Y3348" s="1"/>
      <c r="Z3348" s="1"/>
    </row>
    <row r="3349" spans="1:26" x14ac:dyDescent="0.2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  <c r="Q3349" s="1"/>
      <c r="R3349" s="1"/>
      <c r="S3349" s="1"/>
      <c r="T3349" s="1"/>
      <c r="U3349" s="1"/>
      <c r="V3349" s="1"/>
      <c r="W3349" s="1"/>
      <c r="X3349" s="1"/>
      <c r="Y3349" s="1"/>
      <c r="Z3349" s="1"/>
    </row>
    <row r="3350" spans="1:26" x14ac:dyDescent="0.2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  <c r="Q3350" s="1"/>
      <c r="R3350" s="1"/>
      <c r="S3350" s="1"/>
      <c r="T3350" s="1"/>
      <c r="U3350" s="1"/>
      <c r="V3350" s="1"/>
      <c r="W3350" s="1"/>
      <c r="X3350" s="1"/>
      <c r="Y3350" s="1"/>
      <c r="Z3350" s="1"/>
    </row>
    <row r="3351" spans="1:26" x14ac:dyDescent="0.2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  <c r="Q3351" s="1"/>
      <c r="R3351" s="1"/>
      <c r="S3351" s="1"/>
      <c r="T3351" s="1"/>
      <c r="U3351" s="1"/>
      <c r="V3351" s="1"/>
      <c r="W3351" s="1"/>
      <c r="X3351" s="1"/>
      <c r="Y3351" s="1"/>
      <c r="Z3351" s="1"/>
    </row>
    <row r="3352" spans="1:26" x14ac:dyDescent="0.2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  <c r="Q3352" s="1"/>
      <c r="R3352" s="1"/>
      <c r="S3352" s="1"/>
      <c r="T3352" s="1"/>
      <c r="U3352" s="1"/>
      <c r="V3352" s="1"/>
      <c r="W3352" s="1"/>
      <c r="X3352" s="1"/>
      <c r="Y3352" s="1"/>
      <c r="Z3352" s="1"/>
    </row>
    <row r="3353" spans="1:26" x14ac:dyDescent="0.2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  <c r="Q3353" s="1"/>
      <c r="R3353" s="1"/>
      <c r="S3353" s="1"/>
      <c r="T3353" s="1"/>
      <c r="U3353" s="1"/>
      <c r="V3353" s="1"/>
      <c r="W3353" s="1"/>
      <c r="X3353" s="1"/>
      <c r="Y3353" s="1"/>
      <c r="Z3353" s="1"/>
    </row>
    <row r="3354" spans="1:26" x14ac:dyDescent="0.2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  <c r="Q3354" s="1"/>
      <c r="R3354" s="1"/>
      <c r="S3354" s="1"/>
      <c r="T3354" s="1"/>
      <c r="U3354" s="1"/>
      <c r="V3354" s="1"/>
      <c r="W3354" s="1"/>
      <c r="X3354" s="1"/>
      <c r="Y3354" s="1"/>
      <c r="Z3354" s="1"/>
    </row>
    <row r="3355" spans="1:26" x14ac:dyDescent="0.2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  <c r="Q3355" s="1"/>
      <c r="R3355" s="1"/>
      <c r="S3355" s="1"/>
      <c r="T3355" s="1"/>
      <c r="U3355" s="1"/>
      <c r="V3355" s="1"/>
      <c r="W3355" s="1"/>
      <c r="X3355" s="1"/>
      <c r="Y3355" s="1"/>
      <c r="Z3355" s="1"/>
    </row>
    <row r="3356" spans="1:26" x14ac:dyDescent="0.2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</row>
    <row r="3357" spans="1:26" x14ac:dyDescent="0.2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  <c r="Q3357" s="1"/>
      <c r="R3357" s="1"/>
      <c r="S3357" s="1"/>
      <c r="T3357" s="1"/>
      <c r="U3357" s="1"/>
      <c r="V3357" s="1"/>
      <c r="W3357" s="1"/>
      <c r="X3357" s="1"/>
      <c r="Y3357" s="1"/>
      <c r="Z3357" s="1"/>
    </row>
    <row r="3358" spans="1:26" x14ac:dyDescent="0.2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  <c r="Q3358" s="1"/>
      <c r="R3358" s="1"/>
      <c r="S3358" s="1"/>
      <c r="T3358" s="1"/>
      <c r="U3358" s="1"/>
      <c r="V3358" s="1"/>
      <c r="W3358" s="1"/>
      <c r="X3358" s="1"/>
      <c r="Y3358" s="1"/>
      <c r="Z3358" s="1"/>
    </row>
    <row r="3359" spans="1:26" x14ac:dyDescent="0.2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  <c r="Q3359" s="1"/>
      <c r="R3359" s="1"/>
      <c r="S3359" s="1"/>
      <c r="T3359" s="1"/>
      <c r="U3359" s="1"/>
      <c r="V3359" s="1"/>
      <c r="W3359" s="1"/>
      <c r="X3359" s="1"/>
      <c r="Y3359" s="1"/>
      <c r="Z3359" s="1"/>
    </row>
    <row r="3360" spans="1:26" x14ac:dyDescent="0.2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  <c r="Q3360" s="1"/>
      <c r="R3360" s="1"/>
      <c r="S3360" s="1"/>
      <c r="T3360" s="1"/>
      <c r="U3360" s="1"/>
      <c r="V3360" s="1"/>
      <c r="W3360" s="1"/>
      <c r="X3360" s="1"/>
      <c r="Y3360" s="1"/>
      <c r="Z3360" s="1"/>
    </row>
    <row r="3361" spans="1:26" x14ac:dyDescent="0.2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  <c r="Q3361" s="1"/>
      <c r="R3361" s="1"/>
      <c r="S3361" s="1"/>
      <c r="T3361" s="1"/>
      <c r="U3361" s="1"/>
      <c r="V3361" s="1"/>
      <c r="W3361" s="1"/>
      <c r="X3361" s="1"/>
      <c r="Y3361" s="1"/>
      <c r="Z3361" s="1"/>
    </row>
    <row r="3362" spans="1:26" x14ac:dyDescent="0.2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  <c r="Q3362" s="1"/>
      <c r="R3362" s="1"/>
      <c r="S3362" s="1"/>
      <c r="T3362" s="1"/>
      <c r="U3362" s="1"/>
      <c r="V3362" s="1"/>
      <c r="W3362" s="1"/>
      <c r="X3362" s="1"/>
      <c r="Y3362" s="1"/>
      <c r="Z3362" s="1"/>
    </row>
    <row r="3363" spans="1:26" x14ac:dyDescent="0.2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  <c r="Q3363" s="1"/>
      <c r="R3363" s="1"/>
      <c r="S3363" s="1"/>
      <c r="T3363" s="1"/>
      <c r="U3363" s="1"/>
      <c r="V3363" s="1"/>
      <c r="W3363" s="1"/>
      <c r="X3363" s="1"/>
      <c r="Y3363" s="1"/>
      <c r="Z3363" s="1"/>
    </row>
    <row r="3364" spans="1:26" x14ac:dyDescent="0.2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  <c r="Q3364" s="1"/>
      <c r="R3364" s="1"/>
      <c r="S3364" s="1"/>
      <c r="T3364" s="1"/>
      <c r="U3364" s="1"/>
      <c r="V3364" s="1"/>
      <c r="W3364" s="1"/>
      <c r="X3364" s="1"/>
      <c r="Y3364" s="1"/>
      <c r="Z3364" s="1"/>
    </row>
    <row r="3365" spans="1:26" x14ac:dyDescent="0.2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  <c r="Q3365" s="1"/>
      <c r="R3365" s="1"/>
      <c r="S3365" s="1"/>
      <c r="T3365" s="1"/>
      <c r="U3365" s="1"/>
      <c r="V3365" s="1"/>
      <c r="W3365" s="1"/>
      <c r="X3365" s="1"/>
      <c r="Y3365" s="1"/>
      <c r="Z3365" s="1"/>
    </row>
    <row r="3366" spans="1:26" x14ac:dyDescent="0.2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  <c r="Q3366" s="1"/>
      <c r="R3366" s="1"/>
      <c r="S3366" s="1"/>
      <c r="T3366" s="1"/>
      <c r="U3366" s="1"/>
      <c r="V3366" s="1"/>
      <c r="W3366" s="1"/>
      <c r="X3366" s="1"/>
      <c r="Y3366" s="1"/>
      <c r="Z3366" s="1"/>
    </row>
    <row r="3367" spans="1:26" x14ac:dyDescent="0.2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  <c r="Q3367" s="1"/>
      <c r="R3367" s="1"/>
      <c r="S3367" s="1"/>
      <c r="T3367" s="1"/>
      <c r="U3367" s="1"/>
      <c r="V3367" s="1"/>
      <c r="W3367" s="1"/>
      <c r="X3367" s="1"/>
      <c r="Y3367" s="1"/>
      <c r="Z3367" s="1"/>
    </row>
    <row r="3368" spans="1:26" x14ac:dyDescent="0.2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  <c r="Q3368" s="1"/>
      <c r="R3368" s="1"/>
      <c r="S3368" s="1"/>
      <c r="T3368" s="1"/>
      <c r="U3368" s="1"/>
      <c r="V3368" s="1"/>
      <c r="W3368" s="1"/>
      <c r="X3368" s="1"/>
      <c r="Y3368" s="1"/>
      <c r="Z3368" s="1"/>
    </row>
    <row r="3369" spans="1:26" x14ac:dyDescent="0.2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  <c r="Q3369" s="1"/>
      <c r="R3369" s="1"/>
      <c r="S3369" s="1"/>
      <c r="T3369" s="1"/>
      <c r="U3369" s="1"/>
      <c r="V3369" s="1"/>
      <c r="W3369" s="1"/>
      <c r="X3369" s="1"/>
      <c r="Y3369" s="1"/>
      <c r="Z3369" s="1"/>
    </row>
    <row r="3370" spans="1:26" x14ac:dyDescent="0.2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  <c r="Q3370" s="1"/>
      <c r="R3370" s="1"/>
      <c r="S3370" s="1"/>
      <c r="T3370" s="1"/>
      <c r="U3370" s="1"/>
      <c r="V3370" s="1"/>
      <c r="W3370" s="1"/>
      <c r="X3370" s="1"/>
      <c r="Y3370" s="1"/>
      <c r="Z3370" s="1"/>
    </row>
    <row r="3371" spans="1:26" x14ac:dyDescent="0.2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  <c r="Q3371" s="1"/>
      <c r="R3371" s="1"/>
      <c r="S3371" s="1"/>
      <c r="T3371" s="1"/>
      <c r="U3371" s="1"/>
      <c r="V3371" s="1"/>
      <c r="W3371" s="1"/>
      <c r="X3371" s="1"/>
      <c r="Y3371" s="1"/>
      <c r="Z3371" s="1"/>
    </row>
    <row r="3372" spans="1:26" x14ac:dyDescent="0.2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  <c r="Q3372" s="1"/>
      <c r="R3372" s="1"/>
      <c r="S3372" s="1"/>
      <c r="T3372" s="1"/>
      <c r="U3372" s="1"/>
      <c r="V3372" s="1"/>
      <c r="W3372" s="1"/>
      <c r="X3372" s="1"/>
      <c r="Y3372" s="1"/>
      <c r="Z3372" s="1"/>
    </row>
    <row r="3373" spans="1:26" x14ac:dyDescent="0.2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  <c r="Q3373" s="1"/>
      <c r="R3373" s="1"/>
      <c r="S3373" s="1"/>
      <c r="T3373" s="1"/>
      <c r="U3373" s="1"/>
      <c r="V3373" s="1"/>
      <c r="W3373" s="1"/>
      <c r="X3373" s="1"/>
      <c r="Y3373" s="1"/>
      <c r="Z3373" s="1"/>
    </row>
    <row r="3374" spans="1:26" x14ac:dyDescent="0.2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  <c r="Q3374" s="1"/>
      <c r="R3374" s="1"/>
      <c r="S3374" s="1"/>
      <c r="T3374" s="1"/>
      <c r="U3374" s="1"/>
      <c r="V3374" s="1"/>
      <c r="W3374" s="1"/>
      <c r="X3374" s="1"/>
      <c r="Y3374" s="1"/>
      <c r="Z3374" s="1"/>
    </row>
    <row r="3375" spans="1:26" x14ac:dyDescent="0.2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  <c r="Q3375" s="1"/>
      <c r="R3375" s="1"/>
      <c r="S3375" s="1"/>
      <c r="T3375" s="1"/>
      <c r="U3375" s="1"/>
      <c r="V3375" s="1"/>
      <c r="W3375" s="1"/>
      <c r="X3375" s="1"/>
      <c r="Y3375" s="1"/>
      <c r="Z3375" s="1"/>
    </row>
    <row r="3376" spans="1:26" x14ac:dyDescent="0.2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  <c r="Q3376" s="1"/>
      <c r="R3376" s="1"/>
      <c r="S3376" s="1"/>
      <c r="T3376" s="1"/>
      <c r="U3376" s="1"/>
      <c r="V3376" s="1"/>
      <c r="W3376" s="1"/>
      <c r="X3376" s="1"/>
      <c r="Y3376" s="1"/>
      <c r="Z3376" s="1"/>
    </row>
    <row r="3377" spans="1:26" x14ac:dyDescent="0.2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  <c r="Q3377" s="1"/>
      <c r="R3377" s="1"/>
      <c r="S3377" s="1"/>
      <c r="T3377" s="1"/>
      <c r="U3377" s="1"/>
      <c r="V3377" s="1"/>
      <c r="W3377" s="1"/>
      <c r="X3377" s="1"/>
      <c r="Y3377" s="1"/>
      <c r="Z3377" s="1"/>
    </row>
    <row r="3378" spans="1:26" x14ac:dyDescent="0.2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  <c r="Q3378" s="1"/>
      <c r="R3378" s="1"/>
      <c r="S3378" s="1"/>
      <c r="T3378" s="1"/>
      <c r="U3378" s="1"/>
      <c r="V3378" s="1"/>
      <c r="W3378" s="1"/>
      <c r="X3378" s="1"/>
      <c r="Y3378" s="1"/>
      <c r="Z3378" s="1"/>
    </row>
    <row r="3379" spans="1:26" x14ac:dyDescent="0.2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  <c r="Q3379" s="1"/>
      <c r="R3379" s="1"/>
      <c r="S3379" s="1"/>
      <c r="T3379" s="1"/>
      <c r="U3379" s="1"/>
      <c r="V3379" s="1"/>
      <c r="W3379" s="1"/>
      <c r="X3379" s="1"/>
      <c r="Y3379" s="1"/>
      <c r="Z3379" s="1"/>
    </row>
    <row r="3380" spans="1:26" x14ac:dyDescent="0.2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  <c r="Q3380" s="1"/>
      <c r="R3380" s="1"/>
      <c r="S3380" s="1"/>
      <c r="T3380" s="1"/>
      <c r="U3380" s="1"/>
      <c r="V3380" s="1"/>
      <c r="W3380" s="1"/>
      <c r="X3380" s="1"/>
      <c r="Y3380" s="1"/>
      <c r="Z3380" s="1"/>
    </row>
    <row r="3381" spans="1:26" x14ac:dyDescent="0.2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  <c r="Q3381" s="1"/>
      <c r="R3381" s="1"/>
      <c r="S3381" s="1"/>
      <c r="T3381" s="1"/>
      <c r="U3381" s="1"/>
      <c r="V3381" s="1"/>
      <c r="W3381" s="1"/>
      <c r="X3381" s="1"/>
      <c r="Y3381" s="1"/>
      <c r="Z3381" s="1"/>
    </row>
    <row r="3382" spans="1:26" x14ac:dyDescent="0.2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  <c r="Q3382" s="1"/>
      <c r="R3382" s="1"/>
      <c r="S3382" s="1"/>
      <c r="T3382" s="1"/>
      <c r="U3382" s="1"/>
      <c r="V3382" s="1"/>
      <c r="W3382" s="1"/>
      <c r="X3382" s="1"/>
      <c r="Y3382" s="1"/>
      <c r="Z3382" s="1"/>
    </row>
    <row r="3383" spans="1:26" x14ac:dyDescent="0.2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  <c r="Q3383" s="1"/>
      <c r="R3383" s="1"/>
      <c r="S3383" s="1"/>
      <c r="T3383" s="1"/>
      <c r="U3383" s="1"/>
      <c r="V3383" s="1"/>
      <c r="W3383" s="1"/>
      <c r="X3383" s="1"/>
      <c r="Y3383" s="1"/>
      <c r="Z3383" s="1"/>
    </row>
    <row r="3384" spans="1:26" x14ac:dyDescent="0.2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  <c r="Q3384" s="1"/>
      <c r="R3384" s="1"/>
      <c r="S3384" s="1"/>
      <c r="T3384" s="1"/>
      <c r="U3384" s="1"/>
      <c r="V3384" s="1"/>
      <c r="W3384" s="1"/>
      <c r="X3384" s="1"/>
      <c r="Y3384" s="1"/>
      <c r="Z3384" s="1"/>
    </row>
    <row r="3385" spans="1:26" x14ac:dyDescent="0.2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  <c r="Q3385" s="1"/>
      <c r="R3385" s="1"/>
      <c r="S3385" s="1"/>
      <c r="T3385" s="1"/>
      <c r="U3385" s="1"/>
      <c r="V3385" s="1"/>
      <c r="W3385" s="1"/>
      <c r="X3385" s="1"/>
      <c r="Y3385" s="1"/>
      <c r="Z3385" s="1"/>
    </row>
    <row r="3386" spans="1:26" x14ac:dyDescent="0.2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  <c r="Q3386" s="1"/>
      <c r="R3386" s="1"/>
      <c r="S3386" s="1"/>
      <c r="T3386" s="1"/>
      <c r="U3386" s="1"/>
      <c r="V3386" s="1"/>
      <c r="W3386" s="1"/>
      <c r="X3386" s="1"/>
      <c r="Y3386" s="1"/>
      <c r="Z3386" s="1"/>
    </row>
    <row r="3387" spans="1:26" x14ac:dyDescent="0.2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  <c r="Q3387" s="1"/>
      <c r="R3387" s="1"/>
      <c r="S3387" s="1"/>
      <c r="T3387" s="1"/>
      <c r="U3387" s="1"/>
      <c r="V3387" s="1"/>
      <c r="W3387" s="1"/>
      <c r="X3387" s="1"/>
      <c r="Y3387" s="1"/>
      <c r="Z3387" s="1"/>
    </row>
    <row r="3388" spans="1:26" x14ac:dyDescent="0.2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  <c r="Q3388" s="1"/>
      <c r="R3388" s="1"/>
      <c r="S3388" s="1"/>
      <c r="T3388" s="1"/>
      <c r="U3388" s="1"/>
      <c r="V3388" s="1"/>
      <c r="W3388" s="1"/>
      <c r="X3388" s="1"/>
      <c r="Y3388" s="1"/>
      <c r="Z3388" s="1"/>
    </row>
    <row r="3389" spans="1:26" x14ac:dyDescent="0.2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  <c r="Q3389" s="1"/>
      <c r="R3389" s="1"/>
      <c r="S3389" s="1"/>
      <c r="T3389" s="1"/>
      <c r="U3389" s="1"/>
      <c r="V3389" s="1"/>
      <c r="W3389" s="1"/>
      <c r="X3389" s="1"/>
      <c r="Y3389" s="1"/>
      <c r="Z3389" s="1"/>
    </row>
    <row r="3390" spans="1:26" x14ac:dyDescent="0.2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  <c r="Q3390" s="1"/>
      <c r="R3390" s="1"/>
      <c r="S3390" s="1"/>
      <c r="T3390" s="1"/>
      <c r="U3390" s="1"/>
      <c r="V3390" s="1"/>
      <c r="W3390" s="1"/>
      <c r="X3390" s="1"/>
      <c r="Y3390" s="1"/>
      <c r="Z3390" s="1"/>
    </row>
    <row r="3391" spans="1:26" x14ac:dyDescent="0.2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  <c r="Q3391" s="1"/>
      <c r="R3391" s="1"/>
      <c r="S3391" s="1"/>
      <c r="T3391" s="1"/>
      <c r="U3391" s="1"/>
      <c r="V3391" s="1"/>
      <c r="W3391" s="1"/>
      <c r="X3391" s="1"/>
      <c r="Y3391" s="1"/>
      <c r="Z3391" s="1"/>
    </row>
    <row r="3392" spans="1:26" x14ac:dyDescent="0.2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  <c r="Q3392" s="1"/>
      <c r="R3392" s="1"/>
      <c r="S3392" s="1"/>
      <c r="T3392" s="1"/>
      <c r="U3392" s="1"/>
      <c r="V3392" s="1"/>
      <c r="W3392" s="1"/>
      <c r="X3392" s="1"/>
      <c r="Y3392" s="1"/>
      <c r="Z3392" s="1"/>
    </row>
    <row r="3393" spans="1:26" x14ac:dyDescent="0.2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  <c r="Q3393" s="1"/>
      <c r="R3393" s="1"/>
      <c r="S3393" s="1"/>
      <c r="T3393" s="1"/>
      <c r="U3393" s="1"/>
      <c r="V3393" s="1"/>
      <c r="W3393" s="1"/>
      <c r="X3393" s="1"/>
      <c r="Y3393" s="1"/>
      <c r="Z3393" s="1"/>
    </row>
    <row r="3394" spans="1:26" x14ac:dyDescent="0.2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  <c r="X3394" s="1"/>
      <c r="Y3394" s="1"/>
      <c r="Z3394" s="1"/>
    </row>
    <row r="3395" spans="1:26" x14ac:dyDescent="0.2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  <c r="X3395" s="1"/>
      <c r="Y3395" s="1"/>
      <c r="Z3395" s="1"/>
    </row>
    <row r="3396" spans="1:26" x14ac:dyDescent="0.2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  <c r="X3396" s="1"/>
      <c r="Y3396" s="1"/>
      <c r="Z3396" s="1"/>
    </row>
    <row r="3397" spans="1:26" x14ac:dyDescent="0.2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  <c r="X3397" s="1"/>
      <c r="Y3397" s="1"/>
      <c r="Z3397" s="1"/>
    </row>
    <row r="3398" spans="1:26" x14ac:dyDescent="0.2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  <c r="X3398" s="1"/>
      <c r="Y3398" s="1"/>
      <c r="Z3398" s="1"/>
    </row>
    <row r="3399" spans="1:26" x14ac:dyDescent="0.2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  <c r="X3399" s="1"/>
      <c r="Y3399" s="1"/>
      <c r="Z3399" s="1"/>
    </row>
    <row r="3400" spans="1:26" x14ac:dyDescent="0.2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  <c r="X3400" s="1"/>
      <c r="Y3400" s="1"/>
      <c r="Z3400" s="1"/>
    </row>
    <row r="3401" spans="1:26" x14ac:dyDescent="0.2">
      <c r="A3401" s="1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  <c r="X3401" s="1"/>
      <c r="Y3401" s="1"/>
      <c r="Z3401" s="1"/>
    </row>
    <row r="3402" spans="1:26" x14ac:dyDescent="0.2">
      <c r="A3402" s="1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  <c r="X3402" s="1"/>
      <c r="Y3402" s="1"/>
      <c r="Z3402" s="1"/>
    </row>
    <row r="3403" spans="1:26" x14ac:dyDescent="0.2">
      <c r="A3403" s="1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  <c r="X3403" s="1"/>
      <c r="Y3403" s="1"/>
      <c r="Z3403" s="1"/>
    </row>
    <row r="3404" spans="1:26" x14ac:dyDescent="0.2">
      <c r="A3404" s="1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  <c r="X3404" s="1"/>
      <c r="Y3404" s="1"/>
      <c r="Z3404" s="1"/>
    </row>
    <row r="3405" spans="1:26" x14ac:dyDescent="0.2">
      <c r="A3405" s="1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  <c r="X3405" s="1"/>
      <c r="Y3405" s="1"/>
      <c r="Z3405" s="1"/>
    </row>
    <row r="3406" spans="1:26" x14ac:dyDescent="0.2">
      <c r="A3406" s="1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  <c r="X3406" s="1"/>
      <c r="Y3406" s="1"/>
      <c r="Z3406" s="1"/>
    </row>
    <row r="3407" spans="1:26" x14ac:dyDescent="0.2">
      <c r="A3407" s="1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  <c r="X3407" s="1"/>
      <c r="Y3407" s="1"/>
      <c r="Z3407" s="1"/>
    </row>
    <row r="3408" spans="1:26" x14ac:dyDescent="0.2">
      <c r="A3408" s="1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  <c r="X3408" s="1"/>
      <c r="Y3408" s="1"/>
      <c r="Z3408" s="1"/>
    </row>
    <row r="3409" spans="1:26" x14ac:dyDescent="0.2">
      <c r="A3409" s="1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</row>
    <row r="3410" spans="1:26" x14ac:dyDescent="0.2">
      <c r="A3410" s="1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  <c r="X3410" s="1"/>
      <c r="Y3410" s="1"/>
      <c r="Z3410" s="1"/>
    </row>
    <row r="3411" spans="1:26" x14ac:dyDescent="0.2">
      <c r="A3411" s="1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  <c r="X3411" s="1"/>
      <c r="Y3411" s="1"/>
      <c r="Z3411" s="1"/>
    </row>
    <row r="3412" spans="1:26" x14ac:dyDescent="0.2">
      <c r="A3412" s="1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</row>
    <row r="3413" spans="1:26" x14ac:dyDescent="0.2">
      <c r="A3413" s="1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  <c r="X3413" s="1"/>
      <c r="Y3413" s="1"/>
      <c r="Z3413" s="1"/>
    </row>
    <row r="3414" spans="1:26" x14ac:dyDescent="0.2">
      <c r="A3414" s="1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  <c r="X3414" s="1"/>
      <c r="Y3414" s="1"/>
      <c r="Z3414" s="1"/>
    </row>
    <row r="3415" spans="1:26" x14ac:dyDescent="0.2">
      <c r="A3415" s="1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  <c r="X3415" s="1"/>
      <c r="Y3415" s="1"/>
      <c r="Z3415" s="1"/>
    </row>
    <row r="3416" spans="1:26" x14ac:dyDescent="0.2">
      <c r="A3416" s="1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  <c r="X3416" s="1"/>
      <c r="Y3416" s="1"/>
      <c r="Z3416" s="1"/>
    </row>
    <row r="3417" spans="1:26" x14ac:dyDescent="0.2">
      <c r="A3417" s="1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  <c r="X3417" s="1"/>
      <c r="Y3417" s="1"/>
      <c r="Z3417" s="1"/>
    </row>
    <row r="3418" spans="1:26" x14ac:dyDescent="0.2">
      <c r="A3418" s="1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  <c r="X3418" s="1"/>
      <c r="Y3418" s="1"/>
      <c r="Z3418" s="1"/>
    </row>
    <row r="3419" spans="1:26" x14ac:dyDescent="0.2">
      <c r="A3419" s="1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  <c r="X3419" s="1"/>
      <c r="Y3419" s="1"/>
      <c r="Z3419" s="1"/>
    </row>
    <row r="3420" spans="1:26" x14ac:dyDescent="0.2">
      <c r="A3420" s="1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  <c r="X3420" s="1"/>
      <c r="Y3420" s="1"/>
      <c r="Z3420" s="1"/>
    </row>
    <row r="3421" spans="1:26" x14ac:dyDescent="0.2">
      <c r="A3421" s="1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  <c r="X3421" s="1"/>
      <c r="Y3421" s="1"/>
      <c r="Z3421" s="1"/>
    </row>
    <row r="3422" spans="1:26" x14ac:dyDescent="0.2">
      <c r="A3422" s="1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  <c r="X3422" s="1"/>
      <c r="Y3422" s="1"/>
      <c r="Z3422" s="1"/>
    </row>
    <row r="3423" spans="1:26" x14ac:dyDescent="0.2">
      <c r="A3423" s="1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  <c r="X3423" s="1"/>
      <c r="Y3423" s="1"/>
      <c r="Z3423" s="1"/>
    </row>
    <row r="3424" spans="1:26" x14ac:dyDescent="0.2">
      <c r="A3424" s="1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1"/>
      <c r="P3424" s="1"/>
      <c r="Q3424" s="1"/>
      <c r="R3424" s="1"/>
      <c r="S3424" s="1"/>
      <c r="T3424" s="1"/>
      <c r="U3424" s="1"/>
      <c r="V3424" s="1"/>
      <c r="W3424" s="1"/>
      <c r="X3424" s="1"/>
      <c r="Y3424" s="1"/>
      <c r="Z3424" s="1"/>
    </row>
    <row r="3425" spans="1:26" x14ac:dyDescent="0.2">
      <c r="A3425" s="1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1"/>
      <c r="P3425" s="1"/>
      <c r="Q3425" s="1"/>
      <c r="R3425" s="1"/>
      <c r="S3425" s="1"/>
      <c r="T3425" s="1"/>
      <c r="U3425" s="1"/>
      <c r="V3425" s="1"/>
      <c r="W3425" s="1"/>
      <c r="X3425" s="1"/>
      <c r="Y3425" s="1"/>
      <c r="Z3425" s="1"/>
    </row>
    <row r="3426" spans="1:26" x14ac:dyDescent="0.2">
      <c r="A3426" s="1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1"/>
      <c r="P3426" s="1"/>
      <c r="Q3426" s="1"/>
      <c r="R3426" s="1"/>
      <c r="S3426" s="1"/>
      <c r="T3426" s="1"/>
      <c r="U3426" s="1"/>
      <c r="V3426" s="1"/>
      <c r="W3426" s="1"/>
      <c r="X3426" s="1"/>
      <c r="Y3426" s="1"/>
      <c r="Z3426" s="1"/>
    </row>
    <row r="3427" spans="1:26" x14ac:dyDescent="0.2">
      <c r="A3427" s="1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1"/>
      <c r="P3427" s="1"/>
      <c r="Q3427" s="1"/>
      <c r="R3427" s="1"/>
      <c r="S3427" s="1"/>
      <c r="T3427" s="1"/>
      <c r="U3427" s="1"/>
      <c r="V3427" s="1"/>
      <c r="W3427" s="1"/>
      <c r="X3427" s="1"/>
      <c r="Y3427" s="1"/>
      <c r="Z3427" s="1"/>
    </row>
    <row r="3428" spans="1:26" x14ac:dyDescent="0.2">
      <c r="A3428" s="1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1"/>
      <c r="P3428" s="1"/>
      <c r="Q3428" s="1"/>
      <c r="R3428" s="1"/>
      <c r="S3428" s="1"/>
      <c r="T3428" s="1"/>
      <c r="U3428" s="1"/>
      <c r="V3428" s="1"/>
      <c r="W3428" s="1"/>
      <c r="X3428" s="1"/>
      <c r="Y3428" s="1"/>
      <c r="Z3428" s="1"/>
    </row>
    <row r="3429" spans="1:26" x14ac:dyDescent="0.2">
      <c r="A3429" s="1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1"/>
      <c r="P3429" s="1"/>
      <c r="Q3429" s="1"/>
      <c r="R3429" s="1"/>
      <c r="S3429" s="1"/>
      <c r="T3429" s="1"/>
      <c r="U3429" s="1"/>
      <c r="V3429" s="1"/>
      <c r="W3429" s="1"/>
      <c r="X3429" s="1"/>
      <c r="Y3429" s="1"/>
      <c r="Z3429" s="1"/>
    </row>
    <row r="3430" spans="1:26" x14ac:dyDescent="0.2">
      <c r="A3430" s="1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1"/>
      <c r="P3430" s="1"/>
      <c r="Q3430" s="1"/>
      <c r="R3430" s="1"/>
      <c r="S3430" s="1"/>
      <c r="T3430" s="1"/>
      <c r="U3430" s="1"/>
      <c r="V3430" s="1"/>
      <c r="W3430" s="1"/>
      <c r="X3430" s="1"/>
      <c r="Y3430" s="1"/>
      <c r="Z3430" s="1"/>
    </row>
    <row r="3431" spans="1:26" x14ac:dyDescent="0.2">
      <c r="A3431" s="1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1"/>
      <c r="P3431" s="1"/>
      <c r="Q3431" s="1"/>
      <c r="R3431" s="1"/>
      <c r="S3431" s="1"/>
      <c r="T3431" s="1"/>
      <c r="U3431" s="1"/>
      <c r="V3431" s="1"/>
      <c r="W3431" s="1"/>
      <c r="X3431" s="1"/>
      <c r="Y3431" s="1"/>
      <c r="Z3431" s="1"/>
    </row>
    <row r="3432" spans="1:26" x14ac:dyDescent="0.2">
      <c r="A3432" s="1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1"/>
      <c r="P3432" s="1"/>
      <c r="Q3432" s="1"/>
      <c r="R3432" s="1"/>
      <c r="S3432" s="1"/>
      <c r="T3432" s="1"/>
      <c r="U3432" s="1"/>
      <c r="V3432" s="1"/>
      <c r="W3432" s="1"/>
      <c r="X3432" s="1"/>
      <c r="Y3432" s="1"/>
      <c r="Z3432" s="1"/>
    </row>
    <row r="3433" spans="1:26" x14ac:dyDescent="0.2">
      <c r="A3433" s="1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1"/>
      <c r="P3433" s="1"/>
      <c r="Q3433" s="1"/>
      <c r="R3433" s="1"/>
      <c r="S3433" s="1"/>
      <c r="T3433" s="1"/>
      <c r="U3433" s="1"/>
      <c r="V3433" s="1"/>
      <c r="W3433" s="1"/>
      <c r="X3433" s="1"/>
      <c r="Y3433" s="1"/>
      <c r="Z3433" s="1"/>
    </row>
    <row r="3434" spans="1:26" x14ac:dyDescent="0.2">
      <c r="A3434" s="1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1"/>
      <c r="P3434" s="1"/>
      <c r="Q3434" s="1"/>
      <c r="R3434" s="1"/>
      <c r="S3434" s="1"/>
      <c r="T3434" s="1"/>
      <c r="U3434" s="1"/>
      <c r="V3434" s="1"/>
      <c r="W3434" s="1"/>
      <c r="X3434" s="1"/>
      <c r="Y3434" s="1"/>
      <c r="Z3434" s="1"/>
    </row>
    <row r="3435" spans="1:26" x14ac:dyDescent="0.2">
      <c r="A3435" s="1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1"/>
      <c r="P3435" s="1"/>
      <c r="Q3435" s="1"/>
      <c r="R3435" s="1"/>
      <c r="S3435" s="1"/>
      <c r="T3435" s="1"/>
      <c r="U3435" s="1"/>
      <c r="V3435" s="1"/>
      <c r="W3435" s="1"/>
      <c r="X3435" s="1"/>
      <c r="Y3435" s="1"/>
      <c r="Z3435" s="1"/>
    </row>
    <row r="3436" spans="1:26" x14ac:dyDescent="0.2">
      <c r="A3436" s="1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1"/>
      <c r="P3436" s="1"/>
      <c r="Q3436" s="1"/>
      <c r="R3436" s="1"/>
      <c r="S3436" s="1"/>
      <c r="T3436" s="1"/>
      <c r="U3436" s="1"/>
      <c r="V3436" s="1"/>
      <c r="W3436" s="1"/>
      <c r="X3436" s="1"/>
      <c r="Y3436" s="1"/>
      <c r="Z3436" s="1"/>
    </row>
    <row r="3437" spans="1:26" x14ac:dyDescent="0.2">
      <c r="A3437" s="1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1"/>
      <c r="P3437" s="1"/>
      <c r="Q3437" s="1"/>
      <c r="R3437" s="1"/>
      <c r="S3437" s="1"/>
      <c r="T3437" s="1"/>
      <c r="U3437" s="1"/>
      <c r="V3437" s="1"/>
      <c r="W3437" s="1"/>
      <c r="X3437" s="1"/>
      <c r="Y3437" s="1"/>
      <c r="Z3437" s="1"/>
    </row>
    <row r="3438" spans="1:26" x14ac:dyDescent="0.2">
      <c r="A3438" s="1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1"/>
      <c r="P3438" s="1"/>
      <c r="Q3438" s="1"/>
      <c r="R3438" s="1"/>
      <c r="S3438" s="1"/>
      <c r="T3438" s="1"/>
      <c r="U3438" s="1"/>
      <c r="V3438" s="1"/>
      <c r="W3438" s="1"/>
      <c r="X3438" s="1"/>
      <c r="Y3438" s="1"/>
      <c r="Z3438" s="1"/>
    </row>
    <row r="3439" spans="1:26" x14ac:dyDescent="0.2">
      <c r="A3439" s="1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1"/>
      <c r="P3439" s="1"/>
      <c r="Q3439" s="1"/>
      <c r="R3439" s="1"/>
      <c r="S3439" s="1"/>
      <c r="T3439" s="1"/>
      <c r="U3439" s="1"/>
      <c r="V3439" s="1"/>
      <c r="W3439" s="1"/>
      <c r="X3439" s="1"/>
      <c r="Y3439" s="1"/>
      <c r="Z3439" s="1"/>
    </row>
    <row r="3440" spans="1:26" x14ac:dyDescent="0.2">
      <c r="A3440" s="1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1"/>
      <c r="P3440" s="1"/>
      <c r="Q3440" s="1"/>
      <c r="R3440" s="1"/>
      <c r="S3440" s="1"/>
      <c r="T3440" s="1"/>
      <c r="U3440" s="1"/>
      <c r="V3440" s="1"/>
      <c r="W3440" s="1"/>
      <c r="X3440" s="1"/>
      <c r="Y3440" s="1"/>
      <c r="Z3440" s="1"/>
    </row>
    <row r="3441" spans="1:26" x14ac:dyDescent="0.2">
      <c r="A3441" s="1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1"/>
      <c r="P3441" s="1"/>
      <c r="Q3441" s="1"/>
      <c r="R3441" s="1"/>
      <c r="S3441" s="1"/>
      <c r="T3441" s="1"/>
      <c r="U3441" s="1"/>
      <c r="V3441" s="1"/>
      <c r="W3441" s="1"/>
      <c r="X3441" s="1"/>
      <c r="Y3441" s="1"/>
      <c r="Z3441" s="1"/>
    </row>
    <row r="3442" spans="1:26" x14ac:dyDescent="0.2">
      <c r="A3442" s="1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1"/>
      <c r="P3442" s="1"/>
      <c r="Q3442" s="1"/>
      <c r="R3442" s="1"/>
      <c r="S3442" s="1"/>
      <c r="T3442" s="1"/>
      <c r="U3442" s="1"/>
      <c r="V3442" s="1"/>
      <c r="W3442" s="1"/>
      <c r="X3442" s="1"/>
      <c r="Y3442" s="1"/>
      <c r="Z3442" s="1"/>
    </row>
    <row r="3443" spans="1:26" x14ac:dyDescent="0.2">
      <c r="A3443" s="1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1"/>
      <c r="P3443" s="1"/>
      <c r="Q3443" s="1"/>
      <c r="R3443" s="1"/>
      <c r="S3443" s="1"/>
      <c r="T3443" s="1"/>
      <c r="U3443" s="1"/>
      <c r="V3443" s="1"/>
      <c r="W3443" s="1"/>
      <c r="X3443" s="1"/>
      <c r="Y3443" s="1"/>
      <c r="Z3443" s="1"/>
    </row>
    <row r="3444" spans="1:26" x14ac:dyDescent="0.2">
      <c r="A3444" s="1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1"/>
      <c r="P3444" s="1"/>
      <c r="Q3444" s="1"/>
      <c r="R3444" s="1"/>
      <c r="S3444" s="1"/>
      <c r="T3444" s="1"/>
      <c r="U3444" s="1"/>
      <c r="V3444" s="1"/>
      <c r="W3444" s="1"/>
      <c r="X3444" s="1"/>
      <c r="Y3444" s="1"/>
      <c r="Z3444" s="1"/>
    </row>
    <row r="3445" spans="1:26" x14ac:dyDescent="0.2">
      <c r="A3445" s="1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1"/>
      <c r="P3445" s="1"/>
      <c r="Q3445" s="1"/>
      <c r="R3445" s="1"/>
      <c r="S3445" s="1"/>
      <c r="T3445" s="1"/>
      <c r="U3445" s="1"/>
      <c r="V3445" s="1"/>
      <c r="W3445" s="1"/>
      <c r="X3445" s="1"/>
      <c r="Y3445" s="1"/>
      <c r="Z3445" s="1"/>
    </row>
    <row r="3446" spans="1:26" x14ac:dyDescent="0.2">
      <c r="A3446" s="1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1"/>
      <c r="P3446" s="1"/>
      <c r="Q3446" s="1"/>
      <c r="R3446" s="1"/>
      <c r="S3446" s="1"/>
      <c r="T3446" s="1"/>
      <c r="U3446" s="1"/>
      <c r="V3446" s="1"/>
      <c r="W3446" s="1"/>
      <c r="X3446" s="1"/>
      <c r="Y3446" s="1"/>
      <c r="Z3446" s="1"/>
    </row>
    <row r="3447" spans="1:26" x14ac:dyDescent="0.2">
      <c r="A3447" s="1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1"/>
      <c r="P3447" s="1"/>
      <c r="Q3447" s="1"/>
      <c r="R3447" s="1"/>
      <c r="S3447" s="1"/>
      <c r="T3447" s="1"/>
      <c r="U3447" s="1"/>
      <c r="V3447" s="1"/>
      <c r="W3447" s="1"/>
      <c r="X3447" s="1"/>
      <c r="Y3447" s="1"/>
      <c r="Z3447" s="1"/>
    </row>
    <row r="3448" spans="1:26" x14ac:dyDescent="0.2">
      <c r="A3448" s="1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1"/>
      <c r="P3448" s="1"/>
      <c r="Q3448" s="1"/>
      <c r="R3448" s="1"/>
      <c r="S3448" s="1"/>
      <c r="T3448" s="1"/>
      <c r="U3448" s="1"/>
      <c r="V3448" s="1"/>
      <c r="W3448" s="1"/>
      <c r="X3448" s="1"/>
      <c r="Y3448" s="1"/>
      <c r="Z3448" s="1"/>
    </row>
    <row r="3449" spans="1:26" x14ac:dyDescent="0.2">
      <c r="A3449" s="1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1"/>
      <c r="P3449" s="1"/>
      <c r="Q3449" s="1"/>
      <c r="R3449" s="1"/>
      <c r="S3449" s="1"/>
      <c r="T3449" s="1"/>
      <c r="U3449" s="1"/>
      <c r="V3449" s="1"/>
      <c r="W3449" s="1"/>
      <c r="X3449" s="1"/>
      <c r="Y3449" s="1"/>
      <c r="Z3449" s="1"/>
    </row>
    <row r="3450" spans="1:26" x14ac:dyDescent="0.2">
      <c r="A3450" s="1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1"/>
      <c r="P3450" s="1"/>
      <c r="Q3450" s="1"/>
      <c r="R3450" s="1"/>
      <c r="S3450" s="1"/>
      <c r="T3450" s="1"/>
      <c r="U3450" s="1"/>
      <c r="V3450" s="1"/>
      <c r="W3450" s="1"/>
      <c r="X3450" s="1"/>
      <c r="Y3450" s="1"/>
      <c r="Z3450" s="1"/>
    </row>
    <row r="3451" spans="1:26" x14ac:dyDescent="0.2">
      <c r="A3451" s="1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1"/>
      <c r="P3451" s="1"/>
      <c r="Q3451" s="1"/>
      <c r="R3451" s="1"/>
      <c r="S3451" s="1"/>
      <c r="T3451" s="1"/>
      <c r="U3451" s="1"/>
      <c r="V3451" s="1"/>
      <c r="W3451" s="1"/>
      <c r="X3451" s="1"/>
      <c r="Y3451" s="1"/>
      <c r="Z3451" s="1"/>
    </row>
    <row r="3452" spans="1:26" x14ac:dyDescent="0.2">
      <c r="A3452" s="1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1"/>
      <c r="P3452" s="1"/>
      <c r="Q3452" s="1"/>
      <c r="R3452" s="1"/>
      <c r="S3452" s="1"/>
      <c r="T3452" s="1"/>
      <c r="U3452" s="1"/>
      <c r="V3452" s="1"/>
      <c r="W3452" s="1"/>
      <c r="X3452" s="1"/>
      <c r="Y3452" s="1"/>
      <c r="Z3452" s="1"/>
    </row>
    <row r="3453" spans="1:26" x14ac:dyDescent="0.2">
      <c r="A3453" s="1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1"/>
      <c r="P3453" s="1"/>
      <c r="Q3453" s="1"/>
      <c r="R3453" s="1"/>
      <c r="S3453" s="1"/>
      <c r="T3453" s="1"/>
      <c r="U3453" s="1"/>
      <c r="V3453" s="1"/>
      <c r="W3453" s="1"/>
      <c r="X3453" s="1"/>
      <c r="Y3453" s="1"/>
      <c r="Z3453" s="1"/>
    </row>
    <row r="3454" spans="1:26" x14ac:dyDescent="0.2">
      <c r="A3454" s="1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1"/>
      <c r="P3454" s="1"/>
      <c r="Q3454" s="1"/>
      <c r="R3454" s="1"/>
      <c r="S3454" s="1"/>
      <c r="T3454" s="1"/>
      <c r="U3454" s="1"/>
      <c r="V3454" s="1"/>
      <c r="W3454" s="1"/>
      <c r="X3454" s="1"/>
      <c r="Y3454" s="1"/>
      <c r="Z3454" s="1"/>
    </row>
    <row r="3455" spans="1:26" x14ac:dyDescent="0.2">
      <c r="A3455" s="1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1"/>
      <c r="P3455" s="1"/>
      <c r="Q3455" s="1"/>
      <c r="R3455" s="1"/>
      <c r="S3455" s="1"/>
      <c r="T3455" s="1"/>
      <c r="U3455" s="1"/>
      <c r="V3455" s="1"/>
      <c r="W3455" s="1"/>
      <c r="X3455" s="1"/>
      <c r="Y3455" s="1"/>
      <c r="Z3455" s="1"/>
    </row>
    <row r="3456" spans="1:26" x14ac:dyDescent="0.2">
      <c r="A3456" s="1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1"/>
      <c r="P3456" s="1"/>
      <c r="Q3456" s="1"/>
      <c r="R3456" s="1"/>
      <c r="S3456" s="1"/>
      <c r="T3456" s="1"/>
      <c r="U3456" s="1"/>
      <c r="V3456" s="1"/>
      <c r="W3456" s="1"/>
      <c r="X3456" s="1"/>
      <c r="Y3456" s="1"/>
      <c r="Z3456" s="1"/>
    </row>
    <row r="3457" spans="1:26" x14ac:dyDescent="0.2">
      <c r="A3457" s="1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1"/>
      <c r="P3457" s="1"/>
      <c r="Q3457" s="1"/>
      <c r="R3457" s="1"/>
      <c r="S3457" s="1"/>
      <c r="T3457" s="1"/>
      <c r="U3457" s="1"/>
      <c r="V3457" s="1"/>
      <c r="W3457" s="1"/>
      <c r="X3457" s="1"/>
      <c r="Y3457" s="1"/>
      <c r="Z3457" s="1"/>
    </row>
    <row r="3458" spans="1:26" x14ac:dyDescent="0.2">
      <c r="A3458" s="1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1"/>
      <c r="P3458" s="1"/>
      <c r="Q3458" s="1"/>
      <c r="R3458" s="1"/>
      <c r="S3458" s="1"/>
      <c r="T3458" s="1"/>
      <c r="U3458" s="1"/>
      <c r="V3458" s="1"/>
      <c r="W3458" s="1"/>
      <c r="X3458" s="1"/>
      <c r="Y3458" s="1"/>
      <c r="Z3458" s="1"/>
    </row>
    <row r="3459" spans="1:26" x14ac:dyDescent="0.2">
      <c r="A3459" s="1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1"/>
      <c r="P3459" s="1"/>
      <c r="Q3459" s="1"/>
      <c r="R3459" s="1"/>
      <c r="S3459" s="1"/>
      <c r="T3459" s="1"/>
      <c r="U3459" s="1"/>
      <c r="V3459" s="1"/>
      <c r="W3459" s="1"/>
      <c r="X3459" s="1"/>
      <c r="Y3459" s="1"/>
      <c r="Z3459" s="1"/>
    </row>
    <row r="3460" spans="1:26" x14ac:dyDescent="0.2">
      <c r="A3460" s="1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1"/>
      <c r="P3460" s="1"/>
      <c r="Q3460" s="1"/>
      <c r="R3460" s="1"/>
      <c r="S3460" s="1"/>
      <c r="T3460" s="1"/>
      <c r="U3460" s="1"/>
      <c r="V3460" s="1"/>
      <c r="W3460" s="1"/>
      <c r="X3460" s="1"/>
      <c r="Y3460" s="1"/>
      <c r="Z3460" s="1"/>
    </row>
    <row r="3461" spans="1:26" x14ac:dyDescent="0.2">
      <c r="A3461" s="1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1"/>
      <c r="P3461" s="1"/>
      <c r="Q3461" s="1"/>
      <c r="R3461" s="1"/>
      <c r="S3461" s="1"/>
      <c r="T3461" s="1"/>
      <c r="U3461" s="1"/>
      <c r="V3461" s="1"/>
      <c r="W3461" s="1"/>
      <c r="X3461" s="1"/>
      <c r="Y3461" s="1"/>
      <c r="Z3461" s="1"/>
    </row>
    <row r="3462" spans="1:26" x14ac:dyDescent="0.2">
      <c r="A3462" s="1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1"/>
      <c r="P3462" s="1"/>
      <c r="Q3462" s="1"/>
      <c r="R3462" s="1"/>
      <c r="S3462" s="1"/>
      <c r="T3462" s="1"/>
      <c r="U3462" s="1"/>
      <c r="V3462" s="1"/>
      <c r="W3462" s="1"/>
      <c r="X3462" s="1"/>
      <c r="Y3462" s="1"/>
      <c r="Z3462" s="1"/>
    </row>
    <row r="3463" spans="1:26" x14ac:dyDescent="0.2">
      <c r="A3463" s="1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1"/>
      <c r="P3463" s="1"/>
      <c r="Q3463" s="1"/>
      <c r="R3463" s="1"/>
      <c r="S3463" s="1"/>
      <c r="T3463" s="1"/>
      <c r="U3463" s="1"/>
      <c r="V3463" s="1"/>
      <c r="W3463" s="1"/>
      <c r="X3463" s="1"/>
      <c r="Y3463" s="1"/>
      <c r="Z3463" s="1"/>
    </row>
    <row r="3464" spans="1:26" x14ac:dyDescent="0.2">
      <c r="A3464" s="1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1"/>
      <c r="P3464" s="1"/>
      <c r="Q3464" s="1"/>
      <c r="R3464" s="1"/>
      <c r="S3464" s="1"/>
      <c r="T3464" s="1"/>
      <c r="U3464" s="1"/>
      <c r="V3464" s="1"/>
      <c r="W3464" s="1"/>
      <c r="X3464" s="1"/>
      <c r="Y3464" s="1"/>
      <c r="Z3464" s="1"/>
    </row>
    <row r="3465" spans="1:26" x14ac:dyDescent="0.2">
      <c r="A3465" s="1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1"/>
      <c r="P3465" s="1"/>
      <c r="Q3465" s="1"/>
      <c r="R3465" s="1"/>
      <c r="S3465" s="1"/>
      <c r="T3465" s="1"/>
      <c r="U3465" s="1"/>
      <c r="V3465" s="1"/>
      <c r="W3465" s="1"/>
      <c r="X3465" s="1"/>
      <c r="Y3465" s="1"/>
      <c r="Z3465" s="1"/>
    </row>
    <row r="3466" spans="1:26" x14ac:dyDescent="0.2">
      <c r="A3466" s="1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1"/>
      <c r="P3466" s="1"/>
      <c r="Q3466" s="1"/>
      <c r="R3466" s="1"/>
      <c r="S3466" s="1"/>
      <c r="T3466" s="1"/>
      <c r="U3466" s="1"/>
      <c r="V3466" s="1"/>
      <c r="W3466" s="1"/>
      <c r="X3466" s="1"/>
      <c r="Y3466" s="1"/>
      <c r="Z3466" s="1"/>
    </row>
    <row r="3467" spans="1:26" x14ac:dyDescent="0.2">
      <c r="A3467" s="1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1"/>
      <c r="P3467" s="1"/>
      <c r="Q3467" s="1"/>
      <c r="R3467" s="1"/>
      <c r="S3467" s="1"/>
      <c r="T3467" s="1"/>
      <c r="U3467" s="1"/>
      <c r="V3467" s="1"/>
      <c r="W3467" s="1"/>
      <c r="X3467" s="1"/>
      <c r="Y3467" s="1"/>
      <c r="Z3467" s="1"/>
    </row>
    <row r="3468" spans="1:26" x14ac:dyDescent="0.2">
      <c r="A3468" s="1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1"/>
      <c r="P3468" s="1"/>
      <c r="Q3468" s="1"/>
      <c r="R3468" s="1"/>
      <c r="S3468" s="1"/>
      <c r="T3468" s="1"/>
      <c r="U3468" s="1"/>
      <c r="V3468" s="1"/>
      <c r="W3468" s="1"/>
      <c r="X3468" s="1"/>
      <c r="Y3468" s="1"/>
      <c r="Z3468" s="1"/>
    </row>
    <row r="3469" spans="1:26" x14ac:dyDescent="0.2">
      <c r="A3469" s="1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1"/>
      <c r="P3469" s="1"/>
      <c r="Q3469" s="1"/>
      <c r="R3469" s="1"/>
      <c r="S3469" s="1"/>
      <c r="T3469" s="1"/>
      <c r="U3469" s="1"/>
      <c r="V3469" s="1"/>
      <c r="W3469" s="1"/>
      <c r="X3469" s="1"/>
      <c r="Y3469" s="1"/>
      <c r="Z3469" s="1"/>
    </row>
    <row r="3470" spans="1:26" x14ac:dyDescent="0.2">
      <c r="A3470" s="1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1"/>
      <c r="P3470" s="1"/>
      <c r="Q3470" s="1"/>
      <c r="R3470" s="1"/>
      <c r="S3470" s="1"/>
      <c r="T3470" s="1"/>
      <c r="U3470" s="1"/>
      <c r="V3470" s="1"/>
      <c r="W3470" s="1"/>
      <c r="X3470" s="1"/>
      <c r="Y3470" s="1"/>
      <c r="Z3470" s="1"/>
    </row>
    <row r="3471" spans="1:26" x14ac:dyDescent="0.2">
      <c r="A3471" s="1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1"/>
      <c r="P3471" s="1"/>
      <c r="Q3471" s="1"/>
      <c r="R3471" s="1"/>
      <c r="S3471" s="1"/>
      <c r="T3471" s="1"/>
      <c r="U3471" s="1"/>
      <c r="V3471" s="1"/>
      <c r="W3471" s="1"/>
      <c r="X3471" s="1"/>
      <c r="Y3471" s="1"/>
      <c r="Z3471" s="1"/>
    </row>
    <row r="3472" spans="1:26" x14ac:dyDescent="0.2">
      <c r="A3472" s="1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1"/>
      <c r="P3472" s="1"/>
      <c r="Q3472" s="1"/>
      <c r="R3472" s="1"/>
      <c r="S3472" s="1"/>
      <c r="T3472" s="1"/>
      <c r="U3472" s="1"/>
      <c r="V3472" s="1"/>
      <c r="W3472" s="1"/>
      <c r="X3472" s="1"/>
      <c r="Y3472" s="1"/>
      <c r="Z3472" s="1"/>
    </row>
    <row r="3473" spans="1:26" x14ac:dyDescent="0.2">
      <c r="A3473" s="1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1"/>
      <c r="P3473" s="1"/>
      <c r="Q3473" s="1"/>
      <c r="R3473" s="1"/>
      <c r="S3473" s="1"/>
      <c r="T3473" s="1"/>
      <c r="U3473" s="1"/>
      <c r="V3473" s="1"/>
      <c r="W3473" s="1"/>
      <c r="X3473" s="1"/>
      <c r="Y3473" s="1"/>
      <c r="Z3473" s="1"/>
    </row>
    <row r="3474" spans="1:26" x14ac:dyDescent="0.2">
      <c r="A3474" s="1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1"/>
      <c r="P3474" s="1"/>
      <c r="Q3474" s="1"/>
      <c r="R3474" s="1"/>
      <c r="S3474" s="1"/>
      <c r="T3474" s="1"/>
      <c r="U3474" s="1"/>
      <c r="V3474" s="1"/>
      <c r="W3474" s="1"/>
      <c r="X3474" s="1"/>
      <c r="Y3474" s="1"/>
      <c r="Z3474" s="1"/>
    </row>
    <row r="3475" spans="1:26" x14ac:dyDescent="0.2">
      <c r="A3475" s="1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1"/>
      <c r="P3475" s="1"/>
      <c r="Q3475" s="1"/>
      <c r="R3475" s="1"/>
      <c r="S3475" s="1"/>
      <c r="T3475" s="1"/>
      <c r="U3475" s="1"/>
      <c r="V3475" s="1"/>
      <c r="W3475" s="1"/>
      <c r="X3475" s="1"/>
      <c r="Y3475" s="1"/>
      <c r="Z3475" s="1"/>
    </row>
    <row r="3476" spans="1:26" x14ac:dyDescent="0.2">
      <c r="A3476" s="1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1"/>
      <c r="P3476" s="1"/>
      <c r="Q3476" s="1"/>
      <c r="R3476" s="1"/>
      <c r="S3476" s="1"/>
      <c r="T3476" s="1"/>
      <c r="U3476" s="1"/>
      <c r="V3476" s="1"/>
      <c r="W3476" s="1"/>
      <c r="X3476" s="1"/>
      <c r="Y3476" s="1"/>
      <c r="Z3476" s="1"/>
    </row>
    <row r="3477" spans="1:26" x14ac:dyDescent="0.2">
      <c r="A3477" s="1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1"/>
      <c r="P3477" s="1"/>
      <c r="Q3477" s="1"/>
      <c r="R3477" s="1"/>
      <c r="S3477" s="1"/>
      <c r="T3477" s="1"/>
      <c r="U3477" s="1"/>
      <c r="V3477" s="1"/>
      <c r="W3477" s="1"/>
      <c r="X3477" s="1"/>
      <c r="Y3477" s="1"/>
      <c r="Z3477" s="1"/>
    </row>
    <row r="3478" spans="1:26" x14ac:dyDescent="0.2">
      <c r="A3478" s="1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1"/>
      <c r="P3478" s="1"/>
      <c r="Q3478" s="1"/>
      <c r="R3478" s="1"/>
      <c r="S3478" s="1"/>
      <c r="T3478" s="1"/>
      <c r="U3478" s="1"/>
      <c r="V3478" s="1"/>
      <c r="W3478" s="1"/>
      <c r="X3478" s="1"/>
      <c r="Y3478" s="1"/>
      <c r="Z3478" s="1"/>
    </row>
    <row r="3479" spans="1:26" x14ac:dyDescent="0.2">
      <c r="A3479" s="1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1"/>
      <c r="P3479" s="1"/>
      <c r="Q3479" s="1"/>
      <c r="R3479" s="1"/>
      <c r="S3479" s="1"/>
      <c r="T3479" s="1"/>
      <c r="U3479" s="1"/>
      <c r="V3479" s="1"/>
      <c r="W3479" s="1"/>
      <c r="X3479" s="1"/>
      <c r="Y3479" s="1"/>
      <c r="Z3479" s="1"/>
    </row>
    <row r="3480" spans="1:26" x14ac:dyDescent="0.2">
      <c r="A3480" s="1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1"/>
      <c r="P3480" s="1"/>
      <c r="Q3480" s="1"/>
      <c r="R3480" s="1"/>
      <c r="S3480" s="1"/>
      <c r="T3480" s="1"/>
      <c r="U3480" s="1"/>
      <c r="V3480" s="1"/>
      <c r="W3480" s="1"/>
      <c r="X3480" s="1"/>
      <c r="Y3480" s="1"/>
      <c r="Z3480" s="1"/>
    </row>
    <row r="3481" spans="1:26" x14ac:dyDescent="0.2">
      <c r="A3481" s="1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1"/>
      <c r="P3481" s="1"/>
      <c r="Q3481" s="1"/>
      <c r="R3481" s="1"/>
      <c r="S3481" s="1"/>
      <c r="T3481" s="1"/>
      <c r="U3481" s="1"/>
      <c r="V3481" s="1"/>
      <c r="W3481" s="1"/>
      <c r="X3481" s="1"/>
      <c r="Y3481" s="1"/>
      <c r="Z3481" s="1"/>
    </row>
    <row r="3482" spans="1:26" x14ac:dyDescent="0.2">
      <c r="A3482" s="1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1"/>
      <c r="P3482" s="1"/>
      <c r="Q3482" s="1"/>
      <c r="R3482" s="1"/>
      <c r="S3482" s="1"/>
      <c r="T3482" s="1"/>
      <c r="U3482" s="1"/>
      <c r="V3482" s="1"/>
      <c r="W3482" s="1"/>
      <c r="X3482" s="1"/>
      <c r="Y3482" s="1"/>
      <c r="Z3482" s="1"/>
    </row>
    <row r="3483" spans="1:26" x14ac:dyDescent="0.2">
      <c r="A3483" s="1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1"/>
      <c r="P3483" s="1"/>
      <c r="Q3483" s="1"/>
      <c r="R3483" s="1"/>
      <c r="S3483" s="1"/>
      <c r="T3483" s="1"/>
      <c r="U3483" s="1"/>
      <c r="V3483" s="1"/>
      <c r="W3483" s="1"/>
      <c r="X3483" s="1"/>
      <c r="Y3483" s="1"/>
      <c r="Z3483" s="1"/>
    </row>
    <row r="3484" spans="1:26" x14ac:dyDescent="0.2">
      <c r="A3484" s="1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1"/>
      <c r="P3484" s="1"/>
      <c r="Q3484" s="1"/>
      <c r="R3484" s="1"/>
      <c r="S3484" s="1"/>
      <c r="T3484" s="1"/>
      <c r="U3484" s="1"/>
      <c r="V3484" s="1"/>
      <c r="W3484" s="1"/>
      <c r="X3484" s="1"/>
      <c r="Y3484" s="1"/>
      <c r="Z3484" s="1"/>
    </row>
    <row r="3485" spans="1:26" x14ac:dyDescent="0.2">
      <c r="A3485" s="1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1"/>
      <c r="P3485" s="1"/>
      <c r="Q3485" s="1"/>
      <c r="R3485" s="1"/>
      <c r="S3485" s="1"/>
      <c r="T3485" s="1"/>
      <c r="U3485" s="1"/>
      <c r="V3485" s="1"/>
      <c r="W3485" s="1"/>
      <c r="X3485" s="1"/>
      <c r="Y3485" s="1"/>
      <c r="Z3485" s="1"/>
    </row>
    <row r="3486" spans="1:26" x14ac:dyDescent="0.2">
      <c r="A3486" s="1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1"/>
      <c r="P3486" s="1"/>
      <c r="Q3486" s="1"/>
      <c r="R3486" s="1"/>
      <c r="S3486" s="1"/>
      <c r="T3486" s="1"/>
      <c r="U3486" s="1"/>
      <c r="V3486" s="1"/>
      <c r="W3486" s="1"/>
      <c r="X3486" s="1"/>
      <c r="Y3486" s="1"/>
      <c r="Z3486" s="1"/>
    </row>
    <row r="3487" spans="1:26" x14ac:dyDescent="0.2">
      <c r="A3487" s="1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1"/>
      <c r="P3487" s="1"/>
      <c r="Q3487" s="1"/>
      <c r="R3487" s="1"/>
      <c r="S3487" s="1"/>
      <c r="T3487" s="1"/>
      <c r="U3487" s="1"/>
      <c r="V3487" s="1"/>
      <c r="W3487" s="1"/>
      <c r="X3487" s="1"/>
      <c r="Y3487" s="1"/>
      <c r="Z3487" s="1"/>
    </row>
    <row r="3488" spans="1:26" x14ac:dyDescent="0.2">
      <c r="A3488" s="1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1"/>
      <c r="P3488" s="1"/>
      <c r="Q3488" s="1"/>
      <c r="R3488" s="1"/>
      <c r="S3488" s="1"/>
      <c r="T3488" s="1"/>
      <c r="U3488" s="1"/>
      <c r="V3488" s="1"/>
      <c r="W3488" s="1"/>
      <c r="X3488" s="1"/>
      <c r="Y3488" s="1"/>
      <c r="Z3488" s="1"/>
    </row>
    <row r="3489" spans="1:26" x14ac:dyDescent="0.2">
      <c r="A3489" s="1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1"/>
      <c r="P3489" s="1"/>
      <c r="Q3489" s="1"/>
      <c r="R3489" s="1"/>
      <c r="S3489" s="1"/>
      <c r="T3489" s="1"/>
      <c r="U3489" s="1"/>
      <c r="V3489" s="1"/>
      <c r="W3489" s="1"/>
      <c r="X3489" s="1"/>
      <c r="Y3489" s="1"/>
      <c r="Z3489" s="1"/>
    </row>
    <row r="3490" spans="1:26" x14ac:dyDescent="0.2">
      <c r="A3490" s="1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1"/>
      <c r="P3490" s="1"/>
      <c r="Q3490" s="1"/>
      <c r="R3490" s="1"/>
      <c r="S3490" s="1"/>
      <c r="T3490" s="1"/>
      <c r="U3490" s="1"/>
      <c r="V3490" s="1"/>
      <c r="W3490" s="1"/>
      <c r="X3490" s="1"/>
      <c r="Y3490" s="1"/>
      <c r="Z3490" s="1"/>
    </row>
    <row r="3491" spans="1:26" x14ac:dyDescent="0.2">
      <c r="A3491" s="1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1"/>
      <c r="P3491" s="1"/>
      <c r="Q3491" s="1"/>
      <c r="R3491" s="1"/>
      <c r="S3491" s="1"/>
      <c r="T3491" s="1"/>
      <c r="U3491" s="1"/>
      <c r="V3491" s="1"/>
      <c r="W3491" s="1"/>
      <c r="X3491" s="1"/>
      <c r="Y3491" s="1"/>
      <c r="Z3491" s="1"/>
    </row>
    <row r="3492" spans="1:26" x14ac:dyDescent="0.2">
      <c r="A3492" s="1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1"/>
      <c r="P3492" s="1"/>
      <c r="Q3492" s="1"/>
      <c r="R3492" s="1"/>
      <c r="S3492" s="1"/>
      <c r="T3492" s="1"/>
      <c r="U3492" s="1"/>
      <c r="V3492" s="1"/>
      <c r="W3492" s="1"/>
      <c r="X3492" s="1"/>
      <c r="Y3492" s="1"/>
      <c r="Z3492" s="1"/>
    </row>
    <row r="3493" spans="1:26" x14ac:dyDescent="0.2">
      <c r="A3493" s="1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1"/>
      <c r="P3493" s="1"/>
      <c r="Q3493" s="1"/>
      <c r="R3493" s="1"/>
      <c r="S3493" s="1"/>
      <c r="T3493" s="1"/>
      <c r="U3493" s="1"/>
      <c r="V3493" s="1"/>
      <c r="W3493" s="1"/>
      <c r="X3493" s="1"/>
      <c r="Y3493" s="1"/>
      <c r="Z3493" s="1"/>
    </row>
    <row r="3494" spans="1:26" x14ac:dyDescent="0.2">
      <c r="A3494" s="1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1"/>
      <c r="P3494" s="1"/>
      <c r="Q3494" s="1"/>
      <c r="R3494" s="1"/>
      <c r="S3494" s="1"/>
      <c r="T3494" s="1"/>
      <c r="U3494" s="1"/>
      <c r="V3494" s="1"/>
      <c r="W3494" s="1"/>
      <c r="X3494" s="1"/>
      <c r="Y3494" s="1"/>
      <c r="Z3494" s="1"/>
    </row>
    <row r="3495" spans="1:26" x14ac:dyDescent="0.2">
      <c r="A3495" s="1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1"/>
      <c r="P3495" s="1"/>
      <c r="Q3495" s="1"/>
      <c r="R3495" s="1"/>
      <c r="S3495" s="1"/>
      <c r="T3495" s="1"/>
      <c r="U3495" s="1"/>
      <c r="V3495" s="1"/>
      <c r="W3495" s="1"/>
      <c r="X3495" s="1"/>
      <c r="Y3495" s="1"/>
      <c r="Z3495" s="1"/>
    </row>
    <row r="3496" spans="1:26" x14ac:dyDescent="0.2">
      <c r="A3496" s="1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1"/>
      <c r="P3496" s="1"/>
      <c r="Q3496" s="1"/>
      <c r="R3496" s="1"/>
      <c r="S3496" s="1"/>
      <c r="T3496" s="1"/>
      <c r="U3496" s="1"/>
      <c r="V3496" s="1"/>
      <c r="W3496" s="1"/>
      <c r="X3496" s="1"/>
      <c r="Y3496" s="1"/>
      <c r="Z3496" s="1"/>
    </row>
    <row r="3497" spans="1:26" x14ac:dyDescent="0.2">
      <c r="A3497" s="1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1"/>
      <c r="P3497" s="1"/>
      <c r="Q3497" s="1"/>
      <c r="R3497" s="1"/>
      <c r="S3497" s="1"/>
      <c r="T3497" s="1"/>
      <c r="U3497" s="1"/>
      <c r="V3497" s="1"/>
      <c r="W3497" s="1"/>
      <c r="X3497" s="1"/>
      <c r="Y3497" s="1"/>
      <c r="Z3497" s="1"/>
    </row>
    <row r="3498" spans="1:26" x14ac:dyDescent="0.2">
      <c r="A3498" s="1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1"/>
      <c r="P3498" s="1"/>
      <c r="Q3498" s="1"/>
      <c r="R3498" s="1"/>
      <c r="S3498" s="1"/>
      <c r="T3498" s="1"/>
      <c r="U3498" s="1"/>
      <c r="V3498" s="1"/>
      <c r="W3498" s="1"/>
      <c r="X3498" s="1"/>
      <c r="Y3498" s="1"/>
      <c r="Z3498" s="1"/>
    </row>
    <row r="3499" spans="1:26" x14ac:dyDescent="0.2">
      <c r="A3499" s="1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1"/>
      <c r="P3499" s="1"/>
      <c r="Q3499" s="1"/>
      <c r="R3499" s="1"/>
      <c r="S3499" s="1"/>
      <c r="T3499" s="1"/>
      <c r="U3499" s="1"/>
      <c r="V3499" s="1"/>
      <c r="W3499" s="1"/>
      <c r="X3499" s="1"/>
      <c r="Y3499" s="1"/>
      <c r="Z3499" s="1"/>
    </row>
    <row r="3500" spans="1:26" x14ac:dyDescent="0.2">
      <c r="A3500" s="1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1"/>
      <c r="P3500" s="1"/>
      <c r="Q3500" s="1"/>
      <c r="R3500" s="1"/>
      <c r="S3500" s="1"/>
      <c r="T3500" s="1"/>
      <c r="U3500" s="1"/>
      <c r="V3500" s="1"/>
      <c r="W3500" s="1"/>
      <c r="X3500" s="1"/>
      <c r="Y3500" s="1"/>
      <c r="Z3500" s="1"/>
    </row>
    <row r="3501" spans="1:26" x14ac:dyDescent="0.2">
      <c r="A3501" s="1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1"/>
      <c r="P3501" s="1"/>
      <c r="Q3501" s="1"/>
      <c r="R3501" s="1"/>
      <c r="S3501" s="1"/>
      <c r="T3501" s="1"/>
      <c r="U3501" s="1"/>
      <c r="V3501" s="1"/>
      <c r="W3501" s="1"/>
      <c r="X3501" s="1"/>
      <c r="Y3501" s="1"/>
      <c r="Z3501" s="1"/>
    </row>
    <row r="3502" spans="1:26" x14ac:dyDescent="0.2">
      <c r="A3502" s="1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1"/>
      <c r="P3502" s="1"/>
      <c r="Q3502" s="1"/>
      <c r="R3502" s="1"/>
      <c r="S3502" s="1"/>
      <c r="T3502" s="1"/>
      <c r="U3502" s="1"/>
      <c r="V3502" s="1"/>
      <c r="W3502" s="1"/>
      <c r="X3502" s="1"/>
      <c r="Y3502" s="1"/>
      <c r="Z3502" s="1"/>
    </row>
    <row r="3503" spans="1:26" x14ac:dyDescent="0.2">
      <c r="A3503" s="1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1"/>
      <c r="P3503" s="1"/>
      <c r="Q3503" s="1"/>
      <c r="R3503" s="1"/>
      <c r="S3503" s="1"/>
      <c r="T3503" s="1"/>
      <c r="U3503" s="1"/>
      <c r="V3503" s="1"/>
      <c r="W3503" s="1"/>
      <c r="X3503" s="1"/>
      <c r="Y3503" s="1"/>
      <c r="Z3503" s="1"/>
    </row>
    <row r="3504" spans="1:26" x14ac:dyDescent="0.2">
      <c r="A3504" s="1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1"/>
      <c r="P3504" s="1"/>
      <c r="Q3504" s="1"/>
      <c r="R3504" s="1"/>
      <c r="S3504" s="1"/>
      <c r="T3504" s="1"/>
      <c r="U3504" s="1"/>
      <c r="V3504" s="1"/>
      <c r="W3504" s="1"/>
      <c r="X3504" s="1"/>
      <c r="Y3504" s="1"/>
      <c r="Z3504" s="1"/>
    </row>
    <row r="3505" spans="1:26" x14ac:dyDescent="0.2">
      <c r="A3505" s="1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1"/>
      <c r="P3505" s="1"/>
      <c r="Q3505" s="1"/>
      <c r="R3505" s="1"/>
      <c r="S3505" s="1"/>
      <c r="T3505" s="1"/>
      <c r="U3505" s="1"/>
      <c r="V3505" s="1"/>
      <c r="W3505" s="1"/>
      <c r="X3505" s="1"/>
      <c r="Y3505" s="1"/>
      <c r="Z3505" s="1"/>
    </row>
    <row r="3506" spans="1:26" x14ac:dyDescent="0.2">
      <c r="A3506" s="1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1"/>
      <c r="P3506" s="1"/>
      <c r="Q3506" s="1"/>
      <c r="R3506" s="1"/>
      <c r="S3506" s="1"/>
      <c r="T3506" s="1"/>
      <c r="U3506" s="1"/>
      <c r="V3506" s="1"/>
      <c r="W3506" s="1"/>
      <c r="X3506" s="1"/>
      <c r="Y3506" s="1"/>
      <c r="Z3506" s="1"/>
    </row>
    <row r="3507" spans="1:26" x14ac:dyDescent="0.2">
      <c r="A3507" s="1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1"/>
      <c r="P3507" s="1"/>
      <c r="Q3507" s="1"/>
      <c r="R3507" s="1"/>
      <c r="S3507" s="1"/>
      <c r="T3507" s="1"/>
      <c r="U3507" s="1"/>
      <c r="V3507" s="1"/>
      <c r="W3507" s="1"/>
      <c r="X3507" s="1"/>
      <c r="Y3507" s="1"/>
      <c r="Z3507" s="1"/>
    </row>
    <row r="3508" spans="1:26" x14ac:dyDescent="0.2">
      <c r="A3508" s="1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1"/>
      <c r="P3508" s="1"/>
      <c r="Q3508" s="1"/>
      <c r="R3508" s="1"/>
      <c r="S3508" s="1"/>
      <c r="T3508" s="1"/>
      <c r="U3508" s="1"/>
      <c r="V3508" s="1"/>
      <c r="W3508" s="1"/>
      <c r="X3508" s="1"/>
      <c r="Y3508" s="1"/>
      <c r="Z3508" s="1"/>
    </row>
    <row r="3509" spans="1:26" x14ac:dyDescent="0.2">
      <c r="A3509" s="1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1"/>
      <c r="P3509" s="1"/>
      <c r="Q3509" s="1"/>
      <c r="R3509" s="1"/>
      <c r="S3509" s="1"/>
      <c r="T3509" s="1"/>
      <c r="U3509" s="1"/>
      <c r="V3509" s="1"/>
      <c r="W3509" s="1"/>
      <c r="X3509" s="1"/>
      <c r="Y3509" s="1"/>
      <c r="Z3509" s="1"/>
    </row>
    <row r="3510" spans="1:26" x14ac:dyDescent="0.2">
      <c r="A3510" s="1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1"/>
      <c r="P3510" s="1"/>
      <c r="Q3510" s="1"/>
      <c r="R3510" s="1"/>
      <c r="S3510" s="1"/>
      <c r="T3510" s="1"/>
      <c r="U3510" s="1"/>
      <c r="V3510" s="1"/>
      <c r="W3510" s="1"/>
      <c r="X3510" s="1"/>
      <c r="Y3510" s="1"/>
      <c r="Z3510" s="1"/>
    </row>
    <row r="3511" spans="1:26" x14ac:dyDescent="0.2">
      <c r="A3511" s="1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1"/>
      <c r="P3511" s="1"/>
      <c r="Q3511" s="1"/>
      <c r="R3511" s="1"/>
      <c r="S3511" s="1"/>
      <c r="T3511" s="1"/>
      <c r="U3511" s="1"/>
      <c r="V3511" s="1"/>
      <c r="W3511" s="1"/>
      <c r="X3511" s="1"/>
      <c r="Y3511" s="1"/>
      <c r="Z3511" s="1"/>
    </row>
    <row r="3512" spans="1:26" x14ac:dyDescent="0.2">
      <c r="A3512" s="1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1"/>
      <c r="P3512" s="1"/>
      <c r="Q3512" s="1"/>
      <c r="R3512" s="1"/>
      <c r="S3512" s="1"/>
      <c r="T3512" s="1"/>
      <c r="U3512" s="1"/>
      <c r="V3512" s="1"/>
      <c r="W3512" s="1"/>
      <c r="X3512" s="1"/>
      <c r="Y3512" s="1"/>
      <c r="Z3512" s="1"/>
    </row>
    <row r="3513" spans="1:26" x14ac:dyDescent="0.2">
      <c r="A3513" s="1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1"/>
      <c r="P3513" s="1"/>
      <c r="Q3513" s="1"/>
      <c r="R3513" s="1"/>
      <c r="S3513" s="1"/>
      <c r="T3513" s="1"/>
      <c r="U3513" s="1"/>
      <c r="V3513" s="1"/>
      <c r="W3513" s="1"/>
      <c r="X3513" s="1"/>
      <c r="Y3513" s="1"/>
      <c r="Z3513" s="1"/>
    </row>
    <row r="3514" spans="1:26" x14ac:dyDescent="0.2">
      <c r="A3514" s="1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1"/>
      <c r="P3514" s="1"/>
      <c r="Q3514" s="1"/>
      <c r="R3514" s="1"/>
      <c r="S3514" s="1"/>
      <c r="T3514" s="1"/>
      <c r="U3514" s="1"/>
      <c r="V3514" s="1"/>
      <c r="W3514" s="1"/>
      <c r="X3514" s="1"/>
      <c r="Y3514" s="1"/>
      <c r="Z3514" s="1"/>
    </row>
    <row r="3515" spans="1:26" x14ac:dyDescent="0.2">
      <c r="A3515" s="1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1"/>
      <c r="P3515" s="1"/>
      <c r="Q3515" s="1"/>
      <c r="R3515" s="1"/>
      <c r="S3515" s="1"/>
      <c r="T3515" s="1"/>
      <c r="U3515" s="1"/>
      <c r="V3515" s="1"/>
      <c r="W3515" s="1"/>
      <c r="X3515" s="1"/>
      <c r="Y3515" s="1"/>
      <c r="Z3515" s="1"/>
    </row>
    <row r="3516" spans="1:26" x14ac:dyDescent="0.2">
      <c r="A3516" s="1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1"/>
      <c r="P3516" s="1"/>
      <c r="Q3516" s="1"/>
      <c r="R3516" s="1"/>
      <c r="S3516" s="1"/>
      <c r="T3516" s="1"/>
      <c r="U3516" s="1"/>
      <c r="V3516" s="1"/>
      <c r="W3516" s="1"/>
      <c r="X3516" s="1"/>
      <c r="Y3516" s="1"/>
      <c r="Z3516" s="1"/>
    </row>
    <row r="3517" spans="1:26" x14ac:dyDescent="0.2">
      <c r="A3517" s="1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1"/>
      <c r="P3517" s="1"/>
      <c r="Q3517" s="1"/>
      <c r="R3517" s="1"/>
      <c r="S3517" s="1"/>
      <c r="T3517" s="1"/>
      <c r="U3517" s="1"/>
      <c r="V3517" s="1"/>
      <c r="W3517" s="1"/>
      <c r="X3517" s="1"/>
      <c r="Y3517" s="1"/>
      <c r="Z3517" s="1"/>
    </row>
    <row r="3518" spans="1:26" x14ac:dyDescent="0.2">
      <c r="A3518" s="1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1"/>
      <c r="P3518" s="1"/>
      <c r="Q3518" s="1"/>
      <c r="R3518" s="1"/>
      <c r="S3518" s="1"/>
      <c r="T3518" s="1"/>
      <c r="U3518" s="1"/>
      <c r="V3518" s="1"/>
      <c r="W3518" s="1"/>
      <c r="X3518" s="1"/>
      <c r="Y3518" s="1"/>
      <c r="Z3518" s="1"/>
    </row>
    <row r="3519" spans="1:26" x14ac:dyDescent="0.2">
      <c r="A3519" s="1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1"/>
      <c r="P3519" s="1"/>
      <c r="Q3519" s="1"/>
      <c r="R3519" s="1"/>
      <c r="S3519" s="1"/>
      <c r="T3519" s="1"/>
      <c r="U3519" s="1"/>
      <c r="V3519" s="1"/>
      <c r="W3519" s="1"/>
      <c r="X3519" s="1"/>
      <c r="Y3519" s="1"/>
      <c r="Z3519" s="1"/>
    </row>
    <row r="3520" spans="1:26" x14ac:dyDescent="0.2">
      <c r="A3520" s="1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1"/>
      <c r="P3520" s="1"/>
      <c r="Q3520" s="1"/>
      <c r="R3520" s="1"/>
      <c r="S3520" s="1"/>
      <c r="T3520" s="1"/>
      <c r="U3520" s="1"/>
      <c r="V3520" s="1"/>
      <c r="W3520" s="1"/>
      <c r="X3520" s="1"/>
      <c r="Y3520" s="1"/>
      <c r="Z3520" s="1"/>
    </row>
    <row r="3521" spans="1:26" x14ac:dyDescent="0.2">
      <c r="A3521" s="1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1"/>
      <c r="P3521" s="1"/>
      <c r="Q3521" s="1"/>
      <c r="R3521" s="1"/>
      <c r="S3521" s="1"/>
      <c r="T3521" s="1"/>
      <c r="U3521" s="1"/>
      <c r="V3521" s="1"/>
      <c r="W3521" s="1"/>
      <c r="X3521" s="1"/>
      <c r="Y3521" s="1"/>
      <c r="Z3521" s="1"/>
    </row>
    <row r="3522" spans="1:26" x14ac:dyDescent="0.2">
      <c r="A3522" s="1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1"/>
      <c r="P3522" s="1"/>
      <c r="Q3522" s="1"/>
      <c r="R3522" s="1"/>
      <c r="S3522" s="1"/>
      <c r="T3522" s="1"/>
      <c r="U3522" s="1"/>
      <c r="V3522" s="1"/>
      <c r="W3522" s="1"/>
      <c r="X3522" s="1"/>
      <c r="Y3522" s="1"/>
      <c r="Z3522" s="1"/>
    </row>
    <row r="3523" spans="1:26" x14ac:dyDescent="0.2">
      <c r="A3523" s="1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1"/>
      <c r="P3523" s="1"/>
      <c r="Q3523" s="1"/>
      <c r="R3523" s="1"/>
      <c r="S3523" s="1"/>
      <c r="T3523" s="1"/>
      <c r="U3523" s="1"/>
      <c r="V3523" s="1"/>
      <c r="W3523" s="1"/>
      <c r="X3523" s="1"/>
      <c r="Y3523" s="1"/>
      <c r="Z3523" s="1"/>
    </row>
    <row r="3524" spans="1:26" x14ac:dyDescent="0.2">
      <c r="A3524" s="1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1"/>
      <c r="P3524" s="1"/>
      <c r="Q3524" s="1"/>
      <c r="R3524" s="1"/>
      <c r="S3524" s="1"/>
      <c r="T3524" s="1"/>
      <c r="U3524" s="1"/>
      <c r="V3524" s="1"/>
      <c r="W3524" s="1"/>
      <c r="X3524" s="1"/>
      <c r="Y3524" s="1"/>
      <c r="Z3524" s="1"/>
    </row>
    <row r="3525" spans="1:26" x14ac:dyDescent="0.2">
      <c r="A3525" s="1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1"/>
      <c r="P3525" s="1"/>
      <c r="Q3525" s="1"/>
      <c r="R3525" s="1"/>
      <c r="S3525" s="1"/>
      <c r="T3525" s="1"/>
      <c r="U3525" s="1"/>
      <c r="V3525" s="1"/>
      <c r="W3525" s="1"/>
      <c r="X3525" s="1"/>
      <c r="Y3525" s="1"/>
      <c r="Z3525" s="1"/>
    </row>
    <row r="3526" spans="1:26" x14ac:dyDescent="0.2">
      <c r="A3526" s="1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1"/>
      <c r="P3526" s="1"/>
      <c r="Q3526" s="1"/>
      <c r="R3526" s="1"/>
      <c r="S3526" s="1"/>
      <c r="T3526" s="1"/>
      <c r="U3526" s="1"/>
      <c r="V3526" s="1"/>
      <c r="W3526" s="1"/>
      <c r="X3526" s="1"/>
      <c r="Y3526" s="1"/>
      <c r="Z3526" s="1"/>
    </row>
    <row r="3527" spans="1:26" x14ac:dyDescent="0.2">
      <c r="A3527" s="1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1"/>
      <c r="P3527" s="1"/>
      <c r="Q3527" s="1"/>
      <c r="R3527" s="1"/>
      <c r="S3527" s="1"/>
      <c r="T3527" s="1"/>
      <c r="U3527" s="1"/>
      <c r="V3527" s="1"/>
      <c r="W3527" s="1"/>
      <c r="X3527" s="1"/>
      <c r="Y3527" s="1"/>
      <c r="Z3527" s="1"/>
    </row>
    <row r="3528" spans="1:26" x14ac:dyDescent="0.2">
      <c r="A3528" s="1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1"/>
      <c r="P3528" s="1"/>
      <c r="Q3528" s="1"/>
      <c r="R3528" s="1"/>
      <c r="S3528" s="1"/>
      <c r="T3528" s="1"/>
      <c r="U3528" s="1"/>
      <c r="V3528" s="1"/>
      <c r="W3528" s="1"/>
      <c r="X3528" s="1"/>
      <c r="Y3528" s="1"/>
      <c r="Z3528" s="1"/>
    </row>
    <row r="3529" spans="1:26" x14ac:dyDescent="0.2">
      <c r="A3529" s="1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1"/>
      <c r="P3529" s="1"/>
      <c r="Q3529" s="1"/>
      <c r="R3529" s="1"/>
      <c r="S3529" s="1"/>
      <c r="T3529" s="1"/>
      <c r="U3529" s="1"/>
      <c r="V3529" s="1"/>
      <c r="W3529" s="1"/>
      <c r="X3529" s="1"/>
      <c r="Y3529" s="1"/>
      <c r="Z3529" s="1"/>
    </row>
    <row r="3530" spans="1:26" x14ac:dyDescent="0.2">
      <c r="A3530" s="1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1"/>
      <c r="P3530" s="1"/>
      <c r="Q3530" s="1"/>
      <c r="R3530" s="1"/>
      <c r="S3530" s="1"/>
      <c r="T3530" s="1"/>
      <c r="U3530" s="1"/>
      <c r="V3530" s="1"/>
      <c r="W3530" s="1"/>
      <c r="X3530" s="1"/>
      <c r="Y3530" s="1"/>
      <c r="Z3530" s="1"/>
    </row>
    <row r="3531" spans="1:26" x14ac:dyDescent="0.2">
      <c r="A3531" s="1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1"/>
      <c r="P3531" s="1"/>
      <c r="Q3531" s="1"/>
      <c r="R3531" s="1"/>
      <c r="S3531" s="1"/>
      <c r="T3531" s="1"/>
      <c r="U3531" s="1"/>
      <c r="V3531" s="1"/>
      <c r="W3531" s="1"/>
      <c r="X3531" s="1"/>
      <c r="Y3531" s="1"/>
      <c r="Z3531" s="1"/>
    </row>
    <row r="3532" spans="1:26" x14ac:dyDescent="0.2">
      <c r="A3532" s="1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1"/>
      <c r="P3532" s="1"/>
      <c r="Q3532" s="1"/>
      <c r="R3532" s="1"/>
      <c r="S3532" s="1"/>
      <c r="T3532" s="1"/>
      <c r="U3532" s="1"/>
      <c r="V3532" s="1"/>
      <c r="W3532" s="1"/>
      <c r="X3532" s="1"/>
      <c r="Y3532" s="1"/>
      <c r="Z3532" s="1"/>
    </row>
    <row r="3533" spans="1:26" x14ac:dyDescent="0.2">
      <c r="A3533" s="1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1"/>
      <c r="P3533" s="1"/>
      <c r="Q3533" s="1"/>
      <c r="R3533" s="1"/>
      <c r="S3533" s="1"/>
      <c r="T3533" s="1"/>
      <c r="U3533" s="1"/>
      <c r="V3533" s="1"/>
      <c r="W3533" s="1"/>
      <c r="X3533" s="1"/>
      <c r="Y3533" s="1"/>
      <c r="Z3533" s="1"/>
    </row>
    <row r="3534" spans="1:26" x14ac:dyDescent="0.2">
      <c r="A3534" s="1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1"/>
      <c r="P3534" s="1"/>
      <c r="Q3534" s="1"/>
      <c r="R3534" s="1"/>
      <c r="S3534" s="1"/>
      <c r="T3534" s="1"/>
      <c r="U3534" s="1"/>
      <c r="V3534" s="1"/>
      <c r="W3534" s="1"/>
      <c r="X3534" s="1"/>
      <c r="Y3534" s="1"/>
      <c r="Z3534" s="1"/>
    </row>
    <row r="3535" spans="1:26" x14ac:dyDescent="0.2">
      <c r="A3535" s="1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1"/>
      <c r="P3535" s="1"/>
      <c r="Q3535" s="1"/>
      <c r="R3535" s="1"/>
      <c r="S3535" s="1"/>
      <c r="T3535" s="1"/>
      <c r="U3535" s="1"/>
      <c r="V3535" s="1"/>
      <c r="W3535" s="1"/>
      <c r="X3535" s="1"/>
      <c r="Y3535" s="1"/>
      <c r="Z3535" s="1"/>
    </row>
    <row r="3536" spans="1:26" x14ac:dyDescent="0.2">
      <c r="A3536" s="1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1"/>
      <c r="P3536" s="1"/>
      <c r="Q3536" s="1"/>
      <c r="R3536" s="1"/>
      <c r="S3536" s="1"/>
      <c r="T3536" s="1"/>
      <c r="U3536" s="1"/>
      <c r="V3536" s="1"/>
      <c r="W3536" s="1"/>
      <c r="X3536" s="1"/>
      <c r="Y3536" s="1"/>
      <c r="Z3536" s="1"/>
    </row>
    <row r="3537" spans="1:26" x14ac:dyDescent="0.2">
      <c r="A3537" s="1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1"/>
      <c r="P3537" s="1"/>
      <c r="Q3537" s="1"/>
      <c r="R3537" s="1"/>
      <c r="S3537" s="1"/>
      <c r="T3537" s="1"/>
      <c r="U3537" s="1"/>
      <c r="V3537" s="1"/>
      <c r="W3537" s="1"/>
      <c r="X3537" s="1"/>
      <c r="Y3537" s="1"/>
      <c r="Z3537" s="1"/>
    </row>
    <row r="3538" spans="1:26" x14ac:dyDescent="0.2">
      <c r="A3538" s="1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1"/>
      <c r="P3538" s="1"/>
      <c r="Q3538" s="1"/>
      <c r="R3538" s="1"/>
      <c r="S3538" s="1"/>
      <c r="T3538" s="1"/>
      <c r="U3538" s="1"/>
      <c r="V3538" s="1"/>
      <c r="W3538" s="1"/>
      <c r="X3538" s="1"/>
      <c r="Y3538" s="1"/>
      <c r="Z3538" s="1"/>
    </row>
    <row r="3539" spans="1:26" x14ac:dyDescent="0.2">
      <c r="A3539" s="1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1"/>
      <c r="P3539" s="1"/>
      <c r="Q3539" s="1"/>
      <c r="R3539" s="1"/>
      <c r="S3539" s="1"/>
      <c r="T3539" s="1"/>
      <c r="U3539" s="1"/>
      <c r="V3539" s="1"/>
      <c r="W3539" s="1"/>
      <c r="X3539" s="1"/>
      <c r="Y3539" s="1"/>
      <c r="Z3539" s="1"/>
    </row>
    <row r="3540" spans="1:26" x14ac:dyDescent="0.2">
      <c r="A3540" s="1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1"/>
      <c r="P3540" s="1"/>
      <c r="Q3540" s="1"/>
      <c r="R3540" s="1"/>
      <c r="S3540" s="1"/>
      <c r="T3540" s="1"/>
      <c r="U3540" s="1"/>
      <c r="V3540" s="1"/>
      <c r="W3540" s="1"/>
      <c r="X3540" s="1"/>
      <c r="Y3540" s="1"/>
      <c r="Z3540" s="1"/>
    </row>
    <row r="3541" spans="1:26" x14ac:dyDescent="0.2">
      <c r="A3541" s="1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1"/>
      <c r="P3541" s="1"/>
      <c r="Q3541" s="1"/>
      <c r="R3541" s="1"/>
      <c r="S3541" s="1"/>
      <c r="T3541" s="1"/>
      <c r="U3541" s="1"/>
      <c r="V3541" s="1"/>
      <c r="W3541" s="1"/>
      <c r="X3541" s="1"/>
      <c r="Y3541" s="1"/>
      <c r="Z3541" s="1"/>
    </row>
    <row r="3542" spans="1:26" x14ac:dyDescent="0.2">
      <c r="A3542" s="1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1"/>
      <c r="P3542" s="1"/>
      <c r="Q3542" s="1"/>
      <c r="R3542" s="1"/>
      <c r="S3542" s="1"/>
      <c r="T3542" s="1"/>
      <c r="U3542" s="1"/>
      <c r="V3542" s="1"/>
      <c r="W3542" s="1"/>
      <c r="X3542" s="1"/>
      <c r="Y3542" s="1"/>
      <c r="Z3542" s="1"/>
    </row>
    <row r="3543" spans="1:26" x14ac:dyDescent="0.2">
      <c r="A3543" s="1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1"/>
      <c r="P3543" s="1"/>
      <c r="Q3543" s="1"/>
      <c r="R3543" s="1"/>
      <c r="S3543" s="1"/>
      <c r="T3543" s="1"/>
      <c r="U3543" s="1"/>
      <c r="V3543" s="1"/>
      <c r="W3543" s="1"/>
      <c r="X3543" s="1"/>
      <c r="Y3543" s="1"/>
      <c r="Z3543" s="1"/>
    </row>
    <row r="3544" spans="1:26" x14ac:dyDescent="0.2">
      <c r="A3544" s="1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1"/>
      <c r="P3544" s="1"/>
      <c r="Q3544" s="1"/>
      <c r="R3544" s="1"/>
      <c r="S3544" s="1"/>
      <c r="T3544" s="1"/>
      <c r="U3544" s="1"/>
      <c r="V3544" s="1"/>
      <c r="W3544" s="1"/>
      <c r="X3544" s="1"/>
      <c r="Y3544" s="1"/>
      <c r="Z3544" s="1"/>
    </row>
    <row r="3545" spans="1:26" x14ac:dyDescent="0.2">
      <c r="A3545" s="1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1"/>
      <c r="P3545" s="1"/>
      <c r="Q3545" s="1"/>
      <c r="R3545" s="1"/>
      <c r="S3545" s="1"/>
      <c r="T3545" s="1"/>
      <c r="U3545" s="1"/>
      <c r="V3545" s="1"/>
      <c r="W3545" s="1"/>
      <c r="X3545" s="1"/>
      <c r="Y3545" s="1"/>
      <c r="Z3545" s="1"/>
    </row>
    <row r="3546" spans="1:26" x14ac:dyDescent="0.2">
      <c r="A3546" s="1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1"/>
      <c r="P3546" s="1"/>
      <c r="Q3546" s="1"/>
      <c r="R3546" s="1"/>
      <c r="S3546" s="1"/>
      <c r="T3546" s="1"/>
      <c r="U3546" s="1"/>
      <c r="V3546" s="1"/>
      <c r="W3546" s="1"/>
      <c r="X3546" s="1"/>
      <c r="Y3546" s="1"/>
      <c r="Z3546" s="1"/>
    </row>
    <row r="3547" spans="1:26" x14ac:dyDescent="0.2">
      <c r="A3547" s="1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1"/>
      <c r="P3547" s="1"/>
      <c r="Q3547" s="1"/>
      <c r="R3547" s="1"/>
      <c r="S3547" s="1"/>
      <c r="T3547" s="1"/>
      <c r="U3547" s="1"/>
      <c r="V3547" s="1"/>
      <c r="W3547" s="1"/>
      <c r="X3547" s="1"/>
      <c r="Y3547" s="1"/>
      <c r="Z3547" s="1"/>
    </row>
    <row r="3548" spans="1:26" x14ac:dyDescent="0.2">
      <c r="A3548" s="1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1"/>
      <c r="P3548" s="1"/>
      <c r="Q3548" s="1"/>
      <c r="R3548" s="1"/>
      <c r="S3548" s="1"/>
      <c r="T3548" s="1"/>
      <c r="U3548" s="1"/>
      <c r="V3548" s="1"/>
      <c r="W3548" s="1"/>
      <c r="X3548" s="1"/>
      <c r="Y3548" s="1"/>
      <c r="Z3548" s="1"/>
    </row>
    <row r="3549" spans="1:26" x14ac:dyDescent="0.2">
      <c r="A3549" s="1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1"/>
      <c r="P3549" s="1"/>
      <c r="Q3549" s="1"/>
      <c r="R3549" s="1"/>
      <c r="S3549" s="1"/>
      <c r="T3549" s="1"/>
      <c r="U3549" s="1"/>
      <c r="V3549" s="1"/>
      <c r="W3549" s="1"/>
      <c r="X3549" s="1"/>
      <c r="Y3549" s="1"/>
      <c r="Z3549" s="1"/>
    </row>
    <row r="3550" spans="1:26" x14ac:dyDescent="0.2">
      <c r="A3550" s="1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1"/>
      <c r="P3550" s="1"/>
      <c r="Q3550" s="1"/>
      <c r="R3550" s="1"/>
      <c r="S3550" s="1"/>
      <c r="T3550" s="1"/>
      <c r="U3550" s="1"/>
      <c r="V3550" s="1"/>
      <c r="W3550" s="1"/>
      <c r="X3550" s="1"/>
      <c r="Y3550" s="1"/>
      <c r="Z3550" s="1"/>
    </row>
    <row r="3551" spans="1:26" x14ac:dyDescent="0.2">
      <c r="A3551" s="1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1"/>
      <c r="P3551" s="1"/>
      <c r="Q3551" s="1"/>
      <c r="R3551" s="1"/>
      <c r="S3551" s="1"/>
      <c r="T3551" s="1"/>
      <c r="U3551" s="1"/>
      <c r="V3551" s="1"/>
      <c r="W3551" s="1"/>
      <c r="X3551" s="1"/>
      <c r="Y3551" s="1"/>
      <c r="Z3551" s="1"/>
    </row>
    <row r="3552" spans="1:26" x14ac:dyDescent="0.2">
      <c r="A3552" s="1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1"/>
      <c r="P3552" s="1"/>
      <c r="Q3552" s="1"/>
      <c r="R3552" s="1"/>
      <c r="S3552" s="1"/>
      <c r="T3552" s="1"/>
      <c r="U3552" s="1"/>
      <c r="V3552" s="1"/>
      <c r="W3552" s="1"/>
      <c r="X3552" s="1"/>
      <c r="Y3552" s="1"/>
      <c r="Z3552" s="1"/>
    </row>
    <row r="3553" spans="1:26" x14ac:dyDescent="0.2">
      <c r="A3553" s="1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1"/>
      <c r="P3553" s="1"/>
      <c r="Q3553" s="1"/>
      <c r="R3553" s="1"/>
      <c r="S3553" s="1"/>
      <c r="T3553" s="1"/>
      <c r="U3553" s="1"/>
      <c r="V3553" s="1"/>
      <c r="W3553" s="1"/>
      <c r="X3553" s="1"/>
      <c r="Y3553" s="1"/>
      <c r="Z3553" s="1"/>
    </row>
    <row r="3554" spans="1:26" x14ac:dyDescent="0.2">
      <c r="A3554" s="1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1"/>
      <c r="P3554" s="1"/>
      <c r="Q3554" s="1"/>
      <c r="R3554" s="1"/>
      <c r="S3554" s="1"/>
      <c r="T3554" s="1"/>
      <c r="U3554" s="1"/>
      <c r="V3554" s="1"/>
      <c r="W3554" s="1"/>
      <c r="X3554" s="1"/>
      <c r="Y3554" s="1"/>
      <c r="Z3554" s="1"/>
    </row>
    <row r="3555" spans="1:26" x14ac:dyDescent="0.2">
      <c r="A3555" s="1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1"/>
      <c r="P3555" s="1"/>
      <c r="Q3555" s="1"/>
      <c r="R3555" s="1"/>
      <c r="S3555" s="1"/>
      <c r="T3555" s="1"/>
      <c r="U3555" s="1"/>
      <c r="V3555" s="1"/>
      <c r="W3555" s="1"/>
      <c r="X3555" s="1"/>
      <c r="Y3555" s="1"/>
      <c r="Z35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3.28515625" customWidth="1"/>
    <col min="2" max="25" width="8.7109375" customWidth="1"/>
  </cols>
  <sheetData>
    <row r="1" spans="1:26" x14ac:dyDescent="0.2">
      <c r="A1" s="2" t="str">
        <f ca="1">IFERROR(__xludf.DUMMYFUNCTION("IMPORTRANGE(""https://docs.google.com/spreadsheets/d/1QEICpkTEbV1Z_LWeaMjl4KVDsEDLt2EDAtqOvRWsWng/edit?gid=171941716#gid=171941716"",""'Cartão'!A1:Z31"")"),"Despesa")</f>
        <v>Despesa</v>
      </c>
      <c r="B1" s="2" t="str">
        <f ca="1">IFERROR(__xludf.DUMMYFUNCTION("""COMPUTED_VALUE"""),"25-01")</f>
        <v>25-01</v>
      </c>
      <c r="C1" s="2" t="str">
        <f ca="1">IFERROR(__xludf.DUMMYFUNCTION("""COMPUTED_VALUE"""),"25-02")</f>
        <v>25-02</v>
      </c>
      <c r="D1" s="2" t="str">
        <f ca="1">IFERROR(__xludf.DUMMYFUNCTION("""COMPUTED_VALUE"""),"25-03")</f>
        <v>25-03</v>
      </c>
      <c r="E1" s="2" t="str">
        <f ca="1">IFERROR(__xludf.DUMMYFUNCTION("""COMPUTED_VALUE"""),"25-04")</f>
        <v>25-04</v>
      </c>
      <c r="F1" s="2" t="str">
        <f ca="1">IFERROR(__xludf.DUMMYFUNCTION("""COMPUTED_VALUE"""),"25-05")</f>
        <v>25-05</v>
      </c>
      <c r="G1" s="2" t="str">
        <f ca="1">IFERROR(__xludf.DUMMYFUNCTION("""COMPUTED_VALUE"""),"25-06")</f>
        <v>25-06</v>
      </c>
      <c r="H1" s="2" t="str">
        <f ca="1">IFERROR(__xludf.DUMMYFUNCTION("""COMPUTED_VALUE"""),"25-07")</f>
        <v>25-07</v>
      </c>
      <c r="I1" s="2" t="str">
        <f ca="1">IFERROR(__xludf.DUMMYFUNCTION("""COMPUTED_VALUE"""),"25-08")</f>
        <v>25-08</v>
      </c>
      <c r="J1" s="2" t="str">
        <f ca="1">IFERROR(__xludf.DUMMYFUNCTION("""COMPUTED_VALUE"""),"25-09")</f>
        <v>25-09</v>
      </c>
      <c r="K1" s="2" t="str">
        <f ca="1">IFERROR(__xludf.DUMMYFUNCTION("""COMPUTED_VALUE"""),"25-10")</f>
        <v>25-10</v>
      </c>
      <c r="L1" s="2" t="str">
        <f ca="1">IFERROR(__xludf.DUMMYFUNCTION("""COMPUTED_VALUE"""),"25-11")</f>
        <v>25-11</v>
      </c>
      <c r="M1" s="2" t="str">
        <f ca="1">IFERROR(__xludf.DUMMYFUNCTION("""COMPUTED_VALUE"""),"25-12")</f>
        <v>25-12</v>
      </c>
      <c r="N1" s="2" t="str">
        <f ca="1">IFERROR(__xludf.DUMMYFUNCTION("""COMPUTED_VALUE"""),"26-01")</f>
        <v>26-01</v>
      </c>
      <c r="O1" s="2" t="str">
        <f ca="1">IFERROR(__xludf.DUMMYFUNCTION("""COMPUTED_VALUE"""),"26-02")</f>
        <v>26-02</v>
      </c>
      <c r="P1" s="2" t="str">
        <f ca="1">IFERROR(__xludf.DUMMYFUNCTION("""COMPUTED_VALUE"""),"26-03")</f>
        <v>26-03</v>
      </c>
      <c r="Q1" s="2" t="str">
        <f ca="1">IFERROR(__xludf.DUMMYFUNCTION("""COMPUTED_VALUE"""),"26-04")</f>
        <v>26-04</v>
      </c>
      <c r="R1" s="2" t="str">
        <f ca="1">IFERROR(__xludf.DUMMYFUNCTION("""COMPUTED_VALUE"""),"26-05")</f>
        <v>26-05</v>
      </c>
      <c r="S1" s="2" t="str">
        <f ca="1">IFERROR(__xludf.DUMMYFUNCTION("""COMPUTED_VALUE"""),"26-06")</f>
        <v>26-06</v>
      </c>
      <c r="T1" s="2" t="str">
        <f ca="1">IFERROR(__xludf.DUMMYFUNCTION("""COMPUTED_VALUE"""),"26-07")</f>
        <v>26-07</v>
      </c>
      <c r="U1" s="2" t="str">
        <f ca="1">IFERROR(__xludf.DUMMYFUNCTION("""COMPUTED_VALUE"""),"26-08")</f>
        <v>26-08</v>
      </c>
      <c r="V1" s="2" t="str">
        <f ca="1">IFERROR(__xludf.DUMMYFUNCTION("""COMPUTED_VALUE"""),"26-09")</f>
        <v>26-09</v>
      </c>
      <c r="W1" s="2" t="str">
        <f ca="1">IFERROR(__xludf.DUMMYFUNCTION("""COMPUTED_VALUE"""),"26-10")</f>
        <v>26-10</v>
      </c>
      <c r="X1" s="2" t="str">
        <f ca="1">IFERROR(__xludf.DUMMYFUNCTION("""COMPUTED_VALUE"""),"26-11")</f>
        <v>26-11</v>
      </c>
      <c r="Y1" s="2" t="str">
        <f ca="1">IFERROR(__xludf.DUMMYFUNCTION("""COMPUTED_VALUE"""),"26-12")</f>
        <v>26-12</v>
      </c>
      <c r="Z1" s="1"/>
    </row>
    <row r="2" spans="1:26" x14ac:dyDescent="0.2">
      <c r="A2" s="1" t="str">
        <f ca="1">IFERROR(__xludf.DUMMYFUNCTION("""COMPUTED_VALUE"""),"Diesel (2 Tanq.)")</f>
        <v>Diesel (2 Tanq.)</v>
      </c>
      <c r="B2" s="2">
        <f ca="1">IFERROR(__xludf.DUMMYFUNCTION("""COMPUTED_VALUE"""),840)</f>
        <v>840</v>
      </c>
      <c r="C2" s="2">
        <f ca="1">IFERROR(__xludf.DUMMYFUNCTION("""COMPUTED_VALUE"""),840)</f>
        <v>840</v>
      </c>
      <c r="D2" s="2">
        <f ca="1">IFERROR(__xludf.DUMMYFUNCTION("""COMPUTED_VALUE"""),840)</f>
        <v>840</v>
      </c>
      <c r="E2" s="2">
        <f ca="1">IFERROR(__xludf.DUMMYFUNCTION("""COMPUTED_VALUE"""),840)</f>
        <v>840</v>
      </c>
      <c r="F2" s="2">
        <f ca="1">IFERROR(__xludf.DUMMYFUNCTION("""COMPUTED_VALUE"""),840)</f>
        <v>840</v>
      </c>
      <c r="G2" s="2">
        <f ca="1">IFERROR(__xludf.DUMMYFUNCTION("""COMPUTED_VALUE"""),840)</f>
        <v>840</v>
      </c>
      <c r="H2" s="2">
        <f ca="1">IFERROR(__xludf.DUMMYFUNCTION("""COMPUTED_VALUE"""),840)</f>
        <v>840</v>
      </c>
      <c r="I2" s="2">
        <f ca="1">IFERROR(__xludf.DUMMYFUNCTION("""COMPUTED_VALUE"""),840)</f>
        <v>840</v>
      </c>
      <c r="J2" s="2">
        <f ca="1">IFERROR(__xludf.DUMMYFUNCTION("""COMPUTED_VALUE"""),840)</f>
        <v>840</v>
      </c>
      <c r="K2" s="2">
        <f ca="1">IFERROR(__xludf.DUMMYFUNCTION("""COMPUTED_VALUE"""),840)</f>
        <v>840</v>
      </c>
      <c r="L2" s="2">
        <f ca="1">IFERROR(__xludf.DUMMYFUNCTION("""COMPUTED_VALUE"""),840)</f>
        <v>840</v>
      </c>
      <c r="M2" s="2">
        <f ca="1">IFERROR(__xludf.DUMMYFUNCTION("""COMPUTED_VALUE"""),840)</f>
        <v>840</v>
      </c>
      <c r="N2" s="2">
        <f ca="1">IFERROR(__xludf.DUMMYFUNCTION("""COMPUTED_VALUE"""),840)</f>
        <v>840</v>
      </c>
      <c r="O2" s="2">
        <f ca="1">IFERROR(__xludf.DUMMYFUNCTION("""COMPUTED_VALUE"""),840)</f>
        <v>840</v>
      </c>
      <c r="P2" s="2">
        <f ca="1">IFERROR(__xludf.DUMMYFUNCTION("""COMPUTED_VALUE"""),840)</f>
        <v>840</v>
      </c>
      <c r="Q2" s="2">
        <f ca="1">IFERROR(__xludf.DUMMYFUNCTION("""COMPUTED_VALUE"""),840)</f>
        <v>840</v>
      </c>
      <c r="R2" s="2">
        <f ca="1">IFERROR(__xludf.DUMMYFUNCTION("""COMPUTED_VALUE"""),840)</f>
        <v>840</v>
      </c>
      <c r="S2" s="2">
        <f ca="1">IFERROR(__xludf.DUMMYFUNCTION("""COMPUTED_VALUE"""),840)</f>
        <v>840</v>
      </c>
      <c r="T2" s="2">
        <f ca="1">IFERROR(__xludf.DUMMYFUNCTION("""COMPUTED_VALUE"""),840)</f>
        <v>840</v>
      </c>
      <c r="U2" s="2">
        <f ca="1">IFERROR(__xludf.DUMMYFUNCTION("""COMPUTED_VALUE"""),840)</f>
        <v>840</v>
      </c>
      <c r="V2" s="2">
        <f ca="1">IFERROR(__xludf.DUMMYFUNCTION("""COMPUTED_VALUE"""),840)</f>
        <v>840</v>
      </c>
      <c r="W2" s="2">
        <f ca="1">IFERROR(__xludf.DUMMYFUNCTION("""COMPUTED_VALUE"""),840)</f>
        <v>840</v>
      </c>
      <c r="X2" s="2">
        <f ca="1">IFERROR(__xludf.DUMMYFUNCTION("""COMPUTED_VALUE"""),840)</f>
        <v>840</v>
      </c>
      <c r="Y2" s="2">
        <f ca="1">IFERROR(__xludf.DUMMYFUNCTION("""COMPUTED_VALUE"""),840)</f>
        <v>840</v>
      </c>
      <c r="Z2" s="1"/>
    </row>
    <row r="3" spans="1:26" x14ac:dyDescent="0.2">
      <c r="A3" s="1" t="str">
        <f ca="1">IFERROR(__xludf.DUMMYFUNCTION("""COMPUTED_VALUE"""),"Supermercado")</f>
        <v>Supermercado</v>
      </c>
      <c r="B3" s="2">
        <f ca="1">IFERROR(__xludf.DUMMYFUNCTION("""COMPUTED_VALUE"""),1000)</f>
        <v>1000</v>
      </c>
      <c r="C3" s="2">
        <f ca="1">IFERROR(__xludf.DUMMYFUNCTION("""COMPUTED_VALUE"""),1000)</f>
        <v>1000</v>
      </c>
      <c r="D3" s="2">
        <f ca="1">IFERROR(__xludf.DUMMYFUNCTION("""COMPUTED_VALUE"""),1000)</f>
        <v>1000</v>
      </c>
      <c r="E3" s="2">
        <f ca="1">IFERROR(__xludf.DUMMYFUNCTION("""COMPUTED_VALUE"""),1000)</f>
        <v>1000</v>
      </c>
      <c r="F3" s="2">
        <f ca="1">IFERROR(__xludf.DUMMYFUNCTION("""COMPUTED_VALUE"""),1000)</f>
        <v>1000</v>
      </c>
      <c r="G3" s="2">
        <f ca="1">IFERROR(__xludf.DUMMYFUNCTION("""COMPUTED_VALUE"""),1000)</f>
        <v>1000</v>
      </c>
      <c r="H3" s="2">
        <f ca="1">IFERROR(__xludf.DUMMYFUNCTION("""COMPUTED_VALUE"""),1000)</f>
        <v>1000</v>
      </c>
      <c r="I3" s="2">
        <f ca="1">IFERROR(__xludf.DUMMYFUNCTION("""COMPUTED_VALUE"""),1000)</f>
        <v>1000</v>
      </c>
      <c r="J3" s="2">
        <f ca="1">IFERROR(__xludf.DUMMYFUNCTION("""COMPUTED_VALUE"""),1000)</f>
        <v>1000</v>
      </c>
      <c r="K3" s="2">
        <f ca="1">IFERROR(__xludf.DUMMYFUNCTION("""COMPUTED_VALUE"""),1000)</f>
        <v>1000</v>
      </c>
      <c r="L3" s="2">
        <f ca="1">IFERROR(__xludf.DUMMYFUNCTION("""COMPUTED_VALUE"""),1000)</f>
        <v>1000</v>
      </c>
      <c r="M3" s="2">
        <f ca="1">IFERROR(__xludf.DUMMYFUNCTION("""COMPUTED_VALUE"""),1000)</f>
        <v>1000</v>
      </c>
      <c r="N3" s="2">
        <f ca="1">IFERROR(__xludf.DUMMYFUNCTION("""COMPUTED_VALUE"""),1000)</f>
        <v>1000</v>
      </c>
      <c r="O3" s="2">
        <f ca="1">IFERROR(__xludf.DUMMYFUNCTION("""COMPUTED_VALUE"""),1000)</f>
        <v>1000</v>
      </c>
      <c r="P3" s="2">
        <f ca="1">IFERROR(__xludf.DUMMYFUNCTION("""COMPUTED_VALUE"""),1000)</f>
        <v>1000</v>
      </c>
      <c r="Q3" s="2">
        <f ca="1">IFERROR(__xludf.DUMMYFUNCTION("""COMPUTED_VALUE"""),1000)</f>
        <v>1000</v>
      </c>
      <c r="R3" s="2">
        <f ca="1">IFERROR(__xludf.DUMMYFUNCTION("""COMPUTED_VALUE"""),1000)</f>
        <v>1000</v>
      </c>
      <c r="S3" s="2">
        <f ca="1">IFERROR(__xludf.DUMMYFUNCTION("""COMPUTED_VALUE"""),1000)</f>
        <v>1000</v>
      </c>
      <c r="T3" s="2">
        <f ca="1">IFERROR(__xludf.DUMMYFUNCTION("""COMPUTED_VALUE"""),1000)</f>
        <v>1000</v>
      </c>
      <c r="U3" s="2">
        <f ca="1">IFERROR(__xludf.DUMMYFUNCTION("""COMPUTED_VALUE"""),1000)</f>
        <v>1000</v>
      </c>
      <c r="V3" s="2">
        <f ca="1">IFERROR(__xludf.DUMMYFUNCTION("""COMPUTED_VALUE"""),1000)</f>
        <v>1000</v>
      </c>
      <c r="W3" s="2">
        <f ca="1">IFERROR(__xludf.DUMMYFUNCTION("""COMPUTED_VALUE"""),1000)</f>
        <v>1000</v>
      </c>
      <c r="X3" s="2">
        <f ca="1">IFERROR(__xludf.DUMMYFUNCTION("""COMPUTED_VALUE"""),1000)</f>
        <v>1000</v>
      </c>
      <c r="Y3" s="2">
        <f ca="1">IFERROR(__xludf.DUMMYFUNCTION("""COMPUTED_VALUE"""),1000)</f>
        <v>1000</v>
      </c>
      <c r="Z3" s="1"/>
    </row>
    <row r="4" spans="1:26" x14ac:dyDescent="0.2">
      <c r="A4" s="1" t="str">
        <f ca="1">IFERROR(__xludf.DUMMYFUNCTION("""COMPUTED_VALUE"""),"Hulk")</f>
        <v>Hulk</v>
      </c>
      <c r="B4" s="2">
        <f ca="1">IFERROR(__xludf.DUMMYFUNCTION("""COMPUTED_VALUE"""),200)</f>
        <v>200</v>
      </c>
      <c r="C4" s="2">
        <f ca="1">IFERROR(__xludf.DUMMYFUNCTION("""COMPUTED_VALUE"""),200)</f>
        <v>200</v>
      </c>
      <c r="D4" s="2">
        <f ca="1">IFERROR(__xludf.DUMMYFUNCTION("""COMPUTED_VALUE"""),200)</f>
        <v>200</v>
      </c>
      <c r="E4" s="2">
        <f ca="1">IFERROR(__xludf.DUMMYFUNCTION("""COMPUTED_VALUE"""),200)</f>
        <v>200</v>
      </c>
      <c r="F4" s="2">
        <f ca="1">IFERROR(__xludf.DUMMYFUNCTION("""COMPUTED_VALUE"""),200)</f>
        <v>200</v>
      </c>
      <c r="G4" s="2">
        <f ca="1">IFERROR(__xludf.DUMMYFUNCTION("""COMPUTED_VALUE"""),200)</f>
        <v>200</v>
      </c>
      <c r="H4" s="2">
        <f ca="1">IFERROR(__xludf.DUMMYFUNCTION("""COMPUTED_VALUE"""),200)</f>
        <v>200</v>
      </c>
      <c r="I4" s="2">
        <f ca="1">IFERROR(__xludf.DUMMYFUNCTION("""COMPUTED_VALUE"""),200)</f>
        <v>200</v>
      </c>
      <c r="J4" s="2">
        <f ca="1">IFERROR(__xludf.DUMMYFUNCTION("""COMPUTED_VALUE"""),200)</f>
        <v>200</v>
      </c>
      <c r="K4" s="2">
        <f ca="1">IFERROR(__xludf.DUMMYFUNCTION("""COMPUTED_VALUE"""),200)</f>
        <v>200</v>
      </c>
      <c r="L4" s="2">
        <f ca="1">IFERROR(__xludf.DUMMYFUNCTION("""COMPUTED_VALUE"""),200)</f>
        <v>200</v>
      </c>
      <c r="M4" s="2">
        <f ca="1">IFERROR(__xludf.DUMMYFUNCTION("""COMPUTED_VALUE"""),200)</f>
        <v>200</v>
      </c>
      <c r="N4" s="2">
        <f ca="1">IFERROR(__xludf.DUMMYFUNCTION("""COMPUTED_VALUE"""),200)</f>
        <v>200</v>
      </c>
      <c r="O4" s="2">
        <f ca="1">IFERROR(__xludf.DUMMYFUNCTION("""COMPUTED_VALUE"""),200)</f>
        <v>200</v>
      </c>
      <c r="P4" s="2">
        <f ca="1">IFERROR(__xludf.DUMMYFUNCTION("""COMPUTED_VALUE"""),200)</f>
        <v>200</v>
      </c>
      <c r="Q4" s="2">
        <f ca="1">IFERROR(__xludf.DUMMYFUNCTION("""COMPUTED_VALUE"""),200)</f>
        <v>200</v>
      </c>
      <c r="R4" s="2">
        <f ca="1">IFERROR(__xludf.DUMMYFUNCTION("""COMPUTED_VALUE"""),200)</f>
        <v>200</v>
      </c>
      <c r="S4" s="2">
        <f ca="1">IFERROR(__xludf.DUMMYFUNCTION("""COMPUTED_VALUE"""),200)</f>
        <v>200</v>
      </c>
      <c r="T4" s="2">
        <f ca="1">IFERROR(__xludf.DUMMYFUNCTION("""COMPUTED_VALUE"""),200)</f>
        <v>200</v>
      </c>
      <c r="U4" s="2">
        <f ca="1">IFERROR(__xludf.DUMMYFUNCTION("""COMPUTED_VALUE"""),200)</f>
        <v>200</v>
      </c>
      <c r="V4" s="2">
        <f ca="1">IFERROR(__xludf.DUMMYFUNCTION("""COMPUTED_VALUE"""),200)</f>
        <v>200</v>
      </c>
      <c r="W4" s="2">
        <f ca="1">IFERROR(__xludf.DUMMYFUNCTION("""COMPUTED_VALUE"""),200)</f>
        <v>200</v>
      </c>
      <c r="X4" s="2">
        <f ca="1">IFERROR(__xludf.DUMMYFUNCTION("""COMPUTED_VALUE"""),200)</f>
        <v>200</v>
      </c>
      <c r="Y4" s="2">
        <f ca="1">IFERROR(__xludf.DUMMYFUNCTION("""COMPUTED_VALUE"""),200)</f>
        <v>200</v>
      </c>
      <c r="Z4" s="1"/>
    </row>
    <row r="5" spans="1:26" x14ac:dyDescent="0.2">
      <c r="A5" s="1" t="str">
        <f ca="1">IFERROR(__xludf.DUMMYFUNCTION("""COMPUTED_VALUE"""),"Diversão")</f>
        <v>Diversão</v>
      </c>
      <c r="B5" s="2">
        <f ca="1">IFERROR(__xludf.DUMMYFUNCTION("""COMPUTED_VALUE"""),1000)</f>
        <v>1000</v>
      </c>
      <c r="C5" s="2">
        <f ca="1">IFERROR(__xludf.DUMMYFUNCTION("""COMPUTED_VALUE"""),1000)</f>
        <v>1000</v>
      </c>
      <c r="D5" s="2">
        <f ca="1">IFERROR(__xludf.DUMMYFUNCTION("""COMPUTED_VALUE"""),1000)</f>
        <v>1000</v>
      </c>
      <c r="E5" s="2">
        <f ca="1">IFERROR(__xludf.DUMMYFUNCTION("""COMPUTED_VALUE"""),1000)</f>
        <v>1000</v>
      </c>
      <c r="F5" s="2">
        <f ca="1">IFERROR(__xludf.DUMMYFUNCTION("""COMPUTED_VALUE"""),1000)</f>
        <v>1000</v>
      </c>
      <c r="G5" s="2">
        <f ca="1">IFERROR(__xludf.DUMMYFUNCTION("""COMPUTED_VALUE"""),1000)</f>
        <v>1000</v>
      </c>
      <c r="H5" s="2">
        <f ca="1">IFERROR(__xludf.DUMMYFUNCTION("""COMPUTED_VALUE"""),1000)</f>
        <v>1000</v>
      </c>
      <c r="I5" s="2">
        <f ca="1">IFERROR(__xludf.DUMMYFUNCTION("""COMPUTED_VALUE"""),1000)</f>
        <v>1000</v>
      </c>
      <c r="J5" s="2">
        <f ca="1">IFERROR(__xludf.DUMMYFUNCTION("""COMPUTED_VALUE"""),1000)</f>
        <v>1000</v>
      </c>
      <c r="K5" s="2">
        <f ca="1">IFERROR(__xludf.DUMMYFUNCTION("""COMPUTED_VALUE"""),1000)</f>
        <v>1000</v>
      </c>
      <c r="L5" s="2">
        <f ca="1">IFERROR(__xludf.DUMMYFUNCTION("""COMPUTED_VALUE"""),1000)</f>
        <v>1000</v>
      </c>
      <c r="M5" s="2">
        <f ca="1">IFERROR(__xludf.DUMMYFUNCTION("""COMPUTED_VALUE"""),1000)</f>
        <v>1000</v>
      </c>
      <c r="N5" s="2">
        <f ca="1">IFERROR(__xludf.DUMMYFUNCTION("""COMPUTED_VALUE"""),1000)</f>
        <v>1000</v>
      </c>
      <c r="O5" s="2">
        <f ca="1">IFERROR(__xludf.DUMMYFUNCTION("""COMPUTED_VALUE"""),1000)</f>
        <v>1000</v>
      </c>
      <c r="P5" s="2">
        <f ca="1">IFERROR(__xludf.DUMMYFUNCTION("""COMPUTED_VALUE"""),1000)</f>
        <v>1000</v>
      </c>
      <c r="Q5" s="2">
        <f ca="1">IFERROR(__xludf.DUMMYFUNCTION("""COMPUTED_VALUE"""),1000)</f>
        <v>1000</v>
      </c>
      <c r="R5" s="2">
        <f ca="1">IFERROR(__xludf.DUMMYFUNCTION("""COMPUTED_VALUE"""),1000)</f>
        <v>1000</v>
      </c>
      <c r="S5" s="2">
        <f ca="1">IFERROR(__xludf.DUMMYFUNCTION("""COMPUTED_VALUE"""),1000)</f>
        <v>1000</v>
      </c>
      <c r="T5" s="2">
        <f ca="1">IFERROR(__xludf.DUMMYFUNCTION("""COMPUTED_VALUE"""),1000)</f>
        <v>1000</v>
      </c>
      <c r="U5" s="2">
        <f ca="1">IFERROR(__xludf.DUMMYFUNCTION("""COMPUTED_VALUE"""),1000)</f>
        <v>1000</v>
      </c>
      <c r="V5" s="2">
        <f ca="1">IFERROR(__xludf.DUMMYFUNCTION("""COMPUTED_VALUE"""),1000)</f>
        <v>1000</v>
      </c>
      <c r="W5" s="2">
        <f ca="1">IFERROR(__xludf.DUMMYFUNCTION("""COMPUTED_VALUE"""),1000)</f>
        <v>1000</v>
      </c>
      <c r="X5" s="2">
        <f ca="1">IFERROR(__xludf.DUMMYFUNCTION("""COMPUTED_VALUE"""),1000)</f>
        <v>1000</v>
      </c>
      <c r="Y5" s="2">
        <f ca="1">IFERROR(__xludf.DUMMYFUNCTION("""COMPUTED_VALUE"""),1000)</f>
        <v>1000</v>
      </c>
      <c r="Z5" s="1"/>
    </row>
    <row r="6" spans="1:26" x14ac:dyDescent="0.2">
      <c r="A6" s="1" t="str">
        <f ca="1">IFERROR(__xludf.DUMMYFUNCTION("""COMPUTED_VALUE"""),"Uber")</f>
        <v>Uber</v>
      </c>
      <c r="B6" s="2">
        <f ca="1">IFERROR(__xludf.DUMMYFUNCTION("""COMPUTED_VALUE"""),250)</f>
        <v>250</v>
      </c>
      <c r="C6" s="2">
        <f ca="1">IFERROR(__xludf.DUMMYFUNCTION("""COMPUTED_VALUE"""),250)</f>
        <v>250</v>
      </c>
      <c r="D6" s="2">
        <f ca="1">IFERROR(__xludf.DUMMYFUNCTION("""COMPUTED_VALUE"""),250)</f>
        <v>250</v>
      </c>
      <c r="E6" s="2">
        <f ca="1">IFERROR(__xludf.DUMMYFUNCTION("""COMPUTED_VALUE"""),250)</f>
        <v>250</v>
      </c>
      <c r="F6" s="2">
        <f ca="1">IFERROR(__xludf.DUMMYFUNCTION("""COMPUTED_VALUE"""),250)</f>
        <v>250</v>
      </c>
      <c r="G6" s="2">
        <f ca="1">IFERROR(__xludf.DUMMYFUNCTION("""COMPUTED_VALUE"""),250)</f>
        <v>250</v>
      </c>
      <c r="H6" s="2">
        <f ca="1">IFERROR(__xludf.DUMMYFUNCTION("""COMPUTED_VALUE"""),250)</f>
        <v>250</v>
      </c>
      <c r="I6" s="2">
        <f ca="1">IFERROR(__xludf.DUMMYFUNCTION("""COMPUTED_VALUE"""),250)</f>
        <v>250</v>
      </c>
      <c r="J6" s="2">
        <f ca="1">IFERROR(__xludf.DUMMYFUNCTION("""COMPUTED_VALUE"""),250)</f>
        <v>250</v>
      </c>
      <c r="K6" s="2">
        <f ca="1">IFERROR(__xludf.DUMMYFUNCTION("""COMPUTED_VALUE"""),250)</f>
        <v>250</v>
      </c>
      <c r="L6" s="2">
        <f ca="1">IFERROR(__xludf.DUMMYFUNCTION("""COMPUTED_VALUE"""),250)</f>
        <v>250</v>
      </c>
      <c r="M6" s="2">
        <f ca="1">IFERROR(__xludf.DUMMYFUNCTION("""COMPUTED_VALUE"""),250)</f>
        <v>250</v>
      </c>
      <c r="N6" s="2">
        <f ca="1">IFERROR(__xludf.DUMMYFUNCTION("""COMPUTED_VALUE"""),250)</f>
        <v>250</v>
      </c>
      <c r="O6" s="2">
        <f ca="1">IFERROR(__xludf.DUMMYFUNCTION("""COMPUTED_VALUE"""),250)</f>
        <v>250</v>
      </c>
      <c r="P6" s="2">
        <f ca="1">IFERROR(__xludf.DUMMYFUNCTION("""COMPUTED_VALUE"""),250)</f>
        <v>250</v>
      </c>
      <c r="Q6" s="2">
        <f ca="1">IFERROR(__xludf.DUMMYFUNCTION("""COMPUTED_VALUE"""),250)</f>
        <v>250</v>
      </c>
      <c r="R6" s="2">
        <f ca="1">IFERROR(__xludf.DUMMYFUNCTION("""COMPUTED_VALUE"""),250)</f>
        <v>250</v>
      </c>
      <c r="S6" s="2">
        <f ca="1">IFERROR(__xludf.DUMMYFUNCTION("""COMPUTED_VALUE"""),250)</f>
        <v>250</v>
      </c>
      <c r="T6" s="2">
        <f ca="1">IFERROR(__xludf.DUMMYFUNCTION("""COMPUTED_VALUE"""),250)</f>
        <v>250</v>
      </c>
      <c r="U6" s="2">
        <f ca="1">IFERROR(__xludf.DUMMYFUNCTION("""COMPUTED_VALUE"""),250)</f>
        <v>250</v>
      </c>
      <c r="V6" s="2">
        <f ca="1">IFERROR(__xludf.DUMMYFUNCTION("""COMPUTED_VALUE"""),250)</f>
        <v>250</v>
      </c>
      <c r="W6" s="2">
        <f ca="1">IFERROR(__xludf.DUMMYFUNCTION("""COMPUTED_VALUE"""),250)</f>
        <v>250</v>
      </c>
      <c r="X6" s="2">
        <f ca="1">IFERROR(__xludf.DUMMYFUNCTION("""COMPUTED_VALUE"""),250)</f>
        <v>250</v>
      </c>
      <c r="Y6" s="2">
        <f ca="1">IFERROR(__xludf.DUMMYFUNCTION("""COMPUTED_VALUE"""),250)</f>
        <v>250</v>
      </c>
      <c r="Z6" s="1"/>
    </row>
    <row r="7" spans="1:26" x14ac:dyDescent="0.2">
      <c r="A7" s="1" t="str">
        <f ca="1">IFERROR(__xludf.DUMMYFUNCTION("""COMPUTED_VALUE"""),"Crossfit")</f>
        <v>Crossfit</v>
      </c>
      <c r="B7" s="2">
        <f ca="1">IFERROR(__xludf.DUMMYFUNCTION("""COMPUTED_VALUE"""),958)</f>
        <v>958</v>
      </c>
      <c r="C7" s="2">
        <f ca="1">IFERROR(__xludf.DUMMYFUNCTION("""COMPUTED_VALUE"""),958)</f>
        <v>958</v>
      </c>
      <c r="D7" s="2">
        <f ca="1">IFERROR(__xludf.DUMMYFUNCTION("""COMPUTED_VALUE"""),958)</f>
        <v>958</v>
      </c>
      <c r="E7" s="2">
        <f ca="1">IFERROR(__xludf.DUMMYFUNCTION("""COMPUTED_VALUE"""),958)</f>
        <v>958</v>
      </c>
      <c r="F7" s="2">
        <f ca="1">IFERROR(__xludf.DUMMYFUNCTION("""COMPUTED_VALUE"""),958)</f>
        <v>958</v>
      </c>
      <c r="G7" s="2">
        <f ca="1">IFERROR(__xludf.DUMMYFUNCTION("""COMPUTED_VALUE"""),958)</f>
        <v>958</v>
      </c>
      <c r="H7" s="2">
        <f ca="1">IFERROR(__xludf.DUMMYFUNCTION("""COMPUTED_VALUE"""),958)</f>
        <v>958</v>
      </c>
      <c r="I7" s="2">
        <f ca="1">IFERROR(__xludf.DUMMYFUNCTION("""COMPUTED_VALUE"""),958)</f>
        <v>958</v>
      </c>
      <c r="J7" s="2">
        <f ca="1">IFERROR(__xludf.DUMMYFUNCTION("""COMPUTED_VALUE"""),958)</f>
        <v>958</v>
      </c>
      <c r="K7" s="2">
        <f ca="1">IFERROR(__xludf.DUMMYFUNCTION("""COMPUTED_VALUE"""),958)</f>
        <v>958</v>
      </c>
      <c r="L7" s="2">
        <f ca="1">IFERROR(__xludf.DUMMYFUNCTION("""COMPUTED_VALUE"""),958)</f>
        <v>958</v>
      </c>
      <c r="M7" s="2">
        <f ca="1">IFERROR(__xludf.DUMMYFUNCTION("""COMPUTED_VALUE"""),958)</f>
        <v>958</v>
      </c>
      <c r="N7" s="2">
        <f ca="1">IFERROR(__xludf.DUMMYFUNCTION("""COMPUTED_VALUE"""),958)</f>
        <v>958</v>
      </c>
      <c r="O7" s="2">
        <f ca="1">IFERROR(__xludf.DUMMYFUNCTION("""COMPUTED_VALUE"""),958)</f>
        <v>958</v>
      </c>
      <c r="P7" s="2">
        <f ca="1">IFERROR(__xludf.DUMMYFUNCTION("""COMPUTED_VALUE"""),958)</f>
        <v>958</v>
      </c>
      <c r="Q7" s="2">
        <f ca="1">IFERROR(__xludf.DUMMYFUNCTION("""COMPUTED_VALUE"""),958)</f>
        <v>958</v>
      </c>
      <c r="R7" s="2">
        <f ca="1">IFERROR(__xludf.DUMMYFUNCTION("""COMPUTED_VALUE"""),958)</f>
        <v>958</v>
      </c>
      <c r="S7" s="2">
        <f ca="1">IFERROR(__xludf.DUMMYFUNCTION("""COMPUTED_VALUE"""),958)</f>
        <v>958</v>
      </c>
      <c r="T7" s="2">
        <f ca="1">IFERROR(__xludf.DUMMYFUNCTION("""COMPUTED_VALUE"""),958)</f>
        <v>958</v>
      </c>
      <c r="U7" s="2">
        <f ca="1">IFERROR(__xludf.DUMMYFUNCTION("""COMPUTED_VALUE"""),958)</f>
        <v>958</v>
      </c>
      <c r="V7" s="2">
        <f ca="1">IFERROR(__xludf.DUMMYFUNCTION("""COMPUTED_VALUE"""),958)</f>
        <v>958</v>
      </c>
      <c r="W7" s="2">
        <f ca="1">IFERROR(__xludf.DUMMYFUNCTION("""COMPUTED_VALUE"""),958)</f>
        <v>958</v>
      </c>
      <c r="X7" s="2">
        <f ca="1">IFERROR(__xludf.DUMMYFUNCTION("""COMPUTED_VALUE"""),958)</f>
        <v>958</v>
      </c>
      <c r="Y7" s="2">
        <f ca="1">IFERROR(__xludf.DUMMYFUNCTION("""COMPUTED_VALUE"""),958)</f>
        <v>958</v>
      </c>
      <c r="Z7" s="1"/>
    </row>
    <row r="8" spans="1:26" x14ac:dyDescent="0.2">
      <c r="A8" s="1" t="str">
        <f ca="1">IFERROR(__xludf.DUMMYFUNCTION("""COMPUTED_VALUE"""),"Seguro - Compass")</f>
        <v>Seguro - Compass</v>
      </c>
      <c r="B8" s="2">
        <f ca="1">IFERROR(__xludf.DUMMYFUNCTION("""COMPUTED_VALUE"""),616.62)</f>
        <v>616.62</v>
      </c>
      <c r="C8" s="2">
        <f ca="1">IFERROR(__xludf.DUMMYFUNCTION("""COMPUTED_VALUE"""),616.62)</f>
        <v>616.62</v>
      </c>
      <c r="D8" s="2">
        <f ca="1">IFERROR(__xludf.DUMMYFUNCTION("""COMPUTED_VALUE"""),616.62)</f>
        <v>616.62</v>
      </c>
      <c r="E8" s="2">
        <f ca="1">IFERROR(__xludf.DUMMYFUNCTION("""COMPUTED_VALUE"""),616.62)</f>
        <v>616.62</v>
      </c>
      <c r="F8" s="2">
        <f ca="1">IFERROR(__xludf.DUMMYFUNCTION("""COMPUTED_VALUE"""),616.62)</f>
        <v>616.62</v>
      </c>
      <c r="G8" s="2">
        <f ca="1">IFERROR(__xludf.DUMMYFUNCTION("""COMPUTED_VALUE"""),616.62)</f>
        <v>616.62</v>
      </c>
      <c r="H8" s="2">
        <f ca="1">IFERROR(__xludf.DUMMYFUNCTION("""COMPUTED_VALUE"""),616.62)</f>
        <v>616.62</v>
      </c>
      <c r="I8" s="2">
        <f ca="1">IFERROR(__xludf.DUMMYFUNCTION("""COMPUTED_VALUE"""),265.88)</f>
        <v>265.88</v>
      </c>
      <c r="J8" s="2">
        <f ca="1">IFERROR(__xludf.DUMMYFUNCTION("""COMPUTED_VALUE"""),265.88)</f>
        <v>265.88</v>
      </c>
      <c r="K8" s="2">
        <f ca="1">IFERROR(__xludf.DUMMYFUNCTION("""COMPUTED_VALUE"""),265.88)</f>
        <v>265.88</v>
      </c>
      <c r="L8" s="2">
        <f ca="1">IFERROR(__xludf.DUMMYFUNCTION("""COMPUTED_VALUE"""),265.88)</f>
        <v>265.88</v>
      </c>
      <c r="M8" s="2">
        <f ca="1">IFERROR(__xludf.DUMMYFUNCTION("""COMPUTED_VALUE"""),265.88)</f>
        <v>265.88</v>
      </c>
      <c r="N8" s="2">
        <f ca="1">IFERROR(__xludf.DUMMYFUNCTION("""COMPUTED_VALUE"""),265.88)</f>
        <v>265.88</v>
      </c>
      <c r="O8" s="2">
        <f ca="1">IFERROR(__xludf.DUMMYFUNCTION("""COMPUTED_VALUE"""),265.88)</f>
        <v>265.88</v>
      </c>
      <c r="P8" s="2">
        <f ca="1">IFERROR(__xludf.DUMMYFUNCTION("""COMPUTED_VALUE"""),265.88)</f>
        <v>265.88</v>
      </c>
      <c r="Q8" s="2">
        <f ca="1">IFERROR(__xludf.DUMMYFUNCTION("""COMPUTED_VALUE"""),265.88)</f>
        <v>265.88</v>
      </c>
      <c r="R8" s="2">
        <f ca="1">IFERROR(__xludf.DUMMYFUNCTION("""COMPUTED_VALUE"""),265.88)</f>
        <v>265.88</v>
      </c>
      <c r="S8" s="2">
        <f ca="1">IFERROR(__xludf.DUMMYFUNCTION("""COMPUTED_VALUE"""),265.88)</f>
        <v>265.88</v>
      </c>
      <c r="T8" s="2">
        <f ca="1">IFERROR(__xludf.DUMMYFUNCTION("""COMPUTED_VALUE"""),265.88)</f>
        <v>265.88</v>
      </c>
      <c r="U8" s="2">
        <f ca="1">IFERROR(__xludf.DUMMYFUNCTION("""COMPUTED_VALUE"""),265.88)</f>
        <v>265.88</v>
      </c>
      <c r="V8" s="2">
        <f ca="1">IFERROR(__xludf.DUMMYFUNCTION("""COMPUTED_VALUE"""),265.88)</f>
        <v>265.88</v>
      </c>
      <c r="W8" s="2">
        <f ca="1">IFERROR(__xludf.DUMMYFUNCTION("""COMPUTED_VALUE"""),265.88)</f>
        <v>265.88</v>
      </c>
      <c r="X8" s="2">
        <f ca="1">IFERROR(__xludf.DUMMYFUNCTION("""COMPUTED_VALUE"""),265.88)</f>
        <v>265.88</v>
      </c>
      <c r="Y8" s="2">
        <f ca="1">IFERROR(__xludf.DUMMYFUNCTION("""COMPUTED_VALUE"""),265.88)</f>
        <v>265.88</v>
      </c>
      <c r="Z8" s="1"/>
    </row>
    <row r="9" spans="1:26" x14ac:dyDescent="0.2">
      <c r="A9" s="1" t="str">
        <f ca="1">IFERROR(__xludf.DUMMYFUNCTION("""COMPUTED_VALUE"""),"Seguro - Ka")</f>
        <v>Seguro - Ka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2">
        <f ca="1">IFERROR(__xludf.DUMMYFUNCTION("""COMPUTED_VALUE"""),200.99)</f>
        <v>200.99</v>
      </c>
      <c r="N9" s="2">
        <f ca="1">IFERROR(__xludf.DUMMYFUNCTION("""COMPUTED_VALUE"""),200.99)</f>
        <v>200.99</v>
      </c>
      <c r="O9" s="2">
        <f ca="1">IFERROR(__xludf.DUMMYFUNCTION("""COMPUTED_VALUE"""),200.99)</f>
        <v>200.99</v>
      </c>
      <c r="P9" s="2">
        <f ca="1">IFERROR(__xludf.DUMMYFUNCTION("""COMPUTED_VALUE"""),200.99)</f>
        <v>200.99</v>
      </c>
      <c r="Q9" s="2">
        <f ca="1">IFERROR(__xludf.DUMMYFUNCTION("""COMPUTED_VALUE"""),200.99)</f>
        <v>200.99</v>
      </c>
      <c r="R9" s="2">
        <f ca="1">IFERROR(__xludf.DUMMYFUNCTION("""COMPUTED_VALUE"""),200.99)</f>
        <v>200.99</v>
      </c>
      <c r="S9" s="2">
        <f ca="1">IFERROR(__xludf.DUMMYFUNCTION("""COMPUTED_VALUE"""),200.99)</f>
        <v>200.99</v>
      </c>
      <c r="T9" s="2">
        <f ca="1">IFERROR(__xludf.DUMMYFUNCTION("""COMPUTED_VALUE"""),200.99)</f>
        <v>200.99</v>
      </c>
      <c r="U9" s="2">
        <f ca="1">IFERROR(__xludf.DUMMYFUNCTION("""COMPUTED_VALUE"""),200.99)</f>
        <v>200.99</v>
      </c>
      <c r="V9" s="2">
        <f ca="1">IFERROR(__xludf.DUMMYFUNCTION("""COMPUTED_VALUE"""),200.99)</f>
        <v>200.99</v>
      </c>
      <c r="W9" s="2">
        <f ca="1">IFERROR(__xludf.DUMMYFUNCTION("""COMPUTED_VALUE"""),200.99)</f>
        <v>200.99</v>
      </c>
      <c r="X9" s="2">
        <f ca="1">IFERROR(__xludf.DUMMYFUNCTION("""COMPUTED_VALUE"""),200.99)</f>
        <v>200.99</v>
      </c>
      <c r="Y9" s="2">
        <f ca="1">IFERROR(__xludf.DUMMYFUNCTION("""COMPUTED_VALUE"""),200.99)</f>
        <v>200.99</v>
      </c>
      <c r="Z9" s="1"/>
    </row>
    <row r="10" spans="1:26" x14ac:dyDescent="0.2">
      <c r="A10" s="1" t="str">
        <f ca="1">IFERROR(__xludf.DUMMYFUNCTION("""COMPUTED_VALUE"""),"Faculdade mãe")</f>
        <v>Faculdade mãe</v>
      </c>
      <c r="B10" s="2">
        <f ca="1">IFERROR(__xludf.DUMMYFUNCTION("""COMPUTED_VALUE"""),197.43)</f>
        <v>197.43</v>
      </c>
      <c r="C10" s="2">
        <f ca="1">IFERROR(__xludf.DUMMYFUNCTION("""COMPUTED_VALUE"""),225.53)</f>
        <v>225.53</v>
      </c>
      <c r="D10" s="2">
        <f ca="1">IFERROR(__xludf.DUMMYFUNCTION("""COMPUTED_VALUE"""),225.53)</f>
        <v>225.53</v>
      </c>
      <c r="E10" s="2">
        <f ca="1">IFERROR(__xludf.DUMMYFUNCTION("""COMPUTED_VALUE"""),225.53)</f>
        <v>225.53</v>
      </c>
      <c r="F10" s="2">
        <f ca="1">IFERROR(__xludf.DUMMYFUNCTION("""COMPUTED_VALUE"""),225.53)</f>
        <v>225.53</v>
      </c>
      <c r="G10" s="2">
        <f ca="1">IFERROR(__xludf.DUMMYFUNCTION("""COMPUTED_VALUE"""),225.53)</f>
        <v>225.53</v>
      </c>
      <c r="H10" s="2">
        <f ca="1">IFERROR(__xludf.DUMMYFUNCTION("""COMPUTED_VALUE"""),225.53)</f>
        <v>225.53</v>
      </c>
      <c r="I10" s="2">
        <f ca="1">IFERROR(__xludf.DUMMYFUNCTION("""COMPUTED_VALUE"""),225.53)</f>
        <v>225.53</v>
      </c>
      <c r="J10" s="2">
        <f ca="1">IFERROR(__xludf.DUMMYFUNCTION("""COMPUTED_VALUE"""),225.53)</f>
        <v>225.53</v>
      </c>
      <c r="K10" s="2">
        <f ca="1">IFERROR(__xludf.DUMMYFUNCTION("""COMPUTED_VALUE"""),225.53)</f>
        <v>225.53</v>
      </c>
      <c r="L10" s="2">
        <f ca="1">IFERROR(__xludf.DUMMYFUNCTION("""COMPUTED_VALUE"""),225.53)</f>
        <v>225.53</v>
      </c>
      <c r="M10" s="2">
        <f ca="1">IFERROR(__xludf.DUMMYFUNCTION("""COMPUTED_VALUE"""),225.53)</f>
        <v>225.53</v>
      </c>
      <c r="N10" s="2">
        <f ca="1">IFERROR(__xludf.DUMMYFUNCTION("""COMPUTED_VALUE"""),225.53)</f>
        <v>225.53</v>
      </c>
      <c r="O10" s="2">
        <f ca="1">IFERROR(__xludf.DUMMYFUNCTION("""COMPUTED_VALUE"""),225.53)</f>
        <v>225.53</v>
      </c>
      <c r="P10" s="2">
        <f ca="1">IFERROR(__xludf.DUMMYFUNCTION("""COMPUTED_VALUE"""),225.53)</f>
        <v>225.53</v>
      </c>
      <c r="Q10" s="2">
        <f ca="1">IFERROR(__xludf.DUMMYFUNCTION("""COMPUTED_VALUE"""),225.53)</f>
        <v>225.53</v>
      </c>
      <c r="R10" s="2">
        <f ca="1">IFERROR(__xludf.DUMMYFUNCTION("""COMPUTED_VALUE"""),225.53)</f>
        <v>225.53</v>
      </c>
      <c r="S10" s="2">
        <f ca="1">IFERROR(__xludf.DUMMYFUNCTION("""COMPUTED_VALUE"""),225.53)</f>
        <v>225.53</v>
      </c>
      <c r="T10" s="2">
        <f ca="1">IFERROR(__xludf.DUMMYFUNCTION("""COMPUTED_VALUE"""),225.53)</f>
        <v>225.53</v>
      </c>
      <c r="U10" s="2">
        <f ca="1">IFERROR(__xludf.DUMMYFUNCTION("""COMPUTED_VALUE"""),225.53)</f>
        <v>225.53</v>
      </c>
      <c r="V10" s="2">
        <f ca="1">IFERROR(__xludf.DUMMYFUNCTION("""COMPUTED_VALUE"""),225.53)</f>
        <v>225.53</v>
      </c>
      <c r="W10" s="2">
        <f ca="1">IFERROR(__xludf.DUMMYFUNCTION("""COMPUTED_VALUE"""),225.53)</f>
        <v>225.53</v>
      </c>
      <c r="X10" s="2">
        <f ca="1">IFERROR(__xludf.DUMMYFUNCTION("""COMPUTED_VALUE"""),225.53)</f>
        <v>225.53</v>
      </c>
      <c r="Y10" s="2">
        <f ca="1">IFERROR(__xludf.DUMMYFUNCTION("""COMPUTED_VALUE"""),225.53)</f>
        <v>225.53</v>
      </c>
      <c r="Z10" s="1"/>
    </row>
    <row r="11" spans="1:26" x14ac:dyDescent="0.2">
      <c r="A11" s="1" t="str">
        <f ca="1">IFERROR(__xludf.DUMMYFUNCTION("""COMPUTED_VALUE"""),"Outros")</f>
        <v>Outros</v>
      </c>
      <c r="B11" s="2">
        <f ca="1">IFERROR(__xludf.DUMMYFUNCTION("""COMPUTED_VALUE"""),506.205)</f>
        <v>506.20499999999998</v>
      </c>
      <c r="C11" s="2">
        <f ca="1">IFERROR(__xludf.DUMMYFUNCTION("""COMPUTED_VALUE"""),509.015)</f>
        <v>509.01499999999999</v>
      </c>
      <c r="D11" s="2">
        <f ca="1">IFERROR(__xludf.DUMMYFUNCTION("""COMPUTED_VALUE"""),509.015)</f>
        <v>509.01499999999999</v>
      </c>
      <c r="E11" s="2">
        <f ca="1">IFERROR(__xludf.DUMMYFUNCTION("""COMPUTED_VALUE"""),509.015)</f>
        <v>509.01499999999999</v>
      </c>
      <c r="F11" s="2">
        <f ca="1">IFERROR(__xludf.DUMMYFUNCTION("""COMPUTED_VALUE"""),509.015)</f>
        <v>509.01499999999999</v>
      </c>
      <c r="G11" s="2">
        <f ca="1">IFERROR(__xludf.DUMMYFUNCTION("""COMPUTED_VALUE"""),509.015)</f>
        <v>509.01499999999999</v>
      </c>
      <c r="H11" s="2">
        <f ca="1">IFERROR(__xludf.DUMMYFUNCTION("""COMPUTED_VALUE"""),509.015)</f>
        <v>509.01499999999999</v>
      </c>
      <c r="I11" s="2">
        <f ca="1">IFERROR(__xludf.DUMMYFUNCTION("""COMPUTED_VALUE"""),473.941)</f>
        <v>473.94099999999997</v>
      </c>
      <c r="J11" s="2">
        <f ca="1">IFERROR(__xludf.DUMMYFUNCTION("""COMPUTED_VALUE"""),473.941)</f>
        <v>473.94099999999997</v>
      </c>
      <c r="K11" s="2">
        <f ca="1">IFERROR(__xludf.DUMMYFUNCTION("""COMPUTED_VALUE"""),473.941)</f>
        <v>473.94099999999997</v>
      </c>
      <c r="L11" s="2">
        <f ca="1">IFERROR(__xludf.DUMMYFUNCTION("""COMPUTED_VALUE"""),473.941)</f>
        <v>473.94099999999997</v>
      </c>
      <c r="M11" s="2">
        <f ca="1">IFERROR(__xludf.DUMMYFUNCTION("""COMPUTED_VALUE"""),494.039999999999)</f>
        <v>494.039999999999</v>
      </c>
      <c r="N11" s="2">
        <f ca="1">IFERROR(__xludf.DUMMYFUNCTION("""COMPUTED_VALUE"""),494.039999999999)</f>
        <v>494.039999999999</v>
      </c>
      <c r="O11" s="2">
        <f ca="1">IFERROR(__xludf.DUMMYFUNCTION("""COMPUTED_VALUE"""),494.039999999999)</f>
        <v>494.039999999999</v>
      </c>
      <c r="P11" s="2">
        <f ca="1">IFERROR(__xludf.DUMMYFUNCTION("""COMPUTED_VALUE"""),494.039999999999)</f>
        <v>494.039999999999</v>
      </c>
      <c r="Q11" s="2">
        <f ca="1">IFERROR(__xludf.DUMMYFUNCTION("""COMPUTED_VALUE"""),494.039999999999)</f>
        <v>494.039999999999</v>
      </c>
      <c r="R11" s="2">
        <f ca="1">IFERROR(__xludf.DUMMYFUNCTION("""COMPUTED_VALUE"""),494.039999999999)</f>
        <v>494.039999999999</v>
      </c>
      <c r="S11" s="2">
        <f ca="1">IFERROR(__xludf.DUMMYFUNCTION("""COMPUTED_VALUE"""),494.039999999999)</f>
        <v>494.039999999999</v>
      </c>
      <c r="T11" s="2">
        <f ca="1">IFERROR(__xludf.DUMMYFUNCTION("""COMPUTED_VALUE"""),494.039999999999)</f>
        <v>494.039999999999</v>
      </c>
      <c r="U11" s="2">
        <f ca="1">IFERROR(__xludf.DUMMYFUNCTION("""COMPUTED_VALUE"""),494.039999999999)</f>
        <v>494.039999999999</v>
      </c>
      <c r="V11" s="2">
        <f ca="1">IFERROR(__xludf.DUMMYFUNCTION("""COMPUTED_VALUE"""),494.039999999999)</f>
        <v>494.039999999999</v>
      </c>
      <c r="W11" s="2">
        <f ca="1">IFERROR(__xludf.DUMMYFUNCTION("""COMPUTED_VALUE"""),494.039999999999)</f>
        <v>494.039999999999</v>
      </c>
      <c r="X11" s="2">
        <f ca="1">IFERROR(__xludf.DUMMYFUNCTION("""COMPUTED_VALUE"""),494.039999999999)</f>
        <v>494.039999999999</v>
      </c>
      <c r="Y11" s="2">
        <f ca="1">IFERROR(__xludf.DUMMYFUNCTION("""COMPUTED_VALUE"""),494.039999999999)</f>
        <v>494.039999999999</v>
      </c>
      <c r="Z11" s="1"/>
    </row>
    <row r="12" spans="1:26" x14ac:dyDescent="0.2">
      <c r="A12" s="1" t="str">
        <f ca="1">IFERROR(__xludf.DUMMYFUNCTION("""COMPUTED_VALUE"""),"Morana Cris+Kelly")</f>
        <v>Morana Cris+Kelly</v>
      </c>
      <c r="B12" s="1"/>
      <c r="C12" s="1"/>
      <c r="D12" s="1"/>
      <c r="E12" s="2">
        <f ca="1">IFERROR(__xludf.DUMMYFUNCTION("""COMPUTED_VALUE"""),59.9)</f>
        <v>59.9</v>
      </c>
      <c r="F12" s="2">
        <f ca="1">IFERROR(__xludf.DUMMYFUNCTION("""COMPUTED_VALUE"""),59.9)</f>
        <v>59.9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 t="str">
        <f ca="1">IFERROR(__xludf.DUMMYFUNCTION("""COMPUTED_VALUE"""),"Sapateira")</f>
        <v>Sapateira</v>
      </c>
      <c r="B13" s="1"/>
      <c r="C13" s="1"/>
      <c r="D13" s="1"/>
      <c r="E13" s="2">
        <f ca="1">IFERROR(__xludf.DUMMYFUNCTION("""COMPUTED_VALUE"""),64.59)</f>
        <v>64.59</v>
      </c>
      <c r="F13" s="2">
        <f ca="1">IFERROR(__xludf.DUMMYFUNCTION("""COMPUTED_VALUE"""),64.59)</f>
        <v>64.59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 t="str">
        <f ca="1">IFERROR(__xludf.DUMMYFUNCTION("""COMPUTED_VALUE"""),"Quadros Bianca")</f>
        <v>Quadros Bianca</v>
      </c>
      <c r="B14" s="1"/>
      <c r="C14" s="1"/>
      <c r="D14" s="1"/>
      <c r="E14" s="2">
        <f ca="1">IFERROR(__xludf.DUMMYFUNCTION("""COMPUTED_VALUE"""),73.3)</f>
        <v>73.3</v>
      </c>
      <c r="F14" s="2">
        <f ca="1">IFERROR(__xludf.DUMMYFUNCTION("""COMPUTED_VALUE"""),73.3)</f>
        <v>73.3</v>
      </c>
      <c r="G14" s="2">
        <f ca="1">IFERROR(__xludf.DUMMYFUNCTION("""COMPUTED_VALUE"""),73.3)</f>
        <v>73.3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 t="str">
        <f ca="1">IFERROR(__xludf.DUMMYFUNCTION("""COMPUTED_VALUE"""),"Cueca Mash")</f>
        <v>Cueca Mash</v>
      </c>
      <c r="B15" s="1"/>
      <c r="C15" s="1"/>
      <c r="D15" s="1"/>
      <c r="E15" s="2">
        <f ca="1">IFERROR(__xludf.DUMMYFUNCTION("""COMPUTED_VALUE"""),74.95)</f>
        <v>74.95</v>
      </c>
      <c r="F15" s="2">
        <f ca="1">IFERROR(__xludf.DUMMYFUNCTION("""COMPUTED_VALUE"""),74.95)</f>
        <v>74.95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 t="str">
        <f ca="1">IFERROR(__xludf.DUMMYFUNCTION("""COMPUTED_VALUE"""),"Kit Mustela")</f>
        <v>Kit Mustela</v>
      </c>
      <c r="B16" s="1"/>
      <c r="C16" s="1"/>
      <c r="D16" s="1"/>
      <c r="E16" s="2">
        <f ca="1">IFERROR(__xludf.DUMMYFUNCTION("""COMPUTED_VALUE"""),84.54)</f>
        <v>84.54</v>
      </c>
      <c r="F16" s="2">
        <f ca="1">IFERROR(__xludf.DUMMYFUNCTION("""COMPUTED_VALUE"""),84.54)</f>
        <v>84.54</v>
      </c>
      <c r="G16" s="2">
        <f ca="1">IFERROR(__xludf.DUMMYFUNCTION("""COMPUTED_VALUE"""),84.54)</f>
        <v>84.54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 t="str">
        <f ca="1">IFERROR(__xludf.DUMMYFUNCTION("""COMPUTED_VALUE"""),"Track&amp;Field")</f>
        <v>Track&amp;Field</v>
      </c>
      <c r="B17" s="1"/>
      <c r="C17" s="1"/>
      <c r="D17" s="1"/>
      <c r="E17" s="1"/>
      <c r="F17" s="1"/>
      <c r="G17" s="1"/>
      <c r="H17" s="1"/>
      <c r="I17" s="2">
        <f ca="1">IFERROR(__xludf.DUMMYFUNCTION("""COMPUTED_VALUE"""),267.78)</f>
        <v>267.77999999999997</v>
      </c>
      <c r="J17" s="2">
        <f ca="1">IFERROR(__xludf.DUMMYFUNCTION("""COMPUTED_VALUE"""),267.78)</f>
        <v>267.77999999999997</v>
      </c>
      <c r="K17" s="2">
        <f ca="1">IFERROR(__xludf.DUMMYFUNCTION("""COMPUTED_VALUE"""),267.78)</f>
        <v>267.77999999999997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 t="str">
        <f ca="1">IFERROR(__xludf.DUMMYFUNCTION("""COMPUTED_VALUE"""),"Bianca - Parto")</f>
        <v>Bianca - Parto</v>
      </c>
      <c r="B18" s="1"/>
      <c r="C18" s="1"/>
      <c r="D18" s="1"/>
      <c r="E18" s="1"/>
      <c r="F18" s="1"/>
      <c r="G18" s="2">
        <f ca="1">IFERROR(__xludf.DUMMYFUNCTION("""COMPUTED_VALUE"""),696)</f>
        <v>696</v>
      </c>
      <c r="H18" s="2">
        <f ca="1">IFERROR(__xludf.DUMMYFUNCTION("""COMPUTED_VALUE"""),696)</f>
        <v>696</v>
      </c>
      <c r="I18" s="2">
        <f ca="1">IFERROR(__xludf.DUMMYFUNCTION("""COMPUTED_VALUE"""),696)</f>
        <v>696</v>
      </c>
      <c r="J18" s="2">
        <f ca="1">IFERROR(__xludf.DUMMYFUNCTION("""COMPUTED_VALUE"""),696)</f>
        <v>696</v>
      </c>
      <c r="K18" s="2">
        <f ca="1">IFERROR(__xludf.DUMMYFUNCTION("""COMPUTED_VALUE"""),696)</f>
        <v>696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 t="str">
        <f ca="1">IFERROR(__xludf.DUMMYFUNCTION("""COMPUTED_VALUE"""),"Bianca - Vacinas")</f>
        <v>Bianca - Vacinas</v>
      </c>
      <c r="B19" s="1"/>
      <c r="C19" s="1"/>
      <c r="D19" s="1"/>
      <c r="E19" s="1"/>
      <c r="F19" s="1"/>
      <c r="G19" s="1"/>
      <c r="H19" s="1"/>
      <c r="I19" s="2">
        <f ca="1">IFERROR(__xludf.DUMMYFUNCTION("""COMPUTED_VALUE"""),1350)</f>
        <v>1350</v>
      </c>
      <c r="J19" s="2">
        <f ca="1">IFERROR(__xludf.DUMMYFUNCTION("""COMPUTED_VALUE"""),1350)</f>
        <v>1350</v>
      </c>
      <c r="K19" s="2">
        <f ca="1">IFERROR(__xludf.DUMMYFUNCTION("""COMPUTED_VALUE"""),1350)</f>
        <v>1350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1"/>
  <sheetViews>
    <sheetView workbookViewId="0"/>
  </sheetViews>
  <sheetFormatPr defaultColWidth="12.5703125" defaultRowHeight="15.75" customHeight="1" x14ac:dyDescent="0.2"/>
  <sheetData>
    <row r="1" spans="1:12" x14ac:dyDescent="0.2">
      <c r="A1" s="8" t="str">
        <f ca="1">IFERROR(__xludf.DUMMYFUNCTION("IMPORTRANGE(""https://docs.google.com/spreadsheets/d/1iYr1ABX5E5xD5hdpo7T57xV80Bd6YZfcnip7j3Ia3No/edit?gid=1176541019#gid=1176541019"",""'Current'!A1:L11"")"),"Ticker")</f>
        <v>Ticker</v>
      </c>
      <c r="B1" s="9" t="str">
        <f ca="1">IFERROR(__xludf.DUMMYFUNCTION("""COMPUTED_VALUE"""),"Amount")</f>
        <v>Amount</v>
      </c>
      <c r="C1" s="9" t="str">
        <f ca="1">IFERROR(__xludf.DUMMYFUNCTION("""COMPUTED_VALUE"""),"Average Price")</f>
        <v>Average Price</v>
      </c>
      <c r="D1" s="8" t="str">
        <f ca="1">IFERROR(__xludf.DUMMYFUNCTION("""COMPUTED_VALUE"""),"Nota
0-7")</f>
        <v>Nota
0-7</v>
      </c>
      <c r="E1" s="9" t="str">
        <f ca="1">IFERROR(__xludf.DUMMYFUNCTION("""COMPUTED_VALUE"""),"R$ Alvo
Neto")</f>
        <v>R$ Alvo
Neto</v>
      </c>
      <c r="F1" s="9" t="str">
        <f ca="1">IFERROR(__xludf.DUMMYFUNCTION("""COMPUTED_VALUE"""),"R$ Alvo
12%")</f>
        <v>R$ Alvo
12%</v>
      </c>
      <c r="G1" s="8" t="str">
        <f ca="1">IFERROR(__xludf.DUMMYFUNCTION("""COMPUTED_VALUE"""),"R$ Base
p/ PT")</f>
        <v>R$ Base
p/ PT</v>
      </c>
      <c r="H1" s="8" t="str">
        <f ca="1">IFERROR(__xludf.DUMMYFUNCTION("""COMPUTED_VALUE"""),"Última Atual.")</f>
        <v>Última Atual.</v>
      </c>
      <c r="I1" s="8" t="str">
        <f ca="1">IFERROR(__xludf.DUMMYFUNCTION("""COMPUTED_VALUE"""),"Desvio PL Proj.")</f>
        <v>Desvio PL Proj.</v>
      </c>
      <c r="J1" s="8" t="str">
        <f ca="1">IFERROR(__xludf.DUMMYFUNCTION("""COMPUTED_VALUE"""),"CAGR LCR (5A)")</f>
        <v>CAGR LCR (5A)</v>
      </c>
      <c r="K1" s="8" t="str">
        <f ca="1">IFERROR(__xludf.DUMMYFUNCTION("""COMPUTED_VALUE"""),"Div. L/
EBITDA")</f>
        <v>Div. L/
EBITDA</v>
      </c>
      <c r="L1" s="8" t="str">
        <f ca="1">IFERROR(__xludf.DUMMYFUNCTION("""COMPUTED_VALUE"""),"Div. Proj.")</f>
        <v>Div. Proj.</v>
      </c>
    </row>
    <row r="2" spans="1:12" x14ac:dyDescent="0.2">
      <c r="A2" s="8" t="str">
        <f ca="1">IFERROR(__xludf.DUMMYFUNCTION("""COMPUTED_VALUE"""),"BBAS3")</f>
        <v>BBAS3</v>
      </c>
      <c r="B2" s="8">
        <f ca="1">IFERROR(__xludf.DUMMYFUNCTION("""COMPUTED_VALUE"""),4167)</f>
        <v>4167</v>
      </c>
      <c r="C2" s="9">
        <f ca="1">IFERROR(__xludf.DUMMYFUNCTION("""COMPUTED_VALUE"""),22.45)</f>
        <v>22.45</v>
      </c>
      <c r="D2" s="8">
        <f ca="1">IFERROR(__xludf.DUMMYFUNCTION("""COMPUTED_VALUE"""),2)</f>
        <v>2</v>
      </c>
      <c r="E2" s="9">
        <f ca="1">IFERROR(__xludf.DUMMYFUNCTION("""COMPUTED_VALUE"""),18.81)</f>
        <v>18.809999999999999</v>
      </c>
      <c r="F2" s="9">
        <f ca="1">IFERROR(__xludf.DUMMYFUNCTION("""COMPUTED_VALUE"""),16.4824)</f>
        <v>16.482399999999998</v>
      </c>
      <c r="G2" s="9">
        <f ca="1">IFERROR(__xludf.DUMMYFUNCTION("""COMPUTED_VALUE"""),18.73)</f>
        <v>18.73</v>
      </c>
      <c r="H2" s="10">
        <f ca="1">IFERROR(__xludf.DUMMYFUNCTION("""COMPUTED_VALUE"""),46004)</f>
        <v>46004</v>
      </c>
      <c r="I2" s="11">
        <f ca="1">IFERROR(__xludf.DUMMYFUNCTION("""COMPUTED_VALUE"""),0.125351620744912)</f>
        <v>0.12535162074491199</v>
      </c>
      <c r="J2" s="11">
        <f ca="1">IFERROR(__xludf.DUMMYFUNCTION("""COMPUTED_VALUE"""),0.132)</f>
        <v>0.13200000000000001</v>
      </c>
      <c r="K2" s="8">
        <f ca="1">IFERROR(__xludf.DUMMYFUNCTION("""COMPUTED_VALUE"""),0)</f>
        <v>0</v>
      </c>
      <c r="L2" s="9">
        <f ca="1">IFERROR(__xludf.DUMMYFUNCTION("""COMPUTED_VALUE"""),0.903884156070868)</f>
        <v>0.90388415607086803</v>
      </c>
    </row>
    <row r="3" spans="1:12" x14ac:dyDescent="0.2">
      <c r="A3" s="8" t="str">
        <f ca="1">IFERROR(__xludf.DUMMYFUNCTION("""COMPUTED_VALUE"""),"BBSE3")</f>
        <v>BBSE3</v>
      </c>
      <c r="B3" s="8">
        <f ca="1">IFERROR(__xludf.DUMMYFUNCTION("""COMPUTED_VALUE"""),3886)</f>
        <v>3886</v>
      </c>
      <c r="C3" s="9">
        <f ca="1">IFERROR(__xludf.DUMMYFUNCTION("""COMPUTED_VALUE"""),34.1)</f>
        <v>34.1</v>
      </c>
      <c r="D3" s="8">
        <f ca="1">IFERROR(__xludf.DUMMYFUNCTION("""COMPUTED_VALUE"""),6)</f>
        <v>6</v>
      </c>
      <c r="E3" s="9">
        <f ca="1">IFERROR(__xludf.DUMMYFUNCTION("""COMPUTED_VALUE"""),33.67)</f>
        <v>33.67</v>
      </c>
      <c r="F3" s="9" t="str">
        <f ca="1">IFERROR(__xludf.DUMMYFUNCTION("""COMPUTED_VALUE"""),"")</f>
        <v/>
      </c>
      <c r="G3" s="9">
        <f ca="1">IFERROR(__xludf.DUMMYFUNCTION("""COMPUTED_VALUE"""),43.0658138943852)</f>
        <v>43.065813894385201</v>
      </c>
      <c r="H3" s="10">
        <f ca="1">IFERROR(__xludf.DUMMYFUNCTION("""COMPUTED_VALUE"""),46004)</f>
        <v>46004</v>
      </c>
      <c r="I3" s="11">
        <f ca="1">IFERROR(__xludf.DUMMYFUNCTION("""COMPUTED_VALUE"""),-0.350801437739575)</f>
        <v>-0.35080143773957501</v>
      </c>
      <c r="J3" s="11">
        <f ca="1">IFERROR(__xludf.DUMMYFUNCTION("""COMPUTED_VALUE"""),0.183)</f>
        <v>0.183</v>
      </c>
      <c r="K3" s="8">
        <f ca="1">IFERROR(__xludf.DUMMYFUNCTION("""COMPUTED_VALUE"""),0)</f>
        <v>0</v>
      </c>
      <c r="L3" s="9">
        <f ca="1">IFERROR(__xludf.DUMMYFUNCTION("""COMPUTED_VALUE"""),3.98925433969042)</f>
        <v>3.9892543396904201</v>
      </c>
    </row>
    <row r="4" spans="1:12" x14ac:dyDescent="0.2">
      <c r="A4" s="8" t="str">
        <f ca="1">IFERROR(__xludf.DUMMYFUNCTION("""COMPUTED_VALUE"""),"CEBR6")</f>
        <v>CEBR6</v>
      </c>
      <c r="B4" s="8">
        <f ca="1">IFERROR(__xludf.DUMMYFUNCTION("""COMPUTED_VALUE"""),645)</f>
        <v>645</v>
      </c>
      <c r="C4" s="9">
        <f ca="1">IFERROR(__xludf.DUMMYFUNCTION("""COMPUTED_VALUE"""),19.99)</f>
        <v>19.989999999999998</v>
      </c>
      <c r="D4" s="8">
        <f ca="1">IFERROR(__xludf.DUMMYFUNCTION("""COMPUTED_VALUE"""),2)</f>
        <v>2</v>
      </c>
      <c r="E4" s="9">
        <f ca="1">IFERROR(__xludf.DUMMYFUNCTION("""COMPUTED_VALUE"""),19.83)</f>
        <v>19.829999999999998</v>
      </c>
      <c r="F4" s="9">
        <f ca="1">IFERROR(__xludf.DUMMYFUNCTION("""COMPUTED_VALUE"""),23.291182264643)</f>
        <v>23.291182264642998</v>
      </c>
      <c r="G4" s="9">
        <f ca="1">IFERROR(__xludf.DUMMYFUNCTION("""COMPUTED_VALUE"""),26.467252573458)</f>
        <v>26.467252573458001</v>
      </c>
      <c r="H4" s="10">
        <f ca="1">IFERROR(__xludf.DUMMYFUNCTION("""COMPUTED_VALUE"""),46004)</f>
        <v>46004</v>
      </c>
      <c r="I4" s="11">
        <f ca="1">IFERROR(__xludf.DUMMYFUNCTION("""COMPUTED_VALUE"""),0.447127780738485)</f>
        <v>0.44712778073848503</v>
      </c>
      <c r="J4" s="11">
        <f ca="1">IFERROR(__xludf.DUMMYFUNCTION("""COMPUTED_VALUE"""),0.073)</f>
        <v>7.2999999999999995E-2</v>
      </c>
      <c r="K4" s="8">
        <f ca="1">IFERROR(__xludf.DUMMYFUNCTION("""COMPUTED_VALUE"""),-3.17)</f>
        <v>-3.17</v>
      </c>
      <c r="L4" s="9">
        <f ca="1">IFERROR(__xludf.DUMMYFUNCTION("""COMPUTED_VALUE"""),2.11738020587664)</f>
        <v>2.11738020587664</v>
      </c>
    </row>
    <row r="5" spans="1:12" x14ac:dyDescent="0.2">
      <c r="A5" s="8" t="str">
        <f ca="1">IFERROR(__xludf.DUMMYFUNCTION("""COMPUTED_VALUE"""),"CXSE3")</f>
        <v>CXSE3</v>
      </c>
      <c r="B5" s="8">
        <f ca="1">IFERROR(__xludf.DUMMYFUNCTION("""COMPUTED_VALUE"""),1746)</f>
        <v>1746</v>
      </c>
      <c r="C5" s="9">
        <f ca="1">IFERROR(__xludf.DUMMYFUNCTION("""COMPUTED_VALUE"""),13.07)</f>
        <v>13.07</v>
      </c>
      <c r="D5" s="8">
        <f ca="1">IFERROR(__xludf.DUMMYFUNCTION("""COMPUTED_VALUE"""),4)</f>
        <v>4</v>
      </c>
      <c r="E5" s="9">
        <f ca="1">IFERROR(__xludf.DUMMYFUNCTION("""COMPUTED_VALUE"""),14.8)</f>
        <v>14.8</v>
      </c>
      <c r="F5" s="9">
        <f ca="1">IFERROR(__xludf.DUMMYFUNCTION("""COMPUTED_VALUE"""),14.5199999999999)</f>
        <v>14.5199999999999</v>
      </c>
      <c r="G5" s="9">
        <f ca="1">IFERROR(__xludf.DUMMYFUNCTION("""COMPUTED_VALUE"""),16.4999999999999)</f>
        <v>16.499999999999901</v>
      </c>
      <c r="H5" s="10">
        <f ca="1">IFERROR(__xludf.DUMMYFUNCTION("""COMPUTED_VALUE"""),46004)</f>
        <v>46004</v>
      </c>
      <c r="I5" s="11">
        <f ca="1">IFERROR(__xludf.DUMMYFUNCTION("""COMPUTED_VALUE"""),-0.0987903225806451)</f>
        <v>-9.8790322580645101E-2</v>
      </c>
      <c r="J5" s="11">
        <f ca="1">IFERROR(__xludf.DUMMYFUNCTION("""COMPUTED_VALUE"""),0.197)</f>
        <v>0.19700000000000001</v>
      </c>
      <c r="K5" s="8">
        <f ca="1">IFERROR(__xludf.DUMMYFUNCTION("""COMPUTED_VALUE"""),0)</f>
        <v>0</v>
      </c>
      <c r="L5" s="9">
        <f ca="1">IFERROR(__xludf.DUMMYFUNCTION("""COMPUTED_VALUE"""),1.31999999999999)</f>
        <v>1.3199999999999901</v>
      </c>
    </row>
    <row r="6" spans="1:12" x14ac:dyDescent="0.2">
      <c r="A6" s="8" t="str">
        <f ca="1">IFERROR(__xludf.DUMMYFUNCTION("""COMPUTED_VALUE"""),"LEVE3")</f>
        <v>LEVE3</v>
      </c>
      <c r="B6" s="8">
        <f ca="1">IFERROR(__xludf.DUMMYFUNCTION("""COMPUTED_VALUE"""),649)</f>
        <v>649</v>
      </c>
      <c r="C6" s="9">
        <f ca="1">IFERROR(__xludf.DUMMYFUNCTION("""COMPUTED_VALUE"""),31.17)</f>
        <v>31.17</v>
      </c>
      <c r="D6" s="8">
        <f ca="1">IFERROR(__xludf.DUMMYFUNCTION("""COMPUTED_VALUE"""),4)</f>
        <v>4</v>
      </c>
      <c r="E6" s="9">
        <f ca="1">IFERROR(__xludf.DUMMYFUNCTION("""COMPUTED_VALUE"""),32.69)</f>
        <v>32.69</v>
      </c>
      <c r="F6" s="9">
        <f ca="1">IFERROR(__xludf.DUMMYFUNCTION("""COMPUTED_VALUE"""),32.7064534930905)</f>
        <v>32.7064534930905</v>
      </c>
      <c r="G6" s="9">
        <f ca="1">IFERROR(__xludf.DUMMYFUNCTION("""COMPUTED_VALUE"""),37.1664244239665)</f>
        <v>37.166424423966497</v>
      </c>
      <c r="H6" s="10">
        <f ca="1">IFERROR(__xludf.DUMMYFUNCTION("""COMPUTED_VALUE"""),46004)</f>
        <v>46004</v>
      </c>
      <c r="I6" s="11">
        <f ca="1">IFERROR(__xludf.DUMMYFUNCTION("""COMPUTED_VALUE"""),-0.330112546082949)</f>
        <v>-0.33011254608294899</v>
      </c>
      <c r="J6" s="11">
        <f ca="1">IFERROR(__xludf.DUMMYFUNCTION("""COMPUTED_VALUE"""),0.345)</f>
        <v>0.34499999999999997</v>
      </c>
      <c r="K6" s="8">
        <f ca="1">IFERROR(__xludf.DUMMYFUNCTION("""COMPUTED_VALUE"""),0.87)</f>
        <v>0.87</v>
      </c>
      <c r="L6" s="9">
        <f ca="1">IFERROR(__xludf.DUMMYFUNCTION("""COMPUTED_VALUE"""),2.97331395391732)</f>
        <v>2.9733139539173199</v>
      </c>
    </row>
    <row r="7" spans="1:12" x14ac:dyDescent="0.2">
      <c r="A7" s="8" t="str">
        <f ca="1">IFERROR(__xludf.DUMMYFUNCTION("""COMPUTED_VALUE"""),"PETR4")</f>
        <v>PETR4</v>
      </c>
      <c r="B7" s="8">
        <f ca="1">IFERROR(__xludf.DUMMYFUNCTION("""COMPUTED_VALUE"""),517)</f>
        <v>517</v>
      </c>
      <c r="C7" s="9">
        <f ca="1">IFERROR(__xludf.DUMMYFUNCTION("""COMPUTED_VALUE"""),31.22)</f>
        <v>31.22</v>
      </c>
      <c r="D7" s="8">
        <f ca="1">IFERROR(__xludf.DUMMYFUNCTION("""COMPUTED_VALUE"""),4)</f>
        <v>4</v>
      </c>
      <c r="E7" s="8"/>
      <c r="F7" s="9" t="str">
        <f ca="1">IFERROR(__xludf.DUMMYFUNCTION("""COMPUTED_VALUE"""),"")</f>
        <v/>
      </c>
      <c r="G7" s="9">
        <f ca="1">IFERROR(__xludf.DUMMYFUNCTION("""COMPUTED_VALUE"""),38)</f>
        <v>38</v>
      </c>
      <c r="H7" s="10">
        <f ca="1">IFERROR(__xludf.DUMMYFUNCTION("""COMPUTED_VALUE"""),46004)</f>
        <v>46004</v>
      </c>
      <c r="I7" s="11">
        <f ca="1">IFERROR(__xludf.DUMMYFUNCTION("""COMPUTED_VALUE"""),-0.270331419498225)</f>
        <v>-0.27033141949822498</v>
      </c>
      <c r="J7" s="11">
        <f ca="1">IFERROR(__xludf.DUMMYFUNCTION("""COMPUTED_VALUE"""),0.656)</f>
        <v>0.65600000000000003</v>
      </c>
      <c r="K7" s="8">
        <f ca="1">IFERROR(__xludf.DUMMYFUNCTION("""COMPUTED_VALUE"""),1.53)</f>
        <v>1.53</v>
      </c>
      <c r="L7" s="9">
        <f ca="1">IFERROR(__xludf.DUMMYFUNCTION("""COMPUTED_VALUE"""),3.14227944290604)</f>
        <v>3.1422794429060401</v>
      </c>
    </row>
    <row r="8" spans="1:12" x14ac:dyDescent="0.2">
      <c r="A8" s="8" t="str">
        <f ca="1">IFERROR(__xludf.DUMMYFUNCTION("""COMPUTED_VALUE"""),"RANI3")</f>
        <v>RANI3</v>
      </c>
      <c r="B8" s="8">
        <f ca="1">IFERROR(__xludf.DUMMYFUNCTION("""COMPUTED_VALUE"""),1460)</f>
        <v>1460</v>
      </c>
      <c r="C8" s="9">
        <f ca="1">IFERROR(__xludf.DUMMYFUNCTION("""COMPUTED_VALUE"""),7.09)</f>
        <v>7.09</v>
      </c>
      <c r="D8" s="8">
        <f ca="1">IFERROR(__xludf.DUMMYFUNCTION("""COMPUTED_VALUE"""),4)</f>
        <v>4</v>
      </c>
      <c r="E8" s="9">
        <f ca="1">IFERROR(__xludf.DUMMYFUNCTION("""COMPUTED_VALUE"""),7)</f>
        <v>7</v>
      </c>
      <c r="F8" s="9" t="str">
        <f ca="1">IFERROR(__xludf.DUMMYFUNCTION("""COMPUTED_VALUE"""),"")</f>
        <v/>
      </c>
      <c r="G8" s="9">
        <f ca="1">IFERROR(__xludf.DUMMYFUNCTION("""COMPUTED_VALUE"""),10)</f>
        <v>10</v>
      </c>
      <c r="H8" s="10">
        <f ca="1">IFERROR(__xludf.DUMMYFUNCTION("""COMPUTED_VALUE"""),46004)</f>
        <v>46004</v>
      </c>
      <c r="I8" s="11">
        <f ca="1">IFERROR(__xludf.DUMMYFUNCTION("""COMPUTED_VALUE"""),-0.242633593336009)</f>
        <v>-0.24263359333600901</v>
      </c>
      <c r="J8" s="11">
        <f ca="1">IFERROR(__xludf.DUMMYFUNCTION("""COMPUTED_VALUE"""),0.33)</f>
        <v>0.33</v>
      </c>
      <c r="K8" s="8">
        <f ca="1">IFERROR(__xludf.DUMMYFUNCTION("""COMPUTED_VALUE"""),2.06)</f>
        <v>2.06</v>
      </c>
      <c r="L8" s="9">
        <f ca="1">IFERROR(__xludf.DUMMYFUNCTION("""COMPUTED_VALUE"""),0.778804579054429)</f>
        <v>0.77880457905442901</v>
      </c>
    </row>
    <row r="9" spans="1:12" x14ac:dyDescent="0.2">
      <c r="A9" s="8" t="str">
        <f ca="1">IFERROR(__xludf.DUMMYFUNCTION("""COMPUTED_VALUE"""),"VULC3")</f>
        <v>VULC3</v>
      </c>
      <c r="B9" s="8">
        <f ca="1">IFERROR(__xludf.DUMMYFUNCTION("""COMPUTED_VALUE"""),842)</f>
        <v>842</v>
      </c>
      <c r="C9" s="9">
        <f ca="1">IFERROR(__xludf.DUMMYFUNCTION("""COMPUTED_VALUE"""),19.94)</f>
        <v>19.940000000000001</v>
      </c>
      <c r="D9" s="8">
        <f ca="1">IFERROR(__xludf.DUMMYFUNCTION("""COMPUTED_VALUE"""),6)</f>
        <v>6</v>
      </c>
      <c r="E9" s="8"/>
      <c r="F9" s="9" t="str">
        <f ca="1">IFERROR(__xludf.DUMMYFUNCTION("""COMPUTED_VALUE"""),"")</f>
        <v/>
      </c>
      <c r="G9" s="9">
        <f ca="1">IFERROR(__xludf.DUMMYFUNCTION("""COMPUTED_VALUE"""),23.9150897234855)</f>
        <v>23.915089723485501</v>
      </c>
      <c r="H9" s="10">
        <f ca="1">IFERROR(__xludf.DUMMYFUNCTION("""COMPUTED_VALUE"""),46004)</f>
        <v>46004</v>
      </c>
      <c r="I9" s="11">
        <f ca="1">IFERROR(__xludf.DUMMYFUNCTION("""COMPUTED_VALUE"""),-0.0257585701403508)</f>
        <v>-2.5758570140350798E-2</v>
      </c>
      <c r="J9" s="11">
        <f ca="1">IFERROR(__xludf.DUMMYFUNCTION("""COMPUTED_VALUE"""),0.795)</f>
        <v>0.79500000000000004</v>
      </c>
      <c r="K9" s="8">
        <f ca="1">IFERROR(__xludf.DUMMYFUNCTION("""COMPUTED_VALUE"""),0.02)</f>
        <v>0.02</v>
      </c>
      <c r="L9" s="9">
        <f ca="1">IFERROR(__xludf.DUMMYFUNCTION("""COMPUTED_VALUE"""),2.03278262649627)</f>
        <v>2.0327826264962701</v>
      </c>
    </row>
    <row r="10" spans="1:12" x14ac:dyDescent="0.2">
      <c r="A10" s="8" t="str">
        <f ca="1">IFERROR(__xludf.DUMMYFUNCTION("""COMPUTED_VALUE"""),"CGAS5")</f>
        <v>CGAS5</v>
      </c>
      <c r="B10" s="8">
        <f ca="1">IFERROR(__xludf.DUMMYFUNCTION("""COMPUTED_VALUE"""),40)</f>
        <v>40</v>
      </c>
      <c r="C10" s="9">
        <f ca="1">IFERROR(__xludf.DUMMYFUNCTION("""COMPUTED_VALUE"""),126.72)</f>
        <v>126.72</v>
      </c>
      <c r="D10" s="8">
        <f ca="1">IFERROR(__xludf.DUMMYFUNCTION("""COMPUTED_VALUE"""),1)</f>
        <v>1</v>
      </c>
      <c r="E10" s="9">
        <f ca="1">IFERROR(__xludf.DUMMYFUNCTION("""COMPUTED_VALUE"""),126)</f>
        <v>126</v>
      </c>
      <c r="F10" s="9">
        <f ca="1">IFERROR(__xludf.DUMMYFUNCTION("""COMPUTED_VALUE"""),116.207997223081)</f>
        <v>116.20799722308099</v>
      </c>
      <c r="G10" s="9">
        <f ca="1">IFERROR(__xludf.DUMMYFUNCTION("""COMPUTED_VALUE"""),132.054542298956)</f>
        <v>132.05454229895599</v>
      </c>
      <c r="H10" s="10">
        <f ca="1">IFERROR(__xludf.DUMMYFUNCTION("""COMPUTED_VALUE"""),46004)</f>
        <v>46004</v>
      </c>
      <c r="I10" s="11">
        <f ca="1">IFERROR(__xludf.DUMMYFUNCTION("""COMPUTED_VALUE"""),0.0572618377192981)</f>
        <v>5.7261837719298103E-2</v>
      </c>
      <c r="J10" s="11">
        <f ca="1">IFERROR(__xludf.DUMMYFUNCTION("""COMPUTED_VALUE"""),0.0684)</f>
        <v>6.8400000000000002E-2</v>
      </c>
      <c r="K10" s="8">
        <f ca="1">IFERROR(__xludf.DUMMYFUNCTION("""COMPUTED_VALUE"""),1.8)</f>
        <v>1.8</v>
      </c>
      <c r="L10" s="9">
        <f ca="1">IFERROR(__xludf.DUMMYFUNCTION("""COMPUTED_VALUE"""),10.5643633839165)</f>
        <v>10.564363383916501</v>
      </c>
    </row>
    <row r="11" spans="1:12" x14ac:dyDescent="0.2">
      <c r="A11" s="8" t="str">
        <f ca="1">IFERROR(__xludf.DUMMYFUNCTION("""COMPUTED_VALUE"""),"CEBR5")</f>
        <v>CEBR5</v>
      </c>
      <c r="B11" s="8">
        <f ca="1">IFERROR(__xludf.DUMMYFUNCTION("""COMPUTED_VALUE"""),0)</f>
        <v>0</v>
      </c>
      <c r="C11" s="9">
        <f ca="1">IFERROR(__xludf.DUMMYFUNCTION("""COMPUTED_VALUE"""),0)</f>
        <v>0</v>
      </c>
      <c r="D11" s="8">
        <f ca="1">IFERROR(__xludf.DUMMYFUNCTION("""COMPUTED_VALUE"""),2)</f>
        <v>2</v>
      </c>
      <c r="E11" s="9">
        <f ca="1">IFERROR(__xludf.DUMMYFUNCTION("""COMPUTED_VALUE"""),18.03)</f>
        <v>18.03</v>
      </c>
      <c r="F11" s="9">
        <f ca="1">IFERROR(__xludf.DUMMYFUNCTION("""COMPUTED_VALUE"""),21.1738020587664)</f>
        <v>21.173802058766402</v>
      </c>
      <c r="G11" s="9">
        <f ca="1">IFERROR(__xludf.DUMMYFUNCTION("""COMPUTED_VALUE"""),24.0611387031436)</f>
        <v>24.061138703143602</v>
      </c>
      <c r="H11" s="10">
        <f ca="1">IFERROR(__xludf.DUMMYFUNCTION("""COMPUTED_VALUE"""),46004)</f>
        <v>46004</v>
      </c>
      <c r="I11" s="11">
        <f ca="1">IFERROR(__xludf.DUMMYFUNCTION("""COMPUTED_VALUE"""),0.295116254282451)</f>
        <v>0.29511625428245097</v>
      </c>
      <c r="J11" s="11">
        <f ca="1">IFERROR(__xludf.DUMMYFUNCTION("""COMPUTED_VALUE"""),0.073)</f>
        <v>7.2999999999999995E-2</v>
      </c>
      <c r="K11" s="8">
        <f ca="1">IFERROR(__xludf.DUMMYFUNCTION("""COMPUTED_VALUE"""),-3.17)</f>
        <v>-3.17</v>
      </c>
      <c r="L11" s="9">
        <f ca="1">IFERROR(__xludf.DUMMYFUNCTION("""COMPUTED_VALUE"""),1.92489109625149)</f>
        <v>1.92489109625149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2"/>
  <sheetViews>
    <sheetView workbookViewId="0"/>
  </sheetViews>
  <sheetFormatPr defaultColWidth="12.5703125" defaultRowHeight="15.75" customHeight="1" x14ac:dyDescent="0.2"/>
  <cols>
    <col min="1" max="1" width="6.5703125" customWidth="1"/>
    <col min="2" max="2" width="11.42578125" customWidth="1"/>
    <col min="3" max="3" width="15.42578125" customWidth="1"/>
    <col min="4" max="4" width="17.85546875" customWidth="1"/>
    <col min="5" max="5" width="12.42578125" customWidth="1"/>
    <col min="6" max="6" width="11.5703125" customWidth="1"/>
    <col min="8" max="8" width="4.7109375" customWidth="1"/>
    <col min="9" max="9" width="11.5703125" customWidth="1"/>
    <col min="10" max="10" width="11.7109375" customWidth="1"/>
    <col min="11" max="11" width="28.85546875" customWidth="1"/>
  </cols>
  <sheetData>
    <row r="1" spans="1:11" x14ac:dyDescent="0.2">
      <c r="A1" s="8" t="str">
        <f ca="1">IFERROR(__xludf.DUMMYFUNCTION("IMPORTRANGE(""https://docs.google.com/spreadsheets/d/1iYr1ABX5E5xD5hdpo7T57xV80Bd6YZfcnip7j3Ia3No/edit?gid=1176541019#gid=1176541019"",""'Renda-Proj.'!A1:K12"")"),"Ticker")</f>
        <v>Ticker</v>
      </c>
      <c r="B1" s="8" t="str">
        <f ca="1">IFERROR(__xludf.DUMMYFUNCTION("""COMPUTED_VALUE"""),"Qtd. de ações")</f>
        <v>Qtd. de ações</v>
      </c>
      <c r="C1" s="8" t="str">
        <f ca="1">IFERROR(__xludf.DUMMYFUNCTION("""COMPUTED_VALUE"""),"Dividendo por ação")</f>
        <v>Dividendo por ação</v>
      </c>
      <c r="D1" s="8" t="str">
        <f ca="1">IFERROR(__xludf.DUMMYFUNCTION("""COMPUTED_VALUE"""),"Renda anual esperada")</f>
        <v>Renda anual esperada</v>
      </c>
      <c r="E1" s="8" t="str">
        <f ca="1">IFERROR(__xludf.DUMMYFUNCTION("""COMPUTED_VALUE"""),"Capital alocado")</f>
        <v>Capital alocado</v>
      </c>
      <c r="F1" s="8" t="str">
        <f ca="1">IFERROR(__xludf.DUMMYFUNCTION("""COMPUTED_VALUE"""),"Dividend Yield")</f>
        <v>Dividend Yield</v>
      </c>
      <c r="G1" s="8"/>
      <c r="H1" s="8" t="str">
        <f ca="1">IFERROR(__xludf.DUMMYFUNCTION("""COMPUTED_VALUE"""),"Ano")</f>
        <v>Ano</v>
      </c>
      <c r="I1" s="8" t="str">
        <f ca="1">IFERROR(__xludf.DUMMYFUNCTION("""COMPUTED_VALUE"""),"Renda Anual")</f>
        <v>Renda Anual</v>
      </c>
      <c r="J1" s="8" t="str">
        <f ca="1">IFERROR(__xludf.DUMMYFUNCTION("""COMPUTED_VALUE"""),"Renda Mensal")</f>
        <v>Renda Mensal</v>
      </c>
      <c r="K1" s="8" t="str">
        <f ca="1">IFERROR(__xludf.DUMMYFUNCTION("""COMPUTED_VALUE"""),"Taxa de crescimento (vs ano anterior)")</f>
        <v>Taxa de crescimento (vs ano anterior)</v>
      </c>
    </row>
    <row r="2" spans="1:11" x14ac:dyDescent="0.2">
      <c r="A2" s="8" t="str">
        <f ca="1">IFERROR(__xludf.DUMMYFUNCTION("""COMPUTED_VALUE"""),"BBAS3")</f>
        <v>BBAS3</v>
      </c>
      <c r="B2" s="8">
        <f ca="1">IFERROR(__xludf.DUMMYFUNCTION("""COMPUTED_VALUE"""),4167)</f>
        <v>4167</v>
      </c>
      <c r="C2" s="9">
        <f ca="1">IFERROR(__xludf.DUMMYFUNCTION("""COMPUTED_VALUE"""),0.903884156070868)</f>
        <v>0.90388415607086803</v>
      </c>
      <c r="D2" s="12">
        <f ca="1">IFERROR(__xludf.DUMMYFUNCTION("""COMPUTED_VALUE"""),3766.48527834731)</f>
        <v>3766.4852783473102</v>
      </c>
      <c r="E2" s="9">
        <f ca="1">IFERROR(__xludf.DUMMYFUNCTION("""COMPUTED_VALUE"""),90423.9)</f>
        <v>90423.9</v>
      </c>
      <c r="F2" s="13">
        <f ca="1">IFERROR(__xludf.DUMMYFUNCTION("""COMPUTED_VALUE"""),0.0416536477452013)</f>
        <v>4.1653647745201298E-2</v>
      </c>
      <c r="G2" s="8"/>
      <c r="H2" s="8">
        <f ca="1">IFERROR(__xludf.DUMMYFUNCTION("""COMPUTED_VALUE"""),2026)</f>
        <v>2026</v>
      </c>
      <c r="I2" s="14">
        <f ca="1">IFERROR(__xludf.DUMMYFUNCTION("""COMPUTED_VALUE"""),29764.6292955354)</f>
        <v>29764.6292955354</v>
      </c>
      <c r="J2" s="14">
        <f ca="1">IFERROR(__xludf.DUMMYFUNCTION("""COMPUTED_VALUE"""),2480.38577462795)</f>
        <v>2480.38577462795</v>
      </c>
      <c r="K2" s="8"/>
    </row>
    <row r="3" spans="1:11" x14ac:dyDescent="0.2">
      <c r="A3" s="8" t="str">
        <f ca="1">IFERROR(__xludf.DUMMYFUNCTION("""COMPUTED_VALUE"""),"BBSE3")</f>
        <v>BBSE3</v>
      </c>
      <c r="B3" s="8">
        <f ca="1">IFERROR(__xludf.DUMMYFUNCTION("""COMPUTED_VALUE"""),3886)</f>
        <v>3886</v>
      </c>
      <c r="C3" s="9">
        <f ca="1">IFERROR(__xludf.DUMMYFUNCTION("""COMPUTED_VALUE"""),3.98925433969042)</f>
        <v>3.9892543396904201</v>
      </c>
      <c r="D3" s="12">
        <f ca="1">IFERROR(__xludf.DUMMYFUNCTION("""COMPUTED_VALUE"""),15502.2423640369)</f>
        <v>15502.2423640369</v>
      </c>
      <c r="E3" s="9">
        <f ca="1">IFERROR(__xludf.DUMMYFUNCTION("""COMPUTED_VALUE"""),138380.46)</f>
        <v>138380.46</v>
      </c>
      <c r="F3" s="13">
        <f ca="1">IFERROR(__xludf.DUMMYFUNCTION("""COMPUTED_VALUE"""),0.112026238126661)</f>
        <v>0.112026238126661</v>
      </c>
      <c r="G3" s="8"/>
      <c r="H3" s="8">
        <f ca="1">IFERROR(__xludf.DUMMYFUNCTION("""COMPUTED_VALUE"""),2027)</f>
        <v>2027</v>
      </c>
      <c r="I3" s="14">
        <f ca="1">IFERROR(__xludf.DUMMYFUNCTION("""COMPUTED_VALUE"""),41670.4810137496)</f>
        <v>41670.481013749602</v>
      </c>
      <c r="J3" s="14">
        <f ca="1">IFERROR(__xludf.DUMMYFUNCTION("""COMPUTED_VALUE"""),3472.54008447913)</f>
        <v>3472.5400844791302</v>
      </c>
      <c r="K3" s="15">
        <f ca="1">IFERROR(__xludf.DUMMYFUNCTION("""COMPUTED_VALUE"""),0.4)</f>
        <v>0.4</v>
      </c>
    </row>
    <row r="4" spans="1:11" x14ac:dyDescent="0.2">
      <c r="A4" s="8" t="str">
        <f ca="1">IFERROR(__xludf.DUMMYFUNCTION("""COMPUTED_VALUE"""),"CEBR6")</f>
        <v>CEBR6</v>
      </c>
      <c r="B4" s="8">
        <f ca="1">IFERROR(__xludf.DUMMYFUNCTION("""COMPUTED_VALUE"""),645)</f>
        <v>645</v>
      </c>
      <c r="C4" s="9">
        <f ca="1">IFERROR(__xludf.DUMMYFUNCTION("""COMPUTED_VALUE"""),2.11738020587664)</f>
        <v>2.11738020587664</v>
      </c>
      <c r="D4" s="12">
        <f ca="1">IFERROR(__xludf.DUMMYFUNCTION("""COMPUTED_VALUE"""),1365.71023279043)</f>
        <v>1365.7102327904299</v>
      </c>
      <c r="E4" s="9">
        <f ca="1">IFERROR(__xludf.DUMMYFUNCTION("""COMPUTED_VALUE"""),17008.65)</f>
        <v>17008.650000000001</v>
      </c>
      <c r="F4" s="13">
        <f ca="1">IFERROR(__xludf.DUMMYFUNCTION("""COMPUTED_VALUE"""),0.0802950400408282)</f>
        <v>8.02950400408282E-2</v>
      </c>
      <c r="G4" s="8"/>
      <c r="H4" s="8">
        <f ca="1">IFERROR(__xludf.DUMMYFUNCTION("""COMPUTED_VALUE"""),2028)</f>
        <v>2028</v>
      </c>
      <c r="I4" s="14">
        <f ca="1">IFERROR(__xludf.DUMMYFUNCTION("""COMPUTED_VALUE"""),58338.6734192495)</f>
        <v>58338.673419249499</v>
      </c>
      <c r="J4" s="14">
        <f ca="1">IFERROR(__xludf.DUMMYFUNCTION("""COMPUTED_VALUE"""),4861.55611827079)</f>
        <v>4861.5561182707897</v>
      </c>
      <c r="K4" s="15">
        <f ca="1">IFERROR(__xludf.DUMMYFUNCTION("""COMPUTED_VALUE"""),0.4)</f>
        <v>0.4</v>
      </c>
    </row>
    <row r="5" spans="1:11" x14ac:dyDescent="0.2">
      <c r="A5" s="8" t="str">
        <f ca="1">IFERROR(__xludf.DUMMYFUNCTION("""COMPUTED_VALUE"""),"CXSE3")</f>
        <v>CXSE3</v>
      </c>
      <c r="B5" s="8">
        <f ca="1">IFERROR(__xludf.DUMMYFUNCTION("""COMPUTED_VALUE"""),1746)</f>
        <v>1746</v>
      </c>
      <c r="C5" s="9">
        <f ca="1">IFERROR(__xludf.DUMMYFUNCTION("""COMPUTED_VALUE"""),1.31999999999999)</f>
        <v>1.3199999999999901</v>
      </c>
      <c r="D5" s="12">
        <f ca="1">IFERROR(__xludf.DUMMYFUNCTION("""COMPUTED_VALUE"""),2304.72)</f>
        <v>2304.7199999999998</v>
      </c>
      <c r="E5" s="9">
        <f ca="1">IFERROR(__xludf.DUMMYFUNCTION("""COMPUTED_VALUE"""),28616.94)</f>
        <v>28616.94</v>
      </c>
      <c r="F5" s="13">
        <f ca="1">IFERROR(__xludf.DUMMYFUNCTION("""COMPUTED_VALUE"""),0.0805369127516778)</f>
        <v>8.0536912751677805E-2</v>
      </c>
      <c r="G5" s="8"/>
      <c r="H5" s="8">
        <f ca="1">IFERROR(__xludf.DUMMYFUNCTION("""COMPUTED_VALUE"""),2029)</f>
        <v>2029</v>
      </c>
      <c r="I5" s="14">
        <f ca="1">IFERROR(__xludf.DUMMYFUNCTION("""COMPUTED_VALUE"""),81674.1427869493)</f>
        <v>81674.142786949305</v>
      </c>
      <c r="J5" s="14">
        <f ca="1">IFERROR(__xludf.DUMMYFUNCTION("""COMPUTED_VALUE"""),6806.17856557911)</f>
        <v>6806.17856557911</v>
      </c>
      <c r="K5" s="15">
        <f ca="1">IFERROR(__xludf.DUMMYFUNCTION("""COMPUTED_VALUE"""),0.4)</f>
        <v>0.4</v>
      </c>
    </row>
    <row r="6" spans="1:11" x14ac:dyDescent="0.2">
      <c r="A6" s="8" t="str">
        <f ca="1">IFERROR(__xludf.DUMMYFUNCTION("""COMPUTED_VALUE"""),"LEVE3")</f>
        <v>LEVE3</v>
      </c>
      <c r="B6" s="8">
        <f ca="1">IFERROR(__xludf.DUMMYFUNCTION("""COMPUTED_VALUE"""),649)</f>
        <v>649</v>
      </c>
      <c r="C6" s="9">
        <f ca="1">IFERROR(__xludf.DUMMYFUNCTION("""COMPUTED_VALUE"""),2.97331395391732)</f>
        <v>2.9733139539173199</v>
      </c>
      <c r="D6" s="12">
        <f ca="1">IFERROR(__xludf.DUMMYFUNCTION("""COMPUTED_VALUE"""),1929.68075609234)</f>
        <v>1929.6807560923401</v>
      </c>
      <c r="E6" s="9">
        <f ca="1">IFERROR(__xludf.DUMMYFUNCTION("""COMPUTED_VALUE"""),22273.68)</f>
        <v>22273.68</v>
      </c>
      <c r="F6" s="13">
        <f ca="1">IFERROR(__xludf.DUMMYFUNCTION("""COMPUTED_VALUE"""),0.0866350219672879)</f>
        <v>8.6635021967287895E-2</v>
      </c>
      <c r="G6" s="8"/>
      <c r="H6" s="8">
        <f ca="1">IFERROR(__xludf.DUMMYFUNCTION("""COMPUTED_VALUE"""),2030)</f>
        <v>2030</v>
      </c>
      <c r="I6" s="14">
        <f ca="1">IFERROR(__xludf.DUMMYFUNCTION("""COMPUTED_VALUE"""),106176.385623034)</f>
        <v>106176.385623034</v>
      </c>
      <c r="J6" s="14">
        <f ca="1">IFERROR(__xludf.DUMMYFUNCTION("""COMPUTED_VALUE"""),8848.03213525284)</f>
        <v>8848.0321352528408</v>
      </c>
      <c r="K6" s="15">
        <f ca="1">IFERROR(__xludf.DUMMYFUNCTION("""COMPUTED_VALUE"""),0.3)</f>
        <v>0.3</v>
      </c>
    </row>
    <row r="7" spans="1:11" x14ac:dyDescent="0.2">
      <c r="A7" s="8" t="str">
        <f ca="1">IFERROR(__xludf.DUMMYFUNCTION("""COMPUTED_VALUE"""),"PETR4")</f>
        <v>PETR4</v>
      </c>
      <c r="B7" s="8">
        <f ca="1">IFERROR(__xludf.DUMMYFUNCTION("""COMPUTED_VALUE"""),517)</f>
        <v>517</v>
      </c>
      <c r="C7" s="9">
        <f ca="1">IFERROR(__xludf.DUMMYFUNCTION("""COMPUTED_VALUE"""),3.14227944290604)</f>
        <v>3.1422794429060401</v>
      </c>
      <c r="D7" s="12">
        <f ca="1">IFERROR(__xludf.DUMMYFUNCTION("""COMPUTED_VALUE"""),1624.55847198242)</f>
        <v>1624.5584719824201</v>
      </c>
      <c r="E7" s="9">
        <f ca="1">IFERROR(__xludf.DUMMYFUNCTION("""COMPUTED_VALUE"""),16332.03)</f>
        <v>16332.03</v>
      </c>
      <c r="F7" s="13">
        <f ca="1">IFERROR(__xludf.DUMMYFUNCTION("""COMPUTED_VALUE"""),0.0994707009466934)</f>
        <v>9.9470700946693399E-2</v>
      </c>
      <c r="G7" s="8"/>
      <c r="H7" s="8">
        <f ca="1">IFERROR(__xludf.DUMMYFUNCTION("""COMPUTED_VALUE"""),2031)</f>
        <v>2031</v>
      </c>
      <c r="I7" s="14">
        <f ca="1">IFERROR(__xludf.DUMMYFUNCTION("""COMPUTED_VALUE"""),138029.301309944)</f>
        <v>138029.30130994401</v>
      </c>
      <c r="J7" s="14">
        <f ca="1">IFERROR(__xludf.DUMMYFUNCTION("""COMPUTED_VALUE"""),11502.4417758287)</f>
        <v>11502.4417758287</v>
      </c>
      <c r="K7" s="15">
        <f ca="1">IFERROR(__xludf.DUMMYFUNCTION("""COMPUTED_VALUE"""),0.3)</f>
        <v>0.3</v>
      </c>
    </row>
    <row r="8" spans="1:11" x14ac:dyDescent="0.2">
      <c r="A8" s="8" t="str">
        <f ca="1">IFERROR(__xludf.DUMMYFUNCTION("""COMPUTED_VALUE"""),"RANI3")</f>
        <v>RANI3</v>
      </c>
      <c r="B8" s="8">
        <f ca="1">IFERROR(__xludf.DUMMYFUNCTION("""COMPUTED_VALUE"""),1460)</f>
        <v>1460</v>
      </c>
      <c r="C8" s="9">
        <f ca="1">IFERROR(__xludf.DUMMYFUNCTION("""COMPUTED_VALUE"""),0.778804579054429)</f>
        <v>0.77880457905442901</v>
      </c>
      <c r="D8" s="12">
        <f ca="1">IFERROR(__xludf.DUMMYFUNCTION("""COMPUTED_VALUE"""),1137.05468541946)</f>
        <v>1137.0546854194599</v>
      </c>
      <c r="E8" s="9">
        <f ca="1">IFERROR(__xludf.DUMMYFUNCTION("""COMPUTED_VALUE"""),12453.8)</f>
        <v>12453.8</v>
      </c>
      <c r="F8" s="13">
        <f ca="1">IFERROR(__xludf.DUMMYFUNCTION("""COMPUTED_VALUE"""),0.0913018263838721)</f>
        <v>9.1301826383872103E-2</v>
      </c>
      <c r="G8" s="8"/>
      <c r="H8" s="8">
        <f ca="1">IFERROR(__xludf.DUMMYFUNCTION("""COMPUTED_VALUE"""),2032)</f>
        <v>2032</v>
      </c>
      <c r="I8" s="14">
        <f ca="1">IFERROR(__xludf.DUMMYFUNCTION("""COMPUTED_VALUE"""),179438.091702927)</f>
        <v>179438.09170292699</v>
      </c>
      <c r="J8" s="14">
        <f ca="1">IFERROR(__xludf.DUMMYFUNCTION("""COMPUTED_VALUE"""),14953.1743085773)</f>
        <v>14953.1743085773</v>
      </c>
      <c r="K8" s="15">
        <f ca="1">IFERROR(__xludf.DUMMYFUNCTION("""COMPUTED_VALUE"""),0.3)</f>
        <v>0.3</v>
      </c>
    </row>
    <row r="9" spans="1:11" x14ac:dyDescent="0.2">
      <c r="A9" s="8" t="str">
        <f ca="1">IFERROR(__xludf.DUMMYFUNCTION("""COMPUTED_VALUE"""),"VULC3")</f>
        <v>VULC3</v>
      </c>
      <c r="B9" s="8">
        <f ca="1">IFERROR(__xludf.DUMMYFUNCTION("""COMPUTED_VALUE"""),842)</f>
        <v>842</v>
      </c>
      <c r="C9" s="9">
        <f ca="1">IFERROR(__xludf.DUMMYFUNCTION("""COMPUTED_VALUE"""),2.03278262649627)</f>
        <v>2.0327826264962701</v>
      </c>
      <c r="D9" s="12">
        <f ca="1">IFERROR(__xludf.DUMMYFUNCTION("""COMPUTED_VALUE"""),1711.60297150985)</f>
        <v>1711.60297150985</v>
      </c>
      <c r="E9" s="9">
        <f ca="1">IFERROR(__xludf.DUMMYFUNCTION("""COMPUTED_VALUE"""),17218.8999999999)</f>
        <v>17218.8999999999</v>
      </c>
      <c r="F9" s="13">
        <f ca="1">IFERROR(__xludf.DUMMYFUNCTION("""COMPUTED_VALUE"""),0.0994025734228005)</f>
        <v>9.9402573422800497E-2</v>
      </c>
      <c r="G9" s="8"/>
      <c r="H9" s="8">
        <f ca="1">IFERROR(__xludf.DUMMYFUNCTION("""COMPUTED_VALUE"""),2033)</f>
        <v>2033</v>
      </c>
      <c r="I9" s="14">
        <f ca="1">IFERROR(__xludf.DUMMYFUNCTION("""COMPUTED_VALUE"""),215325.710043513)</f>
        <v>215325.71004351301</v>
      </c>
      <c r="J9" s="14">
        <f ca="1">IFERROR(__xludf.DUMMYFUNCTION("""COMPUTED_VALUE"""),17943.8091702927)</f>
        <v>17943.809170292701</v>
      </c>
      <c r="K9" s="15">
        <f ca="1">IFERROR(__xludf.DUMMYFUNCTION("""COMPUTED_VALUE"""),0.2)</f>
        <v>0.2</v>
      </c>
    </row>
    <row r="10" spans="1:11" x14ac:dyDescent="0.2">
      <c r="A10" s="8" t="str">
        <f ca="1">IFERROR(__xludf.DUMMYFUNCTION("""COMPUTED_VALUE"""),"CGAS5")</f>
        <v>CGAS5</v>
      </c>
      <c r="B10" s="8">
        <f ca="1">IFERROR(__xludf.DUMMYFUNCTION("""COMPUTED_VALUE"""),40)</f>
        <v>40</v>
      </c>
      <c r="C10" s="9">
        <f ca="1">IFERROR(__xludf.DUMMYFUNCTION("""COMPUTED_VALUE"""),10.5643633839165)</f>
        <v>10.564363383916501</v>
      </c>
      <c r="D10" s="12">
        <f ca="1">IFERROR(__xludf.DUMMYFUNCTION("""COMPUTED_VALUE"""),422.57453535666)</f>
        <v>422.57453535666002</v>
      </c>
      <c r="E10" s="9">
        <f ca="1">IFERROR(__xludf.DUMMYFUNCTION("""COMPUTED_VALUE"""),5093.2)</f>
        <v>5093.2</v>
      </c>
      <c r="F10" s="13">
        <f ca="1">IFERROR(__xludf.DUMMYFUNCTION("""COMPUTED_VALUE"""),0.0829683765327614)</f>
        <v>8.2968376532761401E-2</v>
      </c>
      <c r="G10" s="8"/>
      <c r="H10" s="8">
        <f ca="1">IFERROR(__xludf.DUMMYFUNCTION("""COMPUTED_VALUE"""),2034)</f>
        <v>2034</v>
      </c>
      <c r="I10" s="14">
        <f ca="1">IFERROR(__xludf.DUMMYFUNCTION("""COMPUTED_VALUE"""),258390.852052215)</f>
        <v>258390.85205221499</v>
      </c>
      <c r="J10" s="14">
        <f ca="1">IFERROR(__xludf.DUMMYFUNCTION("""COMPUTED_VALUE"""),21532.5710043513)</f>
        <v>21532.571004351299</v>
      </c>
      <c r="K10" s="15">
        <f ca="1">IFERROR(__xludf.DUMMYFUNCTION("""COMPUTED_VALUE"""),0.2)</f>
        <v>0.2</v>
      </c>
    </row>
    <row r="11" spans="1:11" x14ac:dyDescent="0.2">
      <c r="A11" s="8"/>
      <c r="B11" s="8"/>
      <c r="C11" s="8"/>
      <c r="D11" s="8"/>
      <c r="E11" s="8"/>
      <c r="F11" s="8"/>
      <c r="G11" s="8"/>
      <c r="H11" s="8">
        <f ca="1">IFERROR(__xludf.DUMMYFUNCTION("""COMPUTED_VALUE"""),2035)</f>
        <v>2035</v>
      </c>
      <c r="I11" s="14">
        <f ca="1">IFERROR(__xludf.DUMMYFUNCTION("""COMPUTED_VALUE"""),297149.479860048)</f>
        <v>297149.47986004798</v>
      </c>
      <c r="J11" s="14">
        <f ca="1">IFERROR(__xludf.DUMMYFUNCTION("""COMPUTED_VALUE"""),24762.456655004)</f>
        <v>24762.456655004</v>
      </c>
      <c r="K11" s="15">
        <f ca="1">IFERROR(__xludf.DUMMYFUNCTION("""COMPUTED_VALUE"""),0.15)</f>
        <v>0.15</v>
      </c>
    </row>
    <row r="12" spans="1:11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999"/>
  <sheetViews>
    <sheetView workbookViewId="0"/>
  </sheetViews>
  <sheetFormatPr defaultColWidth="12.5703125" defaultRowHeight="15.75" customHeight="1" x14ac:dyDescent="0.2"/>
  <cols>
    <col min="1" max="1" width="7.5703125" customWidth="1"/>
    <col min="2" max="2" width="9.42578125" customWidth="1"/>
    <col min="3" max="3" width="4.140625" customWidth="1"/>
    <col min="4" max="4" width="9" customWidth="1"/>
    <col min="5" max="5" width="4.7109375" customWidth="1"/>
    <col min="6" max="6" width="8.7109375" customWidth="1"/>
  </cols>
  <sheetData>
    <row r="1" spans="1:6" x14ac:dyDescent="0.2">
      <c r="A1" s="8" t="str">
        <f ca="1">IFERROR(__xludf.DUMMYFUNCTION("IMPORTRANGE(""https://docs.google.com/spreadsheets/d/1iYr1ABX5E5xD5hdpo7T57xV80Bd6YZfcnip7j3Ia3No/edit?gid=153321439#gid=153321439"",""'Prov.B3'!Z2:AE1000"")"),"Ticker")</f>
        <v>Ticker</v>
      </c>
      <c r="B1" s="16" t="str">
        <f ca="1">IFERROR(__xludf.DUMMYFUNCTION("""COMPUTED_VALUE"""),"Pagamento")</f>
        <v>Pagamento</v>
      </c>
      <c r="C1" s="8" t="str">
        <f ca="1">IFERROR(__xludf.DUMMYFUNCTION("""COMPUTED_VALUE"""),"Mês")</f>
        <v>Mês</v>
      </c>
      <c r="D1" s="8" t="str">
        <f ca="1">IFERROR(__xludf.DUMMYFUNCTION("""COMPUTED_VALUE"""),"Referencia")</f>
        <v>Referencia</v>
      </c>
      <c r="E1" s="8" t="str">
        <f ca="1">IFERROR(__xludf.DUMMYFUNCTION("""COMPUTED_VALUE"""),"Valor")</f>
        <v>Valor</v>
      </c>
      <c r="F1" s="8" t="str">
        <f ca="1">IFERROR(__xludf.DUMMYFUNCTION("""COMPUTED_VALUE"""),"Valor Total")</f>
        <v>Valor Total</v>
      </c>
    </row>
    <row r="2" spans="1:6" x14ac:dyDescent="0.2">
      <c r="A2" s="8" t="str">
        <f ca="1">IFERROR(__xludf.DUMMYFUNCTION("""COMPUTED_VALUE"""),"IBFF11")</f>
        <v>IBFF11</v>
      </c>
      <c r="B2" s="16">
        <f ca="1">IFERROR(__xludf.DUMMYFUNCTION("""COMPUTED_VALUE"""),43788)</f>
        <v>43788</v>
      </c>
      <c r="C2" s="8">
        <f ca="1">IFERROR(__xludf.DUMMYFUNCTION("""COMPUTED_VALUE"""),11)</f>
        <v>11</v>
      </c>
      <c r="D2" s="8">
        <f ca="1">IFERROR(__xludf.DUMMYFUNCTION("""COMPUTED_VALUE"""),2019)</f>
        <v>2019</v>
      </c>
      <c r="E2" s="8">
        <f ca="1">IFERROR(__xludf.DUMMYFUNCTION("""COMPUTED_VALUE"""),0)</f>
        <v>0</v>
      </c>
      <c r="F2" s="8">
        <f ca="1">IFERROR(__xludf.DUMMYFUNCTION("""COMPUTED_VALUE"""),5.42)</f>
        <v>5.42</v>
      </c>
    </row>
    <row r="3" spans="1:6" x14ac:dyDescent="0.2">
      <c r="A3" s="8" t="str">
        <f ca="1">IFERROR(__xludf.DUMMYFUNCTION("""COMPUTED_VALUE"""),"AGRO3")</f>
        <v>AGRO3</v>
      </c>
      <c r="B3" s="16">
        <f ca="1">IFERROR(__xludf.DUMMYFUNCTION("""COMPUTED_VALUE"""),43783)</f>
        <v>43783</v>
      </c>
      <c r="C3" s="8">
        <f ca="1">IFERROR(__xludf.DUMMYFUNCTION("""COMPUTED_VALUE"""),11)</f>
        <v>11</v>
      </c>
      <c r="D3" s="8">
        <f ca="1">IFERROR(__xludf.DUMMYFUNCTION("""COMPUTED_VALUE"""),2019)</f>
        <v>2019</v>
      </c>
      <c r="E3" s="8">
        <f ca="1">IFERROR(__xludf.DUMMYFUNCTION("""COMPUTED_VALUE"""),0.93)</f>
        <v>0.93</v>
      </c>
      <c r="F3" s="8">
        <f ca="1">IFERROR(__xludf.DUMMYFUNCTION("""COMPUTED_VALUE"""),7.43)</f>
        <v>7.43</v>
      </c>
    </row>
    <row r="4" spans="1:6" x14ac:dyDescent="0.2">
      <c r="A4" s="8" t="str">
        <f ca="1">IFERROR(__xludf.DUMMYFUNCTION("""COMPUTED_VALUE"""),"BTCR11")</f>
        <v>BTCR11</v>
      </c>
      <c r="B4" s="16">
        <f ca="1">IFERROR(__xludf.DUMMYFUNCTION("""COMPUTED_VALUE"""),43783)</f>
        <v>43783</v>
      </c>
      <c r="C4" s="8">
        <f ca="1">IFERROR(__xludf.DUMMYFUNCTION("""COMPUTED_VALUE"""),11)</f>
        <v>11</v>
      </c>
      <c r="D4" s="8">
        <f ca="1">IFERROR(__xludf.DUMMYFUNCTION("""COMPUTED_VALUE"""),2019)</f>
        <v>2019</v>
      </c>
      <c r="E4" s="8">
        <f ca="1">IFERROR(__xludf.DUMMYFUNCTION("""COMPUTED_VALUE"""),0)</f>
        <v>0</v>
      </c>
      <c r="F4" s="8">
        <f ca="1">IFERROR(__xludf.DUMMYFUNCTION("""COMPUTED_VALUE"""),11.52)</f>
        <v>11.52</v>
      </c>
    </row>
    <row r="5" spans="1:6" x14ac:dyDescent="0.2">
      <c r="A5" s="8" t="str">
        <f ca="1">IFERROR(__xludf.DUMMYFUNCTION("""COMPUTED_VALUE"""),"OUJP11")</f>
        <v>OUJP11</v>
      </c>
      <c r="B5" s="16">
        <f ca="1">IFERROR(__xludf.DUMMYFUNCTION("""COMPUTED_VALUE"""),43783)</f>
        <v>43783</v>
      </c>
      <c r="C5" s="8">
        <f ca="1">IFERROR(__xludf.DUMMYFUNCTION("""COMPUTED_VALUE"""),11)</f>
        <v>11</v>
      </c>
      <c r="D5" s="8">
        <f ca="1">IFERROR(__xludf.DUMMYFUNCTION("""COMPUTED_VALUE"""),2019)</f>
        <v>2019</v>
      </c>
      <c r="E5" s="8">
        <f ca="1">IFERROR(__xludf.DUMMYFUNCTION("""COMPUTED_VALUE"""),0)</f>
        <v>0</v>
      </c>
      <c r="F5" s="8">
        <f ca="1">IFERROR(__xludf.DUMMYFUNCTION("""COMPUTED_VALUE"""),3.25)</f>
        <v>3.25</v>
      </c>
    </row>
    <row r="6" spans="1:6" x14ac:dyDescent="0.2">
      <c r="A6" s="8" t="str">
        <f ca="1">IFERROR(__xludf.DUMMYFUNCTION("""COMPUTED_VALUE"""),"ITUB4")</f>
        <v>ITUB4</v>
      </c>
      <c r="B6" s="16">
        <f ca="1">IFERROR(__xludf.DUMMYFUNCTION("""COMPUTED_VALUE"""),43770)</f>
        <v>43770</v>
      </c>
      <c r="C6" s="8">
        <f ca="1">IFERROR(__xludf.DUMMYFUNCTION("""COMPUTED_VALUE"""),11)</f>
        <v>11</v>
      </c>
      <c r="D6" s="8">
        <f ca="1">IFERROR(__xludf.DUMMYFUNCTION("""COMPUTED_VALUE"""),2019)</f>
        <v>2019</v>
      </c>
      <c r="E6" s="8">
        <f ca="1">IFERROR(__xludf.DUMMYFUNCTION("""COMPUTED_VALUE"""),0.02)</f>
        <v>0.02</v>
      </c>
      <c r="F6" s="8">
        <f ca="1">IFERROR(__xludf.DUMMYFUNCTION("""COMPUTED_VALUE"""),0.18)</f>
        <v>0.18</v>
      </c>
    </row>
    <row r="7" spans="1:6" x14ac:dyDescent="0.2">
      <c r="A7" s="8" t="str">
        <f ca="1">IFERROR(__xludf.DUMMYFUNCTION("""COMPUTED_VALUE"""),"BBDC4")</f>
        <v>BBDC4</v>
      </c>
      <c r="B7" s="16">
        <f ca="1">IFERROR(__xludf.DUMMYFUNCTION("""COMPUTED_VALUE"""),43829)</f>
        <v>43829</v>
      </c>
      <c r="C7" s="8">
        <f ca="1">IFERROR(__xludf.DUMMYFUNCTION("""COMPUTED_VALUE"""),12)</f>
        <v>12</v>
      </c>
      <c r="D7" s="8">
        <f ca="1">IFERROR(__xludf.DUMMYFUNCTION("""COMPUTED_VALUE"""),2019)</f>
        <v>2019</v>
      </c>
      <c r="E7" s="8">
        <f ca="1">IFERROR(__xludf.DUMMYFUNCTION("""COMPUTED_VALUE"""),0.55)</f>
        <v>0.55000000000000004</v>
      </c>
      <c r="F7" s="8">
        <f ca="1">IFERROR(__xludf.DUMMYFUNCTION("""COMPUTED_VALUE"""),3.76)</f>
        <v>3.76</v>
      </c>
    </row>
    <row r="8" spans="1:6" x14ac:dyDescent="0.2">
      <c r="A8" s="8" t="str">
        <f ca="1">IFERROR(__xludf.DUMMYFUNCTION("""COMPUTED_VALUE"""),"CYRE3")</f>
        <v>CYRE3</v>
      </c>
      <c r="B8" s="16">
        <f ca="1">IFERROR(__xludf.DUMMYFUNCTION("""COMPUTED_VALUE"""),43819)</f>
        <v>43819</v>
      </c>
      <c r="C8" s="8">
        <f ca="1">IFERROR(__xludf.DUMMYFUNCTION("""COMPUTED_VALUE"""),12)</f>
        <v>12</v>
      </c>
      <c r="D8" s="8">
        <f ca="1">IFERROR(__xludf.DUMMYFUNCTION("""COMPUTED_VALUE"""),2019)</f>
        <v>2019</v>
      </c>
      <c r="E8" s="8">
        <f ca="1">IFERROR(__xludf.DUMMYFUNCTION("""COMPUTED_VALUE"""),1.04)</f>
        <v>1.04</v>
      </c>
      <c r="F8" s="8">
        <f ca="1">IFERROR(__xludf.DUMMYFUNCTION("""COMPUTED_VALUE"""),42.66)</f>
        <v>42.66</v>
      </c>
    </row>
    <row r="9" spans="1:6" x14ac:dyDescent="0.2">
      <c r="A9" s="8" t="str">
        <f ca="1">IFERROR(__xludf.DUMMYFUNCTION("""COMPUTED_VALUE"""),"IBFF11")</f>
        <v>IBFF11</v>
      </c>
      <c r="B9" s="16">
        <f ca="1">IFERROR(__xludf.DUMMYFUNCTION("""COMPUTED_VALUE"""),43816)</f>
        <v>43816</v>
      </c>
      <c r="C9" s="8">
        <f ca="1">IFERROR(__xludf.DUMMYFUNCTION("""COMPUTED_VALUE"""),12)</f>
        <v>12</v>
      </c>
      <c r="D9" s="8">
        <f ca="1">IFERROR(__xludf.DUMMYFUNCTION("""COMPUTED_VALUE"""),2019)</f>
        <v>2019</v>
      </c>
      <c r="E9" s="8">
        <f ca="1">IFERROR(__xludf.DUMMYFUNCTION("""COMPUTED_VALUE"""),0)</f>
        <v>0</v>
      </c>
      <c r="F9" s="8">
        <f ca="1">IFERROR(__xludf.DUMMYFUNCTION("""COMPUTED_VALUE"""),6.95)</f>
        <v>6.95</v>
      </c>
    </row>
    <row r="10" spans="1:6" x14ac:dyDescent="0.2">
      <c r="A10" s="8" t="str">
        <f ca="1">IFERROR(__xludf.DUMMYFUNCTION("""COMPUTED_VALUE"""),"BTCR11")</f>
        <v>BTCR11</v>
      </c>
      <c r="B10" s="16">
        <f ca="1">IFERROR(__xludf.DUMMYFUNCTION("""COMPUTED_VALUE"""),43812)</f>
        <v>43812</v>
      </c>
      <c r="C10" s="8">
        <f ca="1">IFERROR(__xludf.DUMMYFUNCTION("""COMPUTED_VALUE"""),12)</f>
        <v>12</v>
      </c>
      <c r="D10" s="8">
        <f ca="1">IFERROR(__xludf.DUMMYFUNCTION("""COMPUTED_VALUE"""),2019)</f>
        <v>2019</v>
      </c>
      <c r="E10" s="8">
        <f ca="1">IFERROR(__xludf.DUMMYFUNCTION("""COMPUTED_VALUE"""),0)</f>
        <v>0</v>
      </c>
      <c r="F10" s="8">
        <f ca="1">IFERROR(__xludf.DUMMYFUNCTION("""COMPUTED_VALUE"""),10.68)</f>
        <v>10.68</v>
      </c>
    </row>
    <row r="11" spans="1:6" x14ac:dyDescent="0.2">
      <c r="A11" s="8" t="str">
        <f ca="1">IFERROR(__xludf.DUMMYFUNCTION("""COMPUTED_VALUE"""),"OUJP11")</f>
        <v>OUJP11</v>
      </c>
      <c r="B11" s="16">
        <f ca="1">IFERROR(__xludf.DUMMYFUNCTION("""COMPUTED_VALUE"""),43812)</f>
        <v>43812</v>
      </c>
      <c r="C11" s="8">
        <f ca="1">IFERROR(__xludf.DUMMYFUNCTION("""COMPUTED_VALUE"""),12)</f>
        <v>12</v>
      </c>
      <c r="D11" s="8">
        <f ca="1">IFERROR(__xludf.DUMMYFUNCTION("""COMPUTED_VALUE"""),2019)</f>
        <v>2019</v>
      </c>
      <c r="E11" s="8">
        <f ca="1">IFERROR(__xludf.DUMMYFUNCTION("""COMPUTED_VALUE"""),0)</f>
        <v>0</v>
      </c>
      <c r="F11" s="8">
        <f ca="1">IFERROR(__xludf.DUMMYFUNCTION("""COMPUTED_VALUE"""),3.25)</f>
        <v>3.25</v>
      </c>
    </row>
    <row r="12" spans="1:6" x14ac:dyDescent="0.2">
      <c r="A12" s="8" t="str">
        <f ca="1">IFERROR(__xludf.DUMMYFUNCTION("""COMPUTED_VALUE"""),"ODPV3")</f>
        <v>ODPV3</v>
      </c>
      <c r="B12" s="16">
        <f ca="1">IFERROR(__xludf.DUMMYFUNCTION("""COMPUTED_VALUE"""),43805)</f>
        <v>43805</v>
      </c>
      <c r="C12" s="8">
        <f ca="1">IFERROR(__xludf.DUMMYFUNCTION("""COMPUTED_VALUE"""),12)</f>
        <v>12</v>
      </c>
      <c r="D12" s="8">
        <f ca="1">IFERROR(__xludf.DUMMYFUNCTION("""COMPUTED_VALUE"""),2019)</f>
        <v>2019</v>
      </c>
      <c r="E12" s="8">
        <f ca="1">IFERROR(__xludf.DUMMYFUNCTION("""COMPUTED_VALUE"""),0.04)</f>
        <v>0.04</v>
      </c>
      <c r="F12" s="8">
        <f ca="1">IFERROR(__xludf.DUMMYFUNCTION("""COMPUTED_VALUE"""),0.5)</f>
        <v>0.5</v>
      </c>
    </row>
    <row r="13" spans="1:6" x14ac:dyDescent="0.2">
      <c r="A13" s="8" t="str">
        <f ca="1">IFERROR(__xludf.DUMMYFUNCTION("""COMPUTED_VALUE"""),"IRBR3")</f>
        <v>IRBR3</v>
      </c>
      <c r="B13" s="16">
        <f ca="1">IFERROR(__xludf.DUMMYFUNCTION("""COMPUTED_VALUE"""),43804)</f>
        <v>43804</v>
      </c>
      <c r="C13" s="8">
        <f ca="1">IFERROR(__xludf.DUMMYFUNCTION("""COMPUTED_VALUE"""),12)</f>
        <v>12</v>
      </c>
      <c r="D13" s="8">
        <f ca="1">IFERROR(__xludf.DUMMYFUNCTION("""COMPUTED_VALUE"""),2019)</f>
        <v>2019</v>
      </c>
      <c r="E13" s="8">
        <f ca="1">IFERROR(__xludf.DUMMYFUNCTION("""COMPUTED_VALUE"""),0.21)</f>
        <v>0.21</v>
      </c>
      <c r="F13" s="8">
        <f ca="1">IFERROR(__xludf.DUMMYFUNCTION("""COMPUTED_VALUE"""),6.52)</f>
        <v>6.52</v>
      </c>
    </row>
    <row r="14" spans="1:6" x14ac:dyDescent="0.2">
      <c r="A14" s="8" t="str">
        <f ca="1">IFERROR(__xludf.DUMMYFUNCTION("""COMPUTED_VALUE"""),"TEND3")</f>
        <v>TEND3</v>
      </c>
      <c r="B14" s="16">
        <f ca="1">IFERROR(__xludf.DUMMYFUNCTION("""COMPUTED_VALUE"""),43803)</f>
        <v>43803</v>
      </c>
      <c r="C14" s="8">
        <f ca="1">IFERROR(__xludf.DUMMYFUNCTION("""COMPUTED_VALUE"""),12)</f>
        <v>12</v>
      </c>
      <c r="D14" s="8">
        <f ca="1">IFERROR(__xludf.DUMMYFUNCTION("""COMPUTED_VALUE"""),2019)</f>
        <v>2019</v>
      </c>
      <c r="E14" s="8">
        <f ca="1">IFERROR(__xludf.DUMMYFUNCTION("""COMPUTED_VALUE"""),0.16)</f>
        <v>0.16</v>
      </c>
      <c r="F14" s="8">
        <f ca="1">IFERROR(__xludf.DUMMYFUNCTION("""COMPUTED_VALUE"""),3.47)</f>
        <v>3.47</v>
      </c>
    </row>
    <row r="15" spans="1:6" x14ac:dyDescent="0.2">
      <c r="A15" s="8" t="str">
        <f ca="1">IFERROR(__xludf.DUMMYFUNCTION("""COMPUTED_VALUE"""),"TRPL4")</f>
        <v>TRPL4</v>
      </c>
      <c r="B15" s="16">
        <f ca="1">IFERROR(__xludf.DUMMYFUNCTION("""COMPUTED_VALUE"""),43802)</f>
        <v>43802</v>
      </c>
      <c r="C15" s="8">
        <f ca="1">IFERROR(__xludf.DUMMYFUNCTION("""COMPUTED_VALUE"""),12)</f>
        <v>12</v>
      </c>
      <c r="D15" s="8">
        <f ca="1">IFERROR(__xludf.DUMMYFUNCTION("""COMPUTED_VALUE"""),2019)</f>
        <v>2019</v>
      </c>
      <c r="E15" s="8">
        <f ca="1">IFERROR(__xludf.DUMMYFUNCTION("""COMPUTED_VALUE"""),0.45)</f>
        <v>0.45</v>
      </c>
      <c r="F15" s="8">
        <f ca="1">IFERROR(__xludf.DUMMYFUNCTION("""COMPUTED_VALUE"""),6.23)</f>
        <v>6.23</v>
      </c>
    </row>
    <row r="16" spans="1:6" x14ac:dyDescent="0.2">
      <c r="A16" s="8" t="str">
        <f ca="1">IFERROR(__xludf.DUMMYFUNCTION("""COMPUTED_VALUE"""),"TRPL4")</f>
        <v>TRPL4</v>
      </c>
      <c r="B16" s="16">
        <f ca="1">IFERROR(__xludf.DUMMYFUNCTION("""COMPUTED_VALUE"""),43802)</f>
        <v>43802</v>
      </c>
      <c r="C16" s="8">
        <f ca="1">IFERROR(__xludf.DUMMYFUNCTION("""COMPUTED_VALUE"""),12)</f>
        <v>12</v>
      </c>
      <c r="D16" s="8">
        <f ca="1">IFERROR(__xludf.DUMMYFUNCTION("""COMPUTED_VALUE"""),2019)</f>
        <v>2019</v>
      </c>
      <c r="E16" s="8">
        <f ca="1">IFERROR(__xludf.DUMMYFUNCTION("""COMPUTED_VALUE"""),0.34)</f>
        <v>0.34</v>
      </c>
      <c r="F16" s="8">
        <f ca="1">IFERROR(__xludf.DUMMYFUNCTION("""COMPUTED_VALUE"""),4.03)</f>
        <v>4.03</v>
      </c>
    </row>
    <row r="17" spans="1:6" x14ac:dyDescent="0.2">
      <c r="A17" s="8" t="str">
        <f ca="1">IFERROR(__xludf.DUMMYFUNCTION("""COMPUTED_VALUE"""),"ITUB4")</f>
        <v>ITUB4</v>
      </c>
      <c r="B17" s="16">
        <f ca="1">IFERROR(__xludf.DUMMYFUNCTION("""COMPUTED_VALUE"""),43801)</f>
        <v>43801</v>
      </c>
      <c r="C17" s="8">
        <f ca="1">IFERROR(__xludf.DUMMYFUNCTION("""COMPUTED_VALUE"""),12)</f>
        <v>12</v>
      </c>
      <c r="D17" s="8">
        <f ca="1">IFERROR(__xludf.DUMMYFUNCTION("""COMPUTED_VALUE"""),2019)</f>
        <v>2019</v>
      </c>
      <c r="E17" s="8">
        <f ca="1">IFERROR(__xludf.DUMMYFUNCTION("""COMPUTED_VALUE"""),0.02)</f>
        <v>0.02</v>
      </c>
      <c r="F17" s="8">
        <f ca="1">IFERROR(__xludf.DUMMYFUNCTION("""COMPUTED_VALUE"""),0.24)</f>
        <v>0.24</v>
      </c>
    </row>
    <row r="18" spans="1:6" x14ac:dyDescent="0.2">
      <c r="A18" s="8" t="str">
        <f ca="1">IFERROR(__xludf.DUMMYFUNCTION("""COMPUTED_VALUE"""),"BBAS3")</f>
        <v>BBAS3</v>
      </c>
      <c r="B18" s="16">
        <f ca="1">IFERROR(__xludf.DUMMYFUNCTION("""COMPUTED_VALUE"""),44195)</f>
        <v>44195</v>
      </c>
      <c r="C18" s="8">
        <f ca="1">IFERROR(__xludf.DUMMYFUNCTION("""COMPUTED_VALUE"""),12)</f>
        <v>12</v>
      </c>
      <c r="D18" s="8">
        <f ca="1">IFERROR(__xludf.DUMMYFUNCTION("""COMPUTED_VALUE"""),2020)</f>
        <v>2020</v>
      </c>
      <c r="E18" s="8">
        <f ca="1">IFERROR(__xludf.DUMMYFUNCTION("""COMPUTED_VALUE"""),0.12)</f>
        <v>0.12</v>
      </c>
      <c r="F18" s="8">
        <f ca="1">IFERROR(__xludf.DUMMYFUNCTION("""COMPUTED_VALUE"""),10.15)</f>
        <v>10.15</v>
      </c>
    </row>
    <row r="19" spans="1:6" x14ac:dyDescent="0.2">
      <c r="A19" s="8" t="str">
        <f ca="1">IFERROR(__xludf.DUMMYFUNCTION("""COMPUTED_VALUE"""),"CMIG4")</f>
        <v>CMIG4</v>
      </c>
      <c r="B19" s="16">
        <f ca="1">IFERROR(__xludf.DUMMYFUNCTION("""COMPUTED_VALUE"""),44195)</f>
        <v>44195</v>
      </c>
      <c r="C19" s="8">
        <f ca="1">IFERROR(__xludf.DUMMYFUNCTION("""COMPUTED_VALUE"""),12)</f>
        <v>12</v>
      </c>
      <c r="D19" s="8">
        <f ca="1">IFERROR(__xludf.DUMMYFUNCTION("""COMPUTED_VALUE"""),2020)</f>
        <v>2020</v>
      </c>
      <c r="E19" s="8">
        <f ca="1">IFERROR(__xludf.DUMMYFUNCTION("""COMPUTED_VALUE"""),0.14)</f>
        <v>0.14000000000000001</v>
      </c>
      <c r="F19" s="8">
        <f ca="1">IFERROR(__xludf.DUMMYFUNCTION("""COMPUTED_VALUE"""),1.4)</f>
        <v>1.4</v>
      </c>
    </row>
    <row r="20" spans="1:6" x14ac:dyDescent="0.2">
      <c r="A20" s="8" t="str">
        <f ca="1">IFERROR(__xludf.DUMMYFUNCTION("""COMPUTED_VALUE"""),"CMIG4")</f>
        <v>CMIG4</v>
      </c>
      <c r="B20" s="16">
        <f ca="1">IFERROR(__xludf.DUMMYFUNCTION("""COMPUTED_VALUE"""),44195)</f>
        <v>44195</v>
      </c>
      <c r="C20" s="8">
        <f ca="1">IFERROR(__xludf.DUMMYFUNCTION("""COMPUTED_VALUE"""),12)</f>
        <v>12</v>
      </c>
      <c r="D20" s="8">
        <f ca="1">IFERROR(__xludf.DUMMYFUNCTION("""COMPUTED_VALUE"""),2020)</f>
        <v>2020</v>
      </c>
      <c r="E20" s="8">
        <f ca="1">IFERROR(__xludf.DUMMYFUNCTION("""COMPUTED_VALUE"""),0.14)</f>
        <v>0.14000000000000001</v>
      </c>
      <c r="F20" s="8">
        <f ca="1">IFERROR(__xludf.DUMMYFUNCTION("""COMPUTED_VALUE"""),1.4)</f>
        <v>1.4</v>
      </c>
    </row>
    <row r="21" spans="1:6" x14ac:dyDescent="0.2">
      <c r="A21" s="8" t="str">
        <f ca="1">IFERROR(__xludf.DUMMYFUNCTION("""COMPUTED_VALUE"""),"PETR4")</f>
        <v>PETR4</v>
      </c>
      <c r="B21" s="16">
        <f ca="1">IFERROR(__xludf.DUMMYFUNCTION("""COMPUTED_VALUE"""),44180)</f>
        <v>44180</v>
      </c>
      <c r="C21" s="8">
        <f ca="1">IFERROR(__xludf.DUMMYFUNCTION("""COMPUTED_VALUE"""),12)</f>
        <v>12</v>
      </c>
      <c r="D21" s="8">
        <f ca="1">IFERROR(__xludf.DUMMYFUNCTION("""COMPUTED_VALUE"""),2020)</f>
        <v>2020</v>
      </c>
      <c r="E21" s="8">
        <f ca="1">IFERROR(__xludf.DUMMYFUNCTION("""COMPUTED_VALUE"""),0)</f>
        <v>0</v>
      </c>
      <c r="F21" s="8">
        <f ca="1">IFERROR(__xludf.DUMMYFUNCTION("""COMPUTED_VALUE"""),0.07)</f>
        <v>7.0000000000000007E-2</v>
      </c>
    </row>
    <row r="22" spans="1:6" x14ac:dyDescent="0.2">
      <c r="A22" s="8" t="str">
        <f ca="1">IFERROR(__xludf.DUMMYFUNCTION("""COMPUTED_VALUE"""),"RADL3")</f>
        <v>RADL3</v>
      </c>
      <c r="B22" s="16">
        <f ca="1">IFERROR(__xludf.DUMMYFUNCTION("""COMPUTED_VALUE"""),44168)</f>
        <v>44168</v>
      </c>
      <c r="C22" s="8">
        <f ca="1">IFERROR(__xludf.DUMMYFUNCTION("""COMPUTED_VALUE"""),12)</f>
        <v>12</v>
      </c>
      <c r="D22" s="8">
        <f ca="1">IFERROR(__xludf.DUMMYFUNCTION("""COMPUTED_VALUE"""),2020)</f>
        <v>2020</v>
      </c>
      <c r="E22" s="8">
        <f ca="1">IFERROR(__xludf.DUMMYFUNCTION("""COMPUTED_VALUE"""),0.14)</f>
        <v>0.14000000000000001</v>
      </c>
      <c r="F22" s="8">
        <f ca="1">IFERROR(__xludf.DUMMYFUNCTION("""COMPUTED_VALUE"""),1.82)</f>
        <v>1.82</v>
      </c>
    </row>
    <row r="23" spans="1:6" x14ac:dyDescent="0.2">
      <c r="A23" s="8" t="str">
        <f ca="1">IFERROR(__xludf.DUMMYFUNCTION("""COMPUTED_VALUE"""),"BBAS3")</f>
        <v>BBAS3</v>
      </c>
      <c r="B23" s="16">
        <f ca="1">IFERROR(__xludf.DUMMYFUNCTION("""COMPUTED_VALUE"""),44162)</f>
        <v>44162</v>
      </c>
      <c r="C23" s="8">
        <f ca="1">IFERROR(__xludf.DUMMYFUNCTION("""COMPUTED_VALUE"""),11)</f>
        <v>11</v>
      </c>
      <c r="D23" s="8">
        <f ca="1">IFERROR(__xludf.DUMMYFUNCTION("""COMPUTED_VALUE"""),2020)</f>
        <v>2020</v>
      </c>
      <c r="E23" s="8">
        <f ca="1">IFERROR(__xludf.DUMMYFUNCTION("""COMPUTED_VALUE"""),0.19)</f>
        <v>0.19</v>
      </c>
      <c r="F23" s="8">
        <f ca="1">IFERROR(__xludf.DUMMYFUNCTION("""COMPUTED_VALUE"""),16.89)</f>
        <v>16.89</v>
      </c>
    </row>
    <row r="24" spans="1:6" x14ac:dyDescent="0.2">
      <c r="A24" s="8" t="str">
        <f ca="1">IFERROR(__xludf.DUMMYFUNCTION("""COMPUTED_VALUE"""),"MULT3")</f>
        <v>MULT3</v>
      </c>
      <c r="B24" s="16">
        <f ca="1">IFERROR(__xludf.DUMMYFUNCTION("""COMPUTED_VALUE"""),44127)</f>
        <v>44127</v>
      </c>
      <c r="C24" s="8">
        <f ca="1">IFERROR(__xludf.DUMMYFUNCTION("""COMPUTED_VALUE"""),10)</f>
        <v>10</v>
      </c>
      <c r="D24" s="8">
        <f ca="1">IFERROR(__xludf.DUMMYFUNCTION("""COMPUTED_VALUE"""),2020)</f>
        <v>2020</v>
      </c>
      <c r="E24" s="8">
        <f ca="1">IFERROR(__xludf.DUMMYFUNCTION("""COMPUTED_VALUE"""),0.13)</f>
        <v>0.13</v>
      </c>
      <c r="F24" s="8">
        <f ca="1">IFERROR(__xludf.DUMMYFUNCTION("""COMPUTED_VALUE"""),0.68)</f>
        <v>0.68</v>
      </c>
    </row>
    <row r="25" spans="1:6" x14ac:dyDescent="0.2">
      <c r="A25" s="8" t="str">
        <f ca="1">IFERROR(__xludf.DUMMYFUNCTION("""COMPUTED_VALUE"""),"TOTS3")</f>
        <v>TOTS3</v>
      </c>
      <c r="B25" s="16">
        <f ca="1">IFERROR(__xludf.DUMMYFUNCTION("""COMPUTED_VALUE"""),44126)</f>
        <v>44126</v>
      </c>
      <c r="C25" s="8">
        <f ca="1">IFERROR(__xludf.DUMMYFUNCTION("""COMPUTED_VALUE"""),10)</f>
        <v>10</v>
      </c>
      <c r="D25" s="8">
        <f ca="1">IFERROR(__xludf.DUMMYFUNCTION("""COMPUTED_VALUE"""),2020)</f>
        <v>2020</v>
      </c>
      <c r="E25" s="8">
        <f ca="1">IFERROR(__xludf.DUMMYFUNCTION("""COMPUTED_VALUE"""),0.07)</f>
        <v>7.0000000000000007E-2</v>
      </c>
      <c r="F25" s="8">
        <f ca="1">IFERROR(__xludf.DUMMYFUNCTION("""COMPUTED_VALUE"""),9.05)</f>
        <v>9.0500000000000007</v>
      </c>
    </row>
    <row r="26" spans="1:6" x14ac:dyDescent="0.2">
      <c r="A26" s="8" t="str">
        <f ca="1">IFERROR(__xludf.DUMMYFUNCTION("""COMPUTED_VALUE"""),"B3SA3")</f>
        <v>B3SA3</v>
      </c>
      <c r="B26" s="16">
        <f ca="1">IFERROR(__xludf.DUMMYFUNCTION("""COMPUTED_VALUE"""),44111)</f>
        <v>44111</v>
      </c>
      <c r="C26" s="8">
        <f ca="1">IFERROR(__xludf.DUMMYFUNCTION("""COMPUTED_VALUE"""),10)</f>
        <v>10</v>
      </c>
      <c r="D26" s="8">
        <f ca="1">IFERROR(__xludf.DUMMYFUNCTION("""COMPUTED_VALUE"""),2020)</f>
        <v>2020</v>
      </c>
      <c r="E26" s="8">
        <f ca="1">IFERROR(__xludf.DUMMYFUNCTION("""COMPUTED_VALUE"""),0.65)</f>
        <v>0.65</v>
      </c>
      <c r="F26" s="8">
        <f ca="1">IFERROR(__xludf.DUMMYFUNCTION("""COMPUTED_VALUE"""),73.3)</f>
        <v>73.3</v>
      </c>
    </row>
    <row r="27" spans="1:6" x14ac:dyDescent="0.2">
      <c r="A27" s="8" t="str">
        <f ca="1">IFERROR(__xludf.DUMMYFUNCTION("""COMPUTED_VALUE"""),"B3SA3")</f>
        <v>B3SA3</v>
      </c>
      <c r="B27" s="16">
        <f ca="1">IFERROR(__xludf.DUMMYFUNCTION("""COMPUTED_VALUE"""),44111)</f>
        <v>44111</v>
      </c>
      <c r="C27" s="8">
        <f ca="1">IFERROR(__xludf.DUMMYFUNCTION("""COMPUTED_VALUE"""),10)</f>
        <v>10</v>
      </c>
      <c r="D27" s="8">
        <f ca="1">IFERROR(__xludf.DUMMYFUNCTION("""COMPUTED_VALUE"""),2020)</f>
        <v>2020</v>
      </c>
      <c r="E27" s="8">
        <f ca="1">IFERROR(__xludf.DUMMYFUNCTION("""COMPUTED_VALUE"""),0.15)</f>
        <v>0.15</v>
      </c>
      <c r="F27" s="8">
        <f ca="1">IFERROR(__xludf.DUMMYFUNCTION("""COMPUTED_VALUE"""),14.2)</f>
        <v>14.2</v>
      </c>
    </row>
    <row r="28" spans="1:6" x14ac:dyDescent="0.2">
      <c r="A28" s="8" t="str">
        <f ca="1">IFERROR(__xludf.DUMMYFUNCTION("""COMPUTED_VALUE"""),"BBAS3")</f>
        <v>BBAS3</v>
      </c>
      <c r="B28" s="16">
        <f ca="1">IFERROR(__xludf.DUMMYFUNCTION("""COMPUTED_VALUE"""),44104)</f>
        <v>44104</v>
      </c>
      <c r="C28" s="8">
        <f ca="1">IFERROR(__xludf.DUMMYFUNCTION("""COMPUTED_VALUE"""),9)</f>
        <v>9</v>
      </c>
      <c r="D28" s="8">
        <f ca="1">IFERROR(__xludf.DUMMYFUNCTION("""COMPUTED_VALUE"""),2020)</f>
        <v>2020</v>
      </c>
      <c r="E28" s="8">
        <f ca="1">IFERROR(__xludf.DUMMYFUNCTION("""COMPUTED_VALUE"""),0.1)</f>
        <v>0.1</v>
      </c>
      <c r="F28" s="8">
        <f ca="1">IFERROR(__xludf.DUMMYFUNCTION("""COMPUTED_VALUE"""),11.11)</f>
        <v>11.11</v>
      </c>
    </row>
    <row r="29" spans="1:6" x14ac:dyDescent="0.2">
      <c r="A29" s="8" t="str">
        <f ca="1">IFERROR(__xludf.DUMMYFUNCTION("""COMPUTED_VALUE"""),"CPLE6")</f>
        <v>CPLE6</v>
      </c>
      <c r="B29" s="16">
        <f ca="1">IFERROR(__xludf.DUMMYFUNCTION("""COMPUTED_VALUE"""),44104)</f>
        <v>44104</v>
      </c>
      <c r="C29" s="8">
        <f ca="1">IFERROR(__xludf.DUMMYFUNCTION("""COMPUTED_VALUE"""),9)</f>
        <v>9</v>
      </c>
      <c r="D29" s="8">
        <f ca="1">IFERROR(__xludf.DUMMYFUNCTION("""COMPUTED_VALUE"""),2020)</f>
        <v>2020</v>
      </c>
      <c r="E29" s="8">
        <f ca="1">IFERROR(__xludf.DUMMYFUNCTION("""COMPUTED_VALUE"""),1.23)</f>
        <v>1.23</v>
      </c>
      <c r="F29" s="8">
        <f ca="1">IFERROR(__xludf.DUMMYFUNCTION("""COMPUTED_VALUE"""),4.2)</f>
        <v>4.2</v>
      </c>
    </row>
    <row r="30" spans="1:6" x14ac:dyDescent="0.2">
      <c r="A30" s="8" t="str">
        <f ca="1">IFERROR(__xludf.DUMMYFUNCTION("""COMPUTED_VALUE"""),"VALE3")</f>
        <v>VALE3</v>
      </c>
      <c r="B30" s="16">
        <f ca="1">IFERROR(__xludf.DUMMYFUNCTION("""COMPUTED_VALUE"""),44104)</f>
        <v>44104</v>
      </c>
      <c r="C30" s="8">
        <f ca="1">IFERROR(__xludf.DUMMYFUNCTION("""COMPUTED_VALUE"""),9)</f>
        <v>9</v>
      </c>
      <c r="D30" s="8">
        <f ca="1">IFERROR(__xludf.DUMMYFUNCTION("""COMPUTED_VALUE"""),2020)</f>
        <v>2020</v>
      </c>
      <c r="E30" s="8">
        <f ca="1">IFERROR(__xludf.DUMMYFUNCTION("""COMPUTED_VALUE"""),1.41)</f>
        <v>1.41</v>
      </c>
      <c r="F30" s="8">
        <f ca="1">IFERROR(__xludf.DUMMYFUNCTION("""COMPUTED_VALUE"""),91.66)</f>
        <v>91.66</v>
      </c>
    </row>
    <row r="31" spans="1:6" x14ac:dyDescent="0.2">
      <c r="A31" s="8" t="str">
        <f ca="1">IFERROR(__xludf.DUMMYFUNCTION("""COMPUTED_VALUE"""),"VALE3")</f>
        <v>VALE3</v>
      </c>
      <c r="B31" s="16">
        <f ca="1">IFERROR(__xludf.DUMMYFUNCTION("""COMPUTED_VALUE"""),44104)</f>
        <v>44104</v>
      </c>
      <c r="C31" s="8">
        <f ca="1">IFERROR(__xludf.DUMMYFUNCTION("""COMPUTED_VALUE"""),9)</f>
        <v>9</v>
      </c>
      <c r="D31" s="8">
        <f ca="1">IFERROR(__xludf.DUMMYFUNCTION("""COMPUTED_VALUE"""),2020)</f>
        <v>2020</v>
      </c>
      <c r="E31" s="8">
        <f ca="1">IFERROR(__xludf.DUMMYFUNCTION("""COMPUTED_VALUE"""),1)</f>
        <v>1</v>
      </c>
      <c r="F31" s="8">
        <f ca="1">IFERROR(__xludf.DUMMYFUNCTION("""COMPUTED_VALUE"""),55.1)</f>
        <v>55.1</v>
      </c>
    </row>
    <row r="32" spans="1:6" x14ac:dyDescent="0.2">
      <c r="A32" s="8" t="str">
        <f ca="1">IFERROR(__xludf.DUMMYFUNCTION("""COMPUTED_VALUE"""),"BBAS3")</f>
        <v>BBAS3</v>
      </c>
      <c r="B32" s="16">
        <f ca="1">IFERROR(__xludf.DUMMYFUNCTION("""COMPUTED_VALUE"""),44074)</f>
        <v>44074</v>
      </c>
      <c r="C32" s="8">
        <f ca="1">IFERROR(__xludf.DUMMYFUNCTION("""COMPUTED_VALUE"""),8)</f>
        <v>8</v>
      </c>
      <c r="D32" s="8">
        <f ca="1">IFERROR(__xludf.DUMMYFUNCTION("""COMPUTED_VALUE"""),2020)</f>
        <v>2020</v>
      </c>
      <c r="E32" s="8">
        <f ca="1">IFERROR(__xludf.DUMMYFUNCTION("""COMPUTED_VALUE"""),0.44)</f>
        <v>0.44</v>
      </c>
      <c r="F32" s="8">
        <f ca="1">IFERROR(__xludf.DUMMYFUNCTION("""COMPUTED_VALUE"""),44.57)</f>
        <v>44.57</v>
      </c>
    </row>
    <row r="33" spans="1:6" x14ac:dyDescent="0.2">
      <c r="A33" s="8" t="str">
        <f ca="1">IFERROR(__xludf.DUMMYFUNCTION("""COMPUTED_VALUE"""),"BBAS3")</f>
        <v>BBAS3</v>
      </c>
      <c r="B33" s="16">
        <f ca="1">IFERROR(__xludf.DUMMYFUNCTION("""COMPUTED_VALUE"""),44074)</f>
        <v>44074</v>
      </c>
      <c r="C33" s="8">
        <f ca="1">IFERROR(__xludf.DUMMYFUNCTION("""COMPUTED_VALUE"""),8)</f>
        <v>8</v>
      </c>
      <c r="D33" s="8">
        <f ca="1">IFERROR(__xludf.DUMMYFUNCTION("""COMPUTED_VALUE"""),2020)</f>
        <v>2020</v>
      </c>
      <c r="E33" s="8">
        <f ca="1">IFERROR(__xludf.DUMMYFUNCTION("""COMPUTED_VALUE"""),0)</f>
        <v>0</v>
      </c>
      <c r="F33" s="8">
        <f ca="1">IFERROR(__xludf.DUMMYFUNCTION("""COMPUTED_VALUE"""),0.14)</f>
        <v>0.14000000000000001</v>
      </c>
    </row>
    <row r="34" spans="1:6" x14ac:dyDescent="0.2">
      <c r="A34" s="8" t="str">
        <f ca="1">IFERROR(__xludf.DUMMYFUNCTION("""COMPUTED_VALUE"""),"PSSA3")</f>
        <v>PSSA3</v>
      </c>
      <c r="B34" s="16">
        <f ca="1">IFERROR(__xludf.DUMMYFUNCTION("""COMPUTED_VALUE"""),44071)</f>
        <v>44071</v>
      </c>
      <c r="C34" s="8">
        <f ca="1">IFERROR(__xludf.DUMMYFUNCTION("""COMPUTED_VALUE"""),8)</f>
        <v>8</v>
      </c>
      <c r="D34" s="8">
        <f ca="1">IFERROR(__xludf.DUMMYFUNCTION("""COMPUTED_VALUE"""),2020)</f>
        <v>2020</v>
      </c>
      <c r="E34" s="8">
        <f ca="1">IFERROR(__xludf.DUMMYFUNCTION("""COMPUTED_VALUE"""),0.98)</f>
        <v>0.98</v>
      </c>
      <c r="F34" s="8">
        <f ca="1">IFERROR(__xludf.DUMMYFUNCTION("""COMPUTED_VALUE"""),33.48)</f>
        <v>33.479999999999997</v>
      </c>
    </row>
    <row r="35" spans="1:6" x14ac:dyDescent="0.2">
      <c r="A35" s="8" t="str">
        <f ca="1">IFERROR(__xludf.DUMMYFUNCTION("""COMPUTED_VALUE"""),"MGLU3")</f>
        <v>MGLU3</v>
      </c>
      <c r="B35" s="16">
        <f ca="1">IFERROR(__xludf.DUMMYFUNCTION("""COMPUTED_VALUE"""),44062)</f>
        <v>44062</v>
      </c>
      <c r="C35" s="8">
        <f ca="1">IFERROR(__xludf.DUMMYFUNCTION("""COMPUTED_VALUE"""),8)</f>
        <v>8</v>
      </c>
      <c r="D35" s="8">
        <f ca="1">IFERROR(__xludf.DUMMYFUNCTION("""COMPUTED_VALUE"""),2020)</f>
        <v>2020</v>
      </c>
      <c r="E35" s="8">
        <f ca="1">IFERROR(__xludf.DUMMYFUNCTION("""COMPUTED_VALUE"""),0.04)</f>
        <v>0.04</v>
      </c>
      <c r="F35" s="8">
        <f ca="1">IFERROR(__xludf.DUMMYFUNCTION("""COMPUTED_VALUE"""),0.76)</f>
        <v>0.76</v>
      </c>
    </row>
    <row r="36" spans="1:6" x14ac:dyDescent="0.2">
      <c r="A36" s="8" t="str">
        <f ca="1">IFERROR(__xludf.DUMMYFUNCTION("""COMPUTED_VALUE"""),"MGLU3")</f>
        <v>MGLU3</v>
      </c>
      <c r="B36" s="16">
        <f ca="1">IFERROR(__xludf.DUMMYFUNCTION("""COMPUTED_VALUE"""),44062)</f>
        <v>44062</v>
      </c>
      <c r="C36" s="8">
        <f ca="1">IFERROR(__xludf.DUMMYFUNCTION("""COMPUTED_VALUE"""),8)</f>
        <v>8</v>
      </c>
      <c r="D36" s="8">
        <f ca="1">IFERROR(__xludf.DUMMYFUNCTION("""COMPUTED_VALUE"""),2020)</f>
        <v>2020</v>
      </c>
      <c r="E36" s="8">
        <f ca="1">IFERROR(__xludf.DUMMYFUNCTION("""COMPUTED_VALUE"""),0.07)</f>
        <v>7.0000000000000007E-2</v>
      </c>
      <c r="F36" s="8">
        <f ca="1">IFERROR(__xludf.DUMMYFUNCTION("""COMPUTED_VALUE"""),4.13)</f>
        <v>4.13</v>
      </c>
    </row>
    <row r="37" spans="1:6" x14ac:dyDescent="0.2">
      <c r="A37" s="8" t="str">
        <f ca="1">IFERROR(__xludf.DUMMYFUNCTION("""COMPUTED_VALUE"""),"WEGE3")</f>
        <v>WEGE3</v>
      </c>
      <c r="B37" s="16">
        <f ca="1">IFERROR(__xludf.DUMMYFUNCTION("""COMPUTED_VALUE"""),44055)</f>
        <v>44055</v>
      </c>
      <c r="C37" s="8">
        <f ca="1">IFERROR(__xludf.DUMMYFUNCTION("""COMPUTED_VALUE"""),8)</f>
        <v>8</v>
      </c>
      <c r="D37" s="8">
        <f ca="1">IFERROR(__xludf.DUMMYFUNCTION("""COMPUTED_VALUE"""),2020)</f>
        <v>2020</v>
      </c>
      <c r="E37" s="8">
        <f ca="1">IFERROR(__xludf.DUMMYFUNCTION("""COMPUTED_VALUE"""),0.13)</f>
        <v>0.13</v>
      </c>
      <c r="F37" s="8">
        <f ca="1">IFERROR(__xludf.DUMMYFUNCTION("""COMPUTED_VALUE"""),12.04)</f>
        <v>12.04</v>
      </c>
    </row>
    <row r="38" spans="1:6" x14ac:dyDescent="0.2">
      <c r="A38" s="8" t="str">
        <f ca="1">IFERROR(__xludf.DUMMYFUNCTION("""COMPUTED_VALUE"""),"WEGE3")</f>
        <v>WEGE3</v>
      </c>
      <c r="B38" s="16">
        <f ca="1">IFERROR(__xludf.DUMMYFUNCTION("""COMPUTED_VALUE"""),44055)</f>
        <v>44055</v>
      </c>
      <c r="C38" s="8">
        <f ca="1">IFERROR(__xludf.DUMMYFUNCTION("""COMPUTED_VALUE"""),8)</f>
        <v>8</v>
      </c>
      <c r="D38" s="8">
        <f ca="1">IFERROR(__xludf.DUMMYFUNCTION("""COMPUTED_VALUE"""),2020)</f>
        <v>2020</v>
      </c>
      <c r="E38" s="8">
        <f ca="1">IFERROR(__xludf.DUMMYFUNCTION("""COMPUTED_VALUE"""),0.04)</f>
        <v>0.04</v>
      </c>
      <c r="F38" s="8">
        <f ca="1">IFERROR(__xludf.DUMMYFUNCTION("""COMPUTED_VALUE"""),2.24)</f>
        <v>2.2400000000000002</v>
      </c>
    </row>
    <row r="39" spans="1:6" x14ac:dyDescent="0.2">
      <c r="A39" s="8" t="str">
        <f ca="1">IFERROR(__xludf.DUMMYFUNCTION("""COMPUTED_VALUE"""),"WEGE3")</f>
        <v>WEGE3</v>
      </c>
      <c r="B39" s="16">
        <f ca="1">IFERROR(__xludf.DUMMYFUNCTION("""COMPUTED_VALUE"""),44055)</f>
        <v>44055</v>
      </c>
      <c r="C39" s="8">
        <f ca="1">IFERROR(__xludf.DUMMYFUNCTION("""COMPUTED_VALUE"""),8)</f>
        <v>8</v>
      </c>
      <c r="D39" s="8">
        <f ca="1">IFERROR(__xludf.DUMMYFUNCTION("""COMPUTED_VALUE"""),2020)</f>
        <v>2020</v>
      </c>
      <c r="E39" s="8">
        <f ca="1">IFERROR(__xludf.DUMMYFUNCTION("""COMPUTED_VALUE"""),0.03)</f>
        <v>0.03</v>
      </c>
      <c r="F39" s="8">
        <f ca="1">IFERROR(__xludf.DUMMYFUNCTION("""COMPUTED_VALUE"""),1.21)</f>
        <v>1.21</v>
      </c>
    </row>
    <row r="40" spans="1:6" x14ac:dyDescent="0.2">
      <c r="A40" s="8" t="str">
        <f ca="1">IFERROR(__xludf.DUMMYFUNCTION("""COMPUTED_VALUE"""),"B3SA3")</f>
        <v>B3SA3</v>
      </c>
      <c r="B40" s="16">
        <f ca="1">IFERROR(__xludf.DUMMYFUNCTION("""COMPUTED_VALUE"""),44050)</f>
        <v>44050</v>
      </c>
      <c r="C40" s="8">
        <f ca="1">IFERROR(__xludf.DUMMYFUNCTION("""COMPUTED_VALUE"""),8)</f>
        <v>8</v>
      </c>
      <c r="D40" s="8">
        <f ca="1">IFERROR(__xludf.DUMMYFUNCTION("""COMPUTED_VALUE"""),2020)</f>
        <v>2020</v>
      </c>
      <c r="E40" s="8">
        <f ca="1">IFERROR(__xludf.DUMMYFUNCTION("""COMPUTED_VALUE"""),0.15)</f>
        <v>0.15</v>
      </c>
      <c r="F40" s="8">
        <f ca="1">IFERROR(__xludf.DUMMYFUNCTION("""COMPUTED_VALUE"""),2.25)</f>
        <v>2.25</v>
      </c>
    </row>
    <row r="41" spans="1:6" x14ac:dyDescent="0.2">
      <c r="A41" s="8" t="str">
        <f ca="1">IFERROR(__xludf.DUMMYFUNCTION("""COMPUTED_VALUE"""),"B3SA3")</f>
        <v>B3SA3</v>
      </c>
      <c r="B41" s="16">
        <f ca="1">IFERROR(__xludf.DUMMYFUNCTION("""COMPUTED_VALUE"""),44050)</f>
        <v>44050</v>
      </c>
      <c r="C41" s="8">
        <f ca="1">IFERROR(__xludf.DUMMYFUNCTION("""COMPUTED_VALUE"""),8)</f>
        <v>8</v>
      </c>
      <c r="D41" s="8">
        <f ca="1">IFERROR(__xludf.DUMMYFUNCTION("""COMPUTED_VALUE"""),2020)</f>
        <v>2020</v>
      </c>
      <c r="E41" s="8">
        <f ca="1">IFERROR(__xludf.DUMMYFUNCTION("""COMPUTED_VALUE"""),0.15)</f>
        <v>0.15</v>
      </c>
      <c r="F41" s="8">
        <f ca="1">IFERROR(__xludf.DUMMYFUNCTION("""COMPUTED_VALUE"""),9.24)</f>
        <v>9.24</v>
      </c>
    </row>
    <row r="42" spans="1:6" x14ac:dyDescent="0.2">
      <c r="A42" s="8" t="str">
        <f ca="1">IFERROR(__xludf.DUMMYFUNCTION("""COMPUTED_VALUE"""),"VALE3")</f>
        <v>VALE3</v>
      </c>
      <c r="B42" s="16">
        <f ca="1">IFERROR(__xludf.DUMMYFUNCTION("""COMPUTED_VALUE"""),44050)</f>
        <v>44050</v>
      </c>
      <c r="C42" s="8">
        <f ca="1">IFERROR(__xludf.DUMMYFUNCTION("""COMPUTED_VALUE"""),8)</f>
        <v>8</v>
      </c>
      <c r="D42" s="8">
        <f ca="1">IFERROR(__xludf.DUMMYFUNCTION("""COMPUTED_VALUE"""),2020)</f>
        <v>2020</v>
      </c>
      <c r="E42" s="8">
        <f ca="1">IFERROR(__xludf.DUMMYFUNCTION("""COMPUTED_VALUE"""),1.41)</f>
        <v>1.41</v>
      </c>
      <c r="F42" s="8">
        <f ca="1">IFERROR(__xludf.DUMMYFUNCTION("""COMPUTED_VALUE"""),33.66)</f>
        <v>33.659999999999997</v>
      </c>
    </row>
    <row r="43" spans="1:6" x14ac:dyDescent="0.2">
      <c r="A43" s="8" t="str">
        <f ca="1">IFERROR(__xludf.DUMMYFUNCTION("""COMPUTED_VALUE"""),"ITUB4")</f>
        <v>ITUB4</v>
      </c>
      <c r="B43" s="16">
        <f ca="1">IFERROR(__xludf.DUMMYFUNCTION("""COMPUTED_VALUE"""),44046)</f>
        <v>44046</v>
      </c>
      <c r="C43" s="8">
        <f ca="1">IFERROR(__xludf.DUMMYFUNCTION("""COMPUTED_VALUE"""),8)</f>
        <v>8</v>
      </c>
      <c r="D43" s="8">
        <f ca="1">IFERROR(__xludf.DUMMYFUNCTION("""COMPUTED_VALUE"""),2020)</f>
        <v>2020</v>
      </c>
      <c r="E43" s="8">
        <f ca="1">IFERROR(__xludf.DUMMYFUNCTION("""COMPUTED_VALUE"""),0.02)</f>
        <v>0.02</v>
      </c>
      <c r="F43" s="8">
        <f ca="1">IFERROR(__xludf.DUMMYFUNCTION("""COMPUTED_VALUE"""),1.77)</f>
        <v>1.77</v>
      </c>
    </row>
    <row r="44" spans="1:6" x14ac:dyDescent="0.2">
      <c r="A44" s="8" t="str">
        <f ca="1">IFERROR(__xludf.DUMMYFUNCTION("""COMPUTED_VALUE"""),"ITUB4")</f>
        <v>ITUB4</v>
      </c>
      <c r="B44" s="16">
        <f ca="1">IFERROR(__xludf.DUMMYFUNCTION("""COMPUTED_VALUE"""),44013)</f>
        <v>44013</v>
      </c>
      <c r="C44" s="8">
        <f ca="1">IFERROR(__xludf.DUMMYFUNCTION("""COMPUTED_VALUE"""),7)</f>
        <v>7</v>
      </c>
      <c r="D44" s="8">
        <f ca="1">IFERROR(__xludf.DUMMYFUNCTION("""COMPUTED_VALUE"""),2020)</f>
        <v>2020</v>
      </c>
      <c r="E44" s="8">
        <f ca="1">IFERROR(__xludf.DUMMYFUNCTION("""COMPUTED_VALUE"""),0.02)</f>
        <v>0.02</v>
      </c>
      <c r="F44" s="8">
        <f ca="1">IFERROR(__xludf.DUMMYFUNCTION("""COMPUTED_VALUE"""),1.77)</f>
        <v>1.77</v>
      </c>
    </row>
    <row r="45" spans="1:6" x14ac:dyDescent="0.2">
      <c r="A45" s="8" t="str">
        <f ca="1">IFERROR(__xludf.DUMMYFUNCTION("""COMPUTED_VALUE"""),"CPLE6")</f>
        <v>CPLE6</v>
      </c>
      <c r="B45" s="16">
        <f ca="1">IFERROR(__xludf.DUMMYFUNCTION("""COMPUTED_VALUE"""),44011)</f>
        <v>44011</v>
      </c>
      <c r="C45" s="8">
        <f ca="1">IFERROR(__xludf.DUMMYFUNCTION("""COMPUTED_VALUE"""),6)</f>
        <v>6</v>
      </c>
      <c r="D45" s="8">
        <f ca="1">IFERROR(__xludf.DUMMYFUNCTION("""COMPUTED_VALUE"""),2020)</f>
        <v>2020</v>
      </c>
      <c r="E45" s="8">
        <f ca="1">IFERROR(__xludf.DUMMYFUNCTION("""COMPUTED_VALUE"""),1.23)</f>
        <v>1.23</v>
      </c>
      <c r="F45" s="8">
        <f ca="1">IFERROR(__xludf.DUMMYFUNCTION("""COMPUTED_VALUE"""),4.2)</f>
        <v>4.2</v>
      </c>
    </row>
    <row r="46" spans="1:6" x14ac:dyDescent="0.2">
      <c r="A46" s="8" t="str">
        <f ca="1">IFERROR(__xludf.DUMMYFUNCTION("""COMPUTED_VALUE"""),"ITUB4")</f>
        <v>ITUB4</v>
      </c>
      <c r="B46" s="16">
        <f ca="1">IFERROR(__xludf.DUMMYFUNCTION("""COMPUTED_VALUE"""),43983)</f>
        <v>43983</v>
      </c>
      <c r="C46" s="8">
        <f ca="1">IFERROR(__xludf.DUMMYFUNCTION("""COMPUTED_VALUE"""),6)</f>
        <v>6</v>
      </c>
      <c r="D46" s="8">
        <f ca="1">IFERROR(__xludf.DUMMYFUNCTION("""COMPUTED_VALUE"""),2020)</f>
        <v>2020</v>
      </c>
      <c r="E46" s="8">
        <f ca="1">IFERROR(__xludf.DUMMYFUNCTION("""COMPUTED_VALUE"""),0.02)</f>
        <v>0.02</v>
      </c>
      <c r="F46" s="8">
        <f ca="1">IFERROR(__xludf.DUMMYFUNCTION("""COMPUTED_VALUE"""),1.35)</f>
        <v>1.35</v>
      </c>
    </row>
    <row r="47" spans="1:6" x14ac:dyDescent="0.2">
      <c r="A47" s="8" t="str">
        <f ca="1">IFERROR(__xludf.DUMMYFUNCTION("""COMPUTED_VALUE"""),"RADL3")</f>
        <v>RADL3</v>
      </c>
      <c r="B47" s="16">
        <f ca="1">IFERROR(__xludf.DUMMYFUNCTION("""COMPUTED_VALUE"""),43980)</f>
        <v>43980</v>
      </c>
      <c r="C47" s="8">
        <f ca="1">IFERROR(__xludf.DUMMYFUNCTION("""COMPUTED_VALUE"""),5)</f>
        <v>5</v>
      </c>
      <c r="D47" s="8">
        <f ca="1">IFERROR(__xludf.DUMMYFUNCTION("""COMPUTED_VALUE"""),2020)</f>
        <v>2020</v>
      </c>
      <c r="E47" s="8">
        <f ca="1">IFERROR(__xludf.DUMMYFUNCTION("""COMPUTED_VALUE"""),0.06)</f>
        <v>0.06</v>
      </c>
      <c r="F47" s="8">
        <f ca="1">IFERROR(__xludf.DUMMYFUNCTION("""COMPUTED_VALUE"""),0.97)</f>
        <v>0.97</v>
      </c>
    </row>
    <row r="48" spans="1:6" x14ac:dyDescent="0.2">
      <c r="A48" s="8" t="str">
        <f ca="1">IFERROR(__xludf.DUMMYFUNCTION("""COMPUTED_VALUE"""),"HGCR11")</f>
        <v>HGCR11</v>
      </c>
      <c r="B48" s="16">
        <f ca="1">IFERROR(__xludf.DUMMYFUNCTION("""COMPUTED_VALUE"""),43966)</f>
        <v>43966</v>
      </c>
      <c r="C48" s="8">
        <f ca="1">IFERROR(__xludf.DUMMYFUNCTION("""COMPUTED_VALUE"""),5)</f>
        <v>5</v>
      </c>
      <c r="D48" s="8">
        <f ca="1">IFERROR(__xludf.DUMMYFUNCTION("""COMPUTED_VALUE"""),2020)</f>
        <v>2020</v>
      </c>
      <c r="E48" s="8">
        <f ca="1">IFERROR(__xludf.DUMMYFUNCTION("""COMPUTED_VALUE"""),0)</f>
        <v>0</v>
      </c>
      <c r="F48" s="8">
        <f ca="1">IFERROR(__xludf.DUMMYFUNCTION("""COMPUTED_VALUE"""),1.8)</f>
        <v>1.8</v>
      </c>
    </row>
    <row r="49" spans="1:6" x14ac:dyDescent="0.2">
      <c r="A49" s="8" t="str">
        <f ca="1">IFERROR(__xludf.DUMMYFUNCTION("""COMPUTED_VALUE"""),"KNRI11")</f>
        <v>KNRI11</v>
      </c>
      <c r="B49" s="16">
        <f ca="1">IFERROR(__xludf.DUMMYFUNCTION("""COMPUTED_VALUE"""),43966)</f>
        <v>43966</v>
      </c>
      <c r="C49" s="8">
        <f ca="1">IFERROR(__xludf.DUMMYFUNCTION("""COMPUTED_VALUE"""),5)</f>
        <v>5</v>
      </c>
      <c r="D49" s="8">
        <f ca="1">IFERROR(__xludf.DUMMYFUNCTION("""COMPUTED_VALUE"""),2020)</f>
        <v>2020</v>
      </c>
      <c r="E49" s="8">
        <f ca="1">IFERROR(__xludf.DUMMYFUNCTION("""COMPUTED_VALUE"""),0)</f>
        <v>0</v>
      </c>
      <c r="F49" s="8">
        <f ca="1">IFERROR(__xludf.DUMMYFUNCTION("""COMPUTED_VALUE"""),0.65)</f>
        <v>0.65</v>
      </c>
    </row>
    <row r="50" spans="1:6" x14ac:dyDescent="0.2">
      <c r="A50" s="8" t="str">
        <f ca="1">IFERROR(__xludf.DUMMYFUNCTION("""COMPUTED_VALUE"""),"KNCR11")</f>
        <v>KNCR11</v>
      </c>
      <c r="B50" s="16">
        <f ca="1">IFERROR(__xludf.DUMMYFUNCTION("""COMPUTED_VALUE"""),43965)</f>
        <v>43965</v>
      </c>
      <c r="C50" s="8">
        <f ca="1">IFERROR(__xludf.DUMMYFUNCTION("""COMPUTED_VALUE"""),5)</f>
        <v>5</v>
      </c>
      <c r="D50" s="8">
        <f ca="1">IFERROR(__xludf.DUMMYFUNCTION("""COMPUTED_VALUE"""),2020)</f>
        <v>2020</v>
      </c>
      <c r="E50" s="8">
        <f ca="1">IFERROR(__xludf.DUMMYFUNCTION("""COMPUTED_VALUE"""),0)</f>
        <v>0</v>
      </c>
      <c r="F50" s="8">
        <f ca="1">IFERROR(__xludf.DUMMYFUNCTION("""COMPUTED_VALUE"""),1.4)</f>
        <v>1.4</v>
      </c>
    </row>
    <row r="51" spans="1:6" x14ac:dyDescent="0.2">
      <c r="A51" s="8" t="str">
        <f ca="1">IFERROR(__xludf.DUMMYFUNCTION("""COMPUTED_VALUE"""),"LREN3")</f>
        <v>LREN3</v>
      </c>
      <c r="B51" s="16">
        <f ca="1">IFERROR(__xludf.DUMMYFUNCTION("""COMPUTED_VALUE"""),43959)</f>
        <v>43959</v>
      </c>
      <c r="C51" s="8">
        <f ca="1">IFERROR(__xludf.DUMMYFUNCTION("""COMPUTED_VALUE"""),5)</f>
        <v>5</v>
      </c>
      <c r="D51" s="8">
        <f ca="1">IFERROR(__xludf.DUMMYFUNCTION("""COMPUTED_VALUE"""),2020)</f>
        <v>2020</v>
      </c>
      <c r="E51" s="8">
        <f ca="1">IFERROR(__xludf.DUMMYFUNCTION("""COMPUTED_VALUE"""),0.08)</f>
        <v>0.08</v>
      </c>
      <c r="F51" s="8">
        <f ca="1">IFERROR(__xludf.DUMMYFUNCTION("""COMPUTED_VALUE"""),0.4)</f>
        <v>0.4</v>
      </c>
    </row>
    <row r="52" spans="1:6" x14ac:dyDescent="0.2">
      <c r="A52" s="8" t="str">
        <f ca="1">IFERROR(__xludf.DUMMYFUNCTION("""COMPUTED_VALUE"""),"LREN3")</f>
        <v>LREN3</v>
      </c>
      <c r="B52" s="16">
        <f ca="1">IFERROR(__xludf.DUMMYFUNCTION("""COMPUTED_VALUE"""),43959)</f>
        <v>43959</v>
      </c>
      <c r="C52" s="8">
        <f ca="1">IFERROR(__xludf.DUMMYFUNCTION("""COMPUTED_VALUE"""),5)</f>
        <v>5</v>
      </c>
      <c r="D52" s="8">
        <f ca="1">IFERROR(__xludf.DUMMYFUNCTION("""COMPUTED_VALUE"""),2020)</f>
        <v>2020</v>
      </c>
      <c r="E52" s="8">
        <f ca="1">IFERROR(__xludf.DUMMYFUNCTION("""COMPUTED_VALUE"""),0.08)</f>
        <v>0.08</v>
      </c>
      <c r="F52" s="8">
        <f ca="1">IFERROR(__xludf.DUMMYFUNCTION("""COMPUTED_VALUE"""),0.33)</f>
        <v>0.33</v>
      </c>
    </row>
    <row r="53" spans="1:6" x14ac:dyDescent="0.2">
      <c r="A53" s="8" t="str">
        <f ca="1">IFERROR(__xludf.DUMMYFUNCTION("""COMPUTED_VALUE"""),"JBSS3")</f>
        <v>JBSS3</v>
      </c>
      <c r="B53" s="16">
        <f ca="1">IFERROR(__xludf.DUMMYFUNCTION("""COMPUTED_VALUE"""),43958)</f>
        <v>43958</v>
      </c>
      <c r="C53" s="8">
        <f ca="1">IFERROR(__xludf.DUMMYFUNCTION("""COMPUTED_VALUE"""),5)</f>
        <v>5</v>
      </c>
      <c r="D53" s="8">
        <f ca="1">IFERROR(__xludf.DUMMYFUNCTION("""COMPUTED_VALUE"""),2020)</f>
        <v>2020</v>
      </c>
      <c r="E53" s="8">
        <f ca="1">IFERROR(__xludf.DUMMYFUNCTION("""COMPUTED_VALUE"""),0.54)</f>
        <v>0.54</v>
      </c>
      <c r="F53" s="8">
        <f ca="1">IFERROR(__xludf.DUMMYFUNCTION("""COMPUTED_VALUE"""),50.81)</f>
        <v>50.81</v>
      </c>
    </row>
    <row r="54" spans="1:6" x14ac:dyDescent="0.2">
      <c r="A54" s="8" t="str">
        <f ca="1">IFERROR(__xludf.DUMMYFUNCTION("""COMPUTED_VALUE"""),"ITUB4")</f>
        <v>ITUB4</v>
      </c>
      <c r="B54" s="16">
        <f ca="1">IFERROR(__xludf.DUMMYFUNCTION("""COMPUTED_VALUE"""),43955)</f>
        <v>43955</v>
      </c>
      <c r="C54" s="8">
        <f ca="1">IFERROR(__xludf.DUMMYFUNCTION("""COMPUTED_VALUE"""),5)</f>
        <v>5</v>
      </c>
      <c r="D54" s="8">
        <f ca="1">IFERROR(__xludf.DUMMYFUNCTION("""COMPUTED_VALUE"""),2020)</f>
        <v>2020</v>
      </c>
      <c r="E54" s="8">
        <f ca="1">IFERROR(__xludf.DUMMYFUNCTION("""COMPUTED_VALUE"""),0.02)</f>
        <v>0.02</v>
      </c>
      <c r="F54" s="8">
        <f ca="1">IFERROR(__xludf.DUMMYFUNCTION("""COMPUTED_VALUE"""),1.08)</f>
        <v>1.08</v>
      </c>
    </row>
    <row r="55" spans="1:6" x14ac:dyDescent="0.2">
      <c r="A55" s="8" t="str">
        <f ca="1">IFERROR(__xludf.DUMMYFUNCTION("""COMPUTED_VALUE"""),"BCFF11")</f>
        <v>BCFF11</v>
      </c>
      <c r="B55" s="16">
        <f ca="1">IFERROR(__xludf.DUMMYFUNCTION("""COMPUTED_VALUE"""),43936)</f>
        <v>43936</v>
      </c>
      <c r="C55" s="8">
        <f ca="1">IFERROR(__xludf.DUMMYFUNCTION("""COMPUTED_VALUE"""),4)</f>
        <v>4</v>
      </c>
      <c r="D55" s="8">
        <f ca="1">IFERROR(__xludf.DUMMYFUNCTION("""COMPUTED_VALUE"""),2020)</f>
        <v>2020</v>
      </c>
      <c r="E55" s="8">
        <f ca="1">IFERROR(__xludf.DUMMYFUNCTION("""COMPUTED_VALUE"""),0)</f>
        <v>0</v>
      </c>
      <c r="F55" s="8">
        <f ca="1">IFERROR(__xludf.DUMMYFUNCTION("""COMPUTED_VALUE"""),4)</f>
        <v>4</v>
      </c>
    </row>
    <row r="56" spans="1:6" x14ac:dyDescent="0.2">
      <c r="A56" s="8" t="str">
        <f ca="1">IFERROR(__xludf.DUMMYFUNCTION("""COMPUTED_VALUE"""),"HGCR11")</f>
        <v>HGCR11</v>
      </c>
      <c r="B56" s="16">
        <f ca="1">IFERROR(__xludf.DUMMYFUNCTION("""COMPUTED_VALUE"""),43936)</f>
        <v>43936</v>
      </c>
      <c r="C56" s="8">
        <f ca="1">IFERROR(__xludf.DUMMYFUNCTION("""COMPUTED_VALUE"""),4)</f>
        <v>4</v>
      </c>
      <c r="D56" s="8">
        <f ca="1">IFERROR(__xludf.DUMMYFUNCTION("""COMPUTED_VALUE"""),2020)</f>
        <v>2020</v>
      </c>
      <c r="E56" s="8">
        <f ca="1">IFERROR(__xludf.DUMMYFUNCTION("""COMPUTED_VALUE"""),0)</f>
        <v>0</v>
      </c>
      <c r="F56" s="8">
        <f ca="1">IFERROR(__xludf.DUMMYFUNCTION("""COMPUTED_VALUE"""),6)</f>
        <v>6</v>
      </c>
    </row>
    <row r="57" spans="1:6" x14ac:dyDescent="0.2">
      <c r="A57" s="8" t="str">
        <f ca="1">IFERROR(__xludf.DUMMYFUNCTION("""COMPUTED_VALUE"""),"KNRI11")</f>
        <v>KNRI11</v>
      </c>
      <c r="B57" s="16">
        <f ca="1">IFERROR(__xludf.DUMMYFUNCTION("""COMPUTED_VALUE"""),43936)</f>
        <v>43936</v>
      </c>
      <c r="C57" s="8">
        <f ca="1">IFERROR(__xludf.DUMMYFUNCTION("""COMPUTED_VALUE"""),4)</f>
        <v>4</v>
      </c>
      <c r="D57" s="8">
        <f ca="1">IFERROR(__xludf.DUMMYFUNCTION("""COMPUTED_VALUE"""),2020)</f>
        <v>2020</v>
      </c>
      <c r="E57" s="8">
        <f ca="1">IFERROR(__xludf.DUMMYFUNCTION("""COMPUTED_VALUE"""),0)</f>
        <v>0</v>
      </c>
      <c r="F57" s="8">
        <f ca="1">IFERROR(__xludf.DUMMYFUNCTION("""COMPUTED_VALUE"""),3.9)</f>
        <v>3.9</v>
      </c>
    </row>
    <row r="58" spans="1:6" x14ac:dyDescent="0.2">
      <c r="A58" s="8" t="str">
        <f ca="1">IFERROR(__xludf.DUMMYFUNCTION("""COMPUTED_VALUE"""),"KNCR11")</f>
        <v>KNCR11</v>
      </c>
      <c r="B58" s="16">
        <f ca="1">IFERROR(__xludf.DUMMYFUNCTION("""COMPUTED_VALUE"""),43935)</f>
        <v>43935</v>
      </c>
      <c r="C58" s="8">
        <f ca="1">IFERROR(__xludf.DUMMYFUNCTION("""COMPUTED_VALUE"""),4)</f>
        <v>4</v>
      </c>
      <c r="D58" s="8">
        <f ca="1">IFERROR(__xludf.DUMMYFUNCTION("""COMPUTED_VALUE"""),2020)</f>
        <v>2020</v>
      </c>
      <c r="E58" s="8">
        <f ca="1">IFERROR(__xludf.DUMMYFUNCTION("""COMPUTED_VALUE"""),0)</f>
        <v>0</v>
      </c>
      <c r="F58" s="8">
        <f ca="1">IFERROR(__xludf.DUMMYFUNCTION("""COMPUTED_VALUE"""),4.95)</f>
        <v>4.95</v>
      </c>
    </row>
    <row r="59" spans="1:6" x14ac:dyDescent="0.2">
      <c r="A59" s="8" t="str">
        <f ca="1">IFERROR(__xludf.DUMMYFUNCTION("""COMPUTED_VALUE"""),"BCFF11")</f>
        <v>BCFF11</v>
      </c>
      <c r="B59" s="16">
        <f ca="1">IFERROR(__xludf.DUMMYFUNCTION("""COMPUTED_VALUE"""),43903)</f>
        <v>43903</v>
      </c>
      <c r="C59" s="8">
        <f ca="1">IFERROR(__xludf.DUMMYFUNCTION("""COMPUTED_VALUE"""),3)</f>
        <v>3</v>
      </c>
      <c r="D59" s="8">
        <f ca="1">IFERROR(__xludf.DUMMYFUNCTION("""COMPUTED_VALUE"""),2020)</f>
        <v>2020</v>
      </c>
      <c r="E59" s="8">
        <f ca="1">IFERROR(__xludf.DUMMYFUNCTION("""COMPUTED_VALUE"""),0)</f>
        <v>0</v>
      </c>
      <c r="F59" s="8">
        <f ca="1">IFERROR(__xludf.DUMMYFUNCTION("""COMPUTED_VALUE"""),5.3)</f>
        <v>5.3</v>
      </c>
    </row>
    <row r="60" spans="1:6" x14ac:dyDescent="0.2">
      <c r="A60" s="8" t="str">
        <f ca="1">IFERROR(__xludf.DUMMYFUNCTION("""COMPUTED_VALUE"""),"HGCR11")</f>
        <v>HGCR11</v>
      </c>
      <c r="B60" s="16">
        <f ca="1">IFERROR(__xludf.DUMMYFUNCTION("""COMPUTED_VALUE"""),43903)</f>
        <v>43903</v>
      </c>
      <c r="C60" s="8">
        <f ca="1">IFERROR(__xludf.DUMMYFUNCTION("""COMPUTED_VALUE"""),3)</f>
        <v>3</v>
      </c>
      <c r="D60" s="8">
        <f ca="1">IFERROR(__xludf.DUMMYFUNCTION("""COMPUTED_VALUE"""),2020)</f>
        <v>2020</v>
      </c>
      <c r="E60" s="8">
        <f ca="1">IFERROR(__xludf.DUMMYFUNCTION("""COMPUTED_VALUE"""),0)</f>
        <v>0</v>
      </c>
      <c r="F60" s="8">
        <f ca="1">IFERROR(__xludf.DUMMYFUNCTION("""COMPUTED_VALUE"""),6)</f>
        <v>6</v>
      </c>
    </row>
    <row r="61" spans="1:6" x14ac:dyDescent="0.2">
      <c r="A61" s="8" t="str">
        <f ca="1">IFERROR(__xludf.DUMMYFUNCTION("""COMPUTED_VALUE"""),"KNRI11")</f>
        <v>KNRI11</v>
      </c>
      <c r="B61" s="16">
        <f ca="1">IFERROR(__xludf.DUMMYFUNCTION("""COMPUTED_VALUE"""),43903)</f>
        <v>43903</v>
      </c>
      <c r="C61" s="8">
        <f ca="1">IFERROR(__xludf.DUMMYFUNCTION("""COMPUTED_VALUE"""),3)</f>
        <v>3</v>
      </c>
      <c r="D61" s="8">
        <f ca="1">IFERROR(__xludf.DUMMYFUNCTION("""COMPUTED_VALUE"""),2020)</f>
        <v>2020</v>
      </c>
      <c r="E61" s="8">
        <f ca="1">IFERROR(__xludf.DUMMYFUNCTION("""COMPUTED_VALUE"""),0)</f>
        <v>0</v>
      </c>
      <c r="F61" s="8">
        <f ca="1">IFERROR(__xludf.DUMMYFUNCTION("""COMPUTED_VALUE"""),4.44)</f>
        <v>4.4400000000000004</v>
      </c>
    </row>
    <row r="62" spans="1:6" x14ac:dyDescent="0.2">
      <c r="A62" s="8" t="str">
        <f ca="1">IFERROR(__xludf.DUMMYFUNCTION("""COMPUTED_VALUE"""),"KNCR11")</f>
        <v>KNCR11</v>
      </c>
      <c r="B62" s="16">
        <f ca="1">IFERROR(__xludf.DUMMYFUNCTION("""COMPUTED_VALUE"""),43902)</f>
        <v>43902</v>
      </c>
      <c r="C62" s="8">
        <f ca="1">IFERROR(__xludf.DUMMYFUNCTION("""COMPUTED_VALUE"""),3)</f>
        <v>3</v>
      </c>
      <c r="D62" s="8">
        <f ca="1">IFERROR(__xludf.DUMMYFUNCTION("""COMPUTED_VALUE"""),2020)</f>
        <v>2020</v>
      </c>
      <c r="E62" s="8">
        <f ca="1">IFERROR(__xludf.DUMMYFUNCTION("""COMPUTED_VALUE"""),0)</f>
        <v>0</v>
      </c>
      <c r="F62" s="8">
        <f ca="1">IFERROR(__xludf.DUMMYFUNCTION("""COMPUTED_VALUE"""),4.51)</f>
        <v>4.51</v>
      </c>
    </row>
    <row r="63" spans="1:6" x14ac:dyDescent="0.2">
      <c r="A63" s="8" t="str">
        <f ca="1">IFERROR(__xludf.DUMMYFUNCTION("""COMPUTED_VALUE"""),"WEGE3")</f>
        <v>WEGE3</v>
      </c>
      <c r="B63" s="16">
        <f ca="1">IFERROR(__xludf.DUMMYFUNCTION("""COMPUTED_VALUE"""),43901)</f>
        <v>43901</v>
      </c>
      <c r="C63" s="8">
        <f ca="1">IFERROR(__xludf.DUMMYFUNCTION("""COMPUTED_VALUE"""),3)</f>
        <v>3</v>
      </c>
      <c r="D63" s="8">
        <f ca="1">IFERROR(__xludf.DUMMYFUNCTION("""COMPUTED_VALUE"""),2020)</f>
        <v>2020</v>
      </c>
      <c r="E63" s="8">
        <f ca="1">IFERROR(__xludf.DUMMYFUNCTION("""COMPUTED_VALUE"""),0.17)</f>
        <v>0.17</v>
      </c>
      <c r="F63" s="8">
        <f ca="1">IFERROR(__xludf.DUMMYFUNCTION("""COMPUTED_VALUE"""),7.88)</f>
        <v>7.88</v>
      </c>
    </row>
    <row r="64" spans="1:6" x14ac:dyDescent="0.2">
      <c r="A64" s="8" t="str">
        <f ca="1">IFERROR(__xludf.DUMMYFUNCTION("""COMPUTED_VALUE"""),"KLBN11")</f>
        <v>KLBN11</v>
      </c>
      <c r="B64" s="16">
        <f ca="1">IFERROR(__xludf.DUMMYFUNCTION("""COMPUTED_VALUE"""),43881)</f>
        <v>43881</v>
      </c>
      <c r="C64" s="8">
        <f ca="1">IFERROR(__xludf.DUMMYFUNCTION("""COMPUTED_VALUE"""),2)</f>
        <v>2</v>
      </c>
      <c r="D64" s="8">
        <f ca="1">IFERROR(__xludf.DUMMYFUNCTION("""COMPUTED_VALUE"""),2020)</f>
        <v>2020</v>
      </c>
      <c r="E64" s="8">
        <f ca="1">IFERROR(__xludf.DUMMYFUNCTION("""COMPUTED_VALUE"""),0.02)</f>
        <v>0.02</v>
      </c>
      <c r="F64" s="8">
        <f ca="1">IFERROR(__xludf.DUMMYFUNCTION("""COMPUTED_VALUE"""),2)</f>
        <v>2</v>
      </c>
    </row>
    <row r="65" spans="1:6" x14ac:dyDescent="0.2">
      <c r="A65" s="8" t="str">
        <f ca="1">IFERROR(__xludf.DUMMYFUNCTION("""COMPUTED_VALUE"""),"KLBN11")</f>
        <v>KLBN11</v>
      </c>
      <c r="B65" s="16">
        <f ca="1">IFERROR(__xludf.DUMMYFUNCTION("""COMPUTED_VALUE"""),43881)</f>
        <v>43881</v>
      </c>
      <c r="C65" s="8">
        <f ca="1">IFERROR(__xludf.DUMMYFUNCTION("""COMPUTED_VALUE"""),2)</f>
        <v>2</v>
      </c>
      <c r="D65" s="8">
        <f ca="1">IFERROR(__xludf.DUMMYFUNCTION("""COMPUTED_VALUE"""),2020)</f>
        <v>2020</v>
      </c>
      <c r="E65" s="8">
        <f ca="1">IFERROR(__xludf.DUMMYFUNCTION("""COMPUTED_VALUE"""),0.19)</f>
        <v>0.19</v>
      </c>
      <c r="F65" s="8">
        <f ca="1">IFERROR(__xludf.DUMMYFUNCTION("""COMPUTED_VALUE"""),10.32)</f>
        <v>10.32</v>
      </c>
    </row>
    <row r="66" spans="1:6" x14ac:dyDescent="0.2">
      <c r="A66" s="8" t="str">
        <f ca="1">IFERROR(__xludf.DUMMYFUNCTION("""COMPUTED_VALUE"""),"BCFF11")</f>
        <v>BCFF11</v>
      </c>
      <c r="B66" s="16">
        <f ca="1">IFERROR(__xludf.DUMMYFUNCTION("""COMPUTED_VALUE"""),43875)</f>
        <v>43875</v>
      </c>
      <c r="C66" s="8">
        <f ca="1">IFERROR(__xludf.DUMMYFUNCTION("""COMPUTED_VALUE"""),2)</f>
        <v>2</v>
      </c>
      <c r="D66" s="8">
        <f ca="1">IFERROR(__xludf.DUMMYFUNCTION("""COMPUTED_VALUE"""),2020)</f>
        <v>2020</v>
      </c>
      <c r="E66" s="8">
        <f ca="1">IFERROR(__xludf.DUMMYFUNCTION("""COMPUTED_VALUE"""),0)</f>
        <v>0</v>
      </c>
      <c r="F66" s="8">
        <f ca="1">IFERROR(__xludf.DUMMYFUNCTION("""COMPUTED_VALUE"""),5.7)</f>
        <v>5.7</v>
      </c>
    </row>
    <row r="67" spans="1:6" x14ac:dyDescent="0.2">
      <c r="A67" s="8" t="str">
        <f ca="1">IFERROR(__xludf.DUMMYFUNCTION("""COMPUTED_VALUE"""),"HGCR11")</f>
        <v>HGCR11</v>
      </c>
      <c r="B67" s="16">
        <f ca="1">IFERROR(__xludf.DUMMYFUNCTION("""COMPUTED_VALUE"""),43875)</f>
        <v>43875</v>
      </c>
      <c r="C67" s="8">
        <f ca="1">IFERROR(__xludf.DUMMYFUNCTION("""COMPUTED_VALUE"""),2)</f>
        <v>2</v>
      </c>
      <c r="D67" s="8">
        <f ca="1">IFERROR(__xludf.DUMMYFUNCTION("""COMPUTED_VALUE"""),2020)</f>
        <v>2020</v>
      </c>
      <c r="E67" s="8">
        <f ca="1">IFERROR(__xludf.DUMMYFUNCTION("""COMPUTED_VALUE"""),0)</f>
        <v>0</v>
      </c>
      <c r="F67" s="8">
        <f ca="1">IFERROR(__xludf.DUMMYFUNCTION("""COMPUTED_VALUE"""),6)</f>
        <v>6</v>
      </c>
    </row>
    <row r="68" spans="1:6" x14ac:dyDescent="0.2">
      <c r="A68" s="8" t="str">
        <f ca="1">IFERROR(__xludf.DUMMYFUNCTION("""COMPUTED_VALUE"""),"KNRI11")</f>
        <v>KNRI11</v>
      </c>
      <c r="B68" s="16">
        <f ca="1">IFERROR(__xludf.DUMMYFUNCTION("""COMPUTED_VALUE"""),43875)</f>
        <v>43875</v>
      </c>
      <c r="C68" s="8">
        <f ca="1">IFERROR(__xludf.DUMMYFUNCTION("""COMPUTED_VALUE"""),2)</f>
        <v>2</v>
      </c>
      <c r="D68" s="8">
        <f ca="1">IFERROR(__xludf.DUMMYFUNCTION("""COMPUTED_VALUE"""),2020)</f>
        <v>2020</v>
      </c>
      <c r="E68" s="8">
        <f ca="1">IFERROR(__xludf.DUMMYFUNCTION("""COMPUTED_VALUE"""),0)</f>
        <v>0</v>
      </c>
      <c r="F68" s="8">
        <f ca="1">IFERROR(__xludf.DUMMYFUNCTION("""COMPUTED_VALUE"""),4.44)</f>
        <v>4.4400000000000004</v>
      </c>
    </row>
    <row r="69" spans="1:6" x14ac:dyDescent="0.2">
      <c r="A69" s="8" t="str">
        <f ca="1">IFERROR(__xludf.DUMMYFUNCTION("""COMPUTED_VALUE"""),"RENT3")</f>
        <v>RENT3</v>
      </c>
      <c r="B69" s="16">
        <f ca="1">IFERROR(__xludf.DUMMYFUNCTION("""COMPUTED_VALUE"""),43875)</f>
        <v>43875</v>
      </c>
      <c r="C69" s="8">
        <f ca="1">IFERROR(__xludf.DUMMYFUNCTION("""COMPUTED_VALUE"""),2)</f>
        <v>2</v>
      </c>
      <c r="D69" s="8">
        <f ca="1">IFERROR(__xludf.DUMMYFUNCTION("""COMPUTED_VALUE"""),2020)</f>
        <v>2020</v>
      </c>
      <c r="E69" s="8">
        <f ca="1">IFERROR(__xludf.DUMMYFUNCTION("""COMPUTED_VALUE"""),0.1)</f>
        <v>0.1</v>
      </c>
      <c r="F69" s="8">
        <f ca="1">IFERROR(__xludf.DUMMYFUNCTION("""COMPUTED_VALUE"""),0.51)</f>
        <v>0.51</v>
      </c>
    </row>
    <row r="70" spans="1:6" x14ac:dyDescent="0.2">
      <c r="A70" s="8" t="str">
        <f ca="1">IFERROR(__xludf.DUMMYFUNCTION("""COMPUTED_VALUE"""),"KNCR11")</f>
        <v>KNCR11</v>
      </c>
      <c r="B70" s="16">
        <f ca="1">IFERROR(__xludf.DUMMYFUNCTION("""COMPUTED_VALUE"""),43874)</f>
        <v>43874</v>
      </c>
      <c r="C70" s="8">
        <f ca="1">IFERROR(__xludf.DUMMYFUNCTION("""COMPUTED_VALUE"""),2)</f>
        <v>2</v>
      </c>
      <c r="D70" s="8">
        <f ca="1">IFERROR(__xludf.DUMMYFUNCTION("""COMPUTED_VALUE"""),2020)</f>
        <v>2020</v>
      </c>
      <c r="E70" s="8">
        <f ca="1">IFERROR(__xludf.DUMMYFUNCTION("""COMPUTED_VALUE"""),0)</f>
        <v>0</v>
      </c>
      <c r="F70" s="8">
        <f ca="1">IFERROR(__xludf.DUMMYFUNCTION("""COMPUTED_VALUE"""),5.5)</f>
        <v>5.5</v>
      </c>
    </row>
    <row r="71" spans="1:6" x14ac:dyDescent="0.2">
      <c r="A71" s="8" t="str">
        <f ca="1">IFERROR(__xludf.DUMMYFUNCTION("""COMPUTED_VALUE"""),"PETR4")</f>
        <v>PETR4</v>
      </c>
      <c r="B71" s="16">
        <f ca="1">IFERROR(__xludf.DUMMYFUNCTION("""COMPUTED_VALUE"""),43868)</f>
        <v>43868</v>
      </c>
      <c r="C71" s="8">
        <f ca="1">IFERROR(__xludf.DUMMYFUNCTION("""COMPUTED_VALUE"""),2)</f>
        <v>2</v>
      </c>
      <c r="D71" s="8">
        <f ca="1">IFERROR(__xludf.DUMMYFUNCTION("""COMPUTED_VALUE"""),2020)</f>
        <v>2020</v>
      </c>
      <c r="E71" s="8">
        <f ca="1">IFERROR(__xludf.DUMMYFUNCTION("""COMPUTED_VALUE"""),0.2)</f>
        <v>0.2</v>
      </c>
      <c r="F71" s="8">
        <f ca="1">IFERROR(__xludf.DUMMYFUNCTION("""COMPUTED_VALUE"""),3.4)</f>
        <v>3.4</v>
      </c>
    </row>
    <row r="72" spans="1:6" x14ac:dyDescent="0.2">
      <c r="A72" s="8" t="str">
        <f ca="1">IFERROR(__xludf.DUMMYFUNCTION("""COMPUTED_VALUE"""),"PETR4")</f>
        <v>PETR4</v>
      </c>
      <c r="B72" s="16">
        <f ca="1">IFERROR(__xludf.DUMMYFUNCTION("""COMPUTED_VALUE"""),43868)</f>
        <v>43868</v>
      </c>
      <c r="C72" s="8">
        <f ca="1">IFERROR(__xludf.DUMMYFUNCTION("""COMPUTED_VALUE"""),2)</f>
        <v>2</v>
      </c>
      <c r="D72" s="8">
        <f ca="1">IFERROR(__xludf.DUMMYFUNCTION("""COMPUTED_VALUE"""),2020)</f>
        <v>2020</v>
      </c>
      <c r="E72" s="8">
        <f ca="1">IFERROR(__xludf.DUMMYFUNCTION("""COMPUTED_VALUE"""),0.42)</f>
        <v>0.42</v>
      </c>
      <c r="F72" s="8">
        <f ca="1">IFERROR(__xludf.DUMMYFUNCTION("""COMPUTED_VALUE"""),17.14)</f>
        <v>17.14</v>
      </c>
    </row>
    <row r="73" spans="1:6" x14ac:dyDescent="0.2">
      <c r="A73" s="8" t="str">
        <f ca="1">IFERROR(__xludf.DUMMYFUNCTION("""COMPUTED_VALUE"""),"PETR4")</f>
        <v>PETR4</v>
      </c>
      <c r="B73" s="16">
        <f ca="1">IFERROR(__xludf.DUMMYFUNCTION("""COMPUTED_VALUE"""),43868)</f>
        <v>43868</v>
      </c>
      <c r="C73" s="8">
        <f ca="1">IFERROR(__xludf.DUMMYFUNCTION("""COMPUTED_VALUE"""),2)</f>
        <v>2</v>
      </c>
      <c r="D73" s="8">
        <f ca="1">IFERROR(__xludf.DUMMYFUNCTION("""COMPUTED_VALUE"""),2020)</f>
        <v>2020</v>
      </c>
      <c r="E73" s="8">
        <f ca="1">IFERROR(__xludf.DUMMYFUNCTION("""COMPUTED_VALUE"""),0)</f>
        <v>0</v>
      </c>
      <c r="F73" s="8">
        <f ca="1">IFERROR(__xludf.DUMMYFUNCTION("""COMPUTED_VALUE"""),0.07)</f>
        <v>7.0000000000000007E-2</v>
      </c>
    </row>
    <row r="74" spans="1:6" x14ac:dyDescent="0.2">
      <c r="A74" s="8" t="str">
        <f ca="1">IFERROR(__xludf.DUMMYFUNCTION("""COMPUTED_VALUE"""),"PETR4")</f>
        <v>PETR4</v>
      </c>
      <c r="B74" s="16">
        <f ca="1">IFERROR(__xludf.DUMMYFUNCTION("""COMPUTED_VALUE"""),43868)</f>
        <v>43868</v>
      </c>
      <c r="C74" s="8">
        <f ca="1">IFERROR(__xludf.DUMMYFUNCTION("""COMPUTED_VALUE"""),2)</f>
        <v>2</v>
      </c>
      <c r="D74" s="8">
        <f ca="1">IFERROR(__xludf.DUMMYFUNCTION("""COMPUTED_VALUE"""),2020)</f>
        <v>2020</v>
      </c>
      <c r="E74" s="8">
        <f ca="1">IFERROR(__xludf.DUMMYFUNCTION("""COMPUTED_VALUE"""),0)</f>
        <v>0</v>
      </c>
      <c r="F74" s="8">
        <f ca="1">IFERROR(__xludf.DUMMYFUNCTION("""COMPUTED_VALUE"""),0.01)</f>
        <v>0.01</v>
      </c>
    </row>
    <row r="75" spans="1:6" x14ac:dyDescent="0.2">
      <c r="A75" s="8" t="str">
        <f ca="1">IFERROR(__xludf.DUMMYFUNCTION("""COMPUTED_VALUE"""),"BBDC4")</f>
        <v>BBDC4</v>
      </c>
      <c r="B75" s="16">
        <f ca="1">IFERROR(__xludf.DUMMYFUNCTION("""COMPUTED_VALUE"""),43864)</f>
        <v>43864</v>
      </c>
      <c r="C75" s="8">
        <f ca="1">IFERROR(__xludf.DUMMYFUNCTION("""COMPUTED_VALUE"""),2)</f>
        <v>2</v>
      </c>
      <c r="D75" s="8">
        <f ca="1">IFERROR(__xludf.DUMMYFUNCTION("""COMPUTED_VALUE"""),2020)</f>
        <v>2020</v>
      </c>
      <c r="E75" s="8">
        <f ca="1">IFERROR(__xludf.DUMMYFUNCTION("""COMPUTED_VALUE"""),0.02)</f>
        <v>0.02</v>
      </c>
      <c r="F75" s="8">
        <f ca="1">IFERROR(__xludf.DUMMYFUNCTION("""COMPUTED_VALUE"""),0.13)</f>
        <v>0.13</v>
      </c>
    </row>
    <row r="76" spans="1:6" x14ac:dyDescent="0.2">
      <c r="A76" s="8" t="str">
        <f ca="1">IFERROR(__xludf.DUMMYFUNCTION("""COMPUTED_VALUE"""),"TIMP3")</f>
        <v>TIMP3</v>
      </c>
      <c r="B76" s="16">
        <f ca="1">IFERROR(__xludf.DUMMYFUNCTION("""COMPUTED_VALUE"""),43854)</f>
        <v>43854</v>
      </c>
      <c r="C76" s="8">
        <f ca="1">IFERROR(__xludf.DUMMYFUNCTION("""COMPUTED_VALUE"""),1)</f>
        <v>1</v>
      </c>
      <c r="D76" s="8">
        <f ca="1">IFERROR(__xludf.DUMMYFUNCTION("""COMPUTED_VALUE"""),2020)</f>
        <v>2020</v>
      </c>
      <c r="E76" s="8">
        <f ca="1">IFERROR(__xludf.DUMMYFUNCTION("""COMPUTED_VALUE"""),0.16)</f>
        <v>0.16</v>
      </c>
      <c r="F76" s="8">
        <f ca="1">IFERROR(__xludf.DUMMYFUNCTION("""COMPUTED_VALUE"""),0.8)</f>
        <v>0.8</v>
      </c>
    </row>
    <row r="77" spans="1:6" x14ac:dyDescent="0.2">
      <c r="A77" s="8" t="str">
        <f ca="1">IFERROR(__xludf.DUMMYFUNCTION("""COMPUTED_VALUE"""),"OUJP11")</f>
        <v>OUJP11</v>
      </c>
      <c r="B77" s="16">
        <f ca="1">IFERROR(__xludf.DUMMYFUNCTION("""COMPUTED_VALUE"""),43845)</f>
        <v>43845</v>
      </c>
      <c r="C77" s="8">
        <f ca="1">IFERROR(__xludf.DUMMYFUNCTION("""COMPUTED_VALUE"""),1)</f>
        <v>1</v>
      </c>
      <c r="D77" s="8">
        <f ca="1">IFERROR(__xludf.DUMMYFUNCTION("""COMPUTED_VALUE"""),2020)</f>
        <v>2020</v>
      </c>
      <c r="E77" s="8">
        <f ca="1">IFERROR(__xludf.DUMMYFUNCTION("""COMPUTED_VALUE"""),0)</f>
        <v>0</v>
      </c>
      <c r="F77" s="8">
        <f ca="1">IFERROR(__xludf.DUMMYFUNCTION("""COMPUTED_VALUE"""),3.6)</f>
        <v>3.6</v>
      </c>
    </row>
    <row r="78" spans="1:6" x14ac:dyDescent="0.2">
      <c r="A78" s="8" t="str">
        <f ca="1">IFERROR(__xludf.DUMMYFUNCTION("""COMPUTED_VALUE"""),"LCAM3")</f>
        <v>LCAM3</v>
      </c>
      <c r="B78" s="16">
        <f ca="1">IFERROR(__xludf.DUMMYFUNCTION("""COMPUTED_VALUE"""),43840)</f>
        <v>43840</v>
      </c>
      <c r="C78" s="8">
        <f ca="1">IFERROR(__xludf.DUMMYFUNCTION("""COMPUTED_VALUE"""),1)</f>
        <v>1</v>
      </c>
      <c r="D78" s="8">
        <f ca="1">IFERROR(__xludf.DUMMYFUNCTION("""COMPUTED_VALUE"""),2020)</f>
        <v>2020</v>
      </c>
      <c r="E78" s="8">
        <f ca="1">IFERROR(__xludf.DUMMYFUNCTION("""COMPUTED_VALUE"""),0.08)</f>
        <v>0.08</v>
      </c>
      <c r="F78" s="8">
        <f ca="1">IFERROR(__xludf.DUMMYFUNCTION("""COMPUTED_VALUE"""),4.39)</f>
        <v>4.3899999999999997</v>
      </c>
    </row>
    <row r="79" spans="1:6" x14ac:dyDescent="0.2">
      <c r="A79" s="8" t="str">
        <f ca="1">IFERROR(__xludf.DUMMYFUNCTION("""COMPUTED_VALUE"""),"ITSA4")</f>
        <v>ITSA4</v>
      </c>
      <c r="B79" s="16">
        <f ca="1">IFERROR(__xludf.DUMMYFUNCTION("""COMPUTED_VALUE"""),43832)</f>
        <v>43832</v>
      </c>
      <c r="C79" s="8">
        <f ca="1">IFERROR(__xludf.DUMMYFUNCTION("""COMPUTED_VALUE"""),1)</f>
        <v>1</v>
      </c>
      <c r="D79" s="8">
        <f ca="1">IFERROR(__xludf.DUMMYFUNCTION("""COMPUTED_VALUE"""),2020)</f>
        <v>2020</v>
      </c>
      <c r="E79" s="8">
        <f ca="1">IFERROR(__xludf.DUMMYFUNCTION("""COMPUTED_VALUE"""),0.02)</f>
        <v>0.02</v>
      </c>
      <c r="F79" s="8">
        <f ca="1">IFERROR(__xludf.DUMMYFUNCTION("""COMPUTED_VALUE"""),0.28)</f>
        <v>0.28000000000000003</v>
      </c>
    </row>
    <row r="80" spans="1:6" x14ac:dyDescent="0.2">
      <c r="A80" s="8" t="str">
        <f ca="1">IFERROR(__xludf.DUMMYFUNCTION("""COMPUTED_VALUE"""),"ITUB4")</f>
        <v>ITUB4</v>
      </c>
      <c r="B80" s="16">
        <f ca="1">IFERROR(__xludf.DUMMYFUNCTION("""COMPUTED_VALUE"""),43832)</f>
        <v>43832</v>
      </c>
      <c r="C80" s="8">
        <f ca="1">IFERROR(__xludf.DUMMYFUNCTION("""COMPUTED_VALUE"""),1)</f>
        <v>1</v>
      </c>
      <c r="D80" s="8">
        <f ca="1">IFERROR(__xludf.DUMMYFUNCTION("""COMPUTED_VALUE"""),2020)</f>
        <v>2020</v>
      </c>
      <c r="E80" s="8">
        <f ca="1">IFERROR(__xludf.DUMMYFUNCTION("""COMPUTED_VALUE"""),0.02)</f>
        <v>0.02</v>
      </c>
      <c r="F80" s="8">
        <f ca="1">IFERROR(__xludf.DUMMYFUNCTION("""COMPUTED_VALUE"""),0.24)</f>
        <v>0.24</v>
      </c>
    </row>
    <row r="81" spans="1:6" x14ac:dyDescent="0.2">
      <c r="A81" s="8" t="str">
        <f ca="1">IFERROR(__xludf.DUMMYFUNCTION("""COMPUTED_VALUE"""),"B3SA3")</f>
        <v>B3SA3</v>
      </c>
      <c r="B81" s="16">
        <f ca="1">IFERROR(__xludf.DUMMYFUNCTION("""COMPUTED_VALUE"""),44560)</f>
        <v>44560</v>
      </c>
      <c r="C81" s="8">
        <f ca="1">IFERROR(__xludf.DUMMYFUNCTION("""COMPUTED_VALUE"""),12)</f>
        <v>12</v>
      </c>
      <c r="D81" s="8">
        <f ca="1">IFERROR(__xludf.DUMMYFUNCTION("""COMPUTED_VALUE"""),2021)</f>
        <v>2021</v>
      </c>
      <c r="E81" s="8">
        <f ca="1">IFERROR(__xludf.DUMMYFUNCTION("""COMPUTED_VALUE"""),0.14)</f>
        <v>0.14000000000000001</v>
      </c>
      <c r="F81" s="8">
        <f ca="1">IFERROR(__xludf.DUMMYFUNCTION("""COMPUTED_VALUE"""),59.78)</f>
        <v>59.78</v>
      </c>
    </row>
    <row r="82" spans="1:6" x14ac:dyDescent="0.2">
      <c r="A82" s="8" t="str">
        <f ca="1">IFERROR(__xludf.DUMMYFUNCTION("""COMPUTED_VALUE"""),"TAEE11")</f>
        <v>TAEE11</v>
      </c>
      <c r="B82" s="16">
        <f ca="1">IFERROR(__xludf.DUMMYFUNCTION("""COMPUTED_VALUE"""),44559)</f>
        <v>44559</v>
      </c>
      <c r="C82" s="8">
        <f ca="1">IFERROR(__xludf.DUMMYFUNCTION("""COMPUTED_VALUE"""),12)</f>
        <v>12</v>
      </c>
      <c r="D82" s="8">
        <f ca="1">IFERROR(__xludf.DUMMYFUNCTION("""COMPUTED_VALUE"""),2021)</f>
        <v>2021</v>
      </c>
      <c r="E82" s="8">
        <f ca="1">IFERROR(__xludf.DUMMYFUNCTION("""COMPUTED_VALUE"""),0.93)</f>
        <v>0.93</v>
      </c>
      <c r="F82" s="8">
        <f ca="1">IFERROR(__xludf.DUMMYFUNCTION("""COMPUTED_VALUE"""),136.96)</f>
        <v>136.96</v>
      </c>
    </row>
    <row r="83" spans="1:6" x14ac:dyDescent="0.2">
      <c r="A83" s="8" t="str">
        <f ca="1">IFERROR(__xludf.DUMMYFUNCTION("""COMPUTED_VALUE"""),"TAEE11")</f>
        <v>TAEE11</v>
      </c>
      <c r="B83" s="16">
        <f ca="1">IFERROR(__xludf.DUMMYFUNCTION("""COMPUTED_VALUE"""),44559)</f>
        <v>44559</v>
      </c>
      <c r="C83" s="8">
        <f ca="1">IFERROR(__xludf.DUMMYFUNCTION("""COMPUTED_VALUE"""),12)</f>
        <v>12</v>
      </c>
      <c r="D83" s="8">
        <f ca="1">IFERROR(__xludf.DUMMYFUNCTION("""COMPUTED_VALUE"""),2021)</f>
        <v>2021</v>
      </c>
      <c r="E83" s="8">
        <f ca="1">IFERROR(__xludf.DUMMYFUNCTION("""COMPUTED_VALUE"""),0.58)</f>
        <v>0.57999999999999996</v>
      </c>
      <c r="F83" s="8">
        <f ca="1">IFERROR(__xludf.DUMMYFUNCTION("""COMPUTED_VALUE"""),73.27)</f>
        <v>73.27</v>
      </c>
    </row>
    <row r="84" spans="1:6" x14ac:dyDescent="0.2">
      <c r="A84" s="8" t="str">
        <f ca="1">IFERROR(__xludf.DUMMYFUNCTION("""COMPUTED_VALUE"""),"TRPL4")</f>
        <v>TRPL4</v>
      </c>
      <c r="B84" s="16">
        <f ca="1">IFERROR(__xludf.DUMMYFUNCTION("""COMPUTED_VALUE"""),44517)</f>
        <v>44517</v>
      </c>
      <c r="C84" s="8">
        <f ca="1">IFERROR(__xludf.DUMMYFUNCTION("""COMPUTED_VALUE"""),11)</f>
        <v>11</v>
      </c>
      <c r="D84" s="8">
        <f ca="1">IFERROR(__xludf.DUMMYFUNCTION("""COMPUTED_VALUE"""),2021)</f>
        <v>2021</v>
      </c>
      <c r="E84" s="8">
        <f ca="1">IFERROR(__xludf.DUMMYFUNCTION("""COMPUTED_VALUE"""),0.78)</f>
        <v>0.78</v>
      </c>
      <c r="F84" s="8">
        <f ca="1">IFERROR(__xludf.DUMMYFUNCTION("""COMPUTED_VALUE"""),152)</f>
        <v>152</v>
      </c>
    </row>
    <row r="85" spans="1:6" x14ac:dyDescent="0.2">
      <c r="A85" s="8" t="str">
        <f ca="1">IFERROR(__xludf.DUMMYFUNCTION("""COMPUTED_VALUE"""),"TRPL4")</f>
        <v>TRPL4</v>
      </c>
      <c r="B85" s="16">
        <f ca="1">IFERROR(__xludf.DUMMYFUNCTION("""COMPUTED_VALUE"""),44517)</f>
        <v>44517</v>
      </c>
      <c r="C85" s="8">
        <f ca="1">IFERROR(__xludf.DUMMYFUNCTION("""COMPUTED_VALUE"""),11)</f>
        <v>11</v>
      </c>
      <c r="D85" s="8">
        <f ca="1">IFERROR(__xludf.DUMMYFUNCTION("""COMPUTED_VALUE"""),2021)</f>
        <v>2021</v>
      </c>
      <c r="E85" s="8">
        <f ca="1">IFERROR(__xludf.DUMMYFUNCTION("""COMPUTED_VALUE"""),0.52)</f>
        <v>0.52</v>
      </c>
      <c r="F85" s="8">
        <f ca="1">IFERROR(__xludf.DUMMYFUNCTION("""COMPUTED_VALUE"""),121.22)</f>
        <v>121.22</v>
      </c>
    </row>
    <row r="86" spans="1:6" x14ac:dyDescent="0.2">
      <c r="A86" s="8" t="str">
        <f ca="1">IFERROR(__xludf.DUMMYFUNCTION("""COMPUTED_VALUE"""),"EUCA4")</f>
        <v>EUCA4</v>
      </c>
      <c r="B86" s="16">
        <f ca="1">IFERROR(__xludf.DUMMYFUNCTION("""COMPUTED_VALUE"""),44498)</f>
        <v>44498</v>
      </c>
      <c r="C86" s="8">
        <f ca="1">IFERROR(__xludf.DUMMYFUNCTION("""COMPUTED_VALUE"""),10)</f>
        <v>10</v>
      </c>
      <c r="D86" s="8">
        <f ca="1">IFERROR(__xludf.DUMMYFUNCTION("""COMPUTED_VALUE"""),2021)</f>
        <v>2021</v>
      </c>
      <c r="E86" s="8">
        <f ca="1">IFERROR(__xludf.DUMMYFUNCTION("""COMPUTED_VALUE"""),0.18)</f>
        <v>0.18</v>
      </c>
      <c r="F86" s="8">
        <f ca="1">IFERROR(__xludf.DUMMYFUNCTION("""COMPUTED_VALUE"""),112.18)</f>
        <v>112.18</v>
      </c>
    </row>
    <row r="87" spans="1:6" x14ac:dyDescent="0.2">
      <c r="A87" s="8" t="str">
        <f ca="1">IFERROR(__xludf.DUMMYFUNCTION("""COMPUTED_VALUE"""),"B3SA3")</f>
        <v>B3SA3</v>
      </c>
      <c r="B87" s="16">
        <f ca="1">IFERROR(__xludf.DUMMYFUNCTION("""COMPUTED_VALUE"""),44476)</f>
        <v>44476</v>
      </c>
      <c r="C87" s="8">
        <f ca="1">IFERROR(__xludf.DUMMYFUNCTION("""COMPUTED_VALUE"""),10)</f>
        <v>10</v>
      </c>
      <c r="D87" s="8">
        <f ca="1">IFERROR(__xludf.DUMMYFUNCTION("""COMPUTED_VALUE"""),2021)</f>
        <v>2021</v>
      </c>
      <c r="E87" s="8">
        <f ca="1">IFERROR(__xludf.DUMMYFUNCTION("""COMPUTED_VALUE"""),0.15)</f>
        <v>0.15</v>
      </c>
      <c r="F87" s="8">
        <f ca="1">IFERROR(__xludf.DUMMYFUNCTION("""COMPUTED_VALUE"""),55.49)</f>
        <v>55.49</v>
      </c>
    </row>
    <row r="88" spans="1:6" x14ac:dyDescent="0.2">
      <c r="A88" s="8" t="str">
        <f ca="1">IFERROR(__xludf.DUMMYFUNCTION("""COMPUTED_VALUE"""),"B3SA3")</f>
        <v>B3SA3</v>
      </c>
      <c r="B88" s="16">
        <f ca="1">IFERROR(__xludf.DUMMYFUNCTION("""COMPUTED_VALUE"""),44476)</f>
        <v>44476</v>
      </c>
      <c r="C88" s="8">
        <f ca="1">IFERROR(__xludf.DUMMYFUNCTION("""COMPUTED_VALUE"""),10)</f>
        <v>10</v>
      </c>
      <c r="D88" s="8">
        <f ca="1">IFERROR(__xludf.DUMMYFUNCTION("""COMPUTED_VALUE"""),2021)</f>
        <v>2021</v>
      </c>
      <c r="E88" s="8">
        <f ca="1">IFERROR(__xludf.DUMMYFUNCTION("""COMPUTED_VALUE"""),0.04)</f>
        <v>0.04</v>
      </c>
      <c r="F88" s="8">
        <f ca="1">IFERROR(__xludf.DUMMYFUNCTION("""COMPUTED_VALUE"""),13.87)</f>
        <v>13.87</v>
      </c>
    </row>
    <row r="89" spans="1:6" x14ac:dyDescent="0.2">
      <c r="A89" s="8" t="str">
        <f ca="1">IFERROR(__xludf.DUMMYFUNCTION("""COMPUTED_VALUE"""),"VALE3")</f>
        <v>VALE3</v>
      </c>
      <c r="B89" s="16">
        <f ca="1">IFERROR(__xludf.DUMMYFUNCTION("""COMPUTED_VALUE"""),44469)</f>
        <v>44469</v>
      </c>
      <c r="C89" s="8">
        <f ca="1">IFERROR(__xludf.DUMMYFUNCTION("""COMPUTED_VALUE"""),9)</f>
        <v>9</v>
      </c>
      <c r="D89" s="8">
        <f ca="1">IFERROR(__xludf.DUMMYFUNCTION("""COMPUTED_VALUE"""),2021)</f>
        <v>2021</v>
      </c>
      <c r="E89" s="8">
        <f ca="1">IFERROR(__xludf.DUMMYFUNCTION("""COMPUTED_VALUE"""),8.19)</f>
        <v>8.19</v>
      </c>
      <c r="F89" s="8">
        <f ca="1">IFERROR(__xludf.DUMMYFUNCTION("""COMPUTED_VALUE"""),401.66)</f>
        <v>401.66</v>
      </c>
    </row>
    <row r="90" spans="1:6" x14ac:dyDescent="0.2">
      <c r="A90" s="8" t="str">
        <f ca="1">IFERROR(__xludf.DUMMYFUNCTION("""COMPUTED_VALUE"""),"BBSE3")</f>
        <v>BBSE3</v>
      </c>
      <c r="B90" s="16">
        <f ca="1">IFERROR(__xludf.DUMMYFUNCTION("""COMPUTED_VALUE"""),44431)</f>
        <v>44431</v>
      </c>
      <c r="C90" s="8">
        <f ca="1">IFERROR(__xludf.DUMMYFUNCTION("""COMPUTED_VALUE"""),8)</f>
        <v>8</v>
      </c>
      <c r="D90" s="8">
        <f ca="1">IFERROR(__xludf.DUMMYFUNCTION("""COMPUTED_VALUE"""),2021)</f>
        <v>2021</v>
      </c>
      <c r="E90" s="8">
        <f ca="1">IFERROR(__xludf.DUMMYFUNCTION("""COMPUTED_VALUE"""),0.52)</f>
        <v>0.52</v>
      </c>
      <c r="F90" s="8">
        <f ca="1">IFERROR(__xludf.DUMMYFUNCTION("""COMPUTED_VALUE"""),130.21)</f>
        <v>130.21</v>
      </c>
    </row>
    <row r="91" spans="1:6" x14ac:dyDescent="0.2">
      <c r="A91" s="8" t="str">
        <f ca="1">IFERROR(__xludf.DUMMYFUNCTION("""COMPUTED_VALUE"""),"WEGE3")</f>
        <v>WEGE3</v>
      </c>
      <c r="B91" s="16">
        <f ca="1">IFERROR(__xludf.DUMMYFUNCTION("""COMPUTED_VALUE"""),44419)</f>
        <v>44419</v>
      </c>
      <c r="C91" s="8">
        <f ca="1">IFERROR(__xludf.DUMMYFUNCTION("""COMPUTED_VALUE"""),8)</f>
        <v>8</v>
      </c>
      <c r="D91" s="8">
        <f ca="1">IFERROR(__xludf.DUMMYFUNCTION("""COMPUTED_VALUE"""),2021)</f>
        <v>2021</v>
      </c>
      <c r="E91" s="8">
        <f ca="1">IFERROR(__xludf.DUMMYFUNCTION("""COMPUTED_VALUE"""),0.15)</f>
        <v>0.15</v>
      </c>
      <c r="F91" s="8">
        <f ca="1">IFERROR(__xludf.DUMMYFUNCTION("""COMPUTED_VALUE"""),24.83)</f>
        <v>24.83</v>
      </c>
    </row>
    <row r="92" spans="1:6" x14ac:dyDescent="0.2">
      <c r="A92" s="8" t="str">
        <f ca="1">IFERROR(__xludf.DUMMYFUNCTION("""COMPUTED_VALUE"""),"WEGE3")</f>
        <v>WEGE3</v>
      </c>
      <c r="B92" s="16">
        <f ca="1">IFERROR(__xludf.DUMMYFUNCTION("""COMPUTED_VALUE"""),44419)</f>
        <v>44419</v>
      </c>
      <c r="C92" s="8">
        <f ca="1">IFERROR(__xludf.DUMMYFUNCTION("""COMPUTED_VALUE"""),8)</f>
        <v>8</v>
      </c>
      <c r="D92" s="8">
        <f ca="1">IFERROR(__xludf.DUMMYFUNCTION("""COMPUTED_VALUE"""),2021)</f>
        <v>2021</v>
      </c>
      <c r="E92" s="8">
        <f ca="1">IFERROR(__xludf.DUMMYFUNCTION("""COMPUTED_VALUE"""),0.02)</f>
        <v>0.02</v>
      </c>
      <c r="F92" s="8">
        <f ca="1">IFERROR(__xludf.DUMMYFUNCTION("""COMPUTED_VALUE"""),2.74)</f>
        <v>2.74</v>
      </c>
    </row>
    <row r="93" spans="1:6" x14ac:dyDescent="0.2">
      <c r="A93" s="8" t="str">
        <f ca="1">IFERROR(__xludf.DUMMYFUNCTION("""COMPUTED_VALUE"""),"TRPL4")</f>
        <v>TRPL4</v>
      </c>
      <c r="B93" s="16">
        <f ca="1">IFERROR(__xludf.DUMMYFUNCTION("""COMPUTED_VALUE"""),44392)</f>
        <v>44392</v>
      </c>
      <c r="C93" s="8">
        <f ca="1">IFERROR(__xludf.DUMMYFUNCTION("""COMPUTED_VALUE"""),7)</f>
        <v>7</v>
      </c>
      <c r="D93" s="8">
        <f ca="1">IFERROR(__xludf.DUMMYFUNCTION("""COMPUTED_VALUE"""),2021)</f>
        <v>2021</v>
      </c>
      <c r="E93" s="8">
        <f ca="1">IFERROR(__xludf.DUMMYFUNCTION("""COMPUTED_VALUE"""),0.5)</f>
        <v>0.5</v>
      </c>
      <c r="F93" s="8">
        <f ca="1">IFERROR(__xludf.DUMMYFUNCTION("""COMPUTED_VALUE"""),100.5)</f>
        <v>100.5</v>
      </c>
    </row>
    <row r="94" spans="1:6" x14ac:dyDescent="0.2">
      <c r="A94" s="8" t="str">
        <f ca="1">IFERROR(__xludf.DUMMYFUNCTION("""COMPUTED_VALUE"""),"VIVT4")</f>
        <v>VIVT4</v>
      </c>
      <c r="B94" s="16">
        <f ca="1">IFERROR(__xludf.DUMMYFUNCTION("""COMPUTED_VALUE"""),44390)</f>
        <v>44390</v>
      </c>
      <c r="C94" s="8">
        <f ca="1">IFERROR(__xludf.DUMMYFUNCTION("""COMPUTED_VALUE"""),7)</f>
        <v>7</v>
      </c>
      <c r="D94" s="8">
        <f ca="1">IFERROR(__xludf.DUMMYFUNCTION("""COMPUTED_VALUE"""),2021)</f>
        <v>2021</v>
      </c>
      <c r="E94" s="8">
        <f ca="1">IFERROR(__xludf.DUMMYFUNCTION("""COMPUTED_VALUE"""),0.16)</f>
        <v>0.16</v>
      </c>
      <c r="F94" s="8">
        <f ca="1">IFERROR(__xludf.DUMMYFUNCTION("""COMPUTED_VALUE"""),4.48)</f>
        <v>4.4800000000000004</v>
      </c>
    </row>
    <row r="95" spans="1:6" x14ac:dyDescent="0.2">
      <c r="A95" s="8" t="str">
        <f ca="1">IFERROR(__xludf.DUMMYFUNCTION("""COMPUTED_VALUE"""),"VIVT4")</f>
        <v>VIVT4</v>
      </c>
      <c r="B95" s="16">
        <f ca="1">IFERROR(__xludf.DUMMYFUNCTION("""COMPUTED_VALUE"""),44390)</f>
        <v>44390</v>
      </c>
      <c r="C95" s="8">
        <f ca="1">IFERROR(__xludf.DUMMYFUNCTION("""COMPUTED_VALUE"""),7)</f>
        <v>7</v>
      </c>
      <c r="D95" s="8">
        <f ca="1">IFERROR(__xludf.DUMMYFUNCTION("""COMPUTED_VALUE"""),2021)</f>
        <v>2021</v>
      </c>
      <c r="E95" s="8">
        <f ca="1">IFERROR(__xludf.DUMMYFUNCTION("""COMPUTED_VALUE"""),0.09)</f>
        <v>0.09</v>
      </c>
      <c r="F95" s="8">
        <f ca="1">IFERROR(__xludf.DUMMYFUNCTION("""COMPUTED_VALUE"""),2.96)</f>
        <v>2.96</v>
      </c>
    </row>
    <row r="96" spans="1:6" x14ac:dyDescent="0.2">
      <c r="A96" s="8" t="str">
        <f ca="1">IFERROR(__xludf.DUMMYFUNCTION("""COMPUTED_VALUE"""),"B3SA3")</f>
        <v>B3SA3</v>
      </c>
      <c r="B96" s="16">
        <f ca="1">IFERROR(__xludf.DUMMYFUNCTION("""COMPUTED_VALUE"""),44384)</f>
        <v>44384</v>
      </c>
      <c r="C96" s="8">
        <f ca="1">IFERROR(__xludf.DUMMYFUNCTION("""COMPUTED_VALUE"""),7)</f>
        <v>7</v>
      </c>
      <c r="D96" s="8">
        <f ca="1">IFERROR(__xludf.DUMMYFUNCTION("""COMPUTED_VALUE"""),2021)</f>
        <v>2021</v>
      </c>
      <c r="E96" s="8">
        <f ca="1">IFERROR(__xludf.DUMMYFUNCTION("""COMPUTED_VALUE"""),0.16)</f>
        <v>0.16</v>
      </c>
      <c r="F96" s="8">
        <f ca="1">IFERROR(__xludf.DUMMYFUNCTION("""COMPUTED_VALUE"""),52.92)</f>
        <v>52.92</v>
      </c>
    </row>
    <row r="97" spans="1:6" x14ac:dyDescent="0.2">
      <c r="A97" s="8" t="str">
        <f ca="1">IFERROR(__xludf.DUMMYFUNCTION("""COMPUTED_VALUE"""),"B3SA3")</f>
        <v>B3SA3</v>
      </c>
      <c r="B97" s="16">
        <f ca="1">IFERROR(__xludf.DUMMYFUNCTION("""COMPUTED_VALUE"""),44384)</f>
        <v>44384</v>
      </c>
      <c r="C97" s="8">
        <f ca="1">IFERROR(__xludf.DUMMYFUNCTION("""COMPUTED_VALUE"""),7)</f>
        <v>7</v>
      </c>
      <c r="D97" s="8">
        <f ca="1">IFERROR(__xludf.DUMMYFUNCTION("""COMPUTED_VALUE"""),2021)</f>
        <v>2021</v>
      </c>
      <c r="E97" s="8">
        <f ca="1">IFERROR(__xludf.DUMMYFUNCTION("""COMPUTED_VALUE"""),0.04)</f>
        <v>0.04</v>
      </c>
      <c r="F97" s="8">
        <f ca="1">IFERROR(__xludf.DUMMYFUNCTION("""COMPUTED_VALUE"""),12.3)</f>
        <v>12.3</v>
      </c>
    </row>
    <row r="98" spans="1:6" x14ac:dyDescent="0.2">
      <c r="A98" s="8" t="str">
        <f ca="1">IFERROR(__xludf.DUMMYFUNCTION("""COMPUTED_VALUE"""),"VALE3")</f>
        <v>VALE3</v>
      </c>
      <c r="B98" s="16">
        <f ca="1">IFERROR(__xludf.DUMMYFUNCTION("""COMPUTED_VALUE"""),44377)</f>
        <v>44377</v>
      </c>
      <c r="C98" s="8">
        <f ca="1">IFERROR(__xludf.DUMMYFUNCTION("""COMPUTED_VALUE"""),6)</f>
        <v>6</v>
      </c>
      <c r="D98" s="8">
        <f ca="1">IFERROR(__xludf.DUMMYFUNCTION("""COMPUTED_VALUE"""),2021)</f>
        <v>2021</v>
      </c>
      <c r="E98" s="8">
        <f ca="1">IFERROR(__xludf.DUMMYFUNCTION("""COMPUTED_VALUE"""),1.46)</f>
        <v>1.46</v>
      </c>
      <c r="F98" s="8">
        <f ca="1">IFERROR(__xludf.DUMMYFUNCTION("""COMPUTED_VALUE"""),66.11)</f>
        <v>66.11</v>
      </c>
    </row>
    <row r="99" spans="1:6" x14ac:dyDescent="0.2">
      <c r="A99" s="8" t="str">
        <f ca="1">IFERROR(__xludf.DUMMYFUNCTION("""COMPUTED_VALUE"""),"VALE3")</f>
        <v>VALE3</v>
      </c>
      <c r="B99" s="16">
        <f ca="1">IFERROR(__xludf.DUMMYFUNCTION("""COMPUTED_VALUE"""),44377)</f>
        <v>44377</v>
      </c>
      <c r="C99" s="8">
        <f ca="1">IFERROR(__xludf.DUMMYFUNCTION("""COMPUTED_VALUE"""),6)</f>
        <v>6</v>
      </c>
      <c r="D99" s="8">
        <f ca="1">IFERROR(__xludf.DUMMYFUNCTION("""COMPUTED_VALUE"""),2021)</f>
        <v>2021</v>
      </c>
      <c r="E99" s="8">
        <f ca="1">IFERROR(__xludf.DUMMYFUNCTION("""COMPUTED_VALUE"""),0.72)</f>
        <v>0.72</v>
      </c>
      <c r="F99" s="8">
        <f ca="1">IFERROR(__xludf.DUMMYFUNCTION("""COMPUTED_VALUE"""),32.41)</f>
        <v>32.409999999999997</v>
      </c>
    </row>
    <row r="100" spans="1:6" x14ac:dyDescent="0.2">
      <c r="A100" s="8" t="str">
        <f ca="1">IFERROR(__xludf.DUMMYFUNCTION("""COMPUTED_VALUE"""),"CYRE3")</f>
        <v>CYRE3</v>
      </c>
      <c r="B100" s="16">
        <f ca="1">IFERROR(__xludf.DUMMYFUNCTION("""COMPUTED_VALUE"""),44361)</f>
        <v>44361</v>
      </c>
      <c r="C100" s="8">
        <f ca="1">IFERROR(__xludf.DUMMYFUNCTION("""COMPUTED_VALUE"""),6)</f>
        <v>6</v>
      </c>
      <c r="D100" s="8">
        <f ca="1">IFERROR(__xludf.DUMMYFUNCTION("""COMPUTED_VALUE"""),2021)</f>
        <v>2021</v>
      </c>
      <c r="E100" s="8">
        <f ca="1">IFERROR(__xludf.DUMMYFUNCTION("""COMPUTED_VALUE"""),1.08)</f>
        <v>1.08</v>
      </c>
      <c r="F100" s="8">
        <f ca="1">IFERROR(__xludf.DUMMYFUNCTION("""COMPUTED_VALUE"""),316.39)</f>
        <v>316.39</v>
      </c>
    </row>
    <row r="101" spans="1:6" x14ac:dyDescent="0.2">
      <c r="A101" s="8" t="str">
        <f ca="1">IFERROR(__xludf.DUMMYFUNCTION("""COMPUTED_VALUE"""),"TRPL4")</f>
        <v>TRPL4</v>
      </c>
      <c r="B101" s="16">
        <f ca="1">IFERROR(__xludf.DUMMYFUNCTION("""COMPUTED_VALUE"""),44337)</f>
        <v>44337</v>
      </c>
      <c r="C101" s="8">
        <f ca="1">IFERROR(__xludf.DUMMYFUNCTION("""COMPUTED_VALUE"""),5)</f>
        <v>5</v>
      </c>
      <c r="D101" s="8">
        <f ca="1">IFERROR(__xludf.DUMMYFUNCTION("""COMPUTED_VALUE"""),2021)</f>
        <v>2021</v>
      </c>
      <c r="E101" s="8">
        <f ca="1">IFERROR(__xludf.DUMMYFUNCTION("""COMPUTED_VALUE"""),0.8)</f>
        <v>0.8</v>
      </c>
      <c r="F101" s="8">
        <f ca="1">IFERROR(__xludf.DUMMYFUNCTION("""COMPUTED_VALUE"""),237)</f>
        <v>237</v>
      </c>
    </row>
    <row r="102" spans="1:6" x14ac:dyDescent="0.2">
      <c r="A102" s="8" t="str">
        <f ca="1">IFERROR(__xludf.DUMMYFUNCTION("""COMPUTED_VALUE"""),"TRPL4")</f>
        <v>TRPL4</v>
      </c>
      <c r="B102" s="16">
        <f ca="1">IFERROR(__xludf.DUMMYFUNCTION("""COMPUTED_VALUE"""),44337)</f>
        <v>44337</v>
      </c>
      <c r="C102" s="8">
        <f ca="1">IFERROR(__xludf.DUMMYFUNCTION("""COMPUTED_VALUE"""),5)</f>
        <v>5</v>
      </c>
      <c r="D102" s="8">
        <f ca="1">IFERROR(__xludf.DUMMYFUNCTION("""COMPUTED_VALUE"""),2021)</f>
        <v>2021</v>
      </c>
      <c r="E102" s="8">
        <f ca="1">IFERROR(__xludf.DUMMYFUNCTION("""COMPUTED_VALUE"""),0.79)</f>
        <v>0.79</v>
      </c>
      <c r="F102" s="8">
        <f ca="1">IFERROR(__xludf.DUMMYFUNCTION("""COMPUTED_VALUE"""),234.01)</f>
        <v>234.01</v>
      </c>
    </row>
    <row r="103" spans="1:6" x14ac:dyDescent="0.2">
      <c r="A103" s="8" t="str">
        <f ca="1">IFERROR(__xludf.DUMMYFUNCTION("""COMPUTED_VALUE"""),"TOTS3")</f>
        <v>TOTS3</v>
      </c>
      <c r="B103" s="16">
        <f ca="1">IFERROR(__xludf.DUMMYFUNCTION("""COMPUTED_VALUE"""),44336)</f>
        <v>44336</v>
      </c>
      <c r="C103" s="8">
        <f ca="1">IFERROR(__xludf.DUMMYFUNCTION("""COMPUTED_VALUE"""),5)</f>
        <v>5</v>
      </c>
      <c r="D103" s="8">
        <f ca="1">IFERROR(__xludf.DUMMYFUNCTION("""COMPUTED_VALUE"""),2021)</f>
        <v>2021</v>
      </c>
      <c r="E103" s="8">
        <f ca="1">IFERROR(__xludf.DUMMYFUNCTION("""COMPUTED_VALUE"""),0.1)</f>
        <v>0.1</v>
      </c>
      <c r="F103" s="8">
        <f ca="1">IFERROR(__xludf.DUMMYFUNCTION("""COMPUTED_VALUE"""),10.12)</f>
        <v>10.119999999999999</v>
      </c>
    </row>
    <row r="104" spans="1:6" x14ac:dyDescent="0.2">
      <c r="A104" s="8" t="str">
        <f ca="1">IFERROR(__xludf.DUMMYFUNCTION("""COMPUTED_VALUE"""),"BPAN4")</f>
        <v>BPAN4</v>
      </c>
      <c r="B104" s="16">
        <f ca="1">IFERROR(__xludf.DUMMYFUNCTION("""COMPUTED_VALUE"""),44330)</f>
        <v>44330</v>
      </c>
      <c r="C104" s="8">
        <f ca="1">IFERROR(__xludf.DUMMYFUNCTION("""COMPUTED_VALUE"""),5)</f>
        <v>5</v>
      </c>
      <c r="D104" s="8">
        <f ca="1">IFERROR(__xludf.DUMMYFUNCTION("""COMPUTED_VALUE"""),2021)</f>
        <v>2021</v>
      </c>
      <c r="E104" s="8">
        <f ca="1">IFERROR(__xludf.DUMMYFUNCTION("""COMPUTED_VALUE"""),0)</f>
        <v>0</v>
      </c>
      <c r="F104" s="8">
        <f ca="1">IFERROR(__xludf.DUMMYFUNCTION("""COMPUTED_VALUE"""),1.2)</f>
        <v>1.2</v>
      </c>
    </row>
    <row r="105" spans="1:6" x14ac:dyDescent="0.2">
      <c r="A105" s="8" t="str">
        <f ca="1">IFERROR(__xludf.DUMMYFUNCTION("""COMPUTED_VALUE"""),"HGRE11")</f>
        <v>HGRE11</v>
      </c>
      <c r="B105" s="16">
        <f ca="1">IFERROR(__xludf.DUMMYFUNCTION("""COMPUTED_VALUE"""),44330)</f>
        <v>44330</v>
      </c>
      <c r="C105" s="8">
        <f ca="1">IFERROR(__xludf.DUMMYFUNCTION("""COMPUTED_VALUE"""),5)</f>
        <v>5</v>
      </c>
      <c r="D105" s="8">
        <f ca="1">IFERROR(__xludf.DUMMYFUNCTION("""COMPUTED_VALUE"""),2021)</f>
        <v>2021</v>
      </c>
      <c r="E105" s="8">
        <f ca="1">IFERROR(__xludf.DUMMYFUNCTION("""COMPUTED_VALUE"""),0)</f>
        <v>0</v>
      </c>
      <c r="F105" s="8">
        <f ca="1">IFERROR(__xludf.DUMMYFUNCTION("""COMPUTED_VALUE"""),18.09)</f>
        <v>18.09</v>
      </c>
    </row>
    <row r="106" spans="1:6" x14ac:dyDescent="0.2">
      <c r="A106" s="8" t="str">
        <f ca="1">IFERROR(__xludf.DUMMYFUNCTION("""COMPUTED_VALUE"""),"ENAT3")</f>
        <v>ENAT3</v>
      </c>
      <c r="B106" s="16">
        <f ca="1">IFERROR(__xludf.DUMMYFUNCTION("""COMPUTED_VALUE"""),44327)</f>
        <v>44327</v>
      </c>
      <c r="C106" s="8">
        <f ca="1">IFERROR(__xludf.DUMMYFUNCTION("""COMPUTED_VALUE"""),5)</f>
        <v>5</v>
      </c>
      <c r="D106" s="8">
        <f ca="1">IFERROR(__xludf.DUMMYFUNCTION("""COMPUTED_VALUE"""),2021)</f>
        <v>2021</v>
      </c>
      <c r="E106" s="8">
        <f ca="1">IFERROR(__xludf.DUMMYFUNCTION("""COMPUTED_VALUE"""),0.19)</f>
        <v>0.19</v>
      </c>
      <c r="F106" s="8">
        <f ca="1">IFERROR(__xludf.DUMMYFUNCTION("""COMPUTED_VALUE"""),122.9)</f>
        <v>122.9</v>
      </c>
    </row>
    <row r="107" spans="1:6" x14ac:dyDescent="0.2">
      <c r="A107" s="8" t="str">
        <f ca="1">IFERROR(__xludf.DUMMYFUNCTION("""COMPUTED_VALUE"""),"TGAR11")</f>
        <v>TGAR11</v>
      </c>
      <c r="B107" s="16">
        <f ca="1">IFERROR(__xludf.DUMMYFUNCTION("""COMPUTED_VALUE"""),44326)</f>
        <v>44326</v>
      </c>
      <c r="C107" s="8">
        <f ca="1">IFERROR(__xludf.DUMMYFUNCTION("""COMPUTED_VALUE"""),5)</f>
        <v>5</v>
      </c>
      <c r="D107" s="8">
        <f ca="1">IFERROR(__xludf.DUMMYFUNCTION("""COMPUTED_VALUE"""),2021)</f>
        <v>2021</v>
      </c>
      <c r="E107" s="8">
        <f ca="1">IFERROR(__xludf.DUMMYFUNCTION("""COMPUTED_VALUE"""),0)</f>
        <v>0</v>
      </c>
      <c r="F107" s="8">
        <f ca="1">IFERROR(__xludf.DUMMYFUNCTION("""COMPUTED_VALUE"""),15.12)</f>
        <v>15.12</v>
      </c>
    </row>
    <row r="108" spans="1:6" x14ac:dyDescent="0.2">
      <c r="A108" s="8" t="str">
        <f ca="1">IFERROR(__xludf.DUMMYFUNCTION("""COMPUTED_VALUE"""),"MGLU3")</f>
        <v>MGLU3</v>
      </c>
      <c r="B108" s="16">
        <f ca="1">IFERROR(__xludf.DUMMYFUNCTION("""COMPUTED_VALUE"""),44321)</f>
        <v>44321</v>
      </c>
      <c r="C108" s="8">
        <f ca="1">IFERROR(__xludf.DUMMYFUNCTION("""COMPUTED_VALUE"""),5)</f>
        <v>5</v>
      </c>
      <c r="D108" s="8">
        <f ca="1">IFERROR(__xludf.DUMMYFUNCTION("""COMPUTED_VALUE"""),2021)</f>
        <v>2021</v>
      </c>
      <c r="E108" s="8">
        <f ca="1">IFERROR(__xludf.DUMMYFUNCTION("""COMPUTED_VALUE"""),0.02)</f>
        <v>0.02</v>
      </c>
      <c r="F108" s="8">
        <f ca="1">IFERROR(__xludf.DUMMYFUNCTION("""COMPUTED_VALUE"""),4.11)</f>
        <v>4.1100000000000003</v>
      </c>
    </row>
    <row r="109" spans="1:6" x14ac:dyDescent="0.2">
      <c r="A109" s="8" t="str">
        <f ca="1">IFERROR(__xludf.DUMMYFUNCTION("""COMPUTED_VALUE"""),"ROMI3")</f>
        <v>ROMI3</v>
      </c>
      <c r="B109" s="16">
        <f ca="1">IFERROR(__xludf.DUMMYFUNCTION("""COMPUTED_VALUE"""),44314)</f>
        <v>44314</v>
      </c>
      <c r="C109" s="8">
        <f ca="1">IFERROR(__xludf.DUMMYFUNCTION("""COMPUTED_VALUE"""),4)</f>
        <v>4</v>
      </c>
      <c r="D109" s="8">
        <f ca="1">IFERROR(__xludf.DUMMYFUNCTION("""COMPUTED_VALUE"""),2021)</f>
        <v>2021</v>
      </c>
      <c r="E109" s="8">
        <f ca="1">IFERROR(__xludf.DUMMYFUNCTION("""COMPUTED_VALUE"""),0.15)</f>
        <v>0.15</v>
      </c>
      <c r="F109" s="8">
        <f ca="1">IFERROR(__xludf.DUMMYFUNCTION("""COMPUTED_VALUE"""),58.27)</f>
        <v>58.27</v>
      </c>
    </row>
    <row r="110" spans="1:6" x14ac:dyDescent="0.2">
      <c r="A110" s="8" t="str">
        <f ca="1">IFERROR(__xludf.DUMMYFUNCTION("""COMPUTED_VALUE"""),"HGRE11")</f>
        <v>HGRE11</v>
      </c>
      <c r="B110" s="16">
        <f ca="1">IFERROR(__xludf.DUMMYFUNCTION("""COMPUTED_VALUE"""),44301)</f>
        <v>44301</v>
      </c>
      <c r="C110" s="8">
        <f ca="1">IFERROR(__xludf.DUMMYFUNCTION("""COMPUTED_VALUE"""),4)</f>
        <v>4</v>
      </c>
      <c r="D110" s="8">
        <f ca="1">IFERROR(__xludf.DUMMYFUNCTION("""COMPUTED_VALUE"""),2021)</f>
        <v>2021</v>
      </c>
      <c r="E110" s="8">
        <f ca="1">IFERROR(__xludf.DUMMYFUNCTION("""COMPUTED_VALUE"""),0)</f>
        <v>0</v>
      </c>
      <c r="F110" s="8">
        <f ca="1">IFERROR(__xludf.DUMMYFUNCTION("""COMPUTED_VALUE"""),18.09)</f>
        <v>18.09</v>
      </c>
    </row>
    <row r="111" spans="1:6" x14ac:dyDescent="0.2">
      <c r="A111" s="8" t="str">
        <f ca="1">IFERROR(__xludf.DUMMYFUNCTION("""COMPUTED_VALUE"""),"TGAR11")</f>
        <v>TGAR11</v>
      </c>
      <c r="B111" s="16">
        <f ca="1">IFERROR(__xludf.DUMMYFUNCTION("""COMPUTED_VALUE"""),44295)</f>
        <v>44295</v>
      </c>
      <c r="C111" s="8">
        <f ca="1">IFERROR(__xludf.DUMMYFUNCTION("""COMPUTED_VALUE"""),4)</f>
        <v>4</v>
      </c>
      <c r="D111" s="8">
        <f ca="1">IFERROR(__xludf.DUMMYFUNCTION("""COMPUTED_VALUE"""),2021)</f>
        <v>2021</v>
      </c>
      <c r="E111" s="8">
        <f ca="1">IFERROR(__xludf.DUMMYFUNCTION("""COMPUTED_VALUE"""),0)</f>
        <v>0</v>
      </c>
      <c r="F111" s="8">
        <f ca="1">IFERROR(__xludf.DUMMYFUNCTION("""COMPUTED_VALUE"""),15.6)</f>
        <v>15.6</v>
      </c>
    </row>
    <row r="112" spans="1:6" x14ac:dyDescent="0.2">
      <c r="A112" s="8" t="str">
        <f ca="1">IFERROR(__xludf.DUMMYFUNCTION("""COMPUTED_VALUE"""),"HGRE11")</f>
        <v>HGRE11</v>
      </c>
      <c r="B112" s="16">
        <f ca="1">IFERROR(__xludf.DUMMYFUNCTION("""COMPUTED_VALUE"""),44267)</f>
        <v>44267</v>
      </c>
      <c r="C112" s="8">
        <f ca="1">IFERROR(__xludf.DUMMYFUNCTION("""COMPUTED_VALUE"""),3)</f>
        <v>3</v>
      </c>
      <c r="D112" s="8">
        <f ca="1">IFERROR(__xludf.DUMMYFUNCTION("""COMPUTED_VALUE"""),2021)</f>
        <v>2021</v>
      </c>
      <c r="E112" s="8">
        <f ca="1">IFERROR(__xludf.DUMMYFUNCTION("""COMPUTED_VALUE"""),0)</f>
        <v>0</v>
      </c>
      <c r="F112" s="8">
        <f ca="1">IFERROR(__xludf.DUMMYFUNCTION("""COMPUTED_VALUE"""),18.09)</f>
        <v>18.09</v>
      </c>
    </row>
    <row r="113" spans="1:6" x14ac:dyDescent="0.2">
      <c r="A113" s="8" t="str">
        <f ca="1">IFERROR(__xludf.DUMMYFUNCTION("""COMPUTED_VALUE"""),"WEGE3")</f>
        <v>WEGE3</v>
      </c>
      <c r="B113" s="16">
        <f ca="1">IFERROR(__xludf.DUMMYFUNCTION("""COMPUTED_VALUE"""),44265)</f>
        <v>44265</v>
      </c>
      <c r="C113" s="8">
        <f ca="1">IFERROR(__xludf.DUMMYFUNCTION("""COMPUTED_VALUE"""),3)</f>
        <v>3</v>
      </c>
      <c r="D113" s="8">
        <f ca="1">IFERROR(__xludf.DUMMYFUNCTION("""COMPUTED_VALUE"""),2021)</f>
        <v>2021</v>
      </c>
      <c r="E113" s="8">
        <f ca="1">IFERROR(__xludf.DUMMYFUNCTION("""COMPUTED_VALUE"""),0.04)</f>
        <v>0.04</v>
      </c>
      <c r="F113" s="8">
        <f ca="1">IFERROR(__xludf.DUMMYFUNCTION("""COMPUTED_VALUE"""),2.57)</f>
        <v>2.57</v>
      </c>
    </row>
    <row r="114" spans="1:6" x14ac:dyDescent="0.2">
      <c r="A114" s="8" t="str">
        <f ca="1">IFERROR(__xludf.DUMMYFUNCTION("""COMPUTED_VALUE"""),"WEGE3")</f>
        <v>WEGE3</v>
      </c>
      <c r="B114" s="16">
        <f ca="1">IFERROR(__xludf.DUMMYFUNCTION("""COMPUTED_VALUE"""),44265)</f>
        <v>44265</v>
      </c>
      <c r="C114" s="8">
        <f ca="1">IFERROR(__xludf.DUMMYFUNCTION("""COMPUTED_VALUE"""),3)</f>
        <v>3</v>
      </c>
      <c r="D114" s="8">
        <f ca="1">IFERROR(__xludf.DUMMYFUNCTION("""COMPUTED_VALUE"""),2021)</f>
        <v>2021</v>
      </c>
      <c r="E114" s="8">
        <f ca="1">IFERROR(__xludf.DUMMYFUNCTION("""COMPUTED_VALUE"""),0.03)</f>
        <v>0.03</v>
      </c>
      <c r="F114" s="8">
        <f ca="1">IFERROR(__xludf.DUMMYFUNCTION("""COMPUTED_VALUE"""),3.13)</f>
        <v>3.13</v>
      </c>
    </row>
    <row r="115" spans="1:6" x14ac:dyDescent="0.2">
      <c r="A115" s="8" t="str">
        <f ca="1">IFERROR(__xludf.DUMMYFUNCTION("""COMPUTED_VALUE"""),"TGAR11")</f>
        <v>TGAR11</v>
      </c>
      <c r="B115" s="16">
        <f ca="1">IFERROR(__xludf.DUMMYFUNCTION("""COMPUTED_VALUE"""),44263)</f>
        <v>44263</v>
      </c>
      <c r="C115" s="8">
        <f ca="1">IFERROR(__xludf.DUMMYFUNCTION("""COMPUTED_VALUE"""),3)</f>
        <v>3</v>
      </c>
      <c r="D115" s="8">
        <f ca="1">IFERROR(__xludf.DUMMYFUNCTION("""COMPUTED_VALUE"""),2021)</f>
        <v>2021</v>
      </c>
      <c r="E115" s="8">
        <f ca="1">IFERROR(__xludf.DUMMYFUNCTION("""COMPUTED_VALUE"""),0)</f>
        <v>0</v>
      </c>
      <c r="F115" s="8">
        <f ca="1">IFERROR(__xludf.DUMMYFUNCTION("""COMPUTED_VALUE"""),13.8)</f>
        <v>13.8</v>
      </c>
    </row>
    <row r="116" spans="1:6" x14ac:dyDescent="0.2">
      <c r="A116" s="8" t="str">
        <f ca="1">IFERROR(__xludf.DUMMYFUNCTION("""COMPUTED_VALUE"""),"BBSE3")</f>
        <v>BBSE3</v>
      </c>
      <c r="B116" s="16">
        <f ca="1">IFERROR(__xludf.DUMMYFUNCTION("""COMPUTED_VALUE"""),44252)</f>
        <v>44252</v>
      </c>
      <c r="C116" s="8">
        <f ca="1">IFERROR(__xludf.DUMMYFUNCTION("""COMPUTED_VALUE"""),2)</f>
        <v>2</v>
      </c>
      <c r="D116" s="8">
        <f ca="1">IFERROR(__xludf.DUMMYFUNCTION("""COMPUTED_VALUE"""),2021)</f>
        <v>2021</v>
      </c>
      <c r="E116" s="8">
        <f ca="1">IFERROR(__xludf.DUMMYFUNCTION("""COMPUTED_VALUE"""),0.47)</f>
        <v>0.47</v>
      </c>
      <c r="F116" s="8">
        <f ca="1">IFERROR(__xludf.DUMMYFUNCTION("""COMPUTED_VALUE"""),125.82)</f>
        <v>125.82</v>
      </c>
    </row>
    <row r="117" spans="1:6" x14ac:dyDescent="0.2">
      <c r="A117" s="8" t="str">
        <f ca="1">IFERROR(__xludf.DUMMYFUNCTION("""COMPUTED_VALUE"""),"BBSE3")</f>
        <v>BBSE3</v>
      </c>
      <c r="B117" s="16">
        <f ca="1">IFERROR(__xludf.DUMMYFUNCTION("""COMPUTED_VALUE"""),44252)</f>
        <v>44252</v>
      </c>
      <c r="C117" s="8">
        <f ca="1">IFERROR(__xludf.DUMMYFUNCTION("""COMPUTED_VALUE"""),2)</f>
        <v>2</v>
      </c>
      <c r="D117" s="8">
        <f ca="1">IFERROR(__xludf.DUMMYFUNCTION("""COMPUTED_VALUE"""),2021)</f>
        <v>2021</v>
      </c>
      <c r="E117" s="8">
        <f ca="1">IFERROR(__xludf.DUMMYFUNCTION("""COMPUTED_VALUE"""),0)</f>
        <v>0</v>
      </c>
      <c r="F117" s="8">
        <f ca="1">IFERROR(__xludf.DUMMYFUNCTION("""COMPUTED_VALUE"""),0.27)</f>
        <v>0.27</v>
      </c>
    </row>
    <row r="118" spans="1:6" x14ac:dyDescent="0.2">
      <c r="A118" s="8" t="str">
        <f ca="1">IFERROR(__xludf.DUMMYFUNCTION("""COMPUTED_VALUE"""),"HGRE11")</f>
        <v>HGRE11</v>
      </c>
      <c r="B118" s="16">
        <f ca="1">IFERROR(__xludf.DUMMYFUNCTION("""COMPUTED_VALUE"""),44239)</f>
        <v>44239</v>
      </c>
      <c r="C118" s="8">
        <f ca="1">IFERROR(__xludf.DUMMYFUNCTION("""COMPUTED_VALUE"""),2)</f>
        <v>2</v>
      </c>
      <c r="D118" s="8">
        <f ca="1">IFERROR(__xludf.DUMMYFUNCTION("""COMPUTED_VALUE"""),2021)</f>
        <v>2021</v>
      </c>
      <c r="E118" s="8">
        <f ca="1">IFERROR(__xludf.DUMMYFUNCTION("""COMPUTED_VALUE"""),0)</f>
        <v>0</v>
      </c>
      <c r="F118" s="8">
        <f ca="1">IFERROR(__xludf.DUMMYFUNCTION("""COMPUTED_VALUE"""),18.09)</f>
        <v>18.09</v>
      </c>
    </row>
    <row r="119" spans="1:6" x14ac:dyDescent="0.2">
      <c r="A119" s="8" t="str">
        <f ca="1">IFERROR(__xludf.DUMMYFUNCTION("""COMPUTED_VALUE"""),"TGAR11")</f>
        <v>TGAR11</v>
      </c>
      <c r="B119" s="16">
        <f ca="1">IFERROR(__xludf.DUMMYFUNCTION("""COMPUTED_VALUE"""),44235)</f>
        <v>44235</v>
      </c>
      <c r="C119" s="8">
        <f ca="1">IFERROR(__xludf.DUMMYFUNCTION("""COMPUTED_VALUE"""),2)</f>
        <v>2</v>
      </c>
      <c r="D119" s="8">
        <f ca="1">IFERROR(__xludf.DUMMYFUNCTION("""COMPUTED_VALUE"""),2021)</f>
        <v>2021</v>
      </c>
      <c r="E119" s="8">
        <f ca="1">IFERROR(__xludf.DUMMYFUNCTION("""COMPUTED_VALUE"""),0)</f>
        <v>0</v>
      </c>
      <c r="F119" s="8">
        <f ca="1">IFERROR(__xludf.DUMMYFUNCTION("""COMPUTED_VALUE"""),12)</f>
        <v>12</v>
      </c>
    </row>
    <row r="120" spans="1:6" x14ac:dyDescent="0.2">
      <c r="A120" s="8" t="str">
        <f ca="1">IFERROR(__xludf.DUMMYFUNCTION("""COMPUTED_VALUE"""),"BPAC11")</f>
        <v>BPAC11</v>
      </c>
      <c r="B120" s="16">
        <f ca="1">IFERROR(__xludf.DUMMYFUNCTION("""COMPUTED_VALUE"""),44232)</f>
        <v>44232</v>
      </c>
      <c r="C120" s="8">
        <f ca="1">IFERROR(__xludf.DUMMYFUNCTION("""COMPUTED_VALUE"""),2)</f>
        <v>2</v>
      </c>
      <c r="D120" s="8">
        <f ca="1">IFERROR(__xludf.DUMMYFUNCTION("""COMPUTED_VALUE"""),2021)</f>
        <v>2021</v>
      </c>
      <c r="E120" s="8">
        <f ca="1">IFERROR(__xludf.DUMMYFUNCTION("""COMPUTED_VALUE"""),0.62)</f>
        <v>0.62</v>
      </c>
      <c r="F120" s="8">
        <f ca="1">IFERROR(__xludf.DUMMYFUNCTION("""COMPUTED_VALUE"""),6.88)</f>
        <v>6.88</v>
      </c>
    </row>
    <row r="121" spans="1:6" x14ac:dyDescent="0.2">
      <c r="A121" s="8" t="str">
        <f ca="1">IFERROR(__xludf.DUMMYFUNCTION("""COMPUTED_VALUE"""),"B3SA3")</f>
        <v>B3SA3</v>
      </c>
      <c r="B121" s="16">
        <f ca="1">IFERROR(__xludf.DUMMYFUNCTION("""COMPUTED_VALUE"""),44204)</f>
        <v>44204</v>
      </c>
      <c r="C121" s="8">
        <f ca="1">IFERROR(__xludf.DUMMYFUNCTION("""COMPUTED_VALUE"""),1)</f>
        <v>1</v>
      </c>
      <c r="D121" s="8">
        <f ca="1">IFERROR(__xludf.DUMMYFUNCTION("""COMPUTED_VALUE"""),2021)</f>
        <v>2021</v>
      </c>
      <c r="E121" s="8">
        <f ca="1">IFERROR(__xludf.DUMMYFUNCTION("""COMPUTED_VALUE"""),0.41)</f>
        <v>0.41</v>
      </c>
      <c r="F121" s="8">
        <f ca="1">IFERROR(__xludf.DUMMYFUNCTION("""COMPUTED_VALUE"""),45.56)</f>
        <v>45.56</v>
      </c>
    </row>
    <row r="122" spans="1:6" x14ac:dyDescent="0.2">
      <c r="A122" s="8" t="str">
        <f ca="1">IFERROR(__xludf.DUMMYFUNCTION("""COMPUTED_VALUE"""),"B3SA3")</f>
        <v>B3SA3</v>
      </c>
      <c r="B122" s="16">
        <f ca="1">IFERROR(__xludf.DUMMYFUNCTION("""COMPUTED_VALUE"""),44204)</f>
        <v>44204</v>
      </c>
      <c r="C122" s="8">
        <f ca="1">IFERROR(__xludf.DUMMYFUNCTION("""COMPUTED_VALUE"""),1)</f>
        <v>1</v>
      </c>
      <c r="D122" s="8">
        <f ca="1">IFERROR(__xludf.DUMMYFUNCTION("""COMPUTED_VALUE"""),2021)</f>
        <v>2021</v>
      </c>
      <c r="E122" s="8">
        <f ca="1">IFERROR(__xludf.DUMMYFUNCTION("""COMPUTED_VALUE"""),0.15)</f>
        <v>0.15</v>
      </c>
      <c r="F122" s="8">
        <f ca="1">IFERROR(__xludf.DUMMYFUNCTION("""COMPUTED_VALUE"""),13.86)</f>
        <v>13.86</v>
      </c>
    </row>
    <row r="123" spans="1:6" x14ac:dyDescent="0.2">
      <c r="A123" s="8" t="str">
        <f ca="1">IFERROR(__xludf.DUMMYFUNCTION("""COMPUTED_VALUE"""),"BBAS3")</f>
        <v>BBAS3</v>
      </c>
      <c r="B123" s="16">
        <f ca="1">IFERROR(__xludf.DUMMYFUNCTION("""COMPUTED_VALUE"""),44924)</f>
        <v>44924</v>
      </c>
      <c r="C123" s="8">
        <f ca="1">IFERROR(__xludf.DUMMYFUNCTION("""COMPUTED_VALUE"""),12)</f>
        <v>12</v>
      </c>
      <c r="D123" s="8">
        <f ca="1">IFERROR(__xludf.DUMMYFUNCTION("""COMPUTED_VALUE"""),2022)</f>
        <v>2022</v>
      </c>
      <c r="E123" s="8">
        <f ca="1">IFERROR(__xludf.DUMMYFUNCTION("""COMPUTED_VALUE"""),0.35)</f>
        <v>0.35</v>
      </c>
      <c r="F123" s="8">
        <f ca="1">IFERROR(__xludf.DUMMYFUNCTION("""COMPUTED_VALUE"""),170.04)</f>
        <v>170.04</v>
      </c>
    </row>
    <row r="124" spans="1:6" x14ac:dyDescent="0.2">
      <c r="A124" s="8" t="str">
        <f ca="1">IFERROR(__xludf.DUMMYFUNCTION("""COMPUTED_VALUE"""),"BRSR6")</f>
        <v>BRSR6</v>
      </c>
      <c r="B124" s="16">
        <f ca="1">IFERROR(__xludf.DUMMYFUNCTION("""COMPUTED_VALUE"""),44923)</f>
        <v>44923</v>
      </c>
      <c r="C124" s="8">
        <f ca="1">IFERROR(__xludf.DUMMYFUNCTION("""COMPUTED_VALUE"""),12)</f>
        <v>12</v>
      </c>
      <c r="D124" s="8">
        <f ca="1">IFERROR(__xludf.DUMMYFUNCTION("""COMPUTED_VALUE"""),2022)</f>
        <v>2022</v>
      </c>
      <c r="E124" s="8">
        <f ca="1">IFERROR(__xludf.DUMMYFUNCTION("""COMPUTED_VALUE"""),0.02)</f>
        <v>0.02</v>
      </c>
      <c r="F124" s="8">
        <f ca="1">IFERROR(__xludf.DUMMYFUNCTION("""COMPUTED_VALUE"""),15.11)</f>
        <v>15.11</v>
      </c>
    </row>
    <row r="125" spans="1:6" x14ac:dyDescent="0.2">
      <c r="A125" s="8" t="str">
        <f ca="1">IFERROR(__xludf.DUMMYFUNCTION("""COMPUTED_VALUE"""),"PETR4")</f>
        <v>PETR4</v>
      </c>
      <c r="B125" s="16">
        <f ca="1">IFERROR(__xludf.DUMMYFUNCTION("""COMPUTED_VALUE"""),44915)</f>
        <v>44915</v>
      </c>
      <c r="C125" s="8">
        <f ca="1">IFERROR(__xludf.DUMMYFUNCTION("""COMPUTED_VALUE"""),12)</f>
        <v>12</v>
      </c>
      <c r="D125" s="8">
        <f ca="1">IFERROR(__xludf.DUMMYFUNCTION("""COMPUTED_VALUE"""),2022)</f>
        <v>2022</v>
      </c>
      <c r="E125" s="8">
        <f ca="1">IFERROR(__xludf.DUMMYFUNCTION("""COMPUTED_VALUE"""),1.16)</f>
        <v>1.1599999999999999</v>
      </c>
      <c r="F125" s="8">
        <f ca="1">IFERROR(__xludf.DUMMYFUNCTION("""COMPUTED_VALUE"""),243.87)</f>
        <v>243.87</v>
      </c>
    </row>
    <row r="126" spans="1:6" x14ac:dyDescent="0.2">
      <c r="A126" s="8" t="str">
        <f ca="1">IFERROR(__xludf.DUMMYFUNCTION("""COMPUTED_VALUE"""),"PETR4")</f>
        <v>PETR4</v>
      </c>
      <c r="B126" s="16">
        <f ca="1">IFERROR(__xludf.DUMMYFUNCTION("""COMPUTED_VALUE"""),44915)</f>
        <v>44915</v>
      </c>
      <c r="C126" s="8">
        <f ca="1">IFERROR(__xludf.DUMMYFUNCTION("""COMPUTED_VALUE"""),12)</f>
        <v>12</v>
      </c>
      <c r="D126" s="8">
        <f ca="1">IFERROR(__xludf.DUMMYFUNCTION("""COMPUTED_VALUE"""),2022)</f>
        <v>2022</v>
      </c>
      <c r="E126" s="8">
        <f ca="1">IFERROR(__xludf.DUMMYFUNCTION("""COMPUTED_VALUE"""),0.52)</f>
        <v>0.52</v>
      </c>
      <c r="F126" s="8">
        <f ca="1">IFERROR(__xludf.DUMMYFUNCTION("""COMPUTED_VALUE"""),93.02)</f>
        <v>93.02</v>
      </c>
    </row>
    <row r="127" spans="1:6" x14ac:dyDescent="0.2">
      <c r="A127" s="8" t="str">
        <f ca="1">IFERROR(__xludf.DUMMYFUNCTION("""COMPUTED_VALUE"""),"TAEE4")</f>
        <v>TAEE4</v>
      </c>
      <c r="B127" s="16">
        <f ca="1">IFERROR(__xludf.DUMMYFUNCTION("""COMPUTED_VALUE"""),44900)</f>
        <v>44900</v>
      </c>
      <c r="C127" s="8">
        <f ca="1">IFERROR(__xludf.DUMMYFUNCTION("""COMPUTED_VALUE"""),12)</f>
        <v>12</v>
      </c>
      <c r="D127" s="8">
        <f ca="1">IFERROR(__xludf.DUMMYFUNCTION("""COMPUTED_VALUE"""),2022)</f>
        <v>2022</v>
      </c>
      <c r="E127" s="8">
        <f ca="1">IFERROR(__xludf.DUMMYFUNCTION("""COMPUTED_VALUE"""),0.2)</f>
        <v>0.2</v>
      </c>
      <c r="F127" s="8">
        <f ca="1">IFERROR(__xludf.DUMMYFUNCTION("""COMPUTED_VALUE"""),132.51)</f>
        <v>132.51</v>
      </c>
    </row>
    <row r="128" spans="1:6" x14ac:dyDescent="0.2">
      <c r="A128" s="8" t="str">
        <f ca="1">IFERROR(__xludf.DUMMYFUNCTION("""COMPUTED_VALUE"""),"TAEE4")</f>
        <v>TAEE4</v>
      </c>
      <c r="B128" s="16">
        <f ca="1">IFERROR(__xludf.DUMMYFUNCTION("""COMPUTED_VALUE"""),44900)</f>
        <v>44900</v>
      </c>
      <c r="C128" s="8">
        <f ca="1">IFERROR(__xludf.DUMMYFUNCTION("""COMPUTED_VALUE"""),12)</f>
        <v>12</v>
      </c>
      <c r="D128" s="8">
        <f ca="1">IFERROR(__xludf.DUMMYFUNCTION("""COMPUTED_VALUE"""),2022)</f>
        <v>2022</v>
      </c>
      <c r="E128" s="8">
        <f ca="1">IFERROR(__xludf.DUMMYFUNCTION("""COMPUTED_VALUE"""),0.04)</f>
        <v>0.04</v>
      </c>
      <c r="F128" s="8">
        <f ca="1">IFERROR(__xludf.DUMMYFUNCTION("""COMPUTED_VALUE"""),34.03)</f>
        <v>34.03</v>
      </c>
    </row>
    <row r="129" spans="1:6" x14ac:dyDescent="0.2">
      <c r="A129" s="8" t="str">
        <f ca="1">IFERROR(__xludf.DUMMYFUNCTION("""COMPUTED_VALUE"""),"TAEE4")</f>
        <v>TAEE4</v>
      </c>
      <c r="B129" s="16">
        <f ca="1">IFERROR(__xludf.DUMMYFUNCTION("""COMPUTED_VALUE"""),44900)</f>
        <v>44900</v>
      </c>
      <c r="C129" s="8">
        <f ca="1">IFERROR(__xludf.DUMMYFUNCTION("""COMPUTED_VALUE"""),12)</f>
        <v>12</v>
      </c>
      <c r="D129" s="8">
        <f ca="1">IFERROR(__xludf.DUMMYFUNCTION("""COMPUTED_VALUE"""),2022)</f>
        <v>2022</v>
      </c>
      <c r="E129" s="8">
        <f ca="1">IFERROR(__xludf.DUMMYFUNCTION("""COMPUTED_VALUE"""),0.11)</f>
        <v>0.11</v>
      </c>
      <c r="F129" s="8">
        <f ca="1">IFERROR(__xludf.DUMMYFUNCTION("""COMPUTED_VALUE"""),85.47)</f>
        <v>85.47</v>
      </c>
    </row>
    <row r="130" spans="1:6" x14ac:dyDescent="0.2">
      <c r="A130" s="8" t="str">
        <f ca="1">IFERROR(__xludf.DUMMYFUNCTION("""COMPUTED_VALUE"""),"BBDC3")</f>
        <v>BBDC3</v>
      </c>
      <c r="B130" s="16">
        <f ca="1">IFERROR(__xludf.DUMMYFUNCTION("""COMPUTED_VALUE"""),44896)</f>
        <v>44896</v>
      </c>
      <c r="C130" s="8">
        <f ca="1">IFERROR(__xludf.DUMMYFUNCTION("""COMPUTED_VALUE"""),12)</f>
        <v>12</v>
      </c>
      <c r="D130" s="8">
        <f ca="1">IFERROR(__xludf.DUMMYFUNCTION("""COMPUTED_VALUE"""),2022)</f>
        <v>2022</v>
      </c>
      <c r="E130" s="8">
        <f ca="1">IFERROR(__xludf.DUMMYFUNCTION("""COMPUTED_VALUE"""),0.02)</f>
        <v>0.02</v>
      </c>
      <c r="F130" s="8">
        <f ca="1">IFERROR(__xludf.DUMMYFUNCTION("""COMPUTED_VALUE"""),5.64)</f>
        <v>5.64</v>
      </c>
    </row>
    <row r="131" spans="1:6" x14ac:dyDescent="0.2">
      <c r="A131" s="8" t="str">
        <f ca="1">IFERROR(__xludf.DUMMYFUNCTION("""COMPUTED_VALUE"""),"BBAS3")</f>
        <v>BBAS3</v>
      </c>
      <c r="B131" s="16">
        <f ca="1">IFERROR(__xludf.DUMMYFUNCTION("""COMPUTED_VALUE"""),44895)</f>
        <v>44895</v>
      </c>
      <c r="C131" s="8">
        <f ca="1">IFERROR(__xludf.DUMMYFUNCTION("""COMPUTED_VALUE"""),11)</f>
        <v>11</v>
      </c>
      <c r="D131" s="8">
        <f ca="1">IFERROR(__xludf.DUMMYFUNCTION("""COMPUTED_VALUE"""),2022)</f>
        <v>2022</v>
      </c>
      <c r="E131" s="8">
        <f ca="1">IFERROR(__xludf.DUMMYFUNCTION("""COMPUTED_VALUE"""),0.63)</f>
        <v>0.63</v>
      </c>
      <c r="F131" s="8">
        <f ca="1">IFERROR(__xludf.DUMMYFUNCTION("""COMPUTED_VALUE"""),289.07)</f>
        <v>289.07</v>
      </c>
    </row>
    <row r="132" spans="1:6" x14ac:dyDescent="0.2">
      <c r="A132" s="8" t="str">
        <f ca="1">IFERROR(__xludf.DUMMYFUNCTION("""COMPUTED_VALUE"""),"BBAS3")</f>
        <v>BBAS3</v>
      </c>
      <c r="B132" s="16">
        <f ca="1">IFERROR(__xludf.DUMMYFUNCTION("""COMPUTED_VALUE"""),44895)</f>
        <v>44895</v>
      </c>
      <c r="C132" s="8">
        <f ca="1">IFERROR(__xludf.DUMMYFUNCTION("""COMPUTED_VALUE"""),11)</f>
        <v>11</v>
      </c>
      <c r="D132" s="8">
        <f ca="1">IFERROR(__xludf.DUMMYFUNCTION("""COMPUTED_VALUE"""),2022)</f>
        <v>2022</v>
      </c>
      <c r="E132" s="8">
        <f ca="1">IFERROR(__xludf.DUMMYFUNCTION("""COMPUTED_VALUE"""),0.17)</f>
        <v>0.17</v>
      </c>
      <c r="F132" s="8">
        <f ca="1">IFERROR(__xludf.DUMMYFUNCTION("""COMPUTED_VALUE"""),91.23)</f>
        <v>91.23</v>
      </c>
    </row>
    <row r="133" spans="1:6" x14ac:dyDescent="0.2">
      <c r="A133" s="8" t="str">
        <f ca="1">IFERROR(__xludf.DUMMYFUNCTION("""COMPUTED_VALUE"""),"CPLE6")</f>
        <v>CPLE6</v>
      </c>
      <c r="B133" s="16">
        <f ca="1">IFERROR(__xludf.DUMMYFUNCTION("""COMPUTED_VALUE"""),44895)</f>
        <v>44895</v>
      </c>
      <c r="C133" s="8">
        <f ca="1">IFERROR(__xludf.DUMMYFUNCTION("""COMPUTED_VALUE"""),11)</f>
        <v>11</v>
      </c>
      <c r="D133" s="8">
        <f ca="1">IFERROR(__xludf.DUMMYFUNCTION("""COMPUTED_VALUE"""),2022)</f>
        <v>2022</v>
      </c>
      <c r="E133" s="8">
        <f ca="1">IFERROR(__xludf.DUMMYFUNCTION("""COMPUTED_VALUE"""),0.23)</f>
        <v>0.23</v>
      </c>
      <c r="F133" s="8">
        <f ca="1">IFERROR(__xludf.DUMMYFUNCTION("""COMPUTED_VALUE"""),108.54)</f>
        <v>108.54</v>
      </c>
    </row>
    <row r="134" spans="1:6" x14ac:dyDescent="0.2">
      <c r="A134" s="8" t="str">
        <f ca="1">IFERROR(__xludf.DUMMYFUNCTION("""COMPUTED_VALUE"""),"WIZS3")</f>
        <v>WIZS3</v>
      </c>
      <c r="B134" s="16">
        <f ca="1">IFERROR(__xludf.DUMMYFUNCTION("""COMPUTED_VALUE"""),44890)</f>
        <v>44890</v>
      </c>
      <c r="C134" s="8">
        <f ca="1">IFERROR(__xludf.DUMMYFUNCTION("""COMPUTED_VALUE"""),11)</f>
        <v>11</v>
      </c>
      <c r="D134" s="8">
        <f ca="1">IFERROR(__xludf.DUMMYFUNCTION("""COMPUTED_VALUE"""),2022)</f>
        <v>2022</v>
      </c>
      <c r="E134" s="8">
        <f ca="1">IFERROR(__xludf.DUMMYFUNCTION("""COMPUTED_VALUE"""),0.5)</f>
        <v>0.5</v>
      </c>
      <c r="F134" s="8">
        <f ca="1">IFERROR(__xludf.DUMMYFUNCTION("""COMPUTED_VALUE"""),208.89)</f>
        <v>208.89</v>
      </c>
    </row>
    <row r="135" spans="1:6" x14ac:dyDescent="0.2">
      <c r="A135" s="8" t="str">
        <f ca="1">IFERROR(__xludf.DUMMYFUNCTION("""COMPUTED_VALUE"""),"CIEL3")</f>
        <v>CIEL3</v>
      </c>
      <c r="B135" s="16">
        <f ca="1">IFERROR(__xludf.DUMMYFUNCTION("""COMPUTED_VALUE"""),44889)</f>
        <v>44889</v>
      </c>
      <c r="C135" s="8">
        <f ca="1">IFERROR(__xludf.DUMMYFUNCTION("""COMPUTED_VALUE"""),11)</f>
        <v>11</v>
      </c>
      <c r="D135" s="8">
        <f ca="1">IFERROR(__xludf.DUMMYFUNCTION("""COMPUTED_VALUE"""),2022)</f>
        <v>2022</v>
      </c>
      <c r="E135" s="8">
        <f ca="1">IFERROR(__xludf.DUMMYFUNCTION("""COMPUTED_VALUE"""),0.06)</f>
        <v>0.06</v>
      </c>
      <c r="F135" s="8">
        <f ca="1">IFERROR(__xludf.DUMMYFUNCTION("""COMPUTED_VALUE"""),51.65)</f>
        <v>51.65</v>
      </c>
    </row>
    <row r="136" spans="1:6" x14ac:dyDescent="0.2">
      <c r="A136" s="8" t="str">
        <f ca="1">IFERROR(__xludf.DUMMYFUNCTION("""COMPUTED_VALUE"""),"BBDC3")</f>
        <v>BBDC3</v>
      </c>
      <c r="B136" s="16">
        <f ca="1">IFERROR(__xludf.DUMMYFUNCTION("""COMPUTED_VALUE"""),44866)</f>
        <v>44866</v>
      </c>
      <c r="C136" s="8">
        <f ca="1">IFERROR(__xludf.DUMMYFUNCTION("""COMPUTED_VALUE"""),11)</f>
        <v>11</v>
      </c>
      <c r="D136" s="8">
        <f ca="1">IFERROR(__xludf.DUMMYFUNCTION("""COMPUTED_VALUE"""),2022)</f>
        <v>2022</v>
      </c>
      <c r="E136" s="8">
        <f ca="1">IFERROR(__xludf.DUMMYFUNCTION("""COMPUTED_VALUE"""),0.02)</f>
        <v>0.02</v>
      </c>
      <c r="F136" s="8">
        <f ca="1">IFERROR(__xludf.DUMMYFUNCTION("""COMPUTED_VALUE"""),5.64)</f>
        <v>5.64</v>
      </c>
    </row>
    <row r="137" spans="1:6" x14ac:dyDescent="0.2">
      <c r="A137" s="8" t="str">
        <f ca="1">IFERROR(__xludf.DUMMYFUNCTION("""COMPUTED_VALUE"""),"VIVT3")</f>
        <v>VIVT3</v>
      </c>
      <c r="B137" s="16">
        <f ca="1">IFERROR(__xludf.DUMMYFUNCTION("""COMPUTED_VALUE"""),44852)</f>
        <v>44852</v>
      </c>
      <c r="C137" s="8">
        <f ca="1">IFERROR(__xludf.DUMMYFUNCTION("""COMPUTED_VALUE"""),10)</f>
        <v>10</v>
      </c>
      <c r="D137" s="8">
        <f ca="1">IFERROR(__xludf.DUMMYFUNCTION("""COMPUTED_VALUE"""),2022)</f>
        <v>2022</v>
      </c>
      <c r="E137" s="8">
        <f ca="1">IFERROR(__xludf.DUMMYFUNCTION("""COMPUTED_VALUE"""),1.21)</f>
        <v>1.21</v>
      </c>
      <c r="F137" s="8">
        <f ca="1">IFERROR(__xludf.DUMMYFUNCTION("""COMPUTED_VALUE"""),166.04)</f>
        <v>166.04</v>
      </c>
    </row>
    <row r="138" spans="1:6" x14ac:dyDescent="0.2">
      <c r="A138" s="8" t="str">
        <f ca="1">IFERROR(__xludf.DUMMYFUNCTION("""COMPUTED_VALUE"""),"VIVT3")</f>
        <v>VIVT3</v>
      </c>
      <c r="B138" s="16">
        <f ca="1">IFERROR(__xludf.DUMMYFUNCTION("""COMPUTED_VALUE"""),44852)</f>
        <v>44852</v>
      </c>
      <c r="C138" s="8">
        <f ca="1">IFERROR(__xludf.DUMMYFUNCTION("""COMPUTED_VALUE"""),10)</f>
        <v>10</v>
      </c>
      <c r="D138" s="8">
        <f ca="1">IFERROR(__xludf.DUMMYFUNCTION("""COMPUTED_VALUE"""),2022)</f>
        <v>2022</v>
      </c>
      <c r="E138" s="8">
        <f ca="1">IFERROR(__xludf.DUMMYFUNCTION("""COMPUTED_VALUE"""),0.89)</f>
        <v>0.89</v>
      </c>
      <c r="F138" s="8">
        <f ca="1">IFERROR(__xludf.DUMMYFUNCTION("""COMPUTED_VALUE"""),116.28)</f>
        <v>116.28</v>
      </c>
    </row>
    <row r="139" spans="1:6" x14ac:dyDescent="0.2">
      <c r="A139" s="8" t="str">
        <f ca="1">IFERROR(__xludf.DUMMYFUNCTION("""COMPUTED_VALUE"""),"ABCB4")</f>
        <v>ABCB4</v>
      </c>
      <c r="B139" s="16">
        <f ca="1">IFERROR(__xludf.DUMMYFUNCTION("""COMPUTED_VALUE"""),44847)</f>
        <v>44847</v>
      </c>
      <c r="C139" s="8">
        <f ca="1">IFERROR(__xludf.DUMMYFUNCTION("""COMPUTED_VALUE"""),10)</f>
        <v>10</v>
      </c>
      <c r="D139" s="8">
        <f ca="1">IFERROR(__xludf.DUMMYFUNCTION("""COMPUTED_VALUE"""),2022)</f>
        <v>2022</v>
      </c>
      <c r="E139" s="8">
        <f ca="1">IFERROR(__xludf.DUMMYFUNCTION("""COMPUTED_VALUE"""),0.36)</f>
        <v>0.36</v>
      </c>
      <c r="F139" s="8">
        <f ca="1">IFERROR(__xludf.DUMMYFUNCTION("""COMPUTED_VALUE"""),15.39)</f>
        <v>15.39</v>
      </c>
    </row>
    <row r="140" spans="1:6" x14ac:dyDescent="0.2">
      <c r="A140" s="8" t="str">
        <f ca="1">IFERROR(__xludf.DUMMYFUNCTION("""COMPUTED_VALUE"""),"BBDC3")</f>
        <v>BBDC3</v>
      </c>
      <c r="B140" s="16">
        <f ca="1">IFERROR(__xludf.DUMMYFUNCTION("""COMPUTED_VALUE"""),44837)</f>
        <v>44837</v>
      </c>
      <c r="C140" s="8">
        <f ca="1">IFERROR(__xludf.DUMMYFUNCTION("""COMPUTED_VALUE"""),10)</f>
        <v>10</v>
      </c>
      <c r="D140" s="8">
        <f ca="1">IFERROR(__xludf.DUMMYFUNCTION("""COMPUTED_VALUE"""),2022)</f>
        <v>2022</v>
      </c>
      <c r="E140" s="8">
        <f ca="1">IFERROR(__xludf.DUMMYFUNCTION("""COMPUTED_VALUE"""),0.02)</f>
        <v>0.02</v>
      </c>
      <c r="F140" s="8">
        <f ca="1">IFERROR(__xludf.DUMMYFUNCTION("""COMPUTED_VALUE"""),5.64)</f>
        <v>5.64</v>
      </c>
    </row>
    <row r="141" spans="1:6" x14ac:dyDescent="0.2">
      <c r="A141" s="8" t="str">
        <f ca="1">IFERROR(__xludf.DUMMYFUNCTION("""COMPUTED_VALUE"""),"BBAS3")</f>
        <v>BBAS3</v>
      </c>
      <c r="B141" s="16">
        <f ca="1">IFERROR(__xludf.DUMMYFUNCTION("""COMPUTED_VALUE"""),44834)</f>
        <v>44834</v>
      </c>
      <c r="C141" s="8">
        <f ca="1">IFERROR(__xludf.DUMMYFUNCTION("""COMPUTED_VALUE"""),9)</f>
        <v>9</v>
      </c>
      <c r="D141" s="8">
        <f ca="1">IFERROR(__xludf.DUMMYFUNCTION("""COMPUTED_VALUE"""),2022)</f>
        <v>2022</v>
      </c>
      <c r="E141" s="8">
        <f ca="1">IFERROR(__xludf.DUMMYFUNCTION("""COMPUTED_VALUE"""),0.27)</f>
        <v>0.27</v>
      </c>
      <c r="F141" s="8">
        <f ca="1">IFERROR(__xludf.DUMMYFUNCTION("""COMPUTED_VALUE"""),66.08)</f>
        <v>66.08</v>
      </c>
    </row>
    <row r="142" spans="1:6" x14ac:dyDescent="0.2">
      <c r="A142" s="8" t="str">
        <f ca="1">IFERROR(__xludf.DUMMYFUNCTION("""COMPUTED_VALUE"""),"BRSR6")</f>
        <v>BRSR6</v>
      </c>
      <c r="B142" s="16">
        <f ca="1">IFERROR(__xludf.DUMMYFUNCTION("""COMPUTED_VALUE"""),44832)</f>
        <v>44832</v>
      </c>
      <c r="C142" s="8">
        <f ca="1">IFERROR(__xludf.DUMMYFUNCTION("""COMPUTED_VALUE"""),9)</f>
        <v>9</v>
      </c>
      <c r="D142" s="8">
        <f ca="1">IFERROR(__xludf.DUMMYFUNCTION("""COMPUTED_VALUE"""),2022)</f>
        <v>2022</v>
      </c>
      <c r="E142" s="8">
        <f ca="1">IFERROR(__xludf.DUMMYFUNCTION("""COMPUTED_VALUE"""),0.11)</f>
        <v>0.11</v>
      </c>
      <c r="F142" s="8">
        <f ca="1">IFERROR(__xludf.DUMMYFUNCTION("""COMPUTED_VALUE"""),61.99)</f>
        <v>61.99</v>
      </c>
    </row>
    <row r="143" spans="1:6" x14ac:dyDescent="0.2">
      <c r="A143" s="8" t="str">
        <f ca="1">IFERROR(__xludf.DUMMYFUNCTION("""COMPUTED_VALUE"""),"CIEL3")</f>
        <v>CIEL3</v>
      </c>
      <c r="B143" s="16">
        <f ca="1">IFERROR(__xludf.DUMMYFUNCTION("""COMPUTED_VALUE"""),44827)</f>
        <v>44827</v>
      </c>
      <c r="C143" s="8">
        <f ca="1">IFERROR(__xludf.DUMMYFUNCTION("""COMPUTED_VALUE"""),9)</f>
        <v>9</v>
      </c>
      <c r="D143" s="8">
        <f ca="1">IFERROR(__xludf.DUMMYFUNCTION("""COMPUTED_VALUE"""),2022)</f>
        <v>2022</v>
      </c>
      <c r="E143" s="8">
        <f ca="1">IFERROR(__xludf.DUMMYFUNCTION("""COMPUTED_VALUE"""),0.08)</f>
        <v>0.08</v>
      </c>
      <c r="F143" s="8">
        <f ca="1">IFERROR(__xludf.DUMMYFUNCTION("""COMPUTED_VALUE"""),77.81)</f>
        <v>77.81</v>
      </c>
    </row>
    <row r="144" spans="1:6" x14ac:dyDescent="0.2">
      <c r="A144" s="8" t="str">
        <f ca="1">IFERROR(__xludf.DUMMYFUNCTION("""COMPUTED_VALUE"""),"BBDC3")</f>
        <v>BBDC3</v>
      </c>
      <c r="B144" s="16">
        <f ca="1">IFERROR(__xludf.DUMMYFUNCTION("""COMPUTED_VALUE"""),44805)</f>
        <v>44805</v>
      </c>
      <c r="C144" s="8">
        <f ca="1">IFERROR(__xludf.DUMMYFUNCTION("""COMPUTED_VALUE"""),9)</f>
        <v>9</v>
      </c>
      <c r="D144" s="8">
        <f ca="1">IFERROR(__xludf.DUMMYFUNCTION("""COMPUTED_VALUE"""),2022)</f>
        <v>2022</v>
      </c>
      <c r="E144" s="8">
        <f ca="1">IFERROR(__xludf.DUMMYFUNCTION("""COMPUTED_VALUE"""),0.02)</f>
        <v>0.02</v>
      </c>
      <c r="F144" s="8">
        <f ca="1">IFERROR(__xludf.DUMMYFUNCTION("""COMPUTED_VALUE"""),2.62)</f>
        <v>2.62</v>
      </c>
    </row>
    <row r="145" spans="1:6" x14ac:dyDescent="0.2">
      <c r="A145" s="8" t="str">
        <f ca="1">IFERROR(__xludf.DUMMYFUNCTION("""COMPUTED_VALUE"""),"VALE3")</f>
        <v>VALE3</v>
      </c>
      <c r="B145" s="16">
        <f ca="1">IFERROR(__xludf.DUMMYFUNCTION("""COMPUTED_VALUE"""),44805)</f>
        <v>44805</v>
      </c>
      <c r="C145" s="8">
        <f ca="1">IFERROR(__xludf.DUMMYFUNCTION("""COMPUTED_VALUE"""),9)</f>
        <v>9</v>
      </c>
      <c r="D145" s="8">
        <f ca="1">IFERROR(__xludf.DUMMYFUNCTION("""COMPUTED_VALUE"""),2022)</f>
        <v>2022</v>
      </c>
      <c r="E145" s="8">
        <f ca="1">IFERROR(__xludf.DUMMYFUNCTION("""COMPUTED_VALUE"""),2.03)</f>
        <v>2.0299999999999998</v>
      </c>
      <c r="F145" s="8">
        <f ca="1">IFERROR(__xludf.DUMMYFUNCTION("""COMPUTED_VALUE"""),148.38)</f>
        <v>148.38</v>
      </c>
    </row>
    <row r="146" spans="1:6" x14ac:dyDescent="0.2">
      <c r="A146" s="8" t="str">
        <f ca="1">IFERROR(__xludf.DUMMYFUNCTION("""COMPUTED_VALUE"""),"VALE3")</f>
        <v>VALE3</v>
      </c>
      <c r="B146" s="16">
        <f ca="1">IFERROR(__xludf.DUMMYFUNCTION("""COMPUTED_VALUE"""),44805)</f>
        <v>44805</v>
      </c>
      <c r="C146" s="8">
        <f ca="1">IFERROR(__xludf.DUMMYFUNCTION("""COMPUTED_VALUE"""),9)</f>
        <v>9</v>
      </c>
      <c r="D146" s="8">
        <f ca="1">IFERROR(__xludf.DUMMYFUNCTION("""COMPUTED_VALUE"""),2022)</f>
        <v>2022</v>
      </c>
      <c r="E146" s="8">
        <f ca="1">IFERROR(__xludf.DUMMYFUNCTION("""COMPUTED_VALUE"""),1.54)</f>
        <v>1.54</v>
      </c>
      <c r="F146" s="8">
        <f ca="1">IFERROR(__xludf.DUMMYFUNCTION("""COMPUTED_VALUE"""),95.52)</f>
        <v>95.52</v>
      </c>
    </row>
    <row r="147" spans="1:6" x14ac:dyDescent="0.2">
      <c r="A147" s="8" t="str">
        <f ca="1">IFERROR(__xludf.DUMMYFUNCTION("""COMPUTED_VALUE"""),"BBAS3")</f>
        <v>BBAS3</v>
      </c>
      <c r="B147" s="16">
        <f ca="1">IFERROR(__xludf.DUMMYFUNCTION("""COMPUTED_VALUE"""),44804)</f>
        <v>44804</v>
      </c>
      <c r="C147" s="8">
        <f ca="1">IFERROR(__xludf.DUMMYFUNCTION("""COMPUTED_VALUE"""),8)</f>
        <v>8</v>
      </c>
      <c r="D147" s="8">
        <f ca="1">IFERROR(__xludf.DUMMYFUNCTION("""COMPUTED_VALUE"""),2022)</f>
        <v>2022</v>
      </c>
      <c r="E147" s="8">
        <f ca="1">IFERROR(__xludf.DUMMYFUNCTION("""COMPUTED_VALUE"""),0)</f>
        <v>0</v>
      </c>
      <c r="F147" s="8">
        <f ca="1">IFERROR(__xludf.DUMMYFUNCTION("""COMPUTED_VALUE"""),0.97)</f>
        <v>0.97</v>
      </c>
    </row>
    <row r="148" spans="1:6" x14ac:dyDescent="0.2">
      <c r="A148" s="8" t="str">
        <f ca="1">IFERROR(__xludf.DUMMYFUNCTION("""COMPUTED_VALUE"""),"BBAS3")</f>
        <v>BBAS3</v>
      </c>
      <c r="B148" s="16">
        <f ca="1">IFERROR(__xludf.DUMMYFUNCTION("""COMPUTED_VALUE"""),44804)</f>
        <v>44804</v>
      </c>
      <c r="C148" s="8">
        <f ca="1">IFERROR(__xludf.DUMMYFUNCTION("""COMPUTED_VALUE"""),8)</f>
        <v>8</v>
      </c>
      <c r="D148" s="8">
        <f ca="1">IFERROR(__xludf.DUMMYFUNCTION("""COMPUTED_VALUE"""),2022)</f>
        <v>2022</v>
      </c>
      <c r="E148" s="8">
        <f ca="1">IFERROR(__xludf.DUMMYFUNCTION("""COMPUTED_VALUE"""),0.2)</f>
        <v>0.2</v>
      </c>
      <c r="F148" s="8">
        <f ca="1">IFERROR(__xludf.DUMMYFUNCTION("""COMPUTED_VALUE"""),56.85)</f>
        <v>56.85</v>
      </c>
    </row>
    <row r="149" spans="1:6" x14ac:dyDescent="0.2">
      <c r="A149" s="8" t="str">
        <f ca="1">IFERROR(__xludf.DUMMYFUNCTION("""COMPUTED_VALUE"""),"BBAS3")</f>
        <v>BBAS3</v>
      </c>
      <c r="B149" s="16">
        <f ca="1">IFERROR(__xludf.DUMMYFUNCTION("""COMPUTED_VALUE"""),44804)</f>
        <v>44804</v>
      </c>
      <c r="C149" s="8">
        <f ca="1">IFERROR(__xludf.DUMMYFUNCTION("""COMPUTED_VALUE"""),8)</f>
        <v>8</v>
      </c>
      <c r="D149" s="8">
        <f ca="1">IFERROR(__xludf.DUMMYFUNCTION("""COMPUTED_VALUE"""),2022)</f>
        <v>2022</v>
      </c>
      <c r="E149" s="8">
        <f ca="1">IFERROR(__xludf.DUMMYFUNCTION("""COMPUTED_VALUE"""),0)</f>
        <v>0</v>
      </c>
      <c r="F149" s="8">
        <f ca="1">IFERROR(__xludf.DUMMYFUNCTION("""COMPUTED_VALUE"""),2.78)</f>
        <v>2.78</v>
      </c>
    </row>
    <row r="150" spans="1:6" x14ac:dyDescent="0.2">
      <c r="A150" s="8" t="str">
        <f ca="1">IFERROR(__xludf.DUMMYFUNCTION("""COMPUTED_VALUE"""),"BBAS3")</f>
        <v>BBAS3</v>
      </c>
      <c r="B150" s="16">
        <f ca="1">IFERROR(__xludf.DUMMYFUNCTION("""COMPUTED_VALUE"""),44804)</f>
        <v>44804</v>
      </c>
      <c r="C150" s="8">
        <f ca="1">IFERROR(__xludf.DUMMYFUNCTION("""COMPUTED_VALUE"""),8)</f>
        <v>8</v>
      </c>
      <c r="D150" s="8">
        <f ca="1">IFERROR(__xludf.DUMMYFUNCTION("""COMPUTED_VALUE"""),2022)</f>
        <v>2022</v>
      </c>
      <c r="E150" s="8">
        <f ca="1">IFERROR(__xludf.DUMMYFUNCTION("""COMPUTED_VALUE"""),0.57)</f>
        <v>0.56999999999999995</v>
      </c>
      <c r="F150" s="8">
        <f ca="1">IFERROR(__xludf.DUMMYFUNCTION("""COMPUTED_VALUE"""),137.76)</f>
        <v>137.76</v>
      </c>
    </row>
    <row r="151" spans="1:6" x14ac:dyDescent="0.2">
      <c r="A151" s="8" t="str">
        <f ca="1">IFERROR(__xludf.DUMMYFUNCTION("""COMPUTED_VALUE"""),"BBSE3")</f>
        <v>BBSE3</v>
      </c>
      <c r="B151" s="16">
        <f ca="1">IFERROR(__xludf.DUMMYFUNCTION("""COMPUTED_VALUE"""),44802)</f>
        <v>44802</v>
      </c>
      <c r="C151" s="8">
        <f ca="1">IFERROR(__xludf.DUMMYFUNCTION("""COMPUTED_VALUE"""),8)</f>
        <v>8</v>
      </c>
      <c r="D151" s="8">
        <f ca="1">IFERROR(__xludf.DUMMYFUNCTION("""COMPUTED_VALUE"""),2022)</f>
        <v>2022</v>
      </c>
      <c r="E151" s="8">
        <f ca="1">IFERROR(__xludf.DUMMYFUNCTION("""COMPUTED_VALUE"""),1.04)</f>
        <v>1.04</v>
      </c>
      <c r="F151" s="8">
        <f ca="1">IFERROR(__xludf.DUMMYFUNCTION("""COMPUTED_VALUE"""),306.66)</f>
        <v>306.66000000000003</v>
      </c>
    </row>
    <row r="152" spans="1:6" x14ac:dyDescent="0.2">
      <c r="A152" s="8" t="str">
        <f ca="1">IFERROR(__xludf.DUMMYFUNCTION("""COMPUTED_VALUE"""),"TAEE4")</f>
        <v>TAEE4</v>
      </c>
      <c r="B152" s="16">
        <f ca="1">IFERROR(__xludf.DUMMYFUNCTION("""COMPUTED_VALUE"""),44799)</f>
        <v>44799</v>
      </c>
      <c r="C152" s="8">
        <f ca="1">IFERROR(__xludf.DUMMYFUNCTION("""COMPUTED_VALUE"""),8)</f>
        <v>8</v>
      </c>
      <c r="D152" s="8">
        <f ca="1">IFERROR(__xludf.DUMMYFUNCTION("""COMPUTED_VALUE"""),2022)</f>
        <v>2022</v>
      </c>
      <c r="E152" s="8">
        <f ca="1">IFERROR(__xludf.DUMMYFUNCTION("""COMPUTED_VALUE"""),0.3)</f>
        <v>0.3</v>
      </c>
      <c r="F152" s="8">
        <f ca="1">IFERROR(__xludf.DUMMYFUNCTION("""COMPUTED_VALUE"""),232.75)</f>
        <v>232.75</v>
      </c>
    </row>
    <row r="153" spans="1:6" x14ac:dyDescent="0.2">
      <c r="A153" s="8" t="str">
        <f ca="1">IFERROR(__xludf.DUMMYFUNCTION("""COMPUTED_VALUE"""),"TAEE4")</f>
        <v>TAEE4</v>
      </c>
      <c r="B153" s="16">
        <f ca="1">IFERROR(__xludf.DUMMYFUNCTION("""COMPUTED_VALUE"""),44799)</f>
        <v>44799</v>
      </c>
      <c r="C153" s="8">
        <f ca="1">IFERROR(__xludf.DUMMYFUNCTION("""COMPUTED_VALUE"""),8)</f>
        <v>8</v>
      </c>
      <c r="D153" s="8">
        <f ca="1">IFERROR(__xludf.DUMMYFUNCTION("""COMPUTED_VALUE"""),2022)</f>
        <v>2022</v>
      </c>
      <c r="E153" s="8">
        <f ca="1">IFERROR(__xludf.DUMMYFUNCTION("""COMPUTED_VALUE"""),0.19)</f>
        <v>0.19</v>
      </c>
      <c r="F153" s="8">
        <f ca="1">IFERROR(__xludf.DUMMYFUNCTION("""COMPUTED_VALUE"""),126.81)</f>
        <v>126.81</v>
      </c>
    </row>
    <row r="154" spans="1:6" x14ac:dyDescent="0.2">
      <c r="A154" s="8" t="str">
        <f ca="1">IFERROR(__xludf.DUMMYFUNCTION("""COMPUTED_VALUE"""),"BBDC4")</f>
        <v>BBDC4</v>
      </c>
      <c r="B154" s="16">
        <f ca="1">IFERROR(__xludf.DUMMYFUNCTION("""COMPUTED_VALUE"""),44774)</f>
        <v>44774</v>
      </c>
      <c r="C154" s="8">
        <f ca="1">IFERROR(__xludf.DUMMYFUNCTION("""COMPUTED_VALUE"""),8)</f>
        <v>8</v>
      </c>
      <c r="D154" s="8">
        <f ca="1">IFERROR(__xludf.DUMMYFUNCTION("""COMPUTED_VALUE"""),2022)</f>
        <v>2022</v>
      </c>
      <c r="E154" s="8">
        <f ca="1">IFERROR(__xludf.DUMMYFUNCTION("""COMPUTED_VALUE"""),0.02)</f>
        <v>0.02</v>
      </c>
      <c r="F154" s="8">
        <f ca="1">IFERROR(__xludf.DUMMYFUNCTION("""COMPUTED_VALUE"""),4.74)</f>
        <v>4.74</v>
      </c>
    </row>
    <row r="155" spans="1:6" x14ac:dyDescent="0.2">
      <c r="A155" s="8" t="str">
        <f ca="1">IFERROR(__xludf.DUMMYFUNCTION("""COMPUTED_VALUE"""),"VIVT3")</f>
        <v>VIVT3</v>
      </c>
      <c r="B155" s="16">
        <f ca="1">IFERROR(__xludf.DUMMYFUNCTION("""COMPUTED_VALUE"""),44761)</f>
        <v>44761</v>
      </c>
      <c r="C155" s="8">
        <f ca="1">IFERROR(__xludf.DUMMYFUNCTION("""COMPUTED_VALUE"""),7)</f>
        <v>7</v>
      </c>
      <c r="D155" s="8">
        <f ca="1">IFERROR(__xludf.DUMMYFUNCTION("""COMPUTED_VALUE"""),2022)</f>
        <v>2022</v>
      </c>
      <c r="E155" s="8">
        <f ca="1">IFERROR(__xludf.DUMMYFUNCTION("""COMPUTED_VALUE"""),0.17)</f>
        <v>0.17</v>
      </c>
      <c r="F155" s="8">
        <f ca="1">IFERROR(__xludf.DUMMYFUNCTION("""COMPUTED_VALUE"""),1.41)</f>
        <v>1.41</v>
      </c>
    </row>
    <row r="156" spans="1:6" x14ac:dyDescent="0.2">
      <c r="A156" s="8" t="str">
        <f ca="1">IFERROR(__xludf.DUMMYFUNCTION("""COMPUTED_VALUE"""),"VIVT3")</f>
        <v>VIVT3</v>
      </c>
      <c r="B156" s="16">
        <f ca="1">IFERROR(__xludf.DUMMYFUNCTION("""COMPUTED_VALUE"""),44761)</f>
        <v>44761</v>
      </c>
      <c r="C156" s="8">
        <f ca="1">IFERROR(__xludf.DUMMYFUNCTION("""COMPUTED_VALUE"""),7)</f>
        <v>7</v>
      </c>
      <c r="D156" s="8">
        <f ca="1">IFERROR(__xludf.DUMMYFUNCTION("""COMPUTED_VALUE"""),2022)</f>
        <v>2022</v>
      </c>
      <c r="E156" s="8">
        <f ca="1">IFERROR(__xludf.DUMMYFUNCTION("""COMPUTED_VALUE"""),0.37)</f>
        <v>0.37</v>
      </c>
      <c r="F156" s="8">
        <f ca="1">IFERROR(__xludf.DUMMYFUNCTION("""COMPUTED_VALUE"""),38.45)</f>
        <v>38.450000000000003</v>
      </c>
    </row>
    <row r="157" spans="1:6" x14ac:dyDescent="0.2">
      <c r="A157" s="8" t="str">
        <f ca="1">IFERROR(__xludf.DUMMYFUNCTION("""COMPUTED_VALUE"""),"VIVT3")</f>
        <v>VIVT3</v>
      </c>
      <c r="B157" s="16">
        <f ca="1">IFERROR(__xludf.DUMMYFUNCTION("""COMPUTED_VALUE"""),44761)</f>
        <v>44761</v>
      </c>
      <c r="C157" s="8">
        <f ca="1">IFERROR(__xludf.DUMMYFUNCTION("""COMPUTED_VALUE"""),7)</f>
        <v>7</v>
      </c>
      <c r="D157" s="8">
        <f ca="1">IFERROR(__xludf.DUMMYFUNCTION("""COMPUTED_VALUE"""),2022)</f>
        <v>2022</v>
      </c>
      <c r="E157" s="8">
        <f ca="1">IFERROR(__xludf.DUMMYFUNCTION("""COMPUTED_VALUE"""),0.36)</f>
        <v>0.36</v>
      </c>
      <c r="F157" s="8">
        <f ca="1">IFERROR(__xludf.DUMMYFUNCTION("""COMPUTED_VALUE"""),39.47)</f>
        <v>39.47</v>
      </c>
    </row>
    <row r="158" spans="1:6" x14ac:dyDescent="0.2">
      <c r="A158" s="8" t="str">
        <f ca="1">IFERROR(__xludf.DUMMYFUNCTION("""COMPUTED_VALUE"""),"VIVT3")</f>
        <v>VIVT3</v>
      </c>
      <c r="B158" s="16">
        <f ca="1">IFERROR(__xludf.DUMMYFUNCTION("""COMPUTED_VALUE"""),44761)</f>
        <v>44761</v>
      </c>
      <c r="C158" s="8">
        <f ca="1">IFERROR(__xludf.DUMMYFUNCTION("""COMPUTED_VALUE"""),7)</f>
        <v>7</v>
      </c>
      <c r="D158" s="8">
        <f ca="1">IFERROR(__xludf.DUMMYFUNCTION("""COMPUTED_VALUE"""),2022)</f>
        <v>2022</v>
      </c>
      <c r="E158" s="8">
        <f ca="1">IFERROR(__xludf.DUMMYFUNCTION("""COMPUTED_VALUE"""),0.48)</f>
        <v>0.48</v>
      </c>
      <c r="F158" s="8">
        <f ca="1">IFERROR(__xludf.DUMMYFUNCTION("""COMPUTED_VALUE"""),53.04)</f>
        <v>53.04</v>
      </c>
    </row>
    <row r="159" spans="1:6" x14ac:dyDescent="0.2">
      <c r="A159" s="8" t="str">
        <f ca="1">IFERROR(__xludf.DUMMYFUNCTION("""COMPUTED_VALUE"""),"BBDC4")</f>
        <v>BBDC4</v>
      </c>
      <c r="B159" s="16">
        <f ca="1">IFERROR(__xludf.DUMMYFUNCTION("""COMPUTED_VALUE"""),44743)</f>
        <v>44743</v>
      </c>
      <c r="C159" s="8">
        <f ca="1">IFERROR(__xludf.DUMMYFUNCTION("""COMPUTED_VALUE"""),7)</f>
        <v>7</v>
      </c>
      <c r="D159" s="8">
        <f ca="1">IFERROR(__xludf.DUMMYFUNCTION("""COMPUTED_VALUE"""),2022)</f>
        <v>2022</v>
      </c>
      <c r="E159" s="8">
        <f ca="1">IFERROR(__xludf.DUMMYFUNCTION("""COMPUTED_VALUE"""),0.02)</f>
        <v>0.02</v>
      </c>
      <c r="F159" s="8">
        <f ca="1">IFERROR(__xludf.DUMMYFUNCTION("""COMPUTED_VALUE"""),4.74)</f>
        <v>4.74</v>
      </c>
    </row>
    <row r="160" spans="1:6" x14ac:dyDescent="0.2">
      <c r="A160" s="8" t="str">
        <f ca="1">IFERROR(__xludf.DUMMYFUNCTION("""COMPUTED_VALUE"""),"BBAS3")</f>
        <v>BBAS3</v>
      </c>
      <c r="B160" s="16">
        <f ca="1">IFERROR(__xludf.DUMMYFUNCTION("""COMPUTED_VALUE"""),44742)</f>
        <v>44742</v>
      </c>
      <c r="C160" s="8">
        <f ca="1">IFERROR(__xludf.DUMMYFUNCTION("""COMPUTED_VALUE"""),6)</f>
        <v>6</v>
      </c>
      <c r="D160" s="8">
        <f ca="1">IFERROR(__xludf.DUMMYFUNCTION("""COMPUTED_VALUE"""),2022)</f>
        <v>2022</v>
      </c>
      <c r="E160" s="8">
        <f ca="1">IFERROR(__xludf.DUMMYFUNCTION("""COMPUTED_VALUE"""),0.25)</f>
        <v>0.25</v>
      </c>
      <c r="F160" s="8">
        <f ca="1">IFERROR(__xludf.DUMMYFUNCTION("""COMPUTED_VALUE"""),49.99)</f>
        <v>49.99</v>
      </c>
    </row>
    <row r="161" spans="1:6" x14ac:dyDescent="0.2">
      <c r="A161" s="8" t="str">
        <f ca="1">IFERROR(__xludf.DUMMYFUNCTION("""COMPUTED_VALUE"""),"BBDC4")</f>
        <v>BBDC4</v>
      </c>
      <c r="B161" s="16">
        <f ca="1">IFERROR(__xludf.DUMMYFUNCTION("""COMPUTED_VALUE"""),44742)</f>
        <v>44742</v>
      </c>
      <c r="C161" s="8">
        <f ca="1">IFERROR(__xludf.DUMMYFUNCTION("""COMPUTED_VALUE"""),6)</f>
        <v>6</v>
      </c>
      <c r="D161" s="8">
        <f ca="1">IFERROR(__xludf.DUMMYFUNCTION("""COMPUTED_VALUE"""),2022)</f>
        <v>2022</v>
      </c>
      <c r="E161" s="8">
        <f ca="1">IFERROR(__xludf.DUMMYFUNCTION("""COMPUTED_VALUE"""),0.2)</f>
        <v>0.2</v>
      </c>
      <c r="F161" s="8">
        <f ca="1">IFERROR(__xludf.DUMMYFUNCTION("""COMPUTED_VALUE"""),49.12)</f>
        <v>49.12</v>
      </c>
    </row>
    <row r="162" spans="1:6" x14ac:dyDescent="0.2">
      <c r="A162" s="8" t="str">
        <f ca="1">IFERROR(__xludf.DUMMYFUNCTION("""COMPUTED_VALUE"""),"CPLE6")</f>
        <v>CPLE6</v>
      </c>
      <c r="B162" s="16">
        <f ca="1">IFERROR(__xludf.DUMMYFUNCTION("""COMPUTED_VALUE"""),44742)</f>
        <v>44742</v>
      </c>
      <c r="C162" s="8">
        <f ca="1">IFERROR(__xludf.DUMMYFUNCTION("""COMPUTED_VALUE"""),6)</f>
        <v>6</v>
      </c>
      <c r="D162" s="8">
        <f ca="1">IFERROR(__xludf.DUMMYFUNCTION("""COMPUTED_VALUE"""),2022)</f>
        <v>2022</v>
      </c>
      <c r="E162" s="8">
        <f ca="1">IFERROR(__xludf.DUMMYFUNCTION("""COMPUTED_VALUE"""),0.52)</f>
        <v>0.52</v>
      </c>
      <c r="F162" s="8">
        <f ca="1">IFERROR(__xludf.DUMMYFUNCTION("""COMPUTED_VALUE"""),239.97)</f>
        <v>239.97</v>
      </c>
    </row>
    <row r="163" spans="1:6" x14ac:dyDescent="0.2">
      <c r="A163" s="8" t="str">
        <f ca="1">IFERROR(__xludf.DUMMYFUNCTION("""COMPUTED_VALUE"""),"BRSR6")</f>
        <v>BRSR6</v>
      </c>
      <c r="B163" s="16">
        <f ca="1">IFERROR(__xludf.DUMMYFUNCTION("""COMPUTED_VALUE"""),44740)</f>
        <v>44740</v>
      </c>
      <c r="C163" s="8">
        <f ca="1">IFERROR(__xludf.DUMMYFUNCTION("""COMPUTED_VALUE"""),6)</f>
        <v>6</v>
      </c>
      <c r="D163" s="8">
        <f ca="1">IFERROR(__xludf.DUMMYFUNCTION("""COMPUTED_VALUE"""),2022)</f>
        <v>2022</v>
      </c>
      <c r="E163" s="8">
        <f ca="1">IFERROR(__xludf.DUMMYFUNCTION("""COMPUTED_VALUE"""),0.38)</f>
        <v>0.38</v>
      </c>
      <c r="F163" s="8">
        <f ca="1">IFERROR(__xludf.DUMMYFUNCTION("""COMPUTED_VALUE"""),197.44)</f>
        <v>197.44</v>
      </c>
    </row>
    <row r="164" spans="1:6" x14ac:dyDescent="0.2">
      <c r="A164" s="8" t="str">
        <f ca="1">IFERROR(__xludf.DUMMYFUNCTION("""COMPUTED_VALUE"""),"BBDC4")</f>
        <v>BBDC4</v>
      </c>
      <c r="B164" s="16">
        <f ca="1">IFERROR(__xludf.DUMMYFUNCTION("""COMPUTED_VALUE"""),44713)</f>
        <v>44713</v>
      </c>
      <c r="C164" s="8">
        <f ca="1">IFERROR(__xludf.DUMMYFUNCTION("""COMPUTED_VALUE"""),6)</f>
        <v>6</v>
      </c>
      <c r="D164" s="8">
        <f ca="1">IFERROR(__xludf.DUMMYFUNCTION("""COMPUTED_VALUE"""),2022)</f>
        <v>2022</v>
      </c>
      <c r="E164" s="8">
        <f ca="1">IFERROR(__xludf.DUMMYFUNCTION("""COMPUTED_VALUE"""),0.02)</f>
        <v>0.02</v>
      </c>
      <c r="F164" s="8">
        <f ca="1">IFERROR(__xludf.DUMMYFUNCTION("""COMPUTED_VALUE"""),3.92)</f>
        <v>3.92</v>
      </c>
    </row>
    <row r="165" spans="1:6" x14ac:dyDescent="0.2">
      <c r="A165" s="8" t="str">
        <f ca="1">IFERROR(__xludf.DUMMYFUNCTION("""COMPUTED_VALUE"""),"BBAS3")</f>
        <v>BBAS3</v>
      </c>
      <c r="B165" s="16">
        <f ca="1">IFERROR(__xludf.DUMMYFUNCTION("""COMPUTED_VALUE"""),44712)</f>
        <v>44712</v>
      </c>
      <c r="C165" s="8">
        <f ca="1">IFERROR(__xludf.DUMMYFUNCTION("""COMPUTED_VALUE"""),5)</f>
        <v>5</v>
      </c>
      <c r="D165" s="8">
        <f ca="1">IFERROR(__xludf.DUMMYFUNCTION("""COMPUTED_VALUE"""),2022)</f>
        <v>2022</v>
      </c>
      <c r="E165" s="8">
        <f ca="1">IFERROR(__xludf.DUMMYFUNCTION("""COMPUTED_VALUE"""),0.16)</f>
        <v>0.16</v>
      </c>
      <c r="F165" s="8">
        <f ca="1">IFERROR(__xludf.DUMMYFUNCTION("""COMPUTED_VALUE"""),36.5)</f>
        <v>36.5</v>
      </c>
    </row>
    <row r="166" spans="1:6" x14ac:dyDescent="0.2">
      <c r="A166" s="8" t="str">
        <f ca="1">IFERROR(__xludf.DUMMYFUNCTION("""COMPUTED_VALUE"""),"BBAS3")</f>
        <v>BBAS3</v>
      </c>
      <c r="B166" s="16">
        <f ca="1">IFERROR(__xludf.DUMMYFUNCTION("""COMPUTED_VALUE"""),44712)</f>
        <v>44712</v>
      </c>
      <c r="C166" s="8">
        <f ca="1">IFERROR(__xludf.DUMMYFUNCTION("""COMPUTED_VALUE"""),5)</f>
        <v>5</v>
      </c>
      <c r="D166" s="8">
        <f ca="1">IFERROR(__xludf.DUMMYFUNCTION("""COMPUTED_VALUE"""),2022)</f>
        <v>2022</v>
      </c>
      <c r="E166" s="8">
        <f ca="1">IFERROR(__xludf.DUMMYFUNCTION("""COMPUTED_VALUE"""),0.52)</f>
        <v>0.52</v>
      </c>
      <c r="F166" s="8">
        <f ca="1">IFERROR(__xludf.DUMMYFUNCTION("""COMPUTED_VALUE"""),103.41)</f>
        <v>103.41</v>
      </c>
    </row>
    <row r="167" spans="1:6" x14ac:dyDescent="0.2">
      <c r="A167" s="8" t="str">
        <f ca="1">IFERROR(__xludf.DUMMYFUNCTION("""COMPUTED_VALUE"""),"TAEE4")</f>
        <v>TAEE4</v>
      </c>
      <c r="B167" s="16">
        <f ca="1">IFERROR(__xludf.DUMMYFUNCTION("""COMPUTED_VALUE"""),44712)</f>
        <v>44712</v>
      </c>
      <c r="C167" s="8">
        <f ca="1">IFERROR(__xludf.DUMMYFUNCTION("""COMPUTED_VALUE"""),5)</f>
        <v>5</v>
      </c>
      <c r="D167" s="8">
        <f ca="1">IFERROR(__xludf.DUMMYFUNCTION("""COMPUTED_VALUE"""),2022)</f>
        <v>2022</v>
      </c>
      <c r="E167" s="8">
        <f ca="1">IFERROR(__xludf.DUMMYFUNCTION("""COMPUTED_VALUE"""),0.14)</f>
        <v>0.14000000000000001</v>
      </c>
      <c r="F167" s="8">
        <f ca="1">IFERROR(__xludf.DUMMYFUNCTION("""COMPUTED_VALUE"""),110.8)</f>
        <v>110.8</v>
      </c>
    </row>
    <row r="168" spans="1:6" x14ac:dyDescent="0.2">
      <c r="A168" s="8" t="str">
        <f ca="1">IFERROR(__xludf.DUMMYFUNCTION("""COMPUTED_VALUE"""),"TAEE4")</f>
        <v>TAEE4</v>
      </c>
      <c r="B168" s="16">
        <f ca="1">IFERROR(__xludf.DUMMYFUNCTION("""COMPUTED_VALUE"""),44712)</f>
        <v>44712</v>
      </c>
      <c r="C168" s="8">
        <f ca="1">IFERROR(__xludf.DUMMYFUNCTION("""COMPUTED_VALUE"""),5)</f>
        <v>5</v>
      </c>
      <c r="D168" s="8">
        <f ca="1">IFERROR(__xludf.DUMMYFUNCTION("""COMPUTED_VALUE"""),2022)</f>
        <v>2022</v>
      </c>
      <c r="E168" s="8">
        <f ca="1">IFERROR(__xludf.DUMMYFUNCTION("""COMPUTED_VALUE"""),0.63)</f>
        <v>0.63</v>
      </c>
      <c r="F168" s="8">
        <f ca="1">IFERROR(__xludf.DUMMYFUNCTION("""COMPUTED_VALUE"""),492.41)</f>
        <v>492.41</v>
      </c>
    </row>
    <row r="169" spans="1:6" x14ac:dyDescent="0.2">
      <c r="A169" s="8" t="str">
        <f ca="1">IFERROR(__xludf.DUMMYFUNCTION("""COMPUTED_VALUE"""),"CIEL3")</f>
        <v>CIEL3</v>
      </c>
      <c r="B169" s="16">
        <f ca="1">IFERROR(__xludf.DUMMYFUNCTION("""COMPUTED_VALUE"""),44705)</f>
        <v>44705</v>
      </c>
      <c r="C169" s="8">
        <f ca="1">IFERROR(__xludf.DUMMYFUNCTION("""COMPUTED_VALUE"""),5)</f>
        <v>5</v>
      </c>
      <c r="D169" s="8">
        <f ca="1">IFERROR(__xludf.DUMMYFUNCTION("""COMPUTED_VALUE"""),2022)</f>
        <v>2022</v>
      </c>
      <c r="E169" s="8">
        <f ca="1">IFERROR(__xludf.DUMMYFUNCTION("""COMPUTED_VALUE"""),0.02)</f>
        <v>0.02</v>
      </c>
      <c r="F169" s="8">
        <f ca="1">IFERROR(__xludf.DUMMYFUNCTION("""COMPUTED_VALUE"""),22.63)</f>
        <v>22.63</v>
      </c>
    </row>
    <row r="170" spans="1:6" x14ac:dyDescent="0.2">
      <c r="A170" s="8" t="str">
        <f ca="1">IFERROR(__xludf.DUMMYFUNCTION("""COMPUTED_VALUE"""),"BRSR6")</f>
        <v>BRSR6</v>
      </c>
      <c r="B170" s="16">
        <f ca="1">IFERROR(__xludf.DUMMYFUNCTION("""COMPUTED_VALUE"""),44700)</f>
        <v>44700</v>
      </c>
      <c r="C170" s="8">
        <f ca="1">IFERROR(__xludf.DUMMYFUNCTION("""COMPUTED_VALUE"""),5)</f>
        <v>5</v>
      </c>
      <c r="D170" s="8">
        <f ca="1">IFERROR(__xludf.DUMMYFUNCTION("""COMPUTED_VALUE"""),2022)</f>
        <v>2022</v>
      </c>
      <c r="E170" s="8">
        <f ca="1">IFERROR(__xludf.DUMMYFUNCTION("""COMPUTED_VALUE"""),0.04)</f>
        <v>0.04</v>
      </c>
      <c r="F170" s="8">
        <f ca="1">IFERROR(__xludf.DUMMYFUNCTION("""COMPUTED_VALUE"""),10.98)</f>
        <v>10.98</v>
      </c>
    </row>
    <row r="171" spans="1:6" x14ac:dyDescent="0.2">
      <c r="A171" s="8" t="str">
        <f ca="1">IFERROR(__xludf.DUMMYFUNCTION("""COMPUTED_VALUE"""),"CSMG3")</f>
        <v>CSMG3</v>
      </c>
      <c r="B171" s="16">
        <f ca="1">IFERROR(__xludf.DUMMYFUNCTION("""COMPUTED_VALUE"""),44697)</f>
        <v>44697</v>
      </c>
      <c r="C171" s="8">
        <f ca="1">IFERROR(__xludf.DUMMYFUNCTION("""COMPUTED_VALUE"""),5)</f>
        <v>5</v>
      </c>
      <c r="D171" s="8">
        <f ca="1">IFERROR(__xludf.DUMMYFUNCTION("""COMPUTED_VALUE"""),2022)</f>
        <v>2022</v>
      </c>
      <c r="E171" s="8">
        <f ca="1">IFERROR(__xludf.DUMMYFUNCTION("""COMPUTED_VALUE"""),0.09)</f>
        <v>0.09</v>
      </c>
      <c r="F171" s="8">
        <f ca="1">IFERROR(__xludf.DUMMYFUNCTION("""COMPUTED_VALUE"""),35.46)</f>
        <v>35.46</v>
      </c>
    </row>
    <row r="172" spans="1:6" x14ac:dyDescent="0.2">
      <c r="A172" s="8" t="str">
        <f ca="1">IFERROR(__xludf.DUMMYFUNCTION("""COMPUTED_VALUE"""),"BBDC4")</f>
        <v>BBDC4</v>
      </c>
      <c r="B172" s="16">
        <f ca="1">IFERROR(__xludf.DUMMYFUNCTION("""COMPUTED_VALUE"""),44683)</f>
        <v>44683</v>
      </c>
      <c r="C172" s="8">
        <f ca="1">IFERROR(__xludf.DUMMYFUNCTION("""COMPUTED_VALUE"""),5)</f>
        <v>5</v>
      </c>
      <c r="D172" s="8">
        <f ca="1">IFERROR(__xludf.DUMMYFUNCTION("""COMPUTED_VALUE"""),2022)</f>
        <v>2022</v>
      </c>
      <c r="E172" s="8">
        <f ca="1">IFERROR(__xludf.DUMMYFUNCTION("""COMPUTED_VALUE"""),0.02)</f>
        <v>0.02</v>
      </c>
      <c r="F172" s="8">
        <f ca="1">IFERROR(__xludf.DUMMYFUNCTION("""COMPUTED_VALUE"""),3.56)</f>
        <v>3.56</v>
      </c>
    </row>
    <row r="173" spans="1:6" x14ac:dyDescent="0.2">
      <c r="A173" s="8" t="str">
        <f ca="1">IFERROR(__xludf.DUMMYFUNCTION("""COMPUTED_VALUE"""),"WIZS3")</f>
        <v>WIZS3</v>
      </c>
      <c r="B173" s="16">
        <f ca="1">IFERROR(__xludf.DUMMYFUNCTION("""COMPUTED_VALUE"""),44680)</f>
        <v>44680</v>
      </c>
      <c r="C173" s="8">
        <f ca="1">IFERROR(__xludf.DUMMYFUNCTION("""COMPUTED_VALUE"""),4)</f>
        <v>4</v>
      </c>
      <c r="D173" s="8">
        <f ca="1">IFERROR(__xludf.DUMMYFUNCTION("""COMPUTED_VALUE"""),2022)</f>
        <v>2022</v>
      </c>
      <c r="E173" s="8">
        <f ca="1">IFERROR(__xludf.DUMMYFUNCTION("""COMPUTED_VALUE"""),0.09)</f>
        <v>0.09</v>
      </c>
      <c r="F173" s="8">
        <f ca="1">IFERROR(__xludf.DUMMYFUNCTION("""COMPUTED_VALUE"""),36.86)</f>
        <v>36.86</v>
      </c>
    </row>
    <row r="174" spans="1:6" x14ac:dyDescent="0.2">
      <c r="A174" s="8" t="str">
        <f ca="1">IFERROR(__xludf.DUMMYFUNCTION("""COMPUTED_VALUE"""),"BBDC4")</f>
        <v>BBDC4</v>
      </c>
      <c r="B174" s="16">
        <f ca="1">IFERROR(__xludf.DUMMYFUNCTION("""COMPUTED_VALUE"""),44652)</f>
        <v>44652</v>
      </c>
      <c r="C174" s="8">
        <f ca="1">IFERROR(__xludf.DUMMYFUNCTION("""COMPUTED_VALUE"""),4)</f>
        <v>4</v>
      </c>
      <c r="D174" s="8">
        <f ca="1">IFERROR(__xludf.DUMMYFUNCTION("""COMPUTED_VALUE"""),2022)</f>
        <v>2022</v>
      </c>
      <c r="E174" s="8">
        <f ca="1">IFERROR(__xludf.DUMMYFUNCTION("""COMPUTED_VALUE"""),0.02)</f>
        <v>0.02</v>
      </c>
      <c r="F174" s="8">
        <f ca="1">IFERROR(__xludf.DUMMYFUNCTION("""COMPUTED_VALUE"""),3.56)</f>
        <v>3.56</v>
      </c>
    </row>
    <row r="175" spans="1:6" x14ac:dyDescent="0.2">
      <c r="A175" s="8" t="str">
        <f ca="1">IFERROR(__xludf.DUMMYFUNCTION("""COMPUTED_VALUE"""),"BBAS3")</f>
        <v>BBAS3</v>
      </c>
      <c r="B175" s="16">
        <f ca="1">IFERROR(__xludf.DUMMYFUNCTION("""COMPUTED_VALUE"""),44651)</f>
        <v>44651</v>
      </c>
      <c r="C175" s="8">
        <f ca="1">IFERROR(__xludf.DUMMYFUNCTION("""COMPUTED_VALUE"""),3)</f>
        <v>3</v>
      </c>
      <c r="D175" s="8">
        <f ca="1">IFERROR(__xludf.DUMMYFUNCTION("""COMPUTED_VALUE"""),2022)</f>
        <v>2022</v>
      </c>
      <c r="E175" s="8">
        <f ca="1">IFERROR(__xludf.DUMMYFUNCTION("""COMPUTED_VALUE"""),0.21)</f>
        <v>0.21</v>
      </c>
      <c r="F175" s="8">
        <f ca="1">IFERROR(__xludf.DUMMYFUNCTION("""COMPUTED_VALUE"""),40.28)</f>
        <v>40.28</v>
      </c>
    </row>
    <row r="176" spans="1:6" x14ac:dyDescent="0.2">
      <c r="A176" s="8" t="str">
        <f ca="1">IFERROR(__xludf.DUMMYFUNCTION("""COMPUTED_VALUE"""),"VALE3")</f>
        <v>VALE3</v>
      </c>
      <c r="B176" s="16">
        <f ca="1">IFERROR(__xludf.DUMMYFUNCTION("""COMPUTED_VALUE"""),44636)</f>
        <v>44636</v>
      </c>
      <c r="C176" s="8">
        <f ca="1">IFERROR(__xludf.DUMMYFUNCTION("""COMPUTED_VALUE"""),3)</f>
        <v>3</v>
      </c>
      <c r="D176" s="8">
        <f ca="1">IFERROR(__xludf.DUMMYFUNCTION("""COMPUTED_VALUE"""),2022)</f>
        <v>2022</v>
      </c>
      <c r="E176" s="8">
        <f ca="1">IFERROR(__xludf.DUMMYFUNCTION("""COMPUTED_VALUE"""),3.72)</f>
        <v>3.72</v>
      </c>
      <c r="F176" s="8">
        <f ca="1">IFERROR(__xludf.DUMMYFUNCTION("""COMPUTED_VALUE"""),271.5)</f>
        <v>271.5</v>
      </c>
    </row>
    <row r="177" spans="1:6" x14ac:dyDescent="0.2">
      <c r="A177" s="8" t="str">
        <f ca="1">IFERROR(__xludf.DUMMYFUNCTION("""COMPUTED_VALUE"""),"WEGE3")</f>
        <v>WEGE3</v>
      </c>
      <c r="B177" s="16">
        <f ca="1">IFERROR(__xludf.DUMMYFUNCTION("""COMPUTED_VALUE"""),44636)</f>
        <v>44636</v>
      </c>
      <c r="C177" s="8">
        <f ca="1">IFERROR(__xludf.DUMMYFUNCTION("""COMPUTED_VALUE"""),3)</f>
        <v>3</v>
      </c>
      <c r="D177" s="8">
        <f ca="1">IFERROR(__xludf.DUMMYFUNCTION("""COMPUTED_VALUE"""),2022)</f>
        <v>2022</v>
      </c>
      <c r="E177" s="8">
        <f ca="1">IFERROR(__xludf.DUMMYFUNCTION("""COMPUTED_VALUE"""),0.03)</f>
        <v>0.03</v>
      </c>
      <c r="F177" s="8">
        <f ca="1">IFERROR(__xludf.DUMMYFUNCTION("""COMPUTED_VALUE"""),3.21)</f>
        <v>3.21</v>
      </c>
    </row>
    <row r="178" spans="1:6" x14ac:dyDescent="0.2">
      <c r="A178" s="8" t="str">
        <f ca="1">IFERROR(__xludf.DUMMYFUNCTION("""COMPUTED_VALUE"""),"WEGE3")</f>
        <v>WEGE3</v>
      </c>
      <c r="B178" s="16">
        <f ca="1">IFERROR(__xludf.DUMMYFUNCTION("""COMPUTED_VALUE"""),44636)</f>
        <v>44636</v>
      </c>
      <c r="C178" s="8">
        <f ca="1">IFERROR(__xludf.DUMMYFUNCTION("""COMPUTED_VALUE"""),3)</f>
        <v>3</v>
      </c>
      <c r="D178" s="8">
        <f ca="1">IFERROR(__xludf.DUMMYFUNCTION("""COMPUTED_VALUE"""),2022)</f>
        <v>2022</v>
      </c>
      <c r="E178" s="8">
        <f ca="1">IFERROR(__xludf.DUMMYFUNCTION("""COMPUTED_VALUE"""),0.02)</f>
        <v>0.02</v>
      </c>
      <c r="F178" s="8">
        <f ca="1">IFERROR(__xludf.DUMMYFUNCTION("""COMPUTED_VALUE"""),2.76)</f>
        <v>2.76</v>
      </c>
    </row>
    <row r="179" spans="1:6" x14ac:dyDescent="0.2">
      <c r="A179" s="8" t="str">
        <f ca="1">IFERROR(__xludf.DUMMYFUNCTION("""COMPUTED_VALUE"""),"BBAS3")</f>
        <v>BBAS3</v>
      </c>
      <c r="B179" s="16">
        <f ca="1">IFERROR(__xludf.DUMMYFUNCTION("""COMPUTED_VALUE"""),44631)</f>
        <v>44631</v>
      </c>
      <c r="C179" s="8">
        <f ca="1">IFERROR(__xludf.DUMMYFUNCTION("""COMPUTED_VALUE"""),3)</f>
        <v>3</v>
      </c>
      <c r="D179" s="8">
        <f ca="1">IFERROR(__xludf.DUMMYFUNCTION("""COMPUTED_VALUE"""),2022)</f>
        <v>2022</v>
      </c>
      <c r="E179" s="8">
        <f ca="1">IFERROR(__xludf.DUMMYFUNCTION("""COMPUTED_VALUE"""),0.36)</f>
        <v>0.36</v>
      </c>
      <c r="F179" s="8">
        <f ca="1">IFERROR(__xludf.DUMMYFUNCTION("""COMPUTED_VALUE"""),80.06)</f>
        <v>80.06</v>
      </c>
    </row>
    <row r="180" spans="1:6" x14ac:dyDescent="0.2">
      <c r="A180" s="8" t="str">
        <f ca="1">IFERROR(__xludf.DUMMYFUNCTION("""COMPUTED_VALUE"""),"BBAS3")</f>
        <v>BBAS3</v>
      </c>
      <c r="B180" s="16">
        <f ca="1">IFERROR(__xludf.DUMMYFUNCTION("""COMPUTED_VALUE"""),44631)</f>
        <v>44631</v>
      </c>
      <c r="C180" s="8">
        <f ca="1">IFERROR(__xludf.DUMMYFUNCTION("""COMPUTED_VALUE"""),3)</f>
        <v>3</v>
      </c>
      <c r="D180" s="8">
        <f ca="1">IFERROR(__xludf.DUMMYFUNCTION("""COMPUTED_VALUE"""),2022)</f>
        <v>2022</v>
      </c>
      <c r="E180" s="8">
        <f ca="1">IFERROR(__xludf.DUMMYFUNCTION("""COMPUTED_VALUE"""),0.45)</f>
        <v>0.45</v>
      </c>
      <c r="F180" s="8">
        <f ca="1">IFERROR(__xludf.DUMMYFUNCTION("""COMPUTED_VALUE"""),86.86)</f>
        <v>86.86</v>
      </c>
    </row>
    <row r="181" spans="1:6" x14ac:dyDescent="0.2">
      <c r="A181" s="8" t="str">
        <f ca="1">IFERROR(__xludf.DUMMYFUNCTION("""COMPUTED_VALUE"""),"BBAS3")</f>
        <v>BBAS3</v>
      </c>
      <c r="B181" s="16">
        <f ca="1">IFERROR(__xludf.DUMMYFUNCTION("""COMPUTED_VALUE"""),44631)</f>
        <v>44631</v>
      </c>
      <c r="C181" s="8">
        <f ca="1">IFERROR(__xludf.DUMMYFUNCTION("""COMPUTED_VALUE"""),3)</f>
        <v>3</v>
      </c>
      <c r="D181" s="8">
        <f ca="1">IFERROR(__xludf.DUMMYFUNCTION("""COMPUTED_VALUE"""),2022)</f>
        <v>2022</v>
      </c>
      <c r="E181" s="8">
        <f ca="1">IFERROR(__xludf.DUMMYFUNCTION("""COMPUTED_VALUE"""),0)</f>
        <v>0</v>
      </c>
      <c r="F181" s="8">
        <f ca="1">IFERROR(__xludf.DUMMYFUNCTION("""COMPUTED_VALUE"""),1.12)</f>
        <v>1.1200000000000001</v>
      </c>
    </row>
    <row r="182" spans="1:6" x14ac:dyDescent="0.2">
      <c r="A182" s="8" t="str">
        <f ca="1">IFERROR(__xludf.DUMMYFUNCTION("""COMPUTED_VALUE"""),"BBAS3")</f>
        <v>BBAS3</v>
      </c>
      <c r="B182" s="16">
        <f ca="1">IFERROR(__xludf.DUMMYFUNCTION("""COMPUTED_VALUE"""),44631)</f>
        <v>44631</v>
      </c>
      <c r="C182" s="8">
        <f ca="1">IFERROR(__xludf.DUMMYFUNCTION("""COMPUTED_VALUE"""),3)</f>
        <v>3</v>
      </c>
      <c r="D182" s="8">
        <f ca="1">IFERROR(__xludf.DUMMYFUNCTION("""COMPUTED_VALUE"""),2022)</f>
        <v>2022</v>
      </c>
      <c r="E182" s="8">
        <f ca="1">IFERROR(__xludf.DUMMYFUNCTION("""COMPUTED_VALUE"""),0)</f>
        <v>0</v>
      </c>
      <c r="F182" s="8">
        <f ca="1">IFERROR(__xludf.DUMMYFUNCTION("""COMPUTED_VALUE"""),1.43)</f>
        <v>1.43</v>
      </c>
    </row>
    <row r="183" spans="1:6" x14ac:dyDescent="0.2">
      <c r="A183" s="8" t="str">
        <f ca="1">IFERROR(__xludf.DUMMYFUNCTION("""COMPUTED_VALUE"""),"BBDC4")</f>
        <v>BBDC4</v>
      </c>
      <c r="B183" s="16">
        <f ca="1">IFERROR(__xludf.DUMMYFUNCTION("""COMPUTED_VALUE"""),44622)</f>
        <v>44622</v>
      </c>
      <c r="C183" s="8">
        <f ca="1">IFERROR(__xludf.DUMMYFUNCTION("""COMPUTED_VALUE"""),3)</f>
        <v>3</v>
      </c>
      <c r="D183" s="8">
        <f ca="1">IFERROR(__xludf.DUMMYFUNCTION("""COMPUTED_VALUE"""),2022)</f>
        <v>2022</v>
      </c>
      <c r="E183" s="8">
        <f ca="1">IFERROR(__xludf.DUMMYFUNCTION("""COMPUTED_VALUE"""),0.02)</f>
        <v>0.02</v>
      </c>
      <c r="F183" s="8">
        <f ca="1">IFERROR(__xludf.DUMMYFUNCTION("""COMPUTED_VALUE"""),3.56)</f>
        <v>3.56</v>
      </c>
    </row>
    <row r="184" spans="1:6" x14ac:dyDescent="0.2">
      <c r="A184" s="8" t="str">
        <f ca="1">IFERROR(__xludf.DUMMYFUNCTION("""COMPUTED_VALUE"""),"BBSE3")</f>
        <v>BBSE3</v>
      </c>
      <c r="B184" s="16">
        <f ca="1">IFERROR(__xludf.DUMMYFUNCTION("""COMPUTED_VALUE"""),44615)</f>
        <v>44615</v>
      </c>
      <c r="C184" s="8">
        <f ca="1">IFERROR(__xludf.DUMMYFUNCTION("""COMPUTED_VALUE"""),2)</f>
        <v>2</v>
      </c>
      <c r="D184" s="8">
        <f ca="1">IFERROR(__xludf.DUMMYFUNCTION("""COMPUTED_VALUE"""),2022)</f>
        <v>2022</v>
      </c>
      <c r="E184" s="8">
        <f ca="1">IFERROR(__xludf.DUMMYFUNCTION("""COMPUTED_VALUE"""),0)</f>
        <v>0</v>
      </c>
      <c r="F184" s="8">
        <f ca="1">IFERROR(__xludf.DUMMYFUNCTION("""COMPUTED_VALUE"""),2.95)</f>
        <v>2.95</v>
      </c>
    </row>
    <row r="185" spans="1:6" x14ac:dyDescent="0.2">
      <c r="A185" s="8" t="str">
        <f ca="1">IFERROR(__xludf.DUMMYFUNCTION("""COMPUTED_VALUE"""),"BBSE3")</f>
        <v>BBSE3</v>
      </c>
      <c r="B185" s="16">
        <f ca="1">IFERROR(__xludf.DUMMYFUNCTION("""COMPUTED_VALUE"""),44615)</f>
        <v>44615</v>
      </c>
      <c r="C185" s="8">
        <f ca="1">IFERROR(__xludf.DUMMYFUNCTION("""COMPUTED_VALUE"""),2)</f>
        <v>2</v>
      </c>
      <c r="D185" s="8">
        <f ca="1">IFERROR(__xludf.DUMMYFUNCTION("""COMPUTED_VALUE"""),2022)</f>
        <v>2022</v>
      </c>
      <c r="E185" s="8">
        <f ca="1">IFERROR(__xludf.DUMMYFUNCTION("""COMPUTED_VALUE"""),0.92)</f>
        <v>0.92</v>
      </c>
      <c r="F185" s="8">
        <f ca="1">IFERROR(__xludf.DUMMYFUNCTION("""COMPUTED_VALUE"""),271.47)</f>
        <v>271.47000000000003</v>
      </c>
    </row>
    <row r="186" spans="1:6" x14ac:dyDescent="0.2">
      <c r="A186" s="8" t="str">
        <f ca="1">IFERROR(__xludf.DUMMYFUNCTION("""COMPUTED_VALUE"""),"BBDC4")</f>
        <v>BBDC4</v>
      </c>
      <c r="B186" s="16">
        <f ca="1">IFERROR(__xludf.DUMMYFUNCTION("""COMPUTED_VALUE"""),44593)</f>
        <v>44593</v>
      </c>
      <c r="C186" s="8">
        <f ca="1">IFERROR(__xludf.DUMMYFUNCTION("""COMPUTED_VALUE"""),2)</f>
        <v>2</v>
      </c>
      <c r="D186" s="8">
        <f ca="1">IFERROR(__xludf.DUMMYFUNCTION("""COMPUTED_VALUE"""),2022)</f>
        <v>2022</v>
      </c>
      <c r="E186" s="8">
        <f ca="1">IFERROR(__xludf.DUMMYFUNCTION("""COMPUTED_VALUE"""),0.02)</f>
        <v>0.02</v>
      </c>
      <c r="F186" s="8">
        <f ca="1">IFERROR(__xludf.DUMMYFUNCTION("""COMPUTED_VALUE"""),1.08)</f>
        <v>1.08</v>
      </c>
    </row>
    <row r="187" spans="1:6" x14ac:dyDescent="0.2">
      <c r="A187" s="8" t="str">
        <f ca="1">IFERROR(__xludf.DUMMYFUNCTION("""COMPUTED_VALUE"""),"TRPL4")</f>
        <v>TRPL4</v>
      </c>
      <c r="B187" s="16">
        <f ca="1">IFERROR(__xludf.DUMMYFUNCTION("""COMPUTED_VALUE"""),44579)</f>
        <v>44579</v>
      </c>
      <c r="C187" s="8">
        <f ca="1">IFERROR(__xludf.DUMMYFUNCTION("""COMPUTED_VALUE"""),1)</f>
        <v>1</v>
      </c>
      <c r="D187" s="8">
        <f ca="1">IFERROR(__xludf.DUMMYFUNCTION("""COMPUTED_VALUE"""),2022)</f>
        <v>2022</v>
      </c>
      <c r="E187" s="8">
        <f ca="1">IFERROR(__xludf.DUMMYFUNCTION("""COMPUTED_VALUE"""),0.17)</f>
        <v>0.17</v>
      </c>
      <c r="F187" s="8">
        <f ca="1">IFERROR(__xludf.DUMMYFUNCTION("""COMPUTED_VALUE"""),33.85)</f>
        <v>33.85</v>
      </c>
    </row>
    <row r="188" spans="1:6" x14ac:dyDescent="0.2">
      <c r="A188" s="8" t="str">
        <f ca="1">IFERROR(__xludf.DUMMYFUNCTION("""COMPUTED_VALUE"""),"B3SA3")</f>
        <v>B3SA3</v>
      </c>
      <c r="B188" s="16">
        <f ca="1">IFERROR(__xludf.DUMMYFUNCTION("""COMPUTED_VALUE"""),44568)</f>
        <v>44568</v>
      </c>
      <c r="C188" s="8">
        <f ca="1">IFERROR(__xludf.DUMMYFUNCTION("""COMPUTED_VALUE"""),1)</f>
        <v>1</v>
      </c>
      <c r="D188" s="8">
        <f ca="1">IFERROR(__xludf.DUMMYFUNCTION("""COMPUTED_VALUE"""),2022)</f>
        <v>2022</v>
      </c>
      <c r="E188" s="8">
        <f ca="1">IFERROR(__xludf.DUMMYFUNCTION("""COMPUTED_VALUE"""),0.05)</f>
        <v>0.05</v>
      </c>
      <c r="F188" s="8">
        <f ca="1">IFERROR(__xludf.DUMMYFUNCTION("""COMPUTED_VALUE"""),16.92)</f>
        <v>16.920000000000002</v>
      </c>
    </row>
    <row r="189" spans="1:6" x14ac:dyDescent="0.2">
      <c r="A189" s="8" t="str">
        <f ca="1">IFERROR(__xludf.DUMMYFUNCTION("""COMPUTED_VALUE"""),"BBAS3")</f>
        <v>BBAS3</v>
      </c>
      <c r="B189" s="16">
        <f ca="1">IFERROR(__xludf.DUMMYFUNCTION("""COMPUTED_VALUE"""),45288)</f>
        <v>45288</v>
      </c>
      <c r="C189" s="8">
        <f ca="1">IFERROR(__xludf.DUMMYFUNCTION("""COMPUTED_VALUE"""),12)</f>
        <v>12</v>
      </c>
      <c r="D189" s="8">
        <f ca="1">IFERROR(__xludf.DUMMYFUNCTION("""COMPUTED_VALUE"""),2023)</f>
        <v>2023</v>
      </c>
      <c r="E189" s="8">
        <f ca="1">IFERROR(__xludf.DUMMYFUNCTION("""COMPUTED_VALUE"""),0.34)</f>
        <v>0.34</v>
      </c>
      <c r="F189" s="8">
        <f ca="1">IFERROR(__xludf.DUMMYFUNCTION("""COMPUTED_VALUE"""),228.99)</f>
        <v>228.99</v>
      </c>
    </row>
    <row r="190" spans="1:6" x14ac:dyDescent="0.2">
      <c r="A190" s="8" t="str">
        <f ca="1">IFERROR(__xludf.DUMMYFUNCTION("""COMPUTED_VALUE"""),"PETR4")</f>
        <v>PETR4</v>
      </c>
      <c r="B190" s="16">
        <f ca="1">IFERROR(__xludf.DUMMYFUNCTION("""COMPUTED_VALUE"""),45287)</f>
        <v>45287</v>
      </c>
      <c r="C190" s="8">
        <f ca="1">IFERROR(__xludf.DUMMYFUNCTION("""COMPUTED_VALUE"""),12)</f>
        <v>12</v>
      </c>
      <c r="D190" s="8">
        <f ca="1">IFERROR(__xludf.DUMMYFUNCTION("""COMPUTED_VALUE"""),2023)</f>
        <v>2023</v>
      </c>
      <c r="E190" s="8">
        <f ca="1">IFERROR(__xludf.DUMMYFUNCTION("""COMPUTED_VALUE"""),0.5)</f>
        <v>0.5</v>
      </c>
      <c r="F190" s="8">
        <f ca="1">IFERROR(__xludf.DUMMYFUNCTION("""COMPUTED_VALUE"""),114.05)</f>
        <v>114.05</v>
      </c>
    </row>
    <row r="191" spans="1:6" x14ac:dyDescent="0.2">
      <c r="A191" s="8" t="str">
        <f ca="1">IFERROR(__xludf.DUMMYFUNCTION("""COMPUTED_VALUE"""),"PETR4")</f>
        <v>PETR4</v>
      </c>
      <c r="B191" s="16">
        <f ca="1">IFERROR(__xludf.DUMMYFUNCTION("""COMPUTED_VALUE"""),45287)</f>
        <v>45287</v>
      </c>
      <c r="C191" s="8">
        <f ca="1">IFERROR(__xludf.DUMMYFUNCTION("""COMPUTED_VALUE"""),12)</f>
        <v>12</v>
      </c>
      <c r="D191" s="8">
        <f ca="1">IFERROR(__xludf.DUMMYFUNCTION("""COMPUTED_VALUE"""),2023)</f>
        <v>2023</v>
      </c>
      <c r="E191" s="8">
        <f ca="1">IFERROR(__xludf.DUMMYFUNCTION("""COMPUTED_VALUE"""),0)</f>
        <v>0</v>
      </c>
      <c r="F191" s="8">
        <f ca="1">IFERROR(__xludf.DUMMYFUNCTION("""COMPUTED_VALUE"""),12.17)</f>
        <v>12.17</v>
      </c>
    </row>
    <row r="192" spans="1:6" x14ac:dyDescent="0.2">
      <c r="A192" s="8" t="str">
        <f ca="1">IFERROR(__xludf.DUMMYFUNCTION("""COMPUTED_VALUE"""),"PETR4")</f>
        <v>PETR4</v>
      </c>
      <c r="B192" s="16">
        <f ca="1">IFERROR(__xludf.DUMMYFUNCTION("""COMPUTED_VALUE"""),45275)</f>
        <v>45275</v>
      </c>
      <c r="C192" s="8">
        <f ca="1">IFERROR(__xludf.DUMMYFUNCTION("""COMPUTED_VALUE"""),12)</f>
        <v>12</v>
      </c>
      <c r="D192" s="8">
        <f ca="1">IFERROR(__xludf.DUMMYFUNCTION("""COMPUTED_VALUE"""),2023)</f>
        <v>2023</v>
      </c>
      <c r="E192" s="8">
        <f ca="1">IFERROR(__xludf.DUMMYFUNCTION("""COMPUTED_VALUE"""),0.58)</f>
        <v>0.57999999999999996</v>
      </c>
      <c r="F192" s="8">
        <f ca="1">IFERROR(__xludf.DUMMYFUNCTION("""COMPUTED_VALUE"""),131.59)</f>
        <v>131.59</v>
      </c>
    </row>
    <row r="193" spans="1:6" x14ac:dyDescent="0.2">
      <c r="A193" s="8" t="str">
        <f ca="1">IFERROR(__xludf.DUMMYFUNCTION("""COMPUTED_VALUE"""),"TAEE4")</f>
        <v>TAEE4</v>
      </c>
      <c r="B193" s="16">
        <f ca="1">IFERROR(__xludf.DUMMYFUNCTION("""COMPUTED_VALUE"""),45275)</f>
        <v>45275</v>
      </c>
      <c r="C193" s="8">
        <f ca="1">IFERROR(__xludf.DUMMYFUNCTION("""COMPUTED_VALUE"""),12)</f>
        <v>12</v>
      </c>
      <c r="D193" s="8">
        <f ca="1">IFERROR(__xludf.DUMMYFUNCTION("""COMPUTED_VALUE"""),2023)</f>
        <v>2023</v>
      </c>
      <c r="E193" s="8">
        <f ca="1">IFERROR(__xludf.DUMMYFUNCTION("""COMPUTED_VALUE"""),0)</f>
        <v>0</v>
      </c>
      <c r="F193" s="8">
        <f ca="1">IFERROR(__xludf.DUMMYFUNCTION("""COMPUTED_VALUE"""),6.02)</f>
        <v>6.02</v>
      </c>
    </row>
    <row r="194" spans="1:6" x14ac:dyDescent="0.2">
      <c r="A194" s="8" t="str">
        <f ca="1">IFERROR(__xludf.DUMMYFUNCTION("""COMPUTED_VALUE"""),"TAEE4")</f>
        <v>TAEE4</v>
      </c>
      <c r="B194" s="16">
        <f ca="1">IFERROR(__xludf.DUMMYFUNCTION("""COMPUTED_VALUE"""),45275)</f>
        <v>45275</v>
      </c>
      <c r="C194" s="8">
        <f ca="1">IFERROR(__xludf.DUMMYFUNCTION("""COMPUTED_VALUE"""),12)</f>
        <v>12</v>
      </c>
      <c r="D194" s="8">
        <f ca="1">IFERROR(__xludf.DUMMYFUNCTION("""COMPUTED_VALUE"""),2023)</f>
        <v>2023</v>
      </c>
      <c r="E194" s="8">
        <f ca="1">IFERROR(__xludf.DUMMYFUNCTION("""COMPUTED_VALUE"""),0.19)</f>
        <v>0.19</v>
      </c>
      <c r="F194" s="8">
        <f ca="1">IFERROR(__xludf.DUMMYFUNCTION("""COMPUTED_VALUE"""),251.94)</f>
        <v>251.94</v>
      </c>
    </row>
    <row r="195" spans="1:6" x14ac:dyDescent="0.2">
      <c r="A195" s="8" t="str">
        <f ca="1">IFERROR(__xludf.DUMMYFUNCTION("""COMPUTED_VALUE"""),"WIZC3")</f>
        <v>WIZC3</v>
      </c>
      <c r="B195" s="16">
        <f ca="1">IFERROR(__xludf.DUMMYFUNCTION("""COMPUTED_VALUE"""),45272)</f>
        <v>45272</v>
      </c>
      <c r="C195" s="8">
        <f ca="1">IFERROR(__xludf.DUMMYFUNCTION("""COMPUTED_VALUE"""),12)</f>
        <v>12</v>
      </c>
      <c r="D195" s="8">
        <f ca="1">IFERROR(__xludf.DUMMYFUNCTION("""COMPUTED_VALUE"""),2023)</f>
        <v>2023</v>
      </c>
      <c r="E195" s="8">
        <f ca="1">IFERROR(__xludf.DUMMYFUNCTION("""COMPUTED_VALUE"""),0.14)</f>
        <v>0.14000000000000001</v>
      </c>
      <c r="F195" s="8">
        <f ca="1">IFERROR(__xludf.DUMMYFUNCTION("""COMPUTED_VALUE"""),55.16)</f>
        <v>55.16</v>
      </c>
    </row>
    <row r="196" spans="1:6" x14ac:dyDescent="0.2">
      <c r="A196" s="8" t="str">
        <f ca="1">IFERROR(__xludf.DUMMYFUNCTION("""COMPUTED_VALUE"""),"WIZC3")</f>
        <v>WIZC3</v>
      </c>
      <c r="B196" s="16">
        <f ca="1">IFERROR(__xludf.DUMMYFUNCTION("""COMPUTED_VALUE"""),45272)</f>
        <v>45272</v>
      </c>
      <c r="C196" s="8">
        <f ca="1">IFERROR(__xludf.DUMMYFUNCTION("""COMPUTED_VALUE"""),12)</f>
        <v>12</v>
      </c>
      <c r="D196" s="8">
        <f ca="1">IFERROR(__xludf.DUMMYFUNCTION("""COMPUTED_VALUE"""),2023)</f>
        <v>2023</v>
      </c>
      <c r="E196" s="8">
        <f ca="1">IFERROR(__xludf.DUMMYFUNCTION("""COMPUTED_VALUE"""),0.24)</f>
        <v>0.24</v>
      </c>
      <c r="F196" s="8">
        <f ca="1">IFERROR(__xludf.DUMMYFUNCTION("""COMPUTED_VALUE"""),115.21)</f>
        <v>115.21</v>
      </c>
    </row>
    <row r="197" spans="1:6" x14ac:dyDescent="0.2">
      <c r="A197" s="8" t="str">
        <f ca="1">IFERROR(__xludf.DUMMYFUNCTION("""COMPUTED_VALUE"""),"BBDC3")</f>
        <v>BBDC3</v>
      </c>
      <c r="B197" s="16">
        <f ca="1">IFERROR(__xludf.DUMMYFUNCTION("""COMPUTED_VALUE"""),45261)</f>
        <v>45261</v>
      </c>
      <c r="C197" s="8">
        <f ca="1">IFERROR(__xludf.DUMMYFUNCTION("""COMPUTED_VALUE"""),12)</f>
        <v>12</v>
      </c>
      <c r="D197" s="8">
        <f ca="1">IFERROR(__xludf.DUMMYFUNCTION("""COMPUTED_VALUE"""),2023)</f>
        <v>2023</v>
      </c>
      <c r="E197" s="8">
        <f ca="1">IFERROR(__xludf.DUMMYFUNCTION("""COMPUTED_VALUE"""),0.02)</f>
        <v>0.02</v>
      </c>
      <c r="F197" s="8">
        <f ca="1">IFERROR(__xludf.DUMMYFUNCTION("""COMPUTED_VALUE"""),13.4)</f>
        <v>13.4</v>
      </c>
    </row>
    <row r="198" spans="1:6" x14ac:dyDescent="0.2">
      <c r="A198" s="8" t="str">
        <f ca="1">IFERROR(__xludf.DUMMYFUNCTION("""COMPUTED_VALUE"""),"BBAS3")</f>
        <v>BBAS3</v>
      </c>
      <c r="B198" s="16">
        <f ca="1">IFERROR(__xludf.DUMMYFUNCTION("""COMPUTED_VALUE"""),45260)</f>
        <v>45260</v>
      </c>
      <c r="C198" s="8">
        <f ca="1">IFERROR(__xludf.DUMMYFUNCTION("""COMPUTED_VALUE"""),11)</f>
        <v>11</v>
      </c>
      <c r="D198" s="8">
        <f ca="1">IFERROR(__xludf.DUMMYFUNCTION("""COMPUTED_VALUE"""),2023)</f>
        <v>2023</v>
      </c>
      <c r="E198" s="8">
        <f ca="1">IFERROR(__xludf.DUMMYFUNCTION("""COMPUTED_VALUE"""),0.1)</f>
        <v>0.1</v>
      </c>
      <c r="F198" s="8">
        <f ca="1">IFERROR(__xludf.DUMMYFUNCTION("""COMPUTED_VALUE"""),80.26)</f>
        <v>80.260000000000005</v>
      </c>
    </row>
    <row r="199" spans="1:6" x14ac:dyDescent="0.2">
      <c r="A199" s="8" t="str">
        <f ca="1">IFERROR(__xludf.DUMMYFUNCTION("""COMPUTED_VALUE"""),"BBAS3")</f>
        <v>BBAS3</v>
      </c>
      <c r="B199" s="16">
        <f ca="1">IFERROR(__xludf.DUMMYFUNCTION("""COMPUTED_VALUE"""),45260)</f>
        <v>45260</v>
      </c>
      <c r="C199" s="8">
        <f ca="1">IFERROR(__xludf.DUMMYFUNCTION("""COMPUTED_VALUE"""),11)</f>
        <v>11</v>
      </c>
      <c r="D199" s="8">
        <f ca="1">IFERROR(__xludf.DUMMYFUNCTION("""COMPUTED_VALUE"""),2023)</f>
        <v>2023</v>
      </c>
      <c r="E199" s="8">
        <f ca="1">IFERROR(__xludf.DUMMYFUNCTION("""COMPUTED_VALUE"""),0.69)</f>
        <v>0.69</v>
      </c>
      <c r="F199" s="8">
        <f ca="1">IFERROR(__xludf.DUMMYFUNCTION("""COMPUTED_VALUE"""),459.04)</f>
        <v>459.04</v>
      </c>
    </row>
    <row r="200" spans="1:6" x14ac:dyDescent="0.2">
      <c r="A200" s="8" t="str">
        <f ca="1">IFERROR(__xludf.DUMMYFUNCTION("""COMPUTED_VALUE"""),"CPLE6")</f>
        <v>CPLE6</v>
      </c>
      <c r="B200" s="16">
        <f ca="1">IFERROR(__xludf.DUMMYFUNCTION("""COMPUTED_VALUE"""),45260)</f>
        <v>45260</v>
      </c>
      <c r="C200" s="8">
        <f ca="1">IFERROR(__xludf.DUMMYFUNCTION("""COMPUTED_VALUE"""),11)</f>
        <v>11</v>
      </c>
      <c r="D200" s="8">
        <f ca="1">IFERROR(__xludf.DUMMYFUNCTION("""COMPUTED_VALUE"""),2023)</f>
        <v>2023</v>
      </c>
      <c r="E200" s="8">
        <f ca="1">IFERROR(__xludf.DUMMYFUNCTION("""COMPUTED_VALUE"""),0.16)</f>
        <v>0.16</v>
      </c>
      <c r="F200" s="8">
        <f ca="1">IFERROR(__xludf.DUMMYFUNCTION("""COMPUTED_VALUE"""),98.16)</f>
        <v>98.16</v>
      </c>
    </row>
    <row r="201" spans="1:6" x14ac:dyDescent="0.2">
      <c r="A201" s="8" t="str">
        <f ca="1">IFERROR(__xludf.DUMMYFUNCTION("""COMPUTED_VALUE"""),"PETR4")</f>
        <v>PETR4</v>
      </c>
      <c r="B201" s="16">
        <f ca="1">IFERROR(__xludf.DUMMYFUNCTION("""COMPUTED_VALUE"""),45251)</f>
        <v>45251</v>
      </c>
      <c r="C201" s="8">
        <f ca="1">IFERROR(__xludf.DUMMYFUNCTION("""COMPUTED_VALUE"""),11)</f>
        <v>11</v>
      </c>
      <c r="D201" s="8">
        <f ca="1">IFERROR(__xludf.DUMMYFUNCTION("""COMPUTED_VALUE"""),2023)</f>
        <v>2023</v>
      </c>
      <c r="E201" s="8">
        <f ca="1">IFERROR(__xludf.DUMMYFUNCTION("""COMPUTED_VALUE"""),0.37)</f>
        <v>0.37</v>
      </c>
      <c r="F201" s="8">
        <f ca="1">IFERROR(__xludf.DUMMYFUNCTION("""COMPUTED_VALUE"""),71.14)</f>
        <v>71.14</v>
      </c>
    </row>
    <row r="202" spans="1:6" x14ac:dyDescent="0.2">
      <c r="A202" s="8" t="str">
        <f ca="1">IFERROR(__xludf.DUMMYFUNCTION("""COMPUTED_VALUE"""),"PETR4")</f>
        <v>PETR4</v>
      </c>
      <c r="B202" s="16">
        <f ca="1">IFERROR(__xludf.DUMMYFUNCTION("""COMPUTED_VALUE"""),45251)</f>
        <v>45251</v>
      </c>
      <c r="C202" s="8">
        <f ca="1">IFERROR(__xludf.DUMMYFUNCTION("""COMPUTED_VALUE"""),11)</f>
        <v>11</v>
      </c>
      <c r="D202" s="8">
        <f ca="1">IFERROR(__xludf.DUMMYFUNCTION("""COMPUTED_VALUE"""),2023)</f>
        <v>2023</v>
      </c>
      <c r="E202" s="8">
        <f ca="1">IFERROR(__xludf.DUMMYFUNCTION("""COMPUTED_VALUE"""),0.21)</f>
        <v>0.21</v>
      </c>
      <c r="F202" s="8">
        <f ca="1">IFERROR(__xludf.DUMMYFUNCTION("""COMPUTED_VALUE"""),47.9)</f>
        <v>47.9</v>
      </c>
    </row>
    <row r="203" spans="1:6" x14ac:dyDescent="0.2">
      <c r="A203" s="8" t="str">
        <f ca="1">IFERROR(__xludf.DUMMYFUNCTION("""COMPUTED_VALUE"""),"KLBN4")</f>
        <v>KLBN4</v>
      </c>
      <c r="B203" s="16">
        <f ca="1">IFERROR(__xludf.DUMMYFUNCTION("""COMPUTED_VALUE"""),45244)</f>
        <v>45244</v>
      </c>
      <c r="C203" s="8">
        <f ca="1">IFERROR(__xludf.DUMMYFUNCTION("""COMPUTED_VALUE"""),11)</f>
        <v>11</v>
      </c>
      <c r="D203" s="8">
        <f ca="1">IFERROR(__xludf.DUMMYFUNCTION("""COMPUTED_VALUE"""),2023)</f>
        <v>2023</v>
      </c>
      <c r="E203" s="8">
        <f ca="1">IFERROR(__xludf.DUMMYFUNCTION("""COMPUTED_VALUE"""),0.06)</f>
        <v>0.06</v>
      </c>
      <c r="F203" s="8">
        <f ca="1">IFERROR(__xludf.DUMMYFUNCTION("""COMPUTED_VALUE"""),90.63)</f>
        <v>90.63</v>
      </c>
    </row>
    <row r="204" spans="1:6" x14ac:dyDescent="0.2">
      <c r="A204" s="8" t="str">
        <f ca="1">IFERROR(__xludf.DUMMYFUNCTION("""COMPUTED_VALUE"""),"CXSE3")</f>
        <v>CXSE3</v>
      </c>
      <c r="B204" s="16">
        <f ca="1">IFERROR(__xludf.DUMMYFUNCTION("""COMPUTED_VALUE"""),45236)</f>
        <v>45236</v>
      </c>
      <c r="C204" s="8">
        <f ca="1">IFERROR(__xludf.DUMMYFUNCTION("""COMPUTED_VALUE"""),11)</f>
        <v>11</v>
      </c>
      <c r="D204" s="8">
        <f ca="1">IFERROR(__xludf.DUMMYFUNCTION("""COMPUTED_VALUE"""),2023)</f>
        <v>2023</v>
      </c>
      <c r="E204" s="8">
        <f ca="1">IFERROR(__xludf.DUMMYFUNCTION("""COMPUTED_VALUE"""),0.5)</f>
        <v>0.5</v>
      </c>
      <c r="F204" s="8">
        <f ca="1">IFERROR(__xludf.DUMMYFUNCTION("""COMPUTED_VALUE"""),252)</f>
        <v>252</v>
      </c>
    </row>
    <row r="205" spans="1:6" x14ac:dyDescent="0.2">
      <c r="A205" s="8" t="str">
        <f ca="1">IFERROR(__xludf.DUMMYFUNCTION("""COMPUTED_VALUE"""),"BBDC3")</f>
        <v>BBDC3</v>
      </c>
      <c r="B205" s="16">
        <f ca="1">IFERROR(__xludf.DUMMYFUNCTION("""COMPUTED_VALUE"""),45231)</f>
        <v>45231</v>
      </c>
      <c r="C205" s="8">
        <f ca="1">IFERROR(__xludf.DUMMYFUNCTION("""COMPUTED_VALUE"""),11)</f>
        <v>11</v>
      </c>
      <c r="D205" s="8">
        <f ca="1">IFERROR(__xludf.DUMMYFUNCTION("""COMPUTED_VALUE"""),2023)</f>
        <v>2023</v>
      </c>
      <c r="E205" s="8">
        <f ca="1">IFERROR(__xludf.DUMMYFUNCTION("""COMPUTED_VALUE"""),0.02)</f>
        <v>0.02</v>
      </c>
      <c r="F205" s="8">
        <f ca="1">IFERROR(__xludf.DUMMYFUNCTION("""COMPUTED_VALUE"""),13.4)</f>
        <v>13.4</v>
      </c>
    </row>
    <row r="206" spans="1:6" x14ac:dyDescent="0.2">
      <c r="A206" s="8" t="str">
        <f ca="1">IFERROR(__xludf.DUMMYFUNCTION("""COMPUTED_VALUE"""),"VIVT3")</f>
        <v>VIVT3</v>
      </c>
      <c r="B206" s="16">
        <f ca="1">IFERROR(__xludf.DUMMYFUNCTION("""COMPUTED_VALUE"""),45217)</f>
        <v>45217</v>
      </c>
      <c r="C206" s="8">
        <f ca="1">IFERROR(__xludf.DUMMYFUNCTION("""COMPUTED_VALUE"""),10)</f>
        <v>10</v>
      </c>
      <c r="D206" s="8">
        <f ca="1">IFERROR(__xludf.DUMMYFUNCTION("""COMPUTED_VALUE"""),2023)</f>
        <v>2023</v>
      </c>
      <c r="E206" s="8">
        <f ca="1">IFERROR(__xludf.DUMMYFUNCTION("""COMPUTED_VALUE"""),0.06)</f>
        <v>0.06</v>
      </c>
      <c r="F206" s="8">
        <f ca="1">IFERROR(__xludf.DUMMYFUNCTION("""COMPUTED_VALUE"""),12.57)</f>
        <v>12.57</v>
      </c>
    </row>
    <row r="207" spans="1:6" x14ac:dyDescent="0.2">
      <c r="A207" s="8" t="str">
        <f ca="1">IFERROR(__xludf.DUMMYFUNCTION("""COMPUTED_VALUE"""),"VIVT3")</f>
        <v>VIVT3</v>
      </c>
      <c r="B207" s="16">
        <f ca="1">IFERROR(__xludf.DUMMYFUNCTION("""COMPUTED_VALUE"""),45217)</f>
        <v>45217</v>
      </c>
      <c r="C207" s="8">
        <f ca="1">IFERROR(__xludf.DUMMYFUNCTION("""COMPUTED_VALUE"""),10)</f>
        <v>10</v>
      </c>
      <c r="D207" s="8">
        <f ca="1">IFERROR(__xludf.DUMMYFUNCTION("""COMPUTED_VALUE"""),2023)</f>
        <v>2023</v>
      </c>
      <c r="E207" s="8">
        <f ca="1">IFERROR(__xludf.DUMMYFUNCTION("""COMPUTED_VALUE"""),0.18)</f>
        <v>0.18</v>
      </c>
      <c r="F207" s="8">
        <f ca="1">IFERROR(__xludf.DUMMYFUNCTION("""COMPUTED_VALUE"""),34.42)</f>
        <v>34.42</v>
      </c>
    </row>
    <row r="208" spans="1:6" x14ac:dyDescent="0.2">
      <c r="A208" s="8" t="str">
        <f ca="1">IFERROR(__xludf.DUMMYFUNCTION("""COMPUTED_VALUE"""),"BBDC3")</f>
        <v>BBDC3</v>
      </c>
      <c r="B208" s="16">
        <f ca="1">IFERROR(__xludf.DUMMYFUNCTION("""COMPUTED_VALUE"""),45201)</f>
        <v>45201</v>
      </c>
      <c r="C208" s="8">
        <f ca="1">IFERROR(__xludf.DUMMYFUNCTION("""COMPUTED_VALUE"""),10)</f>
        <v>10</v>
      </c>
      <c r="D208" s="8">
        <f ca="1">IFERROR(__xludf.DUMMYFUNCTION("""COMPUTED_VALUE"""),2023)</f>
        <v>2023</v>
      </c>
      <c r="E208" s="8">
        <f ca="1">IFERROR(__xludf.DUMMYFUNCTION("""COMPUTED_VALUE"""),0.02)</f>
        <v>0.02</v>
      </c>
      <c r="F208" s="8">
        <f ca="1">IFERROR(__xludf.DUMMYFUNCTION("""COMPUTED_VALUE"""),13.4)</f>
        <v>13.4</v>
      </c>
    </row>
    <row r="209" spans="1:6" x14ac:dyDescent="0.2">
      <c r="A209" s="8" t="str">
        <f ca="1">IFERROR(__xludf.DUMMYFUNCTION("""COMPUTED_VALUE"""),"BBAS3")</f>
        <v>BBAS3</v>
      </c>
      <c r="B209" s="16">
        <f ca="1">IFERROR(__xludf.DUMMYFUNCTION("""COMPUTED_VALUE"""),45198)</f>
        <v>45198</v>
      </c>
      <c r="C209" s="8">
        <f ca="1">IFERROR(__xludf.DUMMYFUNCTION("""COMPUTED_VALUE"""),9)</f>
        <v>9</v>
      </c>
      <c r="D209" s="8">
        <f ca="1">IFERROR(__xludf.DUMMYFUNCTION("""COMPUTED_VALUE"""),2023)</f>
        <v>2023</v>
      </c>
      <c r="E209" s="8">
        <f ca="1">IFERROR(__xludf.DUMMYFUNCTION("""COMPUTED_VALUE"""),0.33)</f>
        <v>0.33</v>
      </c>
      <c r="F209" s="8">
        <f ca="1">IFERROR(__xludf.DUMMYFUNCTION("""COMPUTED_VALUE"""),223.56)</f>
        <v>223.56</v>
      </c>
    </row>
    <row r="210" spans="1:6" x14ac:dyDescent="0.2">
      <c r="A210" s="8" t="str">
        <f ca="1">IFERROR(__xludf.DUMMYFUNCTION("""COMPUTED_VALUE"""),"BRSR6")</f>
        <v>BRSR6</v>
      </c>
      <c r="B210" s="16">
        <f ca="1">IFERROR(__xludf.DUMMYFUNCTION("""COMPUTED_VALUE"""),45198)</f>
        <v>45198</v>
      </c>
      <c r="C210" s="8">
        <f ca="1">IFERROR(__xludf.DUMMYFUNCTION("""COMPUTED_VALUE"""),9)</f>
        <v>9</v>
      </c>
      <c r="D210" s="8">
        <f ca="1">IFERROR(__xludf.DUMMYFUNCTION("""COMPUTED_VALUE"""),2023)</f>
        <v>2023</v>
      </c>
      <c r="E210" s="8">
        <f ca="1">IFERROR(__xludf.DUMMYFUNCTION("""COMPUTED_VALUE"""),0.17)</f>
        <v>0.17</v>
      </c>
      <c r="F210" s="8">
        <f ca="1">IFERROR(__xludf.DUMMYFUNCTION("""COMPUTED_VALUE"""),133.33)</f>
        <v>133.33000000000001</v>
      </c>
    </row>
    <row r="211" spans="1:6" x14ac:dyDescent="0.2">
      <c r="A211" s="8" t="str">
        <f ca="1">IFERROR(__xludf.DUMMYFUNCTION("""COMPUTED_VALUE"""),"PETR4")</f>
        <v>PETR4</v>
      </c>
      <c r="B211" s="16">
        <f ca="1">IFERROR(__xludf.DUMMYFUNCTION("""COMPUTED_VALUE"""),45189)</f>
        <v>45189</v>
      </c>
      <c r="C211" s="8">
        <f ca="1">IFERROR(__xludf.DUMMYFUNCTION("""COMPUTED_VALUE"""),9)</f>
        <v>9</v>
      </c>
      <c r="D211" s="8">
        <f ca="1">IFERROR(__xludf.DUMMYFUNCTION("""COMPUTED_VALUE"""),2023)</f>
        <v>2023</v>
      </c>
      <c r="E211" s="8">
        <f ca="1">IFERROR(__xludf.DUMMYFUNCTION("""COMPUTED_VALUE"""),0.95)</f>
        <v>0.95</v>
      </c>
      <c r="F211" s="8">
        <f ca="1">IFERROR(__xludf.DUMMYFUNCTION("""COMPUTED_VALUE"""),216.81)</f>
        <v>216.81</v>
      </c>
    </row>
    <row r="212" spans="1:6" x14ac:dyDescent="0.2">
      <c r="A212" s="8" t="str">
        <f ca="1">IFERROR(__xludf.DUMMYFUNCTION("""COMPUTED_VALUE"""),"BBDC3")</f>
        <v>BBDC3</v>
      </c>
      <c r="B212" s="16">
        <f ca="1">IFERROR(__xludf.DUMMYFUNCTION("""COMPUTED_VALUE"""),45170)</f>
        <v>45170</v>
      </c>
      <c r="C212" s="8">
        <f ca="1">IFERROR(__xludf.DUMMYFUNCTION("""COMPUTED_VALUE"""),9)</f>
        <v>9</v>
      </c>
      <c r="D212" s="8">
        <f ca="1">IFERROR(__xludf.DUMMYFUNCTION("""COMPUTED_VALUE"""),2023)</f>
        <v>2023</v>
      </c>
      <c r="E212" s="8">
        <f ca="1">IFERROR(__xludf.DUMMYFUNCTION("""COMPUTED_VALUE"""),0.02)</f>
        <v>0.02</v>
      </c>
      <c r="F212" s="8">
        <f ca="1">IFERROR(__xludf.DUMMYFUNCTION("""COMPUTED_VALUE"""),13.4)</f>
        <v>13.4</v>
      </c>
    </row>
    <row r="213" spans="1:6" x14ac:dyDescent="0.2">
      <c r="A213" s="8" t="str">
        <f ca="1">IFERROR(__xludf.DUMMYFUNCTION("""COMPUTED_VALUE"""),"BBAS3")</f>
        <v>BBAS3</v>
      </c>
      <c r="B213" s="16">
        <f ca="1">IFERROR(__xludf.DUMMYFUNCTION("""COMPUTED_VALUE"""),45168)</f>
        <v>45168</v>
      </c>
      <c r="C213" s="8">
        <f ca="1">IFERROR(__xludf.DUMMYFUNCTION("""COMPUTED_VALUE"""),8)</f>
        <v>8</v>
      </c>
      <c r="D213" s="8">
        <f ca="1">IFERROR(__xludf.DUMMYFUNCTION("""COMPUTED_VALUE"""),2023)</f>
        <v>2023</v>
      </c>
      <c r="E213" s="8">
        <f ca="1">IFERROR(__xludf.DUMMYFUNCTION("""COMPUTED_VALUE"""),0)</f>
        <v>0</v>
      </c>
      <c r="F213" s="8">
        <f ca="1">IFERROR(__xludf.DUMMYFUNCTION("""COMPUTED_VALUE"""),1.9)</f>
        <v>1.9</v>
      </c>
    </row>
    <row r="214" spans="1:6" x14ac:dyDescent="0.2">
      <c r="A214" s="8" t="str">
        <f ca="1">IFERROR(__xludf.DUMMYFUNCTION("""COMPUTED_VALUE"""),"BBAS3")</f>
        <v>BBAS3</v>
      </c>
      <c r="B214" s="16">
        <f ca="1">IFERROR(__xludf.DUMMYFUNCTION("""COMPUTED_VALUE"""),45168)</f>
        <v>45168</v>
      </c>
      <c r="C214" s="8">
        <f ca="1">IFERROR(__xludf.DUMMYFUNCTION("""COMPUTED_VALUE"""),8)</f>
        <v>8</v>
      </c>
      <c r="D214" s="8">
        <f ca="1">IFERROR(__xludf.DUMMYFUNCTION("""COMPUTED_VALUE"""),2023)</f>
        <v>2023</v>
      </c>
      <c r="E214" s="8">
        <f ca="1">IFERROR(__xludf.DUMMYFUNCTION("""COMPUTED_VALUE"""),0.14)</f>
        <v>0.14000000000000001</v>
      </c>
      <c r="F214" s="8">
        <f ca="1">IFERROR(__xludf.DUMMYFUNCTION("""COMPUTED_VALUE"""),113.1)</f>
        <v>113.1</v>
      </c>
    </row>
    <row r="215" spans="1:6" x14ac:dyDescent="0.2">
      <c r="A215" s="8" t="str">
        <f ca="1">IFERROR(__xludf.DUMMYFUNCTION("""COMPUTED_VALUE"""),"BBAS3")</f>
        <v>BBAS3</v>
      </c>
      <c r="B215" s="16">
        <f ca="1">IFERROR(__xludf.DUMMYFUNCTION("""COMPUTED_VALUE"""),45168)</f>
        <v>45168</v>
      </c>
      <c r="C215" s="8">
        <f ca="1">IFERROR(__xludf.DUMMYFUNCTION("""COMPUTED_VALUE"""),8)</f>
        <v>8</v>
      </c>
      <c r="D215" s="8">
        <f ca="1">IFERROR(__xludf.DUMMYFUNCTION("""COMPUTED_VALUE"""),2023)</f>
        <v>2023</v>
      </c>
      <c r="E215" s="8">
        <f ca="1">IFERROR(__xludf.DUMMYFUNCTION("""COMPUTED_VALUE"""),0)</f>
        <v>0</v>
      </c>
      <c r="F215" s="8">
        <f ca="1">IFERROR(__xludf.DUMMYFUNCTION("""COMPUTED_VALUE"""),8.67)</f>
        <v>8.67</v>
      </c>
    </row>
    <row r="216" spans="1:6" x14ac:dyDescent="0.2">
      <c r="A216" s="8" t="str">
        <f ca="1">IFERROR(__xludf.DUMMYFUNCTION("""COMPUTED_VALUE"""),"BBAS3")</f>
        <v>BBAS3</v>
      </c>
      <c r="B216" s="16">
        <f ca="1">IFERROR(__xludf.DUMMYFUNCTION("""COMPUTED_VALUE"""),45168)</f>
        <v>45168</v>
      </c>
      <c r="C216" s="8">
        <f ca="1">IFERROR(__xludf.DUMMYFUNCTION("""COMPUTED_VALUE"""),8)</f>
        <v>8</v>
      </c>
      <c r="D216" s="8">
        <f ca="1">IFERROR(__xludf.DUMMYFUNCTION("""COMPUTED_VALUE"""),2023)</f>
        <v>2023</v>
      </c>
      <c r="E216" s="8">
        <f ca="1">IFERROR(__xludf.DUMMYFUNCTION("""COMPUTED_VALUE"""),0.66)</f>
        <v>0.66</v>
      </c>
      <c r="F216" s="8">
        <f ca="1">IFERROR(__xludf.DUMMYFUNCTION("""COMPUTED_VALUE"""),437.93)</f>
        <v>437.93</v>
      </c>
    </row>
    <row r="217" spans="1:6" x14ac:dyDescent="0.2">
      <c r="A217" s="8" t="str">
        <f ca="1">IFERROR(__xludf.DUMMYFUNCTION("""COMPUTED_VALUE"""),"TAEE4")</f>
        <v>TAEE4</v>
      </c>
      <c r="B217" s="16">
        <f ca="1">IFERROR(__xludf.DUMMYFUNCTION("""COMPUTED_VALUE"""),45167)</f>
        <v>45167</v>
      </c>
      <c r="C217" s="8">
        <f ca="1">IFERROR(__xludf.DUMMYFUNCTION("""COMPUTED_VALUE"""),8)</f>
        <v>8</v>
      </c>
      <c r="D217" s="8">
        <f ca="1">IFERROR(__xludf.DUMMYFUNCTION("""COMPUTED_VALUE"""),2023)</f>
        <v>2023</v>
      </c>
      <c r="E217" s="8">
        <f ca="1">IFERROR(__xludf.DUMMYFUNCTION("""COMPUTED_VALUE"""),0.21)</f>
        <v>0.21</v>
      </c>
      <c r="F217" s="8">
        <f ca="1">IFERROR(__xludf.DUMMYFUNCTION("""COMPUTED_VALUE"""),236.18)</f>
        <v>236.18</v>
      </c>
    </row>
    <row r="218" spans="1:6" x14ac:dyDescent="0.2">
      <c r="A218" s="8" t="str">
        <f ca="1">IFERROR(__xludf.DUMMYFUNCTION("""COMPUTED_VALUE"""),"TAEE4")</f>
        <v>TAEE4</v>
      </c>
      <c r="B218" s="16">
        <f ca="1">IFERROR(__xludf.DUMMYFUNCTION("""COMPUTED_VALUE"""),45167)</f>
        <v>45167</v>
      </c>
      <c r="C218" s="8">
        <f ca="1">IFERROR(__xludf.DUMMYFUNCTION("""COMPUTED_VALUE"""),8)</f>
        <v>8</v>
      </c>
      <c r="D218" s="8">
        <f ca="1">IFERROR(__xludf.DUMMYFUNCTION("""COMPUTED_VALUE"""),2023)</f>
        <v>2023</v>
      </c>
      <c r="E218" s="8">
        <f ca="1">IFERROR(__xludf.DUMMYFUNCTION("""COMPUTED_VALUE"""),0.09)</f>
        <v>0.09</v>
      </c>
      <c r="F218" s="8">
        <f ca="1">IFERROR(__xludf.DUMMYFUNCTION("""COMPUTED_VALUE"""),124.88)</f>
        <v>124.88</v>
      </c>
    </row>
    <row r="219" spans="1:6" x14ac:dyDescent="0.2">
      <c r="A219" s="8" t="str">
        <f ca="1">IFERROR(__xludf.DUMMYFUNCTION("""COMPUTED_VALUE"""),"TAEE4")</f>
        <v>TAEE4</v>
      </c>
      <c r="B219" s="16">
        <f ca="1">IFERROR(__xludf.DUMMYFUNCTION("""COMPUTED_VALUE"""),45167)</f>
        <v>45167</v>
      </c>
      <c r="C219" s="8">
        <f ca="1">IFERROR(__xludf.DUMMYFUNCTION("""COMPUTED_VALUE"""),8)</f>
        <v>8</v>
      </c>
      <c r="D219" s="8">
        <f ca="1">IFERROR(__xludf.DUMMYFUNCTION("""COMPUTED_VALUE"""),2023)</f>
        <v>2023</v>
      </c>
      <c r="E219" s="8">
        <f ca="1">IFERROR(__xludf.DUMMYFUNCTION("""COMPUTED_VALUE"""),0.03)</f>
        <v>0.03</v>
      </c>
      <c r="F219" s="8">
        <f ca="1">IFERROR(__xludf.DUMMYFUNCTION("""COMPUTED_VALUE"""),32.26)</f>
        <v>32.26</v>
      </c>
    </row>
    <row r="220" spans="1:6" x14ac:dyDescent="0.2">
      <c r="A220" s="8" t="str">
        <f ca="1">IFERROR(__xludf.DUMMYFUNCTION("""COMPUTED_VALUE"""),"BBSE3")</f>
        <v>BBSE3</v>
      </c>
      <c r="B220" s="16">
        <f ca="1">IFERROR(__xludf.DUMMYFUNCTION("""COMPUTED_VALUE"""),45166)</f>
        <v>45166</v>
      </c>
      <c r="C220" s="8">
        <f ca="1">IFERROR(__xludf.DUMMYFUNCTION("""COMPUTED_VALUE"""),8)</f>
        <v>8</v>
      </c>
      <c r="D220" s="8">
        <f ca="1">IFERROR(__xludf.DUMMYFUNCTION("""COMPUTED_VALUE"""),2023)</f>
        <v>2023</v>
      </c>
      <c r="E220" s="8">
        <f ca="1">IFERROR(__xludf.DUMMYFUNCTION("""COMPUTED_VALUE"""),1.61)</f>
        <v>1.61</v>
      </c>
      <c r="F220" s="8">
        <f ca="1">IFERROR(__xludf.DUMMYFUNCTION("""COMPUTED_VALUE"""),450.13)</f>
        <v>450.13</v>
      </c>
    </row>
    <row r="221" spans="1:6" x14ac:dyDescent="0.2">
      <c r="A221" s="8" t="str">
        <f ca="1">IFERROR(__xludf.DUMMYFUNCTION("""COMPUTED_VALUE"""),"PETR4")</f>
        <v>PETR4</v>
      </c>
      <c r="B221" s="16">
        <f ca="1">IFERROR(__xludf.DUMMYFUNCTION("""COMPUTED_VALUE"""),45156)</f>
        <v>45156</v>
      </c>
      <c r="C221" s="8">
        <f ca="1">IFERROR(__xludf.DUMMYFUNCTION("""COMPUTED_VALUE"""),8)</f>
        <v>8</v>
      </c>
      <c r="D221" s="8">
        <f ca="1">IFERROR(__xludf.DUMMYFUNCTION("""COMPUTED_VALUE"""),2023)</f>
        <v>2023</v>
      </c>
      <c r="E221" s="8">
        <f ca="1">IFERROR(__xludf.DUMMYFUNCTION("""COMPUTED_VALUE"""),0.28)</f>
        <v>0.28000000000000003</v>
      </c>
      <c r="F221" s="8">
        <f ca="1">IFERROR(__xludf.DUMMYFUNCTION("""COMPUTED_VALUE"""),63.7)</f>
        <v>63.7</v>
      </c>
    </row>
    <row r="222" spans="1:6" x14ac:dyDescent="0.2">
      <c r="A222" s="8" t="str">
        <f ca="1">IFERROR(__xludf.DUMMYFUNCTION("""COMPUTED_VALUE"""),"PETR4")</f>
        <v>PETR4</v>
      </c>
      <c r="B222" s="16">
        <f ca="1">IFERROR(__xludf.DUMMYFUNCTION("""COMPUTED_VALUE"""),45156)</f>
        <v>45156</v>
      </c>
      <c r="C222" s="8">
        <f ca="1">IFERROR(__xludf.DUMMYFUNCTION("""COMPUTED_VALUE"""),8)</f>
        <v>8</v>
      </c>
      <c r="D222" s="8">
        <f ca="1">IFERROR(__xludf.DUMMYFUNCTION("""COMPUTED_VALUE"""),2023)</f>
        <v>2023</v>
      </c>
      <c r="E222" s="8">
        <f ca="1">IFERROR(__xludf.DUMMYFUNCTION("""COMPUTED_VALUE"""),0.67)</f>
        <v>0.67</v>
      </c>
      <c r="F222" s="8">
        <f ca="1">IFERROR(__xludf.DUMMYFUNCTION("""COMPUTED_VALUE"""),130.14)</f>
        <v>130.13999999999999</v>
      </c>
    </row>
    <row r="223" spans="1:6" x14ac:dyDescent="0.2">
      <c r="A223" s="8" t="str">
        <f ca="1">IFERROR(__xludf.DUMMYFUNCTION("""COMPUTED_VALUE"""),"KLBN4")</f>
        <v>KLBN4</v>
      </c>
      <c r="B223" s="16">
        <f ca="1">IFERROR(__xludf.DUMMYFUNCTION("""COMPUTED_VALUE"""),45153)</f>
        <v>45153</v>
      </c>
      <c r="C223" s="8">
        <f ca="1">IFERROR(__xludf.DUMMYFUNCTION("""COMPUTED_VALUE"""),8)</f>
        <v>8</v>
      </c>
      <c r="D223" s="8">
        <f ca="1">IFERROR(__xludf.DUMMYFUNCTION("""COMPUTED_VALUE"""),2023)</f>
        <v>2023</v>
      </c>
      <c r="E223" s="8">
        <f ca="1">IFERROR(__xludf.DUMMYFUNCTION("""COMPUTED_VALUE"""),0.05)</f>
        <v>0.05</v>
      </c>
      <c r="F223" s="8">
        <f ca="1">IFERROR(__xludf.DUMMYFUNCTION("""COMPUTED_VALUE"""),89.9)</f>
        <v>89.9</v>
      </c>
    </row>
    <row r="224" spans="1:6" x14ac:dyDescent="0.2">
      <c r="A224" s="8" t="str">
        <f ca="1">IFERROR(__xludf.DUMMYFUNCTION("""COMPUTED_VALUE"""),"BBDC3")</f>
        <v>BBDC3</v>
      </c>
      <c r="B224" s="16">
        <f ca="1">IFERROR(__xludf.DUMMYFUNCTION("""COMPUTED_VALUE"""),45139)</f>
        <v>45139</v>
      </c>
      <c r="C224" s="8">
        <f ca="1">IFERROR(__xludf.DUMMYFUNCTION("""COMPUTED_VALUE"""),8)</f>
        <v>8</v>
      </c>
      <c r="D224" s="8">
        <f ca="1">IFERROR(__xludf.DUMMYFUNCTION("""COMPUTED_VALUE"""),2023)</f>
        <v>2023</v>
      </c>
      <c r="E224" s="8">
        <f ca="1">IFERROR(__xludf.DUMMYFUNCTION("""COMPUTED_VALUE"""),0.02)</f>
        <v>0.02</v>
      </c>
      <c r="F224" s="8">
        <f ca="1">IFERROR(__xludf.DUMMYFUNCTION("""COMPUTED_VALUE"""),13.4)</f>
        <v>13.4</v>
      </c>
    </row>
    <row r="225" spans="1:6" x14ac:dyDescent="0.2">
      <c r="A225" s="8" t="str">
        <f ca="1">IFERROR(__xludf.DUMMYFUNCTION("""COMPUTED_VALUE"""),"VIVT3")</f>
        <v>VIVT3</v>
      </c>
      <c r="B225" s="16">
        <f ca="1">IFERROR(__xludf.DUMMYFUNCTION("""COMPUTED_VALUE"""),45125)</f>
        <v>45125</v>
      </c>
      <c r="C225" s="8">
        <f ca="1">IFERROR(__xludf.DUMMYFUNCTION("""COMPUTED_VALUE"""),7)</f>
        <v>7</v>
      </c>
      <c r="D225" s="8">
        <f ca="1">IFERROR(__xludf.DUMMYFUNCTION("""COMPUTED_VALUE"""),2023)</f>
        <v>2023</v>
      </c>
      <c r="E225" s="8">
        <f ca="1">IFERROR(__xludf.DUMMYFUNCTION("""COMPUTED_VALUE"""),0.6)</f>
        <v>0.6</v>
      </c>
      <c r="F225" s="8">
        <f ca="1">IFERROR(__xludf.DUMMYFUNCTION("""COMPUTED_VALUE"""),132.84)</f>
        <v>132.84</v>
      </c>
    </row>
    <row r="226" spans="1:6" x14ac:dyDescent="0.2">
      <c r="A226" s="8" t="str">
        <f ca="1">IFERROR(__xludf.DUMMYFUNCTION("""COMPUTED_VALUE"""),"VIVT3")</f>
        <v>VIVT3</v>
      </c>
      <c r="B226" s="16">
        <f ca="1">IFERROR(__xludf.DUMMYFUNCTION("""COMPUTED_VALUE"""),45125)</f>
        <v>45125</v>
      </c>
      <c r="C226" s="8">
        <f ca="1">IFERROR(__xludf.DUMMYFUNCTION("""COMPUTED_VALUE"""),7)</f>
        <v>7</v>
      </c>
      <c r="D226" s="8">
        <f ca="1">IFERROR(__xludf.DUMMYFUNCTION("""COMPUTED_VALUE"""),2023)</f>
        <v>2023</v>
      </c>
      <c r="E226" s="8">
        <f ca="1">IFERROR(__xludf.DUMMYFUNCTION("""COMPUTED_VALUE"""),0.5)</f>
        <v>0.5</v>
      </c>
      <c r="F226" s="8">
        <f ca="1">IFERROR(__xludf.DUMMYFUNCTION("""COMPUTED_VALUE"""),115.42)</f>
        <v>115.42</v>
      </c>
    </row>
    <row r="227" spans="1:6" x14ac:dyDescent="0.2">
      <c r="A227" s="8" t="str">
        <f ca="1">IFERROR(__xludf.DUMMYFUNCTION("""COMPUTED_VALUE"""),"BBDC3")</f>
        <v>BBDC3</v>
      </c>
      <c r="B227" s="16">
        <f ca="1">IFERROR(__xludf.DUMMYFUNCTION("""COMPUTED_VALUE"""),45113)</f>
        <v>45113</v>
      </c>
      <c r="C227" s="8">
        <f ca="1">IFERROR(__xludf.DUMMYFUNCTION("""COMPUTED_VALUE"""),7)</f>
        <v>7</v>
      </c>
      <c r="D227" s="8">
        <f ca="1">IFERROR(__xludf.DUMMYFUNCTION("""COMPUTED_VALUE"""),2023)</f>
        <v>2023</v>
      </c>
      <c r="E227" s="8">
        <f ca="1">IFERROR(__xludf.DUMMYFUNCTION("""COMPUTED_VALUE"""),0.18)</f>
        <v>0.18</v>
      </c>
      <c r="F227" s="8">
        <f ca="1">IFERROR(__xludf.DUMMYFUNCTION("""COMPUTED_VALUE"""),139.06)</f>
        <v>139.06</v>
      </c>
    </row>
    <row r="228" spans="1:6" x14ac:dyDescent="0.2">
      <c r="A228" s="8" t="str">
        <f ca="1">IFERROR(__xludf.DUMMYFUNCTION("""COMPUTED_VALUE"""),"BBDC3")</f>
        <v>BBDC3</v>
      </c>
      <c r="B228" s="16">
        <f ca="1">IFERROR(__xludf.DUMMYFUNCTION("""COMPUTED_VALUE"""),45110)</f>
        <v>45110</v>
      </c>
      <c r="C228" s="8">
        <f ca="1">IFERROR(__xludf.DUMMYFUNCTION("""COMPUTED_VALUE"""),7)</f>
        <v>7</v>
      </c>
      <c r="D228" s="8">
        <f ca="1">IFERROR(__xludf.DUMMYFUNCTION("""COMPUTED_VALUE"""),2023)</f>
        <v>2023</v>
      </c>
      <c r="E228" s="8">
        <f ca="1">IFERROR(__xludf.DUMMYFUNCTION("""COMPUTED_VALUE"""),0.02)</f>
        <v>0.02</v>
      </c>
      <c r="F228" s="8">
        <f ca="1">IFERROR(__xludf.DUMMYFUNCTION("""COMPUTED_VALUE"""),13.4)</f>
        <v>13.4</v>
      </c>
    </row>
    <row r="229" spans="1:6" x14ac:dyDescent="0.2">
      <c r="A229" s="8" t="str">
        <f ca="1">IFERROR(__xludf.DUMMYFUNCTION("""COMPUTED_VALUE"""),"BBAS3")</f>
        <v>BBAS3</v>
      </c>
      <c r="B229" s="16">
        <f ca="1">IFERROR(__xludf.DUMMYFUNCTION("""COMPUTED_VALUE"""),45107)</f>
        <v>45107</v>
      </c>
      <c r="C229" s="8">
        <f ca="1">IFERROR(__xludf.DUMMYFUNCTION("""COMPUTED_VALUE"""),6)</f>
        <v>6</v>
      </c>
      <c r="D229" s="8">
        <f ca="1">IFERROR(__xludf.DUMMYFUNCTION("""COMPUTED_VALUE"""),2023)</f>
        <v>2023</v>
      </c>
      <c r="E229" s="8">
        <f ca="1">IFERROR(__xludf.DUMMYFUNCTION("""COMPUTED_VALUE"""),0.34)</f>
        <v>0.34</v>
      </c>
      <c r="F229" s="8">
        <f ca="1">IFERROR(__xludf.DUMMYFUNCTION("""COMPUTED_VALUE"""),219.33)</f>
        <v>219.33</v>
      </c>
    </row>
    <row r="230" spans="1:6" x14ac:dyDescent="0.2">
      <c r="A230" s="8" t="str">
        <f ca="1">IFERROR(__xludf.DUMMYFUNCTION("""COMPUTED_VALUE"""),"CPLE6")</f>
        <v>CPLE6</v>
      </c>
      <c r="B230" s="16">
        <f ca="1">IFERROR(__xludf.DUMMYFUNCTION("""COMPUTED_VALUE"""),45107)</f>
        <v>45107</v>
      </c>
      <c r="C230" s="8">
        <f ca="1">IFERROR(__xludf.DUMMYFUNCTION("""COMPUTED_VALUE"""),6)</f>
        <v>6</v>
      </c>
      <c r="D230" s="8">
        <f ca="1">IFERROR(__xludf.DUMMYFUNCTION("""COMPUTED_VALUE"""),2023)</f>
        <v>2023</v>
      </c>
      <c r="E230" s="8">
        <f ca="1">IFERROR(__xludf.DUMMYFUNCTION("""COMPUTED_VALUE"""),0.14)</f>
        <v>0.14000000000000001</v>
      </c>
      <c r="F230" s="8">
        <f ca="1">IFERROR(__xludf.DUMMYFUNCTION("""COMPUTED_VALUE"""),66.93)</f>
        <v>66.930000000000007</v>
      </c>
    </row>
    <row r="231" spans="1:6" x14ac:dyDescent="0.2">
      <c r="A231" s="8" t="str">
        <f ca="1">IFERROR(__xludf.DUMMYFUNCTION("""COMPUTED_VALUE"""),"BRSR6")</f>
        <v>BRSR6</v>
      </c>
      <c r="B231" s="16">
        <f ca="1">IFERROR(__xludf.DUMMYFUNCTION("""COMPUTED_VALUE"""),45106)</f>
        <v>45106</v>
      </c>
      <c r="C231" s="8">
        <f ca="1">IFERROR(__xludf.DUMMYFUNCTION("""COMPUTED_VALUE"""),6)</f>
        <v>6</v>
      </c>
      <c r="D231" s="8">
        <f ca="1">IFERROR(__xludf.DUMMYFUNCTION("""COMPUTED_VALUE"""),2023)</f>
        <v>2023</v>
      </c>
      <c r="E231" s="8">
        <f ca="1">IFERROR(__xludf.DUMMYFUNCTION("""COMPUTED_VALUE"""),0.34)</f>
        <v>0.34</v>
      </c>
      <c r="F231" s="8">
        <f ca="1">IFERROR(__xludf.DUMMYFUNCTION("""COMPUTED_VALUE"""),266.17)</f>
        <v>266.17</v>
      </c>
    </row>
    <row r="232" spans="1:6" x14ac:dyDescent="0.2">
      <c r="A232" s="8" t="str">
        <f ca="1">IFERROR(__xludf.DUMMYFUNCTION("""COMPUTED_VALUE"""),"SAPR4")</f>
        <v>SAPR4</v>
      </c>
      <c r="B232" s="16">
        <f ca="1">IFERROR(__xludf.DUMMYFUNCTION("""COMPUTED_VALUE"""),45104)</f>
        <v>45104</v>
      </c>
      <c r="C232" s="8">
        <f ca="1">IFERROR(__xludf.DUMMYFUNCTION("""COMPUTED_VALUE"""),6)</f>
        <v>6</v>
      </c>
      <c r="D232" s="8">
        <f ca="1">IFERROR(__xludf.DUMMYFUNCTION("""COMPUTED_VALUE"""),2023)</f>
        <v>2023</v>
      </c>
      <c r="E232" s="8">
        <f ca="1">IFERROR(__xludf.DUMMYFUNCTION("""COMPUTED_VALUE"""),0.19)</f>
        <v>0.19</v>
      </c>
      <c r="F232" s="8">
        <f ca="1">IFERROR(__xludf.DUMMYFUNCTION("""COMPUTED_VALUE"""),378.54)</f>
        <v>378.54</v>
      </c>
    </row>
    <row r="233" spans="1:6" x14ac:dyDescent="0.2">
      <c r="A233" s="8" t="str">
        <f ca="1">IFERROR(__xludf.DUMMYFUNCTION("""COMPUTED_VALUE"""),"SAPR4")</f>
        <v>SAPR4</v>
      </c>
      <c r="B233" s="16">
        <f ca="1">IFERROR(__xludf.DUMMYFUNCTION("""COMPUTED_VALUE"""),45104)</f>
        <v>45104</v>
      </c>
      <c r="C233" s="8">
        <f ca="1">IFERROR(__xludf.DUMMYFUNCTION("""COMPUTED_VALUE"""),6)</f>
        <v>6</v>
      </c>
      <c r="D233" s="8">
        <f ca="1">IFERROR(__xludf.DUMMYFUNCTION("""COMPUTED_VALUE"""),2023)</f>
        <v>2023</v>
      </c>
      <c r="E233" s="8">
        <f ca="1">IFERROR(__xludf.DUMMYFUNCTION("""COMPUTED_VALUE"""),0.11)</f>
        <v>0.11</v>
      </c>
      <c r="F233" s="8">
        <f ca="1">IFERROR(__xludf.DUMMYFUNCTION("""COMPUTED_VALUE"""),134.7)</f>
        <v>134.69999999999999</v>
      </c>
    </row>
    <row r="234" spans="1:6" x14ac:dyDescent="0.2">
      <c r="A234" s="8" t="str">
        <f ca="1">IFERROR(__xludf.DUMMYFUNCTION("""COMPUTED_VALUE"""),"PETR4")</f>
        <v>PETR4</v>
      </c>
      <c r="B234" s="16">
        <f ca="1">IFERROR(__xludf.DUMMYFUNCTION("""COMPUTED_VALUE"""),45093)</f>
        <v>45093</v>
      </c>
      <c r="C234" s="8">
        <f ca="1">IFERROR(__xludf.DUMMYFUNCTION("""COMPUTED_VALUE"""),6)</f>
        <v>6</v>
      </c>
      <c r="D234" s="8">
        <f ca="1">IFERROR(__xludf.DUMMYFUNCTION("""COMPUTED_VALUE"""),2023)</f>
        <v>2023</v>
      </c>
      <c r="E234" s="8">
        <f ca="1">IFERROR(__xludf.DUMMYFUNCTION("""COMPUTED_VALUE"""),0)</f>
        <v>0</v>
      </c>
      <c r="F234" s="8">
        <f ca="1">IFERROR(__xludf.DUMMYFUNCTION("""COMPUTED_VALUE"""),9.25)</f>
        <v>9.25</v>
      </c>
    </row>
    <row r="235" spans="1:6" x14ac:dyDescent="0.2">
      <c r="A235" s="8" t="str">
        <f ca="1">IFERROR(__xludf.DUMMYFUNCTION("""COMPUTED_VALUE"""),"PETR4")</f>
        <v>PETR4</v>
      </c>
      <c r="B235" s="16">
        <f ca="1">IFERROR(__xludf.DUMMYFUNCTION("""COMPUTED_VALUE"""),45093)</f>
        <v>45093</v>
      </c>
      <c r="C235" s="8">
        <f ca="1">IFERROR(__xludf.DUMMYFUNCTION("""COMPUTED_VALUE"""),6)</f>
        <v>6</v>
      </c>
      <c r="D235" s="8">
        <f ca="1">IFERROR(__xludf.DUMMYFUNCTION("""COMPUTED_VALUE"""),2023)</f>
        <v>2023</v>
      </c>
      <c r="E235" s="8">
        <f ca="1">IFERROR(__xludf.DUMMYFUNCTION("""COMPUTED_VALUE"""),0.88)</f>
        <v>0.88</v>
      </c>
      <c r="F235" s="8">
        <f ca="1">IFERROR(__xludf.DUMMYFUNCTION("""COMPUTED_VALUE"""),200.32)</f>
        <v>200.32</v>
      </c>
    </row>
    <row r="236" spans="1:6" x14ac:dyDescent="0.2">
      <c r="A236" s="8" t="str">
        <f ca="1">IFERROR(__xludf.DUMMYFUNCTION("""COMPUTED_VALUE"""),"WIZC3")</f>
        <v>WIZC3</v>
      </c>
      <c r="B236" s="16">
        <f ca="1">IFERROR(__xludf.DUMMYFUNCTION("""COMPUTED_VALUE"""),45092)</f>
        <v>45092</v>
      </c>
      <c r="C236" s="8">
        <f ca="1">IFERROR(__xludf.DUMMYFUNCTION("""COMPUTED_VALUE"""),6)</f>
        <v>6</v>
      </c>
      <c r="D236" s="8">
        <f ca="1">IFERROR(__xludf.DUMMYFUNCTION("""COMPUTED_VALUE"""),2023)</f>
        <v>2023</v>
      </c>
      <c r="E236" s="8">
        <f ca="1">IFERROR(__xludf.DUMMYFUNCTION("""COMPUTED_VALUE"""),0.04)</f>
        <v>0.04</v>
      </c>
      <c r="F236" s="8">
        <f ca="1">IFERROR(__xludf.DUMMYFUNCTION("""COMPUTED_VALUE"""),20.33)</f>
        <v>20.329999999999998</v>
      </c>
    </row>
    <row r="237" spans="1:6" x14ac:dyDescent="0.2">
      <c r="A237" s="8" t="str">
        <f ca="1">IFERROR(__xludf.DUMMYFUNCTION("""COMPUTED_VALUE"""),"WIZC3")</f>
        <v>WIZC3</v>
      </c>
      <c r="B237" s="16">
        <f ca="1">IFERROR(__xludf.DUMMYFUNCTION("""COMPUTED_VALUE"""),45092)</f>
        <v>45092</v>
      </c>
      <c r="C237" s="8">
        <f ca="1">IFERROR(__xludf.DUMMYFUNCTION("""COMPUTED_VALUE"""),6)</f>
        <v>6</v>
      </c>
      <c r="D237" s="8">
        <f ca="1">IFERROR(__xludf.DUMMYFUNCTION("""COMPUTED_VALUE"""),2023)</f>
        <v>2023</v>
      </c>
      <c r="E237" s="8">
        <f ca="1">IFERROR(__xludf.DUMMYFUNCTION("""COMPUTED_VALUE"""),0.02)</f>
        <v>0.02</v>
      </c>
      <c r="F237" s="8">
        <f ca="1">IFERROR(__xludf.DUMMYFUNCTION("""COMPUTED_VALUE"""),9.73)</f>
        <v>9.73</v>
      </c>
    </row>
    <row r="238" spans="1:6" x14ac:dyDescent="0.2">
      <c r="A238" s="8" t="str">
        <f ca="1">IFERROR(__xludf.DUMMYFUNCTION("""COMPUTED_VALUE"""),"BBAS3")</f>
        <v>BBAS3</v>
      </c>
      <c r="B238" s="16">
        <f ca="1">IFERROR(__xludf.DUMMYFUNCTION("""COMPUTED_VALUE"""),45089)</f>
        <v>45089</v>
      </c>
      <c r="C238" s="8">
        <f ca="1">IFERROR(__xludf.DUMMYFUNCTION("""COMPUTED_VALUE"""),6)</f>
        <v>6</v>
      </c>
      <c r="D238" s="8">
        <f ca="1">IFERROR(__xludf.DUMMYFUNCTION("""COMPUTED_VALUE"""),2023)</f>
        <v>2023</v>
      </c>
      <c r="E238" s="8">
        <f ca="1">IFERROR(__xludf.DUMMYFUNCTION("""COMPUTED_VALUE"""),0.65)</f>
        <v>0.65</v>
      </c>
      <c r="F238" s="8">
        <f ca="1">IFERROR(__xludf.DUMMYFUNCTION("""COMPUTED_VALUE"""),423.86)</f>
        <v>423.86</v>
      </c>
    </row>
    <row r="239" spans="1:6" x14ac:dyDescent="0.2">
      <c r="A239" s="8" t="str">
        <f ca="1">IFERROR(__xludf.DUMMYFUNCTION("""COMPUTED_VALUE"""),"BBAS3")</f>
        <v>BBAS3</v>
      </c>
      <c r="B239" s="16">
        <f ca="1">IFERROR(__xludf.DUMMYFUNCTION("""COMPUTED_VALUE"""),45089)</f>
        <v>45089</v>
      </c>
      <c r="C239" s="8">
        <f ca="1">IFERROR(__xludf.DUMMYFUNCTION("""COMPUTED_VALUE"""),6)</f>
        <v>6</v>
      </c>
      <c r="D239" s="8">
        <f ca="1">IFERROR(__xludf.DUMMYFUNCTION("""COMPUTED_VALUE"""),2023)</f>
        <v>2023</v>
      </c>
      <c r="E239" s="8">
        <f ca="1">IFERROR(__xludf.DUMMYFUNCTION("""COMPUTED_VALUE"""),0.12)</f>
        <v>0.12</v>
      </c>
      <c r="F239" s="8">
        <f ca="1">IFERROR(__xludf.DUMMYFUNCTION("""COMPUTED_VALUE"""),93.73)</f>
        <v>93.73</v>
      </c>
    </row>
    <row r="240" spans="1:6" x14ac:dyDescent="0.2">
      <c r="A240" s="8" t="str">
        <f ca="1">IFERROR(__xludf.DUMMYFUNCTION("""COMPUTED_VALUE"""),"BBDC3")</f>
        <v>BBDC3</v>
      </c>
      <c r="B240" s="16">
        <f ca="1">IFERROR(__xludf.DUMMYFUNCTION("""COMPUTED_VALUE"""),45078)</f>
        <v>45078</v>
      </c>
      <c r="C240" s="8">
        <f ca="1">IFERROR(__xludf.DUMMYFUNCTION("""COMPUTED_VALUE"""),6)</f>
        <v>6</v>
      </c>
      <c r="D240" s="8">
        <f ca="1">IFERROR(__xludf.DUMMYFUNCTION("""COMPUTED_VALUE"""),2023)</f>
        <v>2023</v>
      </c>
      <c r="E240" s="8">
        <f ca="1">IFERROR(__xludf.DUMMYFUNCTION("""COMPUTED_VALUE"""),0.02)</f>
        <v>0.02</v>
      </c>
      <c r="F240" s="8">
        <f ca="1">IFERROR(__xludf.DUMMYFUNCTION("""COMPUTED_VALUE"""),12.12)</f>
        <v>12.12</v>
      </c>
    </row>
    <row r="241" spans="1:6" x14ac:dyDescent="0.2">
      <c r="A241" s="8" t="str">
        <f ca="1">IFERROR(__xludf.DUMMYFUNCTION("""COMPUTED_VALUE"""),"BRSR6")</f>
        <v>BRSR6</v>
      </c>
      <c r="B241" s="16">
        <f ca="1">IFERROR(__xludf.DUMMYFUNCTION("""COMPUTED_VALUE"""),45065)</f>
        <v>45065</v>
      </c>
      <c r="C241" s="8">
        <f ca="1">IFERROR(__xludf.DUMMYFUNCTION("""COMPUTED_VALUE"""),5)</f>
        <v>5</v>
      </c>
      <c r="D241" s="8">
        <f ca="1">IFERROR(__xludf.DUMMYFUNCTION("""COMPUTED_VALUE"""),2023)</f>
        <v>2023</v>
      </c>
      <c r="E241" s="8">
        <f ca="1">IFERROR(__xludf.DUMMYFUNCTION("""COMPUTED_VALUE"""),0.04)</f>
        <v>0.04</v>
      </c>
      <c r="F241" s="8">
        <f ca="1">IFERROR(__xludf.DUMMYFUNCTION("""COMPUTED_VALUE"""),33.14)</f>
        <v>33.14</v>
      </c>
    </row>
    <row r="242" spans="1:6" x14ac:dyDescent="0.2">
      <c r="A242" s="8" t="str">
        <f ca="1">IFERROR(__xludf.DUMMYFUNCTION("""COMPUTED_VALUE"""),"PETR4")</f>
        <v>PETR4</v>
      </c>
      <c r="B242" s="16">
        <f ca="1">IFERROR(__xludf.DUMMYFUNCTION("""COMPUTED_VALUE"""),45065)</f>
        <v>45065</v>
      </c>
      <c r="C242" s="8">
        <f ca="1">IFERROR(__xludf.DUMMYFUNCTION("""COMPUTED_VALUE"""),5)</f>
        <v>5</v>
      </c>
      <c r="D242" s="8">
        <f ca="1">IFERROR(__xludf.DUMMYFUNCTION("""COMPUTED_VALUE"""),2023)</f>
        <v>2023</v>
      </c>
      <c r="E242" s="8">
        <f ca="1">IFERROR(__xludf.DUMMYFUNCTION("""COMPUTED_VALUE"""),1.37)</f>
        <v>1.37</v>
      </c>
      <c r="F242" s="8">
        <f ca="1">IFERROR(__xludf.DUMMYFUNCTION("""COMPUTED_VALUE"""),314.38)</f>
        <v>314.38</v>
      </c>
    </row>
    <row r="243" spans="1:6" x14ac:dyDescent="0.2">
      <c r="A243" s="8" t="str">
        <f ca="1">IFERROR(__xludf.DUMMYFUNCTION("""COMPUTED_VALUE"""),"PETR4")</f>
        <v>PETR4</v>
      </c>
      <c r="B243" s="16">
        <f ca="1">IFERROR(__xludf.DUMMYFUNCTION("""COMPUTED_VALUE"""),45065)</f>
        <v>45065</v>
      </c>
      <c r="C243" s="8">
        <f ca="1">IFERROR(__xludf.DUMMYFUNCTION("""COMPUTED_VALUE"""),5)</f>
        <v>5</v>
      </c>
      <c r="D243" s="8">
        <f ca="1">IFERROR(__xludf.DUMMYFUNCTION("""COMPUTED_VALUE"""),2023)</f>
        <v>2023</v>
      </c>
      <c r="E243" s="8">
        <f ca="1">IFERROR(__xludf.DUMMYFUNCTION("""COMPUTED_VALUE"""),0)</f>
        <v>0</v>
      </c>
      <c r="F243" s="8">
        <f ca="1">IFERROR(__xludf.DUMMYFUNCTION("""COMPUTED_VALUE"""),12.04)</f>
        <v>12.04</v>
      </c>
    </row>
    <row r="244" spans="1:6" x14ac:dyDescent="0.2">
      <c r="A244" s="8" t="str">
        <f ca="1">IFERROR(__xludf.DUMMYFUNCTION("""COMPUTED_VALUE"""),"KLBN4")</f>
        <v>KLBN4</v>
      </c>
      <c r="B244" s="16">
        <f ca="1">IFERROR(__xludf.DUMMYFUNCTION("""COMPUTED_VALUE"""),45062)</f>
        <v>45062</v>
      </c>
      <c r="C244" s="8">
        <f ca="1">IFERROR(__xludf.DUMMYFUNCTION("""COMPUTED_VALUE"""),5)</f>
        <v>5</v>
      </c>
      <c r="D244" s="8">
        <f ca="1">IFERROR(__xludf.DUMMYFUNCTION("""COMPUTED_VALUE"""),2023)</f>
        <v>2023</v>
      </c>
      <c r="E244" s="8">
        <f ca="1">IFERROR(__xludf.DUMMYFUNCTION("""COMPUTED_VALUE"""),0.07)</f>
        <v>7.0000000000000007E-2</v>
      </c>
      <c r="F244" s="8">
        <f ca="1">IFERROR(__xludf.DUMMYFUNCTION("""COMPUTED_VALUE"""),129.93)</f>
        <v>129.93</v>
      </c>
    </row>
    <row r="245" spans="1:6" x14ac:dyDescent="0.2">
      <c r="A245" s="8" t="str">
        <f ca="1">IFERROR(__xludf.DUMMYFUNCTION("""COMPUTED_VALUE"""),"BBDC3")</f>
        <v>BBDC3</v>
      </c>
      <c r="B245" s="16">
        <f ca="1">IFERROR(__xludf.DUMMYFUNCTION("""COMPUTED_VALUE"""),45048)</f>
        <v>45048</v>
      </c>
      <c r="C245" s="8">
        <f ca="1">IFERROR(__xludf.DUMMYFUNCTION("""COMPUTED_VALUE"""),5)</f>
        <v>5</v>
      </c>
      <c r="D245" s="8">
        <f ca="1">IFERROR(__xludf.DUMMYFUNCTION("""COMPUTED_VALUE"""),2023)</f>
        <v>2023</v>
      </c>
      <c r="E245" s="8">
        <f ca="1">IFERROR(__xludf.DUMMYFUNCTION("""COMPUTED_VALUE"""),0.02)</f>
        <v>0.02</v>
      </c>
      <c r="F245" s="8">
        <f ca="1">IFERROR(__xludf.DUMMYFUNCTION("""COMPUTED_VALUE"""),10.66)</f>
        <v>10.66</v>
      </c>
    </row>
    <row r="246" spans="1:6" x14ac:dyDescent="0.2">
      <c r="A246" s="8" t="str">
        <f ca="1">IFERROR(__xludf.DUMMYFUNCTION("""COMPUTED_VALUE"""),"VIVT3")</f>
        <v>VIVT3</v>
      </c>
      <c r="B246" s="16">
        <f ca="1">IFERROR(__xludf.DUMMYFUNCTION("""COMPUTED_VALUE"""),45034)</f>
        <v>45034</v>
      </c>
      <c r="C246" s="8">
        <f ca="1">IFERROR(__xludf.DUMMYFUNCTION("""COMPUTED_VALUE"""),4)</f>
        <v>4</v>
      </c>
      <c r="D246" s="8">
        <f ca="1">IFERROR(__xludf.DUMMYFUNCTION("""COMPUTED_VALUE"""),2023)</f>
        <v>2023</v>
      </c>
      <c r="E246" s="8">
        <f ca="1">IFERROR(__xludf.DUMMYFUNCTION("""COMPUTED_VALUE"""),0.11)</f>
        <v>0.11</v>
      </c>
      <c r="F246" s="8">
        <f ca="1">IFERROR(__xludf.DUMMYFUNCTION("""COMPUTED_VALUE"""),12.5)</f>
        <v>12.5</v>
      </c>
    </row>
    <row r="247" spans="1:6" x14ac:dyDescent="0.2">
      <c r="A247" s="8" t="str">
        <f ca="1">IFERROR(__xludf.DUMMYFUNCTION("""COMPUTED_VALUE"""),"VIVT3")</f>
        <v>VIVT3</v>
      </c>
      <c r="B247" s="16">
        <f ca="1">IFERROR(__xludf.DUMMYFUNCTION("""COMPUTED_VALUE"""),45034)</f>
        <v>45034</v>
      </c>
      <c r="C247" s="8">
        <f ca="1">IFERROR(__xludf.DUMMYFUNCTION("""COMPUTED_VALUE"""),4)</f>
        <v>4</v>
      </c>
      <c r="D247" s="8">
        <f ca="1">IFERROR(__xludf.DUMMYFUNCTION("""COMPUTED_VALUE"""),2023)</f>
        <v>2023</v>
      </c>
      <c r="E247" s="8">
        <f ca="1">IFERROR(__xludf.DUMMYFUNCTION("""COMPUTED_VALUE"""),0.15)</f>
        <v>0.15</v>
      </c>
      <c r="F247" s="8">
        <f ca="1">IFERROR(__xludf.DUMMYFUNCTION("""COMPUTED_VALUE"""),17.38)</f>
        <v>17.38</v>
      </c>
    </row>
    <row r="248" spans="1:6" x14ac:dyDescent="0.2">
      <c r="A248" s="8" t="str">
        <f ca="1">IFERROR(__xludf.DUMMYFUNCTION("""COMPUTED_VALUE"""),"VIVT3")</f>
        <v>VIVT3</v>
      </c>
      <c r="B248" s="16">
        <f ca="1">IFERROR(__xludf.DUMMYFUNCTION("""COMPUTED_VALUE"""),45034)</f>
        <v>45034</v>
      </c>
      <c r="C248" s="8">
        <f ca="1">IFERROR(__xludf.DUMMYFUNCTION("""COMPUTED_VALUE"""),4)</f>
        <v>4</v>
      </c>
      <c r="D248" s="8">
        <f ca="1">IFERROR(__xludf.DUMMYFUNCTION("""COMPUTED_VALUE"""),2023)</f>
        <v>2023</v>
      </c>
      <c r="E248" s="8">
        <f ca="1">IFERROR(__xludf.DUMMYFUNCTION("""COMPUTED_VALUE"""),0.43)</f>
        <v>0.43</v>
      </c>
      <c r="F248" s="8">
        <f ca="1">IFERROR(__xludf.DUMMYFUNCTION("""COMPUTED_VALUE"""),80.73)</f>
        <v>80.73</v>
      </c>
    </row>
    <row r="249" spans="1:6" x14ac:dyDescent="0.2">
      <c r="A249" s="8" t="str">
        <f ca="1">IFERROR(__xludf.DUMMYFUNCTION("""COMPUTED_VALUE"""),"VIVT3")</f>
        <v>VIVT3</v>
      </c>
      <c r="B249" s="16">
        <f ca="1">IFERROR(__xludf.DUMMYFUNCTION("""COMPUTED_VALUE"""),45034)</f>
        <v>45034</v>
      </c>
      <c r="C249" s="8">
        <f ca="1">IFERROR(__xludf.DUMMYFUNCTION("""COMPUTED_VALUE"""),4)</f>
        <v>4</v>
      </c>
      <c r="D249" s="8">
        <f ca="1">IFERROR(__xludf.DUMMYFUNCTION("""COMPUTED_VALUE"""),2023)</f>
        <v>2023</v>
      </c>
      <c r="E249" s="8">
        <f ca="1">IFERROR(__xludf.DUMMYFUNCTION("""COMPUTED_VALUE"""),0.29)</f>
        <v>0.28999999999999998</v>
      </c>
      <c r="F249" s="8">
        <f ca="1">IFERROR(__xludf.DUMMYFUNCTION("""COMPUTED_VALUE"""),33.46)</f>
        <v>33.46</v>
      </c>
    </row>
    <row r="250" spans="1:6" x14ac:dyDescent="0.2">
      <c r="A250" s="8" t="str">
        <f ca="1">IFERROR(__xludf.DUMMYFUNCTION("""COMPUTED_VALUE"""),"VIVT3")</f>
        <v>VIVT3</v>
      </c>
      <c r="B250" s="16">
        <f ca="1">IFERROR(__xludf.DUMMYFUNCTION("""COMPUTED_VALUE"""),45034)</f>
        <v>45034</v>
      </c>
      <c r="C250" s="8">
        <f ca="1">IFERROR(__xludf.DUMMYFUNCTION("""COMPUTED_VALUE"""),4)</f>
        <v>4</v>
      </c>
      <c r="D250" s="8">
        <f ca="1">IFERROR(__xludf.DUMMYFUNCTION("""COMPUTED_VALUE"""),2023)</f>
        <v>2023</v>
      </c>
      <c r="E250" s="8">
        <f ca="1">IFERROR(__xludf.DUMMYFUNCTION("""COMPUTED_VALUE"""),0.18)</f>
        <v>0.18</v>
      </c>
      <c r="F250" s="8">
        <f ca="1">IFERROR(__xludf.DUMMYFUNCTION("""COMPUTED_VALUE"""),23.99)</f>
        <v>23.99</v>
      </c>
    </row>
    <row r="251" spans="1:6" x14ac:dyDescent="0.2">
      <c r="A251" s="8" t="str">
        <f ca="1">IFERROR(__xludf.DUMMYFUNCTION("""COMPUTED_VALUE"""),"VIVT3")</f>
        <v>VIVT3</v>
      </c>
      <c r="B251" s="16">
        <f ca="1">IFERROR(__xludf.DUMMYFUNCTION("""COMPUTED_VALUE"""),45034)</f>
        <v>45034</v>
      </c>
      <c r="C251" s="8">
        <f ca="1">IFERROR(__xludf.DUMMYFUNCTION("""COMPUTED_VALUE"""),4)</f>
        <v>4</v>
      </c>
      <c r="D251" s="8">
        <f ca="1">IFERROR(__xludf.DUMMYFUNCTION("""COMPUTED_VALUE"""),2023)</f>
        <v>2023</v>
      </c>
      <c r="E251" s="8">
        <f ca="1">IFERROR(__xludf.DUMMYFUNCTION("""COMPUTED_VALUE"""),0.09)</f>
        <v>0.09</v>
      </c>
      <c r="F251" s="8">
        <f ca="1">IFERROR(__xludf.DUMMYFUNCTION("""COMPUTED_VALUE"""),10.43)</f>
        <v>10.43</v>
      </c>
    </row>
    <row r="252" spans="1:6" x14ac:dyDescent="0.2">
      <c r="A252" s="8" t="str">
        <f ca="1">IFERROR(__xludf.DUMMYFUNCTION("""COMPUTED_VALUE"""),"TRPL4")</f>
        <v>TRPL4</v>
      </c>
      <c r="B252" s="16">
        <f ca="1">IFERROR(__xludf.DUMMYFUNCTION("""COMPUTED_VALUE"""),45027)</f>
        <v>45027</v>
      </c>
      <c r="C252" s="8">
        <f ca="1">IFERROR(__xludf.DUMMYFUNCTION("""COMPUTED_VALUE"""),4)</f>
        <v>4</v>
      </c>
      <c r="D252" s="8">
        <f ca="1">IFERROR(__xludf.DUMMYFUNCTION("""COMPUTED_VALUE"""),2023)</f>
        <v>2023</v>
      </c>
      <c r="E252" s="8">
        <f ca="1">IFERROR(__xludf.DUMMYFUNCTION("""COMPUTED_VALUE"""),1.06)</f>
        <v>1.06</v>
      </c>
      <c r="F252" s="8">
        <f ca="1">IFERROR(__xludf.DUMMYFUNCTION("""COMPUTED_VALUE"""),529.18)</f>
        <v>529.17999999999995</v>
      </c>
    </row>
    <row r="253" spans="1:6" x14ac:dyDescent="0.2">
      <c r="A253" s="8" t="str">
        <f ca="1">IFERROR(__xludf.DUMMYFUNCTION("""COMPUTED_VALUE"""),"BBDC3")</f>
        <v>BBDC3</v>
      </c>
      <c r="B253" s="16">
        <f ca="1">IFERROR(__xludf.DUMMYFUNCTION("""COMPUTED_VALUE"""),45019)</f>
        <v>45019</v>
      </c>
      <c r="C253" s="8">
        <f ca="1">IFERROR(__xludf.DUMMYFUNCTION("""COMPUTED_VALUE"""),4)</f>
        <v>4</v>
      </c>
      <c r="D253" s="8">
        <f ca="1">IFERROR(__xludf.DUMMYFUNCTION("""COMPUTED_VALUE"""),2023)</f>
        <v>2023</v>
      </c>
      <c r="E253" s="8">
        <f ca="1">IFERROR(__xludf.DUMMYFUNCTION("""COMPUTED_VALUE"""),0.02)</f>
        <v>0.02</v>
      </c>
      <c r="F253" s="8">
        <f ca="1">IFERROR(__xludf.DUMMYFUNCTION("""COMPUTED_VALUE"""),10.66)</f>
        <v>10.66</v>
      </c>
    </row>
    <row r="254" spans="1:6" x14ac:dyDescent="0.2">
      <c r="A254" s="8" t="str">
        <f ca="1">IFERROR(__xludf.DUMMYFUNCTION("""COMPUTED_VALUE"""),"BBAS3")</f>
        <v>BBAS3</v>
      </c>
      <c r="B254" s="16">
        <f ca="1">IFERROR(__xludf.DUMMYFUNCTION("""COMPUTED_VALUE"""),45016)</f>
        <v>45016</v>
      </c>
      <c r="C254" s="8">
        <f ca="1">IFERROR(__xludf.DUMMYFUNCTION("""COMPUTED_VALUE"""),3)</f>
        <v>3</v>
      </c>
      <c r="D254" s="8">
        <f ca="1">IFERROR(__xludf.DUMMYFUNCTION("""COMPUTED_VALUE"""),2023)</f>
        <v>2023</v>
      </c>
      <c r="E254" s="8">
        <f ca="1">IFERROR(__xludf.DUMMYFUNCTION("""COMPUTED_VALUE"""),0.35)</f>
        <v>0.35</v>
      </c>
      <c r="F254" s="8">
        <f ca="1">IFERROR(__xludf.DUMMYFUNCTION("""COMPUTED_VALUE"""),216.64)</f>
        <v>216.64</v>
      </c>
    </row>
    <row r="255" spans="1:6" x14ac:dyDescent="0.2">
      <c r="A255" s="8" t="str">
        <f ca="1">IFERROR(__xludf.DUMMYFUNCTION("""COMPUTED_VALUE"""),"BRSR6")</f>
        <v>BRSR6</v>
      </c>
      <c r="B255" s="16">
        <f ca="1">IFERROR(__xludf.DUMMYFUNCTION("""COMPUTED_VALUE"""),45015)</f>
        <v>45015</v>
      </c>
      <c r="C255" s="8">
        <f ca="1">IFERROR(__xludf.DUMMYFUNCTION("""COMPUTED_VALUE"""),3)</f>
        <v>3</v>
      </c>
      <c r="D255" s="8">
        <f ca="1">IFERROR(__xludf.DUMMYFUNCTION("""COMPUTED_VALUE"""),2023)</f>
        <v>2023</v>
      </c>
      <c r="E255" s="8">
        <f ca="1">IFERROR(__xludf.DUMMYFUNCTION("""COMPUTED_VALUE"""),0.37)</f>
        <v>0.37</v>
      </c>
      <c r="F255" s="8">
        <f ca="1">IFERROR(__xludf.DUMMYFUNCTION("""COMPUTED_VALUE"""),284.94)</f>
        <v>284.94</v>
      </c>
    </row>
    <row r="256" spans="1:6" x14ac:dyDescent="0.2">
      <c r="A256" s="8" t="str">
        <f ca="1">IFERROR(__xludf.DUMMYFUNCTION("""COMPUTED_VALUE"""),"BBDC3")</f>
        <v>BBDC3</v>
      </c>
      <c r="B256" s="16">
        <f ca="1">IFERROR(__xludf.DUMMYFUNCTION("""COMPUTED_VALUE"""),44993)</f>
        <v>44993</v>
      </c>
      <c r="C256" s="8">
        <f ca="1">IFERROR(__xludf.DUMMYFUNCTION("""COMPUTED_VALUE"""),3)</f>
        <v>3</v>
      </c>
      <c r="D256" s="8">
        <f ca="1">IFERROR(__xludf.DUMMYFUNCTION("""COMPUTED_VALUE"""),2023)</f>
        <v>2023</v>
      </c>
      <c r="E256" s="8">
        <f ca="1">IFERROR(__xludf.DUMMYFUNCTION("""COMPUTED_VALUE"""),0.53)</f>
        <v>0.53</v>
      </c>
      <c r="F256" s="8">
        <f ca="1">IFERROR(__xludf.DUMMYFUNCTION("""COMPUTED_VALUE"""),323.23)</f>
        <v>323.23</v>
      </c>
    </row>
    <row r="257" spans="1:6" x14ac:dyDescent="0.2">
      <c r="A257" s="8" t="str">
        <f ca="1">IFERROR(__xludf.DUMMYFUNCTION("""COMPUTED_VALUE"""),"BBAS3")</f>
        <v>BBAS3</v>
      </c>
      <c r="B257" s="16">
        <f ca="1">IFERROR(__xludf.DUMMYFUNCTION("""COMPUTED_VALUE"""),44988)</f>
        <v>44988</v>
      </c>
      <c r="C257" s="8">
        <f ca="1">IFERROR(__xludf.DUMMYFUNCTION("""COMPUTED_VALUE"""),3)</f>
        <v>3</v>
      </c>
      <c r="D257" s="8">
        <f ca="1">IFERROR(__xludf.DUMMYFUNCTION("""COMPUTED_VALUE"""),2023)</f>
        <v>2023</v>
      </c>
      <c r="E257" s="8">
        <f ca="1">IFERROR(__xludf.DUMMYFUNCTION("""COMPUTED_VALUE"""),0)</f>
        <v>0</v>
      </c>
      <c r="F257" s="8">
        <f ca="1">IFERROR(__xludf.DUMMYFUNCTION("""COMPUTED_VALUE"""),7.1)</f>
        <v>7.1</v>
      </c>
    </row>
    <row r="258" spans="1:6" x14ac:dyDescent="0.2">
      <c r="A258" s="8" t="str">
        <f ca="1">IFERROR(__xludf.DUMMYFUNCTION("""COMPUTED_VALUE"""),"BBAS3")</f>
        <v>BBAS3</v>
      </c>
      <c r="B258" s="16">
        <f ca="1">IFERROR(__xludf.DUMMYFUNCTION("""COMPUTED_VALUE"""),44988)</f>
        <v>44988</v>
      </c>
      <c r="C258" s="8">
        <f ca="1">IFERROR(__xludf.DUMMYFUNCTION("""COMPUTED_VALUE"""),3)</f>
        <v>3</v>
      </c>
      <c r="D258" s="8">
        <f ca="1">IFERROR(__xludf.DUMMYFUNCTION("""COMPUTED_VALUE"""),2023)</f>
        <v>2023</v>
      </c>
      <c r="E258" s="8">
        <f ca="1">IFERROR(__xludf.DUMMYFUNCTION("""COMPUTED_VALUE"""),0.24)</f>
        <v>0.24</v>
      </c>
      <c r="F258" s="8">
        <f ca="1">IFERROR(__xludf.DUMMYFUNCTION("""COMPUTED_VALUE"""),170.49)</f>
        <v>170.49</v>
      </c>
    </row>
    <row r="259" spans="1:6" x14ac:dyDescent="0.2">
      <c r="A259" s="8" t="str">
        <f ca="1">IFERROR(__xludf.DUMMYFUNCTION("""COMPUTED_VALUE"""),"BBAS3")</f>
        <v>BBAS3</v>
      </c>
      <c r="B259" s="16">
        <f ca="1">IFERROR(__xludf.DUMMYFUNCTION("""COMPUTED_VALUE"""),44988)</f>
        <v>44988</v>
      </c>
      <c r="C259" s="8">
        <f ca="1">IFERROR(__xludf.DUMMYFUNCTION("""COMPUTED_VALUE"""),3)</f>
        <v>3</v>
      </c>
      <c r="D259" s="8">
        <f ca="1">IFERROR(__xludf.DUMMYFUNCTION("""COMPUTED_VALUE"""),2023)</f>
        <v>2023</v>
      </c>
      <c r="E259" s="8">
        <f ca="1">IFERROR(__xludf.DUMMYFUNCTION("""COMPUTED_VALUE"""),0)</f>
        <v>0</v>
      </c>
      <c r="F259" s="8">
        <f ca="1">IFERROR(__xludf.DUMMYFUNCTION("""COMPUTED_VALUE"""),2.91)</f>
        <v>2.91</v>
      </c>
    </row>
    <row r="260" spans="1:6" x14ac:dyDescent="0.2">
      <c r="A260" s="8" t="str">
        <f ca="1">IFERROR(__xludf.DUMMYFUNCTION("""COMPUTED_VALUE"""),"BBAS3")</f>
        <v>BBAS3</v>
      </c>
      <c r="B260" s="16">
        <f ca="1">IFERROR(__xludf.DUMMYFUNCTION("""COMPUTED_VALUE"""),44988)</f>
        <v>44988</v>
      </c>
      <c r="C260" s="8">
        <f ca="1">IFERROR(__xludf.DUMMYFUNCTION("""COMPUTED_VALUE"""),3)</f>
        <v>3</v>
      </c>
      <c r="D260" s="8">
        <f ca="1">IFERROR(__xludf.DUMMYFUNCTION("""COMPUTED_VALUE"""),2023)</f>
        <v>2023</v>
      </c>
      <c r="E260" s="8">
        <f ca="1">IFERROR(__xludf.DUMMYFUNCTION("""COMPUTED_VALUE"""),0.57)</f>
        <v>0.56999999999999995</v>
      </c>
      <c r="F260" s="8">
        <f ca="1">IFERROR(__xludf.DUMMYFUNCTION("""COMPUTED_VALUE"""),352.95)</f>
        <v>352.95</v>
      </c>
    </row>
    <row r="261" spans="1:6" x14ac:dyDescent="0.2">
      <c r="A261" s="8" t="str">
        <f ca="1">IFERROR(__xludf.DUMMYFUNCTION("""COMPUTED_VALUE"""),"BBDC3")</f>
        <v>BBDC3</v>
      </c>
      <c r="B261" s="16">
        <f ca="1">IFERROR(__xludf.DUMMYFUNCTION("""COMPUTED_VALUE"""),44986)</f>
        <v>44986</v>
      </c>
      <c r="C261" s="8">
        <f ca="1">IFERROR(__xludf.DUMMYFUNCTION("""COMPUTED_VALUE"""),3)</f>
        <v>3</v>
      </c>
      <c r="D261" s="8">
        <f ca="1">IFERROR(__xludf.DUMMYFUNCTION("""COMPUTED_VALUE"""),2023)</f>
        <v>2023</v>
      </c>
      <c r="E261" s="8">
        <f ca="1">IFERROR(__xludf.DUMMYFUNCTION("""COMPUTED_VALUE"""),0.02)</f>
        <v>0.02</v>
      </c>
      <c r="F261" s="8">
        <f ca="1">IFERROR(__xludf.DUMMYFUNCTION("""COMPUTED_VALUE"""),10.51)</f>
        <v>10.51</v>
      </c>
    </row>
    <row r="262" spans="1:6" x14ac:dyDescent="0.2">
      <c r="A262" s="8" t="str">
        <f ca="1">IFERROR(__xludf.DUMMYFUNCTION("""COMPUTED_VALUE"""),"BBDC3")</f>
        <v>BBDC3</v>
      </c>
      <c r="B262" s="16">
        <f ca="1">IFERROR(__xludf.DUMMYFUNCTION("""COMPUTED_VALUE"""),44958)</f>
        <v>44958</v>
      </c>
      <c r="C262" s="8">
        <f ca="1">IFERROR(__xludf.DUMMYFUNCTION("""COMPUTED_VALUE"""),2)</f>
        <v>2</v>
      </c>
      <c r="D262" s="8">
        <f ca="1">IFERROR(__xludf.DUMMYFUNCTION("""COMPUTED_VALUE"""),2023)</f>
        <v>2023</v>
      </c>
      <c r="E262" s="8">
        <f ca="1">IFERROR(__xludf.DUMMYFUNCTION("""COMPUTED_VALUE"""),0.02)</f>
        <v>0.02</v>
      </c>
      <c r="F262" s="8">
        <f ca="1">IFERROR(__xludf.DUMMYFUNCTION("""COMPUTED_VALUE"""),9.89)</f>
        <v>9.89</v>
      </c>
    </row>
    <row r="263" spans="1:6" x14ac:dyDescent="0.2">
      <c r="A263" s="8" t="str">
        <f ca="1">IFERROR(__xludf.DUMMYFUNCTION("""COMPUTED_VALUE"""),"CIEL3")</f>
        <v>CIEL3</v>
      </c>
      <c r="B263" s="16">
        <f ca="1">IFERROR(__xludf.DUMMYFUNCTION("""COMPUTED_VALUE"""),44953)</f>
        <v>44953</v>
      </c>
      <c r="C263" s="8">
        <f ca="1">IFERROR(__xludf.DUMMYFUNCTION("""COMPUTED_VALUE"""),1)</f>
        <v>1</v>
      </c>
      <c r="D263" s="8">
        <f ca="1">IFERROR(__xludf.DUMMYFUNCTION("""COMPUTED_VALUE"""),2023)</f>
        <v>2023</v>
      </c>
      <c r="E263" s="8">
        <f ca="1">IFERROR(__xludf.DUMMYFUNCTION("""COMPUTED_VALUE"""),0.09)</f>
        <v>0.09</v>
      </c>
      <c r="F263" s="8">
        <f ca="1">IFERROR(__xludf.DUMMYFUNCTION("""COMPUTED_VALUE"""),82.93)</f>
        <v>82.93</v>
      </c>
    </row>
    <row r="264" spans="1:6" x14ac:dyDescent="0.2">
      <c r="A264" s="8" t="str">
        <f ca="1">IFERROR(__xludf.DUMMYFUNCTION("""COMPUTED_VALUE"""),"TAEE4")</f>
        <v>TAEE4</v>
      </c>
      <c r="B264" s="16">
        <f ca="1">IFERROR(__xludf.DUMMYFUNCTION("""COMPUTED_VALUE"""),44949)</f>
        <v>44949</v>
      </c>
      <c r="C264" s="8">
        <f ca="1">IFERROR(__xludf.DUMMYFUNCTION("""COMPUTED_VALUE"""),1)</f>
        <v>1</v>
      </c>
      <c r="D264" s="8">
        <f ca="1">IFERROR(__xludf.DUMMYFUNCTION("""COMPUTED_VALUE"""),2023)</f>
        <v>2023</v>
      </c>
      <c r="E264" s="8">
        <f ca="1">IFERROR(__xludf.DUMMYFUNCTION("""COMPUTED_VALUE"""),0.45)</f>
        <v>0.45</v>
      </c>
      <c r="F264" s="8">
        <f ca="1">IFERROR(__xludf.DUMMYFUNCTION("""COMPUTED_VALUE"""),373.43)</f>
        <v>373.43</v>
      </c>
    </row>
    <row r="265" spans="1:6" x14ac:dyDescent="0.2">
      <c r="A265" s="8" t="str">
        <f ca="1">IFERROR(__xludf.DUMMYFUNCTION("""COMPUTED_VALUE"""),"PETR4")</f>
        <v>PETR4</v>
      </c>
      <c r="B265" s="16">
        <f ca="1">IFERROR(__xludf.DUMMYFUNCTION("""COMPUTED_VALUE"""),44945)</f>
        <v>44945</v>
      </c>
      <c r="C265" s="8">
        <f ca="1">IFERROR(__xludf.DUMMYFUNCTION("""COMPUTED_VALUE"""),1)</f>
        <v>1</v>
      </c>
      <c r="D265" s="8">
        <f ca="1">IFERROR(__xludf.DUMMYFUNCTION("""COMPUTED_VALUE"""),2023)</f>
        <v>2023</v>
      </c>
      <c r="E265" s="8">
        <f ca="1">IFERROR(__xludf.DUMMYFUNCTION("""COMPUTED_VALUE"""),0)</f>
        <v>0</v>
      </c>
      <c r="F265" s="8">
        <f ca="1">IFERROR(__xludf.DUMMYFUNCTION("""COMPUTED_VALUE"""),1.86)</f>
        <v>1.86</v>
      </c>
    </row>
    <row r="266" spans="1:6" x14ac:dyDescent="0.2">
      <c r="A266" s="8" t="str">
        <f ca="1">IFERROR(__xludf.DUMMYFUNCTION("""COMPUTED_VALUE"""),"PETR4")</f>
        <v>PETR4</v>
      </c>
      <c r="B266" s="16">
        <f ca="1">IFERROR(__xludf.DUMMYFUNCTION("""COMPUTED_VALUE"""),44945)</f>
        <v>44945</v>
      </c>
      <c r="C266" s="8">
        <f ca="1">IFERROR(__xludf.DUMMYFUNCTION("""COMPUTED_VALUE"""),1)</f>
        <v>1</v>
      </c>
      <c r="D266" s="8">
        <f ca="1">IFERROR(__xludf.DUMMYFUNCTION("""COMPUTED_VALUE"""),2023)</f>
        <v>2023</v>
      </c>
      <c r="E266" s="8">
        <f ca="1">IFERROR(__xludf.DUMMYFUNCTION("""COMPUTED_VALUE"""),1.6)</f>
        <v>1.6</v>
      </c>
      <c r="F266" s="8">
        <f ca="1">IFERROR(__xludf.DUMMYFUNCTION("""COMPUTED_VALUE"""),337.64)</f>
        <v>337.64</v>
      </c>
    </row>
    <row r="267" spans="1:6" x14ac:dyDescent="0.2">
      <c r="A267" s="8" t="str">
        <f ca="1">IFERROR(__xludf.DUMMYFUNCTION("""COMPUTED_VALUE"""),"PETR4")</f>
        <v>PETR4</v>
      </c>
      <c r="B267" s="16">
        <f ca="1">IFERROR(__xludf.DUMMYFUNCTION("""COMPUTED_VALUE"""),44945)</f>
        <v>44945</v>
      </c>
      <c r="C267" s="8">
        <f ca="1">IFERROR(__xludf.DUMMYFUNCTION("""COMPUTED_VALUE"""),1)</f>
        <v>1</v>
      </c>
      <c r="D267" s="8">
        <f ca="1">IFERROR(__xludf.DUMMYFUNCTION("""COMPUTED_VALUE"""),2023)</f>
        <v>2023</v>
      </c>
      <c r="E267" s="8">
        <f ca="1">IFERROR(__xludf.DUMMYFUNCTION("""COMPUTED_VALUE"""),0)</f>
        <v>0</v>
      </c>
      <c r="F267" s="8">
        <f ca="1">IFERROR(__xludf.DUMMYFUNCTION("""COMPUTED_VALUE"""),0.09)</f>
        <v>0.09</v>
      </c>
    </row>
    <row r="268" spans="1:6" x14ac:dyDescent="0.2">
      <c r="A268" s="8" t="str">
        <f ca="1">IFERROR(__xludf.DUMMYFUNCTION("""COMPUTED_VALUE"""),"PETR4")</f>
        <v>PETR4</v>
      </c>
      <c r="B268" s="16">
        <f ca="1">IFERROR(__xludf.DUMMYFUNCTION("""COMPUTED_VALUE"""),44945)</f>
        <v>44945</v>
      </c>
      <c r="C268" s="8">
        <f ca="1">IFERROR(__xludf.DUMMYFUNCTION("""COMPUTED_VALUE"""),1)</f>
        <v>1</v>
      </c>
      <c r="D268" s="8">
        <f ca="1">IFERROR(__xludf.DUMMYFUNCTION("""COMPUTED_VALUE"""),2023)</f>
        <v>2023</v>
      </c>
      <c r="E268" s="8">
        <f ca="1">IFERROR(__xludf.DUMMYFUNCTION("""COMPUTED_VALUE"""),0.07)</f>
        <v>7.0000000000000007E-2</v>
      </c>
      <c r="F268" s="8">
        <f ca="1">IFERROR(__xludf.DUMMYFUNCTION("""COMPUTED_VALUE"""),13.31)</f>
        <v>13.31</v>
      </c>
    </row>
    <row r="269" spans="1:6" x14ac:dyDescent="0.2">
      <c r="A269" s="8" t="str">
        <f ca="1">IFERROR(__xludf.DUMMYFUNCTION("""COMPUTED_VALUE"""),"BBDC3")</f>
        <v>BBDC3</v>
      </c>
      <c r="B269" s="16">
        <f ca="1">IFERROR(__xludf.DUMMYFUNCTION("""COMPUTED_VALUE"""),44928)</f>
        <v>44928</v>
      </c>
      <c r="C269" s="8">
        <f ca="1">IFERROR(__xludf.DUMMYFUNCTION("""COMPUTED_VALUE"""),1)</f>
        <v>1</v>
      </c>
      <c r="D269" s="8">
        <f ca="1">IFERROR(__xludf.DUMMYFUNCTION("""COMPUTED_VALUE"""),2023)</f>
        <v>2023</v>
      </c>
      <c r="E269" s="8">
        <f ca="1">IFERROR(__xludf.DUMMYFUNCTION("""COMPUTED_VALUE"""),0.02)</f>
        <v>0.02</v>
      </c>
      <c r="F269" s="8">
        <f ca="1">IFERROR(__xludf.DUMMYFUNCTION("""COMPUTED_VALUE"""),7.45)</f>
        <v>7.45</v>
      </c>
    </row>
    <row r="270" spans="1:6" x14ac:dyDescent="0.2">
      <c r="A270" s="8" t="str">
        <f ca="1">IFERROR(__xludf.DUMMYFUNCTION("""COMPUTED_VALUE"""),"BRSR6")</f>
        <v>BRSR6</v>
      </c>
      <c r="B270" s="16">
        <f ca="1">IFERROR(__xludf.DUMMYFUNCTION("""COMPUTED_VALUE"""),45656)</f>
        <v>45656</v>
      </c>
      <c r="C270" s="8">
        <f ca="1">IFERROR(__xludf.DUMMYFUNCTION("""COMPUTED_VALUE"""),12)</f>
        <v>12</v>
      </c>
      <c r="D270" s="8">
        <f ca="1">IFERROR(__xludf.DUMMYFUNCTION("""COMPUTED_VALUE"""),2024)</f>
        <v>2024</v>
      </c>
      <c r="E270" s="8">
        <f ca="1">IFERROR(__xludf.DUMMYFUNCTION("""COMPUTED_VALUE"""),0.2)</f>
        <v>0.2</v>
      </c>
      <c r="F270" s="8">
        <f ca="1">IFERROR(__xludf.DUMMYFUNCTION("""COMPUTED_VALUE"""),223.94)</f>
        <v>223.94</v>
      </c>
    </row>
    <row r="271" spans="1:6" x14ac:dyDescent="0.2">
      <c r="A271" s="8" t="str">
        <f ca="1">IFERROR(__xludf.DUMMYFUNCTION("""COMPUTED_VALUE"""),"BBAS3")</f>
        <v>BBAS3</v>
      </c>
      <c r="B271" s="16">
        <f ca="1">IFERROR(__xludf.DUMMYFUNCTION("""COMPUTED_VALUE"""),45653)</f>
        <v>45653</v>
      </c>
      <c r="C271" s="8">
        <f ca="1">IFERROR(__xludf.DUMMYFUNCTION("""COMPUTED_VALUE"""),12)</f>
        <v>12</v>
      </c>
      <c r="D271" s="8">
        <f ca="1">IFERROR(__xludf.DUMMYFUNCTION("""COMPUTED_VALUE"""),2024)</f>
        <v>2024</v>
      </c>
      <c r="E271" s="8">
        <f ca="1">IFERROR(__xludf.DUMMYFUNCTION("""COMPUTED_VALUE"""),0.18)</f>
        <v>0.18</v>
      </c>
      <c r="F271" s="8">
        <f ca="1">IFERROR(__xludf.DUMMYFUNCTION("""COMPUTED_VALUE"""),480.36)</f>
        <v>480.36</v>
      </c>
    </row>
    <row r="272" spans="1:6" x14ac:dyDescent="0.2">
      <c r="A272" s="8" t="str">
        <f ca="1">IFERROR(__xludf.DUMMYFUNCTION("""COMPUTED_VALUE"""),"PETR4")</f>
        <v>PETR4</v>
      </c>
      <c r="B272" s="16">
        <f ca="1">IFERROR(__xludf.DUMMYFUNCTION("""COMPUTED_VALUE"""),45646)</f>
        <v>45646</v>
      </c>
      <c r="C272" s="8">
        <f ca="1">IFERROR(__xludf.DUMMYFUNCTION("""COMPUTED_VALUE"""),12)</f>
        <v>12</v>
      </c>
      <c r="D272" s="8">
        <f ca="1">IFERROR(__xludf.DUMMYFUNCTION("""COMPUTED_VALUE"""),2024)</f>
        <v>2024</v>
      </c>
      <c r="E272" s="8">
        <f ca="1">IFERROR(__xludf.DUMMYFUNCTION("""COMPUTED_VALUE"""),0)</f>
        <v>0</v>
      </c>
      <c r="F272" s="8">
        <f ca="1">IFERROR(__xludf.DUMMYFUNCTION("""COMPUTED_VALUE"""),120.59)</f>
        <v>120.59</v>
      </c>
    </row>
    <row r="273" spans="1:6" x14ac:dyDescent="0.2">
      <c r="A273" s="8" t="str">
        <f ca="1">IFERROR(__xludf.DUMMYFUNCTION("""COMPUTED_VALUE"""),"LEVE3")</f>
        <v>LEVE3</v>
      </c>
      <c r="B273" s="16">
        <f ca="1">IFERROR(__xludf.DUMMYFUNCTION("""COMPUTED_VALUE"""),45644)</f>
        <v>45644</v>
      </c>
      <c r="C273" s="8">
        <f ca="1">IFERROR(__xludf.DUMMYFUNCTION("""COMPUTED_VALUE"""),12)</f>
        <v>12</v>
      </c>
      <c r="D273" s="8">
        <f ca="1">IFERROR(__xludf.DUMMYFUNCTION("""COMPUTED_VALUE"""),2024)</f>
        <v>2024</v>
      </c>
      <c r="E273" s="8">
        <f ca="1">IFERROR(__xludf.DUMMYFUNCTION("""COMPUTED_VALUE"""),0.54)</f>
        <v>0.54</v>
      </c>
      <c r="F273" s="8">
        <f ca="1">IFERROR(__xludf.DUMMYFUNCTION("""COMPUTED_VALUE"""),164.08)</f>
        <v>164.08</v>
      </c>
    </row>
    <row r="274" spans="1:6" x14ac:dyDescent="0.2">
      <c r="A274" s="8" t="str">
        <f ca="1">IFERROR(__xludf.DUMMYFUNCTION("""COMPUTED_VALUE"""),"BRSR6")</f>
        <v>BRSR6</v>
      </c>
      <c r="B274" s="16">
        <f ca="1">IFERROR(__xludf.DUMMYFUNCTION("""COMPUTED_VALUE"""),45637)</f>
        <v>45637</v>
      </c>
      <c r="C274" s="8">
        <f ca="1">IFERROR(__xludf.DUMMYFUNCTION("""COMPUTED_VALUE"""),12)</f>
        <v>12</v>
      </c>
      <c r="D274" s="8">
        <f ca="1">IFERROR(__xludf.DUMMYFUNCTION("""COMPUTED_VALUE"""),2024)</f>
        <v>2024</v>
      </c>
      <c r="E274" s="8">
        <f ca="1">IFERROR(__xludf.DUMMYFUNCTION("""COMPUTED_VALUE"""),0.25)</f>
        <v>0.25</v>
      </c>
      <c r="F274" s="8">
        <f ca="1">IFERROR(__xludf.DUMMYFUNCTION("""COMPUTED_VALUE"""),273.1)</f>
        <v>273.10000000000002</v>
      </c>
    </row>
    <row r="275" spans="1:6" x14ac:dyDescent="0.2">
      <c r="A275" s="8" t="str">
        <f ca="1">IFERROR(__xludf.DUMMYFUNCTION("""COMPUTED_VALUE"""),"BBAS3")</f>
        <v>BBAS3</v>
      </c>
      <c r="B275" s="16">
        <f ca="1">IFERROR(__xludf.DUMMYFUNCTION("""COMPUTED_VALUE"""),45632)</f>
        <v>45632</v>
      </c>
      <c r="C275" s="8">
        <f ca="1">IFERROR(__xludf.DUMMYFUNCTION("""COMPUTED_VALUE"""),12)</f>
        <v>12</v>
      </c>
      <c r="D275" s="8">
        <f ca="1">IFERROR(__xludf.DUMMYFUNCTION("""COMPUTED_VALUE"""),2024)</f>
        <v>2024</v>
      </c>
      <c r="E275" s="8">
        <f ca="1">IFERROR(__xludf.DUMMYFUNCTION("""COMPUTED_VALUE"""),0.48)</f>
        <v>0.48</v>
      </c>
      <c r="F275" s="8">
        <f ca="1">IFERROR(__xludf.DUMMYFUNCTION("""COMPUTED_VALUE"""),1015.52)</f>
        <v>1015.52</v>
      </c>
    </row>
    <row r="276" spans="1:6" x14ac:dyDescent="0.2">
      <c r="A276" s="8" t="str">
        <f ca="1">IFERROR(__xludf.DUMMYFUNCTION("""COMPUTED_VALUE"""),"BBDC3")</f>
        <v>BBDC3</v>
      </c>
      <c r="B276" s="16">
        <f ca="1">IFERROR(__xludf.DUMMYFUNCTION("""COMPUTED_VALUE"""),45628)</f>
        <v>45628</v>
      </c>
      <c r="C276" s="8">
        <f ca="1">IFERROR(__xludf.DUMMYFUNCTION("""COMPUTED_VALUE"""),12)</f>
        <v>12</v>
      </c>
      <c r="D276" s="8">
        <f ca="1">IFERROR(__xludf.DUMMYFUNCTION("""COMPUTED_VALUE"""),2024)</f>
        <v>2024</v>
      </c>
      <c r="E276" s="8">
        <f ca="1">IFERROR(__xludf.DUMMYFUNCTION("""COMPUTED_VALUE"""),0.02)</f>
        <v>0.02</v>
      </c>
      <c r="F276" s="8">
        <f ca="1">IFERROR(__xludf.DUMMYFUNCTION("""COMPUTED_VALUE"""),0.21)</f>
        <v>0.21</v>
      </c>
    </row>
    <row r="277" spans="1:6" x14ac:dyDescent="0.2">
      <c r="A277" s="8" t="str">
        <f ca="1">IFERROR(__xludf.DUMMYFUNCTION("""COMPUTED_VALUE"""),"CPLE6")</f>
        <v>CPLE6</v>
      </c>
      <c r="B277" s="16">
        <f ca="1">IFERROR(__xludf.DUMMYFUNCTION("""COMPUTED_VALUE"""),45625)</f>
        <v>45625</v>
      </c>
      <c r="C277" s="8">
        <f ca="1">IFERROR(__xludf.DUMMYFUNCTION("""COMPUTED_VALUE"""),11)</f>
        <v>11</v>
      </c>
      <c r="D277" s="8">
        <f ca="1">IFERROR(__xludf.DUMMYFUNCTION("""COMPUTED_VALUE"""),2024)</f>
        <v>2024</v>
      </c>
      <c r="E277" s="8">
        <f ca="1">IFERROR(__xludf.DUMMYFUNCTION("""COMPUTED_VALUE"""),0.07)</f>
        <v>7.0000000000000007E-2</v>
      </c>
      <c r="F277" s="8">
        <f ca="1">IFERROR(__xludf.DUMMYFUNCTION("""COMPUTED_VALUE"""),1.69)</f>
        <v>1.69</v>
      </c>
    </row>
    <row r="278" spans="1:6" x14ac:dyDescent="0.2">
      <c r="A278" s="8" t="str">
        <f ca="1">IFERROR(__xludf.DUMMYFUNCTION("""COMPUTED_VALUE"""),"CPLE6")</f>
        <v>CPLE6</v>
      </c>
      <c r="B278" s="16">
        <f ca="1">IFERROR(__xludf.DUMMYFUNCTION("""COMPUTED_VALUE"""),45625)</f>
        <v>45625</v>
      </c>
      <c r="C278" s="8">
        <f ca="1">IFERROR(__xludf.DUMMYFUNCTION("""COMPUTED_VALUE"""),11)</f>
        <v>11</v>
      </c>
      <c r="D278" s="8">
        <f ca="1">IFERROR(__xludf.DUMMYFUNCTION("""COMPUTED_VALUE"""),2024)</f>
        <v>2024</v>
      </c>
      <c r="E278" s="8">
        <f ca="1">IFERROR(__xludf.DUMMYFUNCTION("""COMPUTED_VALUE"""),0.1)</f>
        <v>0.1</v>
      </c>
      <c r="F278" s="8">
        <f ca="1">IFERROR(__xludf.DUMMYFUNCTION("""COMPUTED_VALUE"""),2.02)</f>
        <v>2.02</v>
      </c>
    </row>
    <row r="279" spans="1:6" x14ac:dyDescent="0.2">
      <c r="A279" s="8" t="str">
        <f ca="1">IFERROR(__xludf.DUMMYFUNCTION("""COMPUTED_VALUE"""),"TAEE4")</f>
        <v>TAEE4</v>
      </c>
      <c r="B279" s="16">
        <f ca="1">IFERROR(__xludf.DUMMYFUNCTION("""COMPUTED_VALUE"""),45623)</f>
        <v>45623</v>
      </c>
      <c r="C279" s="8">
        <f ca="1">IFERROR(__xludf.DUMMYFUNCTION("""COMPUTED_VALUE"""),11)</f>
        <v>11</v>
      </c>
      <c r="D279" s="8">
        <f ca="1">IFERROR(__xludf.DUMMYFUNCTION("""COMPUTED_VALUE"""),2024)</f>
        <v>2024</v>
      </c>
      <c r="E279" s="8">
        <f ca="1">IFERROR(__xludf.DUMMYFUNCTION("""COMPUTED_VALUE"""),0.11)</f>
        <v>0.11</v>
      </c>
      <c r="F279" s="8">
        <f ca="1">IFERROR(__xludf.DUMMYFUNCTION("""COMPUTED_VALUE"""),169.34)</f>
        <v>169.34</v>
      </c>
    </row>
    <row r="280" spans="1:6" x14ac:dyDescent="0.2">
      <c r="A280" s="8" t="str">
        <f ca="1">IFERROR(__xludf.DUMMYFUNCTION("""COMPUTED_VALUE"""),"TAEE4")</f>
        <v>TAEE4</v>
      </c>
      <c r="B280" s="16">
        <f ca="1">IFERROR(__xludf.DUMMYFUNCTION("""COMPUTED_VALUE"""),45623)</f>
        <v>45623</v>
      </c>
      <c r="C280" s="8">
        <f ca="1">IFERROR(__xludf.DUMMYFUNCTION("""COMPUTED_VALUE"""),11)</f>
        <v>11</v>
      </c>
      <c r="D280" s="8">
        <f ca="1">IFERROR(__xludf.DUMMYFUNCTION("""COMPUTED_VALUE"""),2024)</f>
        <v>2024</v>
      </c>
      <c r="E280" s="8">
        <f ca="1">IFERROR(__xludf.DUMMYFUNCTION("""COMPUTED_VALUE"""),0.1)</f>
        <v>0.1</v>
      </c>
      <c r="F280" s="8">
        <f ca="1">IFERROR(__xludf.DUMMYFUNCTION("""COMPUTED_VALUE"""),177.12)</f>
        <v>177.12</v>
      </c>
    </row>
    <row r="281" spans="1:6" x14ac:dyDescent="0.2">
      <c r="A281" s="8" t="str">
        <f ca="1">IFERROR(__xludf.DUMMYFUNCTION("""COMPUTED_VALUE"""),"KLBN4")</f>
        <v>KLBN4</v>
      </c>
      <c r="B281" s="16">
        <f ca="1">IFERROR(__xludf.DUMMYFUNCTION("""COMPUTED_VALUE"""),45617)</f>
        <v>45617</v>
      </c>
      <c r="C281" s="8">
        <f ca="1">IFERROR(__xludf.DUMMYFUNCTION("""COMPUTED_VALUE"""),11)</f>
        <v>11</v>
      </c>
      <c r="D281" s="8">
        <f ca="1">IFERROR(__xludf.DUMMYFUNCTION("""COMPUTED_VALUE"""),2024)</f>
        <v>2024</v>
      </c>
      <c r="E281" s="8">
        <f ca="1">IFERROR(__xludf.DUMMYFUNCTION("""COMPUTED_VALUE"""),0.07)</f>
        <v>7.0000000000000007E-2</v>
      </c>
      <c r="F281" s="8">
        <f ca="1">IFERROR(__xludf.DUMMYFUNCTION("""COMPUTED_VALUE"""),120.51)</f>
        <v>120.51</v>
      </c>
    </row>
    <row r="282" spans="1:6" x14ac:dyDescent="0.2">
      <c r="A282" s="8" t="str">
        <f ca="1">IFERROR(__xludf.DUMMYFUNCTION("""COMPUTED_VALUE"""),"PETR4")</f>
        <v>PETR4</v>
      </c>
      <c r="B282" s="16">
        <f ca="1">IFERROR(__xludf.DUMMYFUNCTION("""COMPUTED_VALUE"""),45617)</f>
        <v>45617</v>
      </c>
      <c r="C282" s="8">
        <f ca="1">IFERROR(__xludf.DUMMYFUNCTION("""COMPUTED_VALUE"""),11)</f>
        <v>11</v>
      </c>
      <c r="D282" s="8">
        <f ca="1">IFERROR(__xludf.DUMMYFUNCTION("""COMPUTED_VALUE"""),2024)</f>
        <v>2024</v>
      </c>
      <c r="E282" s="8">
        <f ca="1">IFERROR(__xludf.DUMMYFUNCTION("""COMPUTED_VALUE"""),0)</f>
        <v>0</v>
      </c>
      <c r="F282" s="8">
        <f ca="1">IFERROR(__xludf.DUMMYFUNCTION("""COMPUTED_VALUE"""),106.42)</f>
        <v>106.42</v>
      </c>
    </row>
    <row r="283" spans="1:6" x14ac:dyDescent="0.2">
      <c r="A283" s="8" t="str">
        <f ca="1">IFERROR(__xludf.DUMMYFUNCTION("""COMPUTED_VALUE"""),"CXSE3")</f>
        <v>CXSE3</v>
      </c>
      <c r="B283" s="16">
        <f ca="1">IFERROR(__xludf.DUMMYFUNCTION("""COMPUTED_VALUE"""),45614)</f>
        <v>45614</v>
      </c>
      <c r="C283" s="8">
        <f ca="1">IFERROR(__xludf.DUMMYFUNCTION("""COMPUTED_VALUE"""),11)</f>
        <v>11</v>
      </c>
      <c r="D283" s="8">
        <f ca="1">IFERROR(__xludf.DUMMYFUNCTION("""COMPUTED_VALUE"""),2024)</f>
        <v>2024</v>
      </c>
      <c r="E283" s="8">
        <f ca="1">IFERROR(__xludf.DUMMYFUNCTION("""COMPUTED_VALUE"""),0.23)</f>
        <v>0.23</v>
      </c>
      <c r="F283" s="8">
        <f ca="1">IFERROR(__xludf.DUMMYFUNCTION("""COMPUTED_VALUE"""),126.59)</f>
        <v>126.59</v>
      </c>
    </row>
    <row r="284" spans="1:6" x14ac:dyDescent="0.2">
      <c r="A284" s="8" t="str">
        <f ca="1">IFERROR(__xludf.DUMMYFUNCTION("""COMPUTED_VALUE"""),"BBDC3")</f>
        <v>BBDC3</v>
      </c>
      <c r="B284" s="16">
        <f ca="1">IFERROR(__xludf.DUMMYFUNCTION("""COMPUTED_VALUE"""),45597)</f>
        <v>45597</v>
      </c>
      <c r="C284" s="8">
        <f ca="1">IFERROR(__xludf.DUMMYFUNCTION("""COMPUTED_VALUE"""),11)</f>
        <v>11</v>
      </c>
      <c r="D284" s="8">
        <f ca="1">IFERROR(__xludf.DUMMYFUNCTION("""COMPUTED_VALUE"""),2024)</f>
        <v>2024</v>
      </c>
      <c r="E284" s="8">
        <f ca="1">IFERROR(__xludf.DUMMYFUNCTION("""COMPUTED_VALUE"""),0.02)</f>
        <v>0.02</v>
      </c>
      <c r="F284" s="8">
        <f ca="1">IFERROR(__xludf.DUMMYFUNCTION("""COMPUTED_VALUE"""),0.21)</f>
        <v>0.21</v>
      </c>
    </row>
    <row r="285" spans="1:6" x14ac:dyDescent="0.2">
      <c r="A285" s="8" t="str">
        <f ca="1">IFERROR(__xludf.DUMMYFUNCTION("""COMPUTED_VALUE"""),"BBDC3")</f>
        <v>BBDC3</v>
      </c>
      <c r="B285" s="16">
        <f ca="1">IFERROR(__xludf.DUMMYFUNCTION("""COMPUTED_VALUE"""),45566)</f>
        <v>45566</v>
      </c>
      <c r="C285" s="8">
        <f ca="1">IFERROR(__xludf.DUMMYFUNCTION("""COMPUTED_VALUE"""),10)</f>
        <v>10</v>
      </c>
      <c r="D285" s="8">
        <f ca="1">IFERROR(__xludf.DUMMYFUNCTION("""COMPUTED_VALUE"""),2024)</f>
        <v>2024</v>
      </c>
      <c r="E285" s="8">
        <f ca="1">IFERROR(__xludf.DUMMYFUNCTION("""COMPUTED_VALUE"""),0.02)</f>
        <v>0.02</v>
      </c>
      <c r="F285" s="8">
        <f ca="1">IFERROR(__xludf.DUMMYFUNCTION("""COMPUTED_VALUE"""),13.4)</f>
        <v>13.4</v>
      </c>
    </row>
    <row r="286" spans="1:6" x14ac:dyDescent="0.2">
      <c r="A286" s="8" t="str">
        <f ca="1">IFERROR(__xludf.DUMMYFUNCTION("""COMPUTED_VALUE"""),"BBAS3")</f>
        <v>BBAS3</v>
      </c>
      <c r="B286" s="16">
        <f ca="1">IFERROR(__xludf.DUMMYFUNCTION("""COMPUTED_VALUE"""),45562)</f>
        <v>45562</v>
      </c>
      <c r="C286" s="8">
        <f ca="1">IFERROR(__xludf.DUMMYFUNCTION("""COMPUTED_VALUE"""),9)</f>
        <v>9</v>
      </c>
      <c r="D286" s="8">
        <f ca="1">IFERROR(__xludf.DUMMYFUNCTION("""COMPUTED_VALUE"""),2024)</f>
        <v>2024</v>
      </c>
      <c r="E286" s="8">
        <f ca="1">IFERROR(__xludf.DUMMYFUNCTION("""COMPUTED_VALUE"""),0.19)</f>
        <v>0.19</v>
      </c>
      <c r="F286" s="8">
        <f ca="1">IFERROR(__xludf.DUMMYFUNCTION("""COMPUTED_VALUE"""),249.66)</f>
        <v>249.66</v>
      </c>
    </row>
    <row r="287" spans="1:6" x14ac:dyDescent="0.2">
      <c r="A287" s="8" t="str">
        <f ca="1">IFERROR(__xludf.DUMMYFUNCTION("""COMPUTED_VALUE"""),"BRSR6")</f>
        <v>BRSR6</v>
      </c>
      <c r="B287" s="16">
        <f ca="1">IFERROR(__xludf.DUMMYFUNCTION("""COMPUTED_VALUE"""),45562)</f>
        <v>45562</v>
      </c>
      <c r="C287" s="8">
        <f ca="1">IFERROR(__xludf.DUMMYFUNCTION("""COMPUTED_VALUE"""),9)</f>
        <v>9</v>
      </c>
      <c r="D287" s="8">
        <f ca="1">IFERROR(__xludf.DUMMYFUNCTION("""COMPUTED_VALUE"""),2024)</f>
        <v>2024</v>
      </c>
      <c r="E287" s="8">
        <f ca="1">IFERROR(__xludf.DUMMYFUNCTION("""COMPUTED_VALUE"""),0.12)</f>
        <v>0.12</v>
      </c>
      <c r="F287" s="8">
        <f ca="1">IFERROR(__xludf.DUMMYFUNCTION("""COMPUTED_VALUE"""),136.55)</f>
        <v>136.55000000000001</v>
      </c>
    </row>
    <row r="288" spans="1:6" x14ac:dyDescent="0.2">
      <c r="A288" s="8" t="str">
        <f ca="1">IFERROR(__xludf.DUMMYFUNCTION("""COMPUTED_VALUE"""),"PETR4")</f>
        <v>PETR4</v>
      </c>
      <c r="B288" s="16">
        <f ca="1">IFERROR(__xludf.DUMMYFUNCTION("""COMPUTED_VALUE"""),45555)</f>
        <v>45555</v>
      </c>
      <c r="C288" s="8">
        <f ca="1">IFERROR(__xludf.DUMMYFUNCTION("""COMPUTED_VALUE"""),9)</f>
        <v>9</v>
      </c>
      <c r="D288" s="8">
        <f ca="1">IFERROR(__xludf.DUMMYFUNCTION("""COMPUTED_VALUE"""),2024)</f>
        <v>2024</v>
      </c>
      <c r="E288" s="8">
        <f ca="1">IFERROR(__xludf.DUMMYFUNCTION("""COMPUTED_VALUE"""),0)</f>
        <v>0</v>
      </c>
      <c r="F288" s="8">
        <f ca="1">IFERROR(__xludf.DUMMYFUNCTION("""COMPUTED_VALUE"""),116.92)</f>
        <v>116.92</v>
      </c>
    </row>
    <row r="289" spans="1:6" x14ac:dyDescent="0.2">
      <c r="A289" s="8" t="str">
        <f ca="1">IFERROR(__xludf.DUMMYFUNCTION("""COMPUTED_VALUE"""),"BBDC3")</f>
        <v>BBDC3</v>
      </c>
      <c r="B289" s="16">
        <f ca="1">IFERROR(__xludf.DUMMYFUNCTION("""COMPUTED_VALUE"""),45537)</f>
        <v>45537</v>
      </c>
      <c r="C289" s="8">
        <f ca="1">IFERROR(__xludf.DUMMYFUNCTION("""COMPUTED_VALUE"""),9)</f>
        <v>9</v>
      </c>
      <c r="D289" s="8">
        <f ca="1">IFERROR(__xludf.DUMMYFUNCTION("""COMPUTED_VALUE"""),2024)</f>
        <v>2024</v>
      </c>
      <c r="E289" s="8">
        <f ca="1">IFERROR(__xludf.DUMMYFUNCTION("""COMPUTED_VALUE"""),0.02)</f>
        <v>0.02</v>
      </c>
      <c r="F289" s="8">
        <f ca="1">IFERROR(__xludf.DUMMYFUNCTION("""COMPUTED_VALUE"""),13.4)</f>
        <v>13.4</v>
      </c>
    </row>
    <row r="290" spans="1:6" x14ac:dyDescent="0.2">
      <c r="A290" s="8" t="str">
        <f ca="1">IFERROR(__xludf.DUMMYFUNCTION("""COMPUTED_VALUE"""),"BBAS3")</f>
        <v>BBAS3</v>
      </c>
      <c r="B290" s="16">
        <f ca="1">IFERROR(__xludf.DUMMYFUNCTION("""COMPUTED_VALUE"""),45534)</f>
        <v>45534</v>
      </c>
      <c r="C290" s="8">
        <f ca="1">IFERROR(__xludf.DUMMYFUNCTION("""COMPUTED_VALUE"""),8)</f>
        <v>8</v>
      </c>
      <c r="D290" s="8">
        <f ca="1">IFERROR(__xludf.DUMMYFUNCTION("""COMPUTED_VALUE"""),2024)</f>
        <v>2024</v>
      </c>
      <c r="E290" s="8">
        <f ca="1">IFERROR(__xludf.DUMMYFUNCTION("""COMPUTED_VALUE"""),0)</f>
        <v>0</v>
      </c>
      <c r="F290" s="8">
        <f ca="1">IFERROR(__xludf.DUMMYFUNCTION("""COMPUTED_VALUE"""),6.84)</f>
        <v>6.84</v>
      </c>
    </row>
    <row r="291" spans="1:6" x14ac:dyDescent="0.2">
      <c r="A291" s="8" t="str">
        <f ca="1">IFERROR(__xludf.DUMMYFUNCTION("""COMPUTED_VALUE"""),"BBAS3")</f>
        <v>BBAS3</v>
      </c>
      <c r="B291" s="16">
        <f ca="1">IFERROR(__xludf.DUMMYFUNCTION("""COMPUTED_VALUE"""),45534)</f>
        <v>45534</v>
      </c>
      <c r="C291" s="8">
        <f ca="1">IFERROR(__xludf.DUMMYFUNCTION("""COMPUTED_VALUE"""),8)</f>
        <v>8</v>
      </c>
      <c r="D291" s="8">
        <f ca="1">IFERROR(__xludf.DUMMYFUNCTION("""COMPUTED_VALUE"""),2024)</f>
        <v>2024</v>
      </c>
      <c r="E291" s="8">
        <f ca="1">IFERROR(__xludf.DUMMYFUNCTION("""COMPUTED_VALUE"""),0.15)</f>
        <v>0.15</v>
      </c>
      <c r="F291" s="8">
        <f ca="1">IFERROR(__xludf.DUMMYFUNCTION("""COMPUTED_VALUE"""),239.02)</f>
        <v>239.02</v>
      </c>
    </row>
    <row r="292" spans="1:6" x14ac:dyDescent="0.2">
      <c r="A292" s="8" t="str">
        <f ca="1">IFERROR(__xludf.DUMMYFUNCTION("""COMPUTED_VALUE"""),"BBAS3")</f>
        <v>BBAS3</v>
      </c>
      <c r="B292" s="16">
        <f ca="1">IFERROR(__xludf.DUMMYFUNCTION("""COMPUTED_VALUE"""),45534)</f>
        <v>45534</v>
      </c>
      <c r="C292" s="8">
        <f ca="1">IFERROR(__xludf.DUMMYFUNCTION("""COMPUTED_VALUE"""),8)</f>
        <v>8</v>
      </c>
      <c r="D292" s="8">
        <f ca="1">IFERROR(__xludf.DUMMYFUNCTION("""COMPUTED_VALUE"""),2024)</f>
        <v>2024</v>
      </c>
      <c r="E292" s="8">
        <f ca="1">IFERROR(__xludf.DUMMYFUNCTION("""COMPUTED_VALUE"""),0)</f>
        <v>0</v>
      </c>
      <c r="F292" s="8">
        <f ca="1">IFERROR(__xludf.DUMMYFUNCTION("""COMPUTED_VALUE"""),3.31)</f>
        <v>3.31</v>
      </c>
    </row>
    <row r="293" spans="1:6" x14ac:dyDescent="0.2">
      <c r="A293" s="8" t="str">
        <f ca="1">IFERROR(__xludf.DUMMYFUNCTION("""COMPUTED_VALUE"""),"BBAS3")</f>
        <v>BBAS3</v>
      </c>
      <c r="B293" s="16">
        <f ca="1">IFERROR(__xludf.DUMMYFUNCTION("""COMPUTED_VALUE"""),45534)</f>
        <v>45534</v>
      </c>
      <c r="C293" s="8">
        <f ca="1">IFERROR(__xludf.DUMMYFUNCTION("""COMPUTED_VALUE"""),8)</f>
        <v>8</v>
      </c>
      <c r="D293" s="8">
        <f ca="1">IFERROR(__xludf.DUMMYFUNCTION("""COMPUTED_VALUE"""),2024)</f>
        <v>2024</v>
      </c>
      <c r="E293" s="8">
        <f ca="1">IFERROR(__xludf.DUMMYFUNCTION("""COMPUTED_VALUE"""),0.31)</f>
        <v>0.31</v>
      </c>
      <c r="F293" s="8">
        <f ca="1">IFERROR(__xludf.DUMMYFUNCTION("""COMPUTED_VALUE"""),420.75)</f>
        <v>420.75</v>
      </c>
    </row>
    <row r="294" spans="1:6" x14ac:dyDescent="0.2">
      <c r="A294" s="8" t="str">
        <f ca="1">IFERROR(__xludf.DUMMYFUNCTION("""COMPUTED_VALUE"""),"BBSE3")</f>
        <v>BBSE3</v>
      </c>
      <c r="B294" s="16">
        <f ca="1">IFERROR(__xludf.DUMMYFUNCTION("""COMPUTED_VALUE"""),45534)</f>
        <v>45534</v>
      </c>
      <c r="C294" s="8">
        <f ca="1">IFERROR(__xludf.DUMMYFUNCTION("""COMPUTED_VALUE"""),8)</f>
        <v>8</v>
      </c>
      <c r="D294" s="8">
        <f ca="1">IFERROR(__xludf.DUMMYFUNCTION("""COMPUTED_VALUE"""),2024)</f>
        <v>2024</v>
      </c>
      <c r="E294" s="8">
        <f ca="1">IFERROR(__xludf.DUMMYFUNCTION("""COMPUTED_VALUE"""),1.39)</f>
        <v>1.39</v>
      </c>
      <c r="F294" s="8">
        <f ca="1">IFERROR(__xludf.DUMMYFUNCTION("""COMPUTED_VALUE"""),1593.98)</f>
        <v>1593.98</v>
      </c>
    </row>
    <row r="295" spans="1:6" x14ac:dyDescent="0.2">
      <c r="A295" s="8" t="str">
        <f ca="1">IFERROR(__xludf.DUMMYFUNCTION("""COMPUTED_VALUE"""),"PETR4")</f>
        <v>PETR4</v>
      </c>
      <c r="B295" s="16">
        <f ca="1">IFERROR(__xludf.DUMMYFUNCTION("""COMPUTED_VALUE"""),45524)</f>
        <v>45524</v>
      </c>
      <c r="C295" s="8">
        <f ca="1">IFERROR(__xludf.DUMMYFUNCTION("""COMPUTED_VALUE"""),8)</f>
        <v>8</v>
      </c>
      <c r="D295" s="8">
        <f ca="1">IFERROR(__xludf.DUMMYFUNCTION("""COMPUTED_VALUE"""),2024)</f>
        <v>2024</v>
      </c>
      <c r="E295" s="8">
        <f ca="1">IFERROR(__xludf.DUMMYFUNCTION("""COMPUTED_VALUE"""),0)</f>
        <v>0</v>
      </c>
      <c r="F295" s="8">
        <f ca="1">IFERROR(__xludf.DUMMYFUNCTION("""COMPUTED_VALUE"""),101.54)</f>
        <v>101.54</v>
      </c>
    </row>
    <row r="296" spans="1:6" x14ac:dyDescent="0.2">
      <c r="A296" s="8" t="str">
        <f ca="1">IFERROR(__xludf.DUMMYFUNCTION("""COMPUTED_VALUE"""),"CXSE3")</f>
        <v>CXSE3</v>
      </c>
      <c r="B296" s="16">
        <f ca="1">IFERROR(__xludf.DUMMYFUNCTION("""COMPUTED_VALUE"""),45519)</f>
        <v>45519</v>
      </c>
      <c r="C296" s="8">
        <f ca="1">IFERROR(__xludf.DUMMYFUNCTION("""COMPUTED_VALUE"""),8)</f>
        <v>8</v>
      </c>
      <c r="D296" s="8">
        <f ca="1">IFERROR(__xludf.DUMMYFUNCTION("""COMPUTED_VALUE"""),2024)</f>
        <v>2024</v>
      </c>
      <c r="E296" s="8">
        <f ca="1">IFERROR(__xludf.DUMMYFUNCTION("""COMPUTED_VALUE"""),0.28)</f>
        <v>0.28000000000000003</v>
      </c>
      <c r="F296" s="8">
        <f ca="1">IFERROR(__xludf.DUMMYFUNCTION("""COMPUTED_VALUE"""),141.12)</f>
        <v>141.12</v>
      </c>
    </row>
    <row r="297" spans="1:6" x14ac:dyDescent="0.2">
      <c r="A297" s="8" t="str">
        <f ca="1">IFERROR(__xludf.DUMMYFUNCTION("""COMPUTED_VALUE"""),"KLBN4")</f>
        <v>KLBN4</v>
      </c>
      <c r="B297" s="16">
        <f ca="1">IFERROR(__xludf.DUMMYFUNCTION("""COMPUTED_VALUE"""),45519)</f>
        <v>45519</v>
      </c>
      <c r="C297" s="8">
        <f ca="1">IFERROR(__xludf.DUMMYFUNCTION("""COMPUTED_VALUE"""),8)</f>
        <v>8</v>
      </c>
      <c r="D297" s="8">
        <f ca="1">IFERROR(__xludf.DUMMYFUNCTION("""COMPUTED_VALUE"""),2024)</f>
        <v>2024</v>
      </c>
      <c r="E297" s="8">
        <f ca="1">IFERROR(__xludf.DUMMYFUNCTION("""COMPUTED_VALUE"""),0.07)</f>
        <v>7.0000000000000007E-2</v>
      </c>
      <c r="F297" s="8">
        <f ca="1">IFERROR(__xludf.DUMMYFUNCTION("""COMPUTED_VALUE"""),136.76)</f>
        <v>136.76</v>
      </c>
    </row>
    <row r="298" spans="1:6" x14ac:dyDescent="0.2">
      <c r="A298" s="8" t="str">
        <f ca="1">IFERROR(__xludf.DUMMYFUNCTION("""COMPUTED_VALUE"""),"BBDC3")</f>
        <v>BBDC3</v>
      </c>
      <c r="B298" s="16">
        <f ca="1">IFERROR(__xludf.DUMMYFUNCTION("""COMPUTED_VALUE"""),45505)</f>
        <v>45505</v>
      </c>
      <c r="C298" s="8">
        <f ca="1">IFERROR(__xludf.DUMMYFUNCTION("""COMPUTED_VALUE"""),8)</f>
        <v>8</v>
      </c>
      <c r="D298" s="8">
        <f ca="1">IFERROR(__xludf.DUMMYFUNCTION("""COMPUTED_VALUE"""),2024)</f>
        <v>2024</v>
      </c>
      <c r="E298" s="8">
        <f ca="1">IFERROR(__xludf.DUMMYFUNCTION("""COMPUTED_VALUE"""),0.02)</f>
        <v>0.02</v>
      </c>
      <c r="F298" s="8">
        <f ca="1">IFERROR(__xludf.DUMMYFUNCTION("""COMPUTED_VALUE"""),13.4)</f>
        <v>13.4</v>
      </c>
    </row>
    <row r="299" spans="1:6" x14ac:dyDescent="0.2">
      <c r="A299" s="8" t="str">
        <f ca="1">IFERROR(__xludf.DUMMYFUNCTION("""COMPUTED_VALUE"""),"ABCB4")</f>
        <v>ABCB4</v>
      </c>
      <c r="B299" s="16">
        <f ca="1">IFERROR(__xludf.DUMMYFUNCTION("""COMPUTED_VALUE"""),45485)</f>
        <v>45485</v>
      </c>
      <c r="C299" s="8">
        <f ca="1">IFERROR(__xludf.DUMMYFUNCTION("""COMPUTED_VALUE"""),7)</f>
        <v>7</v>
      </c>
      <c r="D299" s="8">
        <f ca="1">IFERROR(__xludf.DUMMYFUNCTION("""COMPUTED_VALUE"""),2024)</f>
        <v>2024</v>
      </c>
      <c r="E299" s="8">
        <f ca="1">IFERROR(__xludf.DUMMYFUNCTION("""COMPUTED_VALUE"""),0.79)</f>
        <v>0.79</v>
      </c>
      <c r="F299" s="8">
        <f ca="1">IFERROR(__xludf.DUMMYFUNCTION("""COMPUTED_VALUE"""),98.09)</f>
        <v>98.09</v>
      </c>
    </row>
    <row r="300" spans="1:6" x14ac:dyDescent="0.2">
      <c r="A300" s="8" t="str">
        <f ca="1">IFERROR(__xludf.DUMMYFUNCTION("""COMPUTED_VALUE"""),"BBDC3")</f>
        <v>BBDC3</v>
      </c>
      <c r="B300" s="16">
        <f ca="1">IFERROR(__xludf.DUMMYFUNCTION("""COMPUTED_VALUE"""),45474)</f>
        <v>45474</v>
      </c>
      <c r="C300" s="8">
        <f ca="1">IFERROR(__xludf.DUMMYFUNCTION("""COMPUTED_VALUE"""),7)</f>
        <v>7</v>
      </c>
      <c r="D300" s="8">
        <f ca="1">IFERROR(__xludf.DUMMYFUNCTION("""COMPUTED_VALUE"""),2024)</f>
        <v>2024</v>
      </c>
      <c r="E300" s="8">
        <f ca="1">IFERROR(__xludf.DUMMYFUNCTION("""COMPUTED_VALUE"""),0.02)</f>
        <v>0.02</v>
      </c>
      <c r="F300" s="8">
        <f ca="1">IFERROR(__xludf.DUMMYFUNCTION("""COMPUTED_VALUE"""),13.4)</f>
        <v>13.4</v>
      </c>
    </row>
    <row r="301" spans="1:6" x14ac:dyDescent="0.2">
      <c r="A301" s="8" t="str">
        <f ca="1">IFERROR(__xludf.DUMMYFUNCTION("""COMPUTED_VALUE"""),"BBAS3")</f>
        <v>BBAS3</v>
      </c>
      <c r="B301" s="16">
        <f ca="1">IFERROR(__xludf.DUMMYFUNCTION("""COMPUTED_VALUE"""),45471)</f>
        <v>45471</v>
      </c>
      <c r="C301" s="8">
        <f ca="1">IFERROR(__xludf.DUMMYFUNCTION("""COMPUTED_VALUE"""),6)</f>
        <v>6</v>
      </c>
      <c r="D301" s="8">
        <f ca="1">IFERROR(__xludf.DUMMYFUNCTION("""COMPUTED_VALUE"""),2024)</f>
        <v>2024</v>
      </c>
      <c r="E301" s="8">
        <f ca="1">IFERROR(__xludf.DUMMYFUNCTION("""COMPUTED_VALUE"""),0.2)</f>
        <v>0.2</v>
      </c>
      <c r="F301" s="8">
        <f ca="1">IFERROR(__xludf.DUMMYFUNCTION("""COMPUTED_VALUE"""),273.25)</f>
        <v>273.25</v>
      </c>
    </row>
    <row r="302" spans="1:6" x14ac:dyDescent="0.2">
      <c r="A302" s="8" t="str">
        <f ca="1">IFERROR(__xludf.DUMMYFUNCTION("""COMPUTED_VALUE"""),"BBDC3")</f>
        <v>BBDC3</v>
      </c>
      <c r="B302" s="16">
        <f ca="1">IFERROR(__xludf.DUMMYFUNCTION("""COMPUTED_VALUE"""),45471)</f>
        <v>45471</v>
      </c>
      <c r="C302" s="8">
        <f ca="1">IFERROR(__xludf.DUMMYFUNCTION("""COMPUTED_VALUE"""),6)</f>
        <v>6</v>
      </c>
      <c r="D302" s="8">
        <f ca="1">IFERROR(__xludf.DUMMYFUNCTION("""COMPUTED_VALUE"""),2024)</f>
        <v>2024</v>
      </c>
      <c r="E302" s="8">
        <f ca="1">IFERROR(__xludf.DUMMYFUNCTION("""COMPUTED_VALUE"""),0.45)</f>
        <v>0.45</v>
      </c>
      <c r="F302" s="8">
        <f ca="1">IFERROR(__xludf.DUMMYFUNCTION("""COMPUTED_VALUE"""),347.52)</f>
        <v>347.52</v>
      </c>
    </row>
    <row r="303" spans="1:6" x14ac:dyDescent="0.2">
      <c r="A303" s="8" t="str">
        <f ca="1">IFERROR(__xludf.DUMMYFUNCTION("""COMPUTED_VALUE"""),"CPLE6")</f>
        <v>CPLE6</v>
      </c>
      <c r="B303" s="16">
        <f ca="1">IFERROR(__xludf.DUMMYFUNCTION("""COMPUTED_VALUE"""),45471)</f>
        <v>45471</v>
      </c>
      <c r="C303" s="8">
        <f ca="1">IFERROR(__xludf.DUMMYFUNCTION("""COMPUTED_VALUE"""),6)</f>
        <v>6</v>
      </c>
      <c r="D303" s="8">
        <f ca="1">IFERROR(__xludf.DUMMYFUNCTION("""COMPUTED_VALUE"""),2024)</f>
        <v>2024</v>
      </c>
      <c r="E303" s="8">
        <f ca="1">IFERROR(__xludf.DUMMYFUNCTION("""COMPUTED_VALUE"""),0.05)</f>
        <v>0.05</v>
      </c>
      <c r="F303" s="8">
        <f ca="1">IFERROR(__xludf.DUMMYFUNCTION("""COMPUTED_VALUE"""),33.08)</f>
        <v>33.08</v>
      </c>
    </row>
    <row r="304" spans="1:6" x14ac:dyDescent="0.2">
      <c r="A304" s="8" t="str">
        <f ca="1">IFERROR(__xludf.DUMMYFUNCTION("""COMPUTED_VALUE"""),"CPLE6")</f>
        <v>CPLE6</v>
      </c>
      <c r="B304" s="16">
        <f ca="1">IFERROR(__xludf.DUMMYFUNCTION("""COMPUTED_VALUE"""),45471)</f>
        <v>45471</v>
      </c>
      <c r="C304" s="8">
        <f ca="1">IFERROR(__xludf.DUMMYFUNCTION("""COMPUTED_VALUE"""),6)</f>
        <v>6</v>
      </c>
      <c r="D304" s="8">
        <f ca="1">IFERROR(__xludf.DUMMYFUNCTION("""COMPUTED_VALUE"""),2024)</f>
        <v>2024</v>
      </c>
      <c r="E304" s="8">
        <f ca="1">IFERROR(__xludf.DUMMYFUNCTION("""COMPUTED_VALUE"""),0.18)</f>
        <v>0.18</v>
      </c>
      <c r="F304" s="8">
        <f ca="1">IFERROR(__xludf.DUMMYFUNCTION("""COMPUTED_VALUE"""),107.65)</f>
        <v>107.65</v>
      </c>
    </row>
    <row r="305" spans="1:6" x14ac:dyDescent="0.2">
      <c r="A305" s="8" t="str">
        <f ca="1">IFERROR(__xludf.DUMMYFUNCTION("""COMPUTED_VALUE"""),"BRSR6")</f>
        <v>BRSR6</v>
      </c>
      <c r="B305" s="16">
        <f ca="1">IFERROR(__xludf.DUMMYFUNCTION("""COMPUTED_VALUE"""),45470)</f>
        <v>45470</v>
      </c>
      <c r="C305" s="8">
        <f ca="1">IFERROR(__xludf.DUMMYFUNCTION("""COMPUTED_VALUE"""),6)</f>
        <v>6</v>
      </c>
      <c r="D305" s="8">
        <f ca="1">IFERROR(__xludf.DUMMYFUNCTION("""COMPUTED_VALUE"""),2024)</f>
        <v>2024</v>
      </c>
      <c r="E305" s="8">
        <f ca="1">IFERROR(__xludf.DUMMYFUNCTION("""COMPUTED_VALUE"""),0.12)</f>
        <v>0.12</v>
      </c>
      <c r="F305" s="8">
        <f ca="1">IFERROR(__xludf.DUMMYFUNCTION("""COMPUTED_VALUE"""),110.57)</f>
        <v>110.57</v>
      </c>
    </row>
    <row r="306" spans="1:6" x14ac:dyDescent="0.2">
      <c r="A306" s="8" t="str">
        <f ca="1">IFERROR(__xludf.DUMMYFUNCTION("""COMPUTED_VALUE"""),"SAPR4")</f>
        <v>SAPR4</v>
      </c>
      <c r="B306" s="16">
        <f ca="1">IFERROR(__xludf.DUMMYFUNCTION("""COMPUTED_VALUE"""),45470)</f>
        <v>45470</v>
      </c>
      <c r="C306" s="8">
        <f ca="1">IFERROR(__xludf.DUMMYFUNCTION("""COMPUTED_VALUE"""),6)</f>
        <v>6</v>
      </c>
      <c r="D306" s="8">
        <f ca="1">IFERROR(__xludf.DUMMYFUNCTION("""COMPUTED_VALUE"""),2024)</f>
        <v>2024</v>
      </c>
      <c r="E306" s="8">
        <f ca="1">IFERROR(__xludf.DUMMYFUNCTION("""COMPUTED_VALUE"""),0.18)</f>
        <v>0.18</v>
      </c>
      <c r="F306" s="8">
        <f ca="1">IFERROR(__xludf.DUMMYFUNCTION("""COMPUTED_VALUE"""),393.29)</f>
        <v>393.29</v>
      </c>
    </row>
    <row r="307" spans="1:6" x14ac:dyDescent="0.2">
      <c r="A307" s="8" t="str">
        <f ca="1">IFERROR(__xludf.DUMMYFUNCTION("""COMPUTED_VALUE"""),"SAPR4")</f>
        <v>SAPR4</v>
      </c>
      <c r="B307" s="16">
        <f ca="1">IFERROR(__xludf.DUMMYFUNCTION("""COMPUTED_VALUE"""),45470)</f>
        <v>45470</v>
      </c>
      <c r="C307" s="8">
        <f ca="1">IFERROR(__xludf.DUMMYFUNCTION("""COMPUTED_VALUE"""),6)</f>
        <v>6</v>
      </c>
      <c r="D307" s="8">
        <f ca="1">IFERROR(__xludf.DUMMYFUNCTION("""COMPUTED_VALUE"""),2024)</f>
        <v>2024</v>
      </c>
      <c r="E307" s="8">
        <f ca="1">IFERROR(__xludf.DUMMYFUNCTION("""COMPUTED_VALUE"""),0.13)</f>
        <v>0.13</v>
      </c>
      <c r="F307" s="8">
        <f ca="1">IFERROR(__xludf.DUMMYFUNCTION("""COMPUTED_VALUE"""),268.47)</f>
        <v>268.47000000000003</v>
      </c>
    </row>
    <row r="308" spans="1:6" x14ac:dyDescent="0.2">
      <c r="A308" s="8" t="str">
        <f ca="1">IFERROR(__xludf.DUMMYFUNCTION("""COMPUTED_VALUE"""),"TAEE4")</f>
        <v>TAEE4</v>
      </c>
      <c r="B308" s="16">
        <f ca="1">IFERROR(__xludf.DUMMYFUNCTION("""COMPUTED_VALUE"""),45470)</f>
        <v>45470</v>
      </c>
      <c r="C308" s="8">
        <f ca="1">IFERROR(__xludf.DUMMYFUNCTION("""COMPUTED_VALUE"""),6)</f>
        <v>6</v>
      </c>
      <c r="D308" s="8">
        <f ca="1">IFERROR(__xludf.DUMMYFUNCTION("""COMPUTED_VALUE"""),2024)</f>
        <v>2024</v>
      </c>
      <c r="E308" s="8">
        <f ca="1">IFERROR(__xludf.DUMMYFUNCTION("""COMPUTED_VALUE"""),0.14)</f>
        <v>0.14000000000000001</v>
      </c>
      <c r="F308" s="8">
        <f ca="1">IFERROR(__xludf.DUMMYFUNCTION("""COMPUTED_VALUE"""),182.09)</f>
        <v>182.09</v>
      </c>
    </row>
    <row r="309" spans="1:6" x14ac:dyDescent="0.2">
      <c r="A309" s="8" t="str">
        <f ca="1">IFERROR(__xludf.DUMMYFUNCTION("""COMPUTED_VALUE"""),"BBAS3")</f>
        <v>BBAS3</v>
      </c>
      <c r="B309" s="16">
        <f ca="1">IFERROR(__xludf.DUMMYFUNCTION("""COMPUTED_VALUE"""),45464)</f>
        <v>45464</v>
      </c>
      <c r="C309" s="8">
        <f ca="1">IFERROR(__xludf.DUMMYFUNCTION("""COMPUTED_VALUE"""),6)</f>
        <v>6</v>
      </c>
      <c r="D309" s="8">
        <f ca="1">IFERROR(__xludf.DUMMYFUNCTION("""COMPUTED_VALUE"""),2024)</f>
        <v>2024</v>
      </c>
      <c r="E309" s="8">
        <f ca="1">IFERROR(__xludf.DUMMYFUNCTION("""COMPUTED_VALUE"""),0.29)</f>
        <v>0.28999999999999998</v>
      </c>
      <c r="F309" s="8">
        <f ca="1">IFERROR(__xludf.DUMMYFUNCTION("""COMPUTED_VALUE"""),392.22)</f>
        <v>392.22</v>
      </c>
    </row>
    <row r="310" spans="1:6" x14ac:dyDescent="0.2">
      <c r="A310" s="8" t="str">
        <f ca="1">IFERROR(__xludf.DUMMYFUNCTION("""COMPUTED_VALUE"""),"BBAS3")</f>
        <v>BBAS3</v>
      </c>
      <c r="B310" s="16">
        <f ca="1">IFERROR(__xludf.DUMMYFUNCTION("""COMPUTED_VALUE"""),45464)</f>
        <v>45464</v>
      </c>
      <c r="C310" s="8">
        <f ca="1">IFERROR(__xludf.DUMMYFUNCTION("""COMPUTED_VALUE"""),6)</f>
        <v>6</v>
      </c>
      <c r="D310" s="8">
        <f ca="1">IFERROR(__xludf.DUMMYFUNCTION("""COMPUTED_VALUE"""),2024)</f>
        <v>2024</v>
      </c>
      <c r="E310" s="8">
        <f ca="1">IFERROR(__xludf.DUMMYFUNCTION("""COMPUTED_VALUE"""),0.17)</f>
        <v>0.17</v>
      </c>
      <c r="F310" s="8">
        <f ca="1">IFERROR(__xludf.DUMMYFUNCTION("""COMPUTED_VALUE"""),259.37)</f>
        <v>259.37</v>
      </c>
    </row>
    <row r="311" spans="1:6" x14ac:dyDescent="0.2">
      <c r="A311" s="8" t="str">
        <f ca="1">IFERROR(__xludf.DUMMYFUNCTION("""COMPUTED_VALUE"""),"PETR4")</f>
        <v>PETR4</v>
      </c>
      <c r="B311" s="16">
        <f ca="1">IFERROR(__xludf.DUMMYFUNCTION("""COMPUTED_VALUE"""),45463)</f>
        <v>45463</v>
      </c>
      <c r="C311" s="8">
        <f ca="1">IFERROR(__xludf.DUMMYFUNCTION("""COMPUTED_VALUE"""),6)</f>
        <v>6</v>
      </c>
      <c r="D311" s="8">
        <f ca="1">IFERROR(__xludf.DUMMYFUNCTION("""COMPUTED_VALUE"""),2024)</f>
        <v>2024</v>
      </c>
      <c r="E311" s="8">
        <f ca="1">IFERROR(__xludf.DUMMYFUNCTION("""COMPUTED_VALUE"""),0)</f>
        <v>0</v>
      </c>
      <c r="F311" s="8">
        <f ca="1">IFERROR(__xludf.DUMMYFUNCTION("""COMPUTED_VALUE"""),332.89)</f>
        <v>332.89</v>
      </c>
    </row>
    <row r="312" spans="1:6" x14ac:dyDescent="0.2">
      <c r="A312" s="8" t="str">
        <f ca="1">IFERROR(__xludf.DUMMYFUNCTION("""COMPUTED_VALUE"""),"BBDC3")</f>
        <v>BBDC3</v>
      </c>
      <c r="B312" s="16">
        <f ca="1">IFERROR(__xludf.DUMMYFUNCTION("""COMPUTED_VALUE"""),45446)</f>
        <v>45446</v>
      </c>
      <c r="C312" s="8">
        <f ca="1">IFERROR(__xludf.DUMMYFUNCTION("""COMPUTED_VALUE"""),6)</f>
        <v>6</v>
      </c>
      <c r="D312" s="8">
        <f ca="1">IFERROR(__xludf.DUMMYFUNCTION("""COMPUTED_VALUE"""),2024)</f>
        <v>2024</v>
      </c>
      <c r="E312" s="8">
        <f ca="1">IFERROR(__xludf.DUMMYFUNCTION("""COMPUTED_VALUE"""),0.02)</f>
        <v>0.02</v>
      </c>
      <c r="F312" s="8">
        <f ca="1">IFERROR(__xludf.DUMMYFUNCTION("""COMPUTED_VALUE"""),13.4)</f>
        <v>13.4</v>
      </c>
    </row>
    <row r="313" spans="1:6" x14ac:dyDescent="0.2">
      <c r="A313" s="8" t="str">
        <f ca="1">IFERROR(__xludf.DUMMYFUNCTION("""COMPUTED_VALUE"""),"LEVE3")</f>
        <v>LEVE3</v>
      </c>
      <c r="B313" s="16">
        <f ca="1">IFERROR(__xludf.DUMMYFUNCTION("""COMPUTED_VALUE"""),45441)</f>
        <v>45441</v>
      </c>
      <c r="C313" s="8">
        <f ca="1">IFERROR(__xludf.DUMMYFUNCTION("""COMPUTED_VALUE"""),5)</f>
        <v>5</v>
      </c>
      <c r="D313" s="8">
        <f ca="1">IFERROR(__xludf.DUMMYFUNCTION("""COMPUTED_VALUE"""),2024)</f>
        <v>2024</v>
      </c>
      <c r="E313" s="8">
        <f ca="1">IFERROR(__xludf.DUMMYFUNCTION("""COMPUTED_VALUE"""),1.63)</f>
        <v>1.63</v>
      </c>
      <c r="F313" s="8">
        <f ca="1">IFERROR(__xludf.DUMMYFUNCTION("""COMPUTED_VALUE"""),440.76)</f>
        <v>440.76</v>
      </c>
    </row>
    <row r="314" spans="1:6" x14ac:dyDescent="0.2">
      <c r="A314" s="8" t="str">
        <f ca="1">IFERROR(__xludf.DUMMYFUNCTION("""COMPUTED_VALUE"""),"PETR4")</f>
        <v>PETR4</v>
      </c>
      <c r="B314" s="16">
        <f ca="1">IFERROR(__xludf.DUMMYFUNCTION("""COMPUTED_VALUE"""),45432)</f>
        <v>45432</v>
      </c>
      <c r="C314" s="8">
        <f ca="1">IFERROR(__xludf.DUMMYFUNCTION("""COMPUTED_VALUE"""),5)</f>
        <v>5</v>
      </c>
      <c r="D314" s="8">
        <f ca="1">IFERROR(__xludf.DUMMYFUNCTION("""COMPUTED_VALUE"""),2024)</f>
        <v>2024</v>
      </c>
      <c r="E314" s="8">
        <f ca="1">IFERROR(__xludf.DUMMYFUNCTION("""COMPUTED_VALUE"""),0)</f>
        <v>0</v>
      </c>
      <c r="F314" s="8">
        <f ca="1">IFERROR(__xludf.DUMMYFUNCTION("""COMPUTED_VALUE"""),330.65)</f>
        <v>330.65</v>
      </c>
    </row>
    <row r="315" spans="1:6" x14ac:dyDescent="0.2">
      <c r="A315" s="8" t="str">
        <f ca="1">IFERROR(__xludf.DUMMYFUNCTION("""COMPUTED_VALUE"""),"BRSR6")</f>
        <v>BRSR6</v>
      </c>
      <c r="B315" s="16">
        <f ca="1">IFERROR(__xludf.DUMMYFUNCTION("""COMPUTED_VALUE"""),45429)</f>
        <v>45429</v>
      </c>
      <c r="C315" s="8">
        <f ca="1">IFERROR(__xludf.DUMMYFUNCTION("""COMPUTED_VALUE"""),5)</f>
        <v>5</v>
      </c>
      <c r="D315" s="8">
        <f ca="1">IFERROR(__xludf.DUMMYFUNCTION("""COMPUTED_VALUE"""),2024)</f>
        <v>2024</v>
      </c>
      <c r="E315" s="8">
        <f ca="1">IFERROR(__xludf.DUMMYFUNCTION("""COMPUTED_VALUE"""),0.18)</f>
        <v>0.18</v>
      </c>
      <c r="F315" s="8">
        <f ca="1">IFERROR(__xludf.DUMMYFUNCTION("""COMPUTED_VALUE"""),176.55)</f>
        <v>176.55</v>
      </c>
    </row>
    <row r="316" spans="1:6" x14ac:dyDescent="0.2">
      <c r="A316" s="8" t="str">
        <f ca="1">IFERROR(__xludf.DUMMYFUNCTION("""COMPUTED_VALUE"""),"KLBN4")</f>
        <v>KLBN4</v>
      </c>
      <c r="B316" s="16">
        <f ca="1">IFERROR(__xludf.DUMMYFUNCTION("""COMPUTED_VALUE"""),45428)</f>
        <v>45428</v>
      </c>
      <c r="C316" s="8">
        <f ca="1">IFERROR(__xludf.DUMMYFUNCTION("""COMPUTED_VALUE"""),5)</f>
        <v>5</v>
      </c>
      <c r="D316" s="8">
        <f ca="1">IFERROR(__xludf.DUMMYFUNCTION("""COMPUTED_VALUE"""),2024)</f>
        <v>2024</v>
      </c>
      <c r="E316" s="8">
        <f ca="1">IFERROR(__xludf.DUMMYFUNCTION("""COMPUTED_VALUE"""),0.06)</f>
        <v>0.06</v>
      </c>
      <c r="F316" s="8">
        <f ca="1">IFERROR(__xludf.DUMMYFUNCTION("""COMPUTED_VALUE"""),110.1)</f>
        <v>110.1</v>
      </c>
    </row>
    <row r="317" spans="1:6" x14ac:dyDescent="0.2">
      <c r="A317" s="8" t="str">
        <f ca="1">IFERROR(__xludf.DUMMYFUNCTION("""COMPUTED_VALUE"""),"TAEE4")</f>
        <v>TAEE4</v>
      </c>
      <c r="B317" s="16">
        <f ca="1">IFERROR(__xludf.DUMMYFUNCTION("""COMPUTED_VALUE"""),45428)</f>
        <v>45428</v>
      </c>
      <c r="C317" s="8">
        <f ca="1">IFERROR(__xludf.DUMMYFUNCTION("""COMPUTED_VALUE"""),5)</f>
        <v>5</v>
      </c>
      <c r="D317" s="8">
        <f ca="1">IFERROR(__xludf.DUMMYFUNCTION("""COMPUTED_VALUE"""),2024)</f>
        <v>2024</v>
      </c>
      <c r="E317" s="8">
        <f ca="1">IFERROR(__xludf.DUMMYFUNCTION("""COMPUTED_VALUE"""),0.38)</f>
        <v>0.38</v>
      </c>
      <c r="F317" s="8">
        <f ca="1">IFERROR(__xludf.DUMMYFUNCTION("""COMPUTED_VALUE"""),577.02)</f>
        <v>577.02</v>
      </c>
    </row>
    <row r="318" spans="1:6" x14ac:dyDescent="0.2">
      <c r="A318" s="8" t="str">
        <f ca="1">IFERROR(__xludf.DUMMYFUNCTION("""COMPUTED_VALUE"""),"CXSE3")</f>
        <v>CXSE3</v>
      </c>
      <c r="B318" s="16">
        <f ca="1">IFERROR(__xludf.DUMMYFUNCTION("""COMPUTED_VALUE"""),45420)</f>
        <v>45420</v>
      </c>
      <c r="C318" s="8">
        <f ca="1">IFERROR(__xludf.DUMMYFUNCTION("""COMPUTED_VALUE"""),5)</f>
        <v>5</v>
      </c>
      <c r="D318" s="8">
        <f ca="1">IFERROR(__xludf.DUMMYFUNCTION("""COMPUTED_VALUE"""),2024)</f>
        <v>2024</v>
      </c>
      <c r="E318" s="8">
        <f ca="1">IFERROR(__xludf.DUMMYFUNCTION("""COMPUTED_VALUE"""),0)</f>
        <v>0</v>
      </c>
      <c r="F318" s="8">
        <f ca="1">IFERROR(__xludf.DUMMYFUNCTION("""COMPUTED_VALUE"""),6.16)</f>
        <v>6.16</v>
      </c>
    </row>
    <row r="319" spans="1:6" x14ac:dyDescent="0.2">
      <c r="A319" s="8" t="str">
        <f ca="1">IFERROR(__xludf.DUMMYFUNCTION("""COMPUTED_VALUE"""),"CXSE3")</f>
        <v>CXSE3</v>
      </c>
      <c r="B319" s="16">
        <f ca="1">IFERROR(__xludf.DUMMYFUNCTION("""COMPUTED_VALUE"""),45420)</f>
        <v>45420</v>
      </c>
      <c r="C319" s="8">
        <f ca="1">IFERROR(__xludf.DUMMYFUNCTION("""COMPUTED_VALUE"""),5)</f>
        <v>5</v>
      </c>
      <c r="D319" s="8">
        <f ca="1">IFERROR(__xludf.DUMMYFUNCTION("""COMPUTED_VALUE"""),2024)</f>
        <v>2024</v>
      </c>
      <c r="E319" s="8">
        <f ca="1">IFERROR(__xludf.DUMMYFUNCTION("""COMPUTED_VALUE"""),0.55)</f>
        <v>0.55000000000000004</v>
      </c>
      <c r="F319" s="8">
        <f ca="1">IFERROR(__xludf.DUMMYFUNCTION("""COMPUTED_VALUE"""),277.49)</f>
        <v>277.49</v>
      </c>
    </row>
    <row r="320" spans="1:6" x14ac:dyDescent="0.2">
      <c r="A320" s="8" t="str">
        <f ca="1">IFERROR(__xludf.DUMMYFUNCTION("""COMPUTED_VALUE"""),"BBDC3")</f>
        <v>BBDC3</v>
      </c>
      <c r="B320" s="16">
        <f ca="1">IFERROR(__xludf.DUMMYFUNCTION("""COMPUTED_VALUE"""),45414)</f>
        <v>45414</v>
      </c>
      <c r="C320" s="8">
        <f ca="1">IFERROR(__xludf.DUMMYFUNCTION("""COMPUTED_VALUE"""),5)</f>
        <v>5</v>
      </c>
      <c r="D320" s="8">
        <f ca="1">IFERROR(__xludf.DUMMYFUNCTION("""COMPUTED_VALUE"""),2024)</f>
        <v>2024</v>
      </c>
      <c r="E320" s="8">
        <f ca="1">IFERROR(__xludf.DUMMYFUNCTION("""COMPUTED_VALUE"""),0.02)</f>
        <v>0.02</v>
      </c>
      <c r="F320" s="8">
        <f ca="1">IFERROR(__xludf.DUMMYFUNCTION("""COMPUTED_VALUE"""),13.4)</f>
        <v>13.4</v>
      </c>
    </row>
    <row r="321" spans="1:6" x14ac:dyDescent="0.2">
      <c r="A321" s="8" t="str">
        <f ca="1">IFERROR(__xludf.DUMMYFUNCTION("""COMPUTED_VALUE"""),"VIVT3")</f>
        <v>VIVT3</v>
      </c>
      <c r="B321" s="16">
        <f ca="1">IFERROR(__xludf.DUMMYFUNCTION("""COMPUTED_VALUE"""),45405)</f>
        <v>45405</v>
      </c>
      <c r="C321" s="8">
        <f ca="1">IFERROR(__xludf.DUMMYFUNCTION("""COMPUTED_VALUE"""),4)</f>
        <v>4</v>
      </c>
      <c r="D321" s="8">
        <f ca="1">IFERROR(__xludf.DUMMYFUNCTION("""COMPUTED_VALUE"""),2024)</f>
        <v>2024</v>
      </c>
      <c r="E321" s="8">
        <f ca="1">IFERROR(__xludf.DUMMYFUNCTION("""COMPUTED_VALUE"""),0.24)</f>
        <v>0.24</v>
      </c>
      <c r="F321" s="8">
        <f ca="1">IFERROR(__xludf.DUMMYFUNCTION("""COMPUTED_VALUE"""),48.17)</f>
        <v>48.17</v>
      </c>
    </row>
    <row r="322" spans="1:6" x14ac:dyDescent="0.2">
      <c r="A322" s="8" t="str">
        <f ca="1">IFERROR(__xludf.DUMMYFUNCTION("""COMPUTED_VALUE"""),"VIVT3")</f>
        <v>VIVT3</v>
      </c>
      <c r="B322" s="16">
        <f ca="1">IFERROR(__xludf.DUMMYFUNCTION("""COMPUTED_VALUE"""),45405)</f>
        <v>45405</v>
      </c>
      <c r="C322" s="8">
        <f ca="1">IFERROR(__xludf.DUMMYFUNCTION("""COMPUTED_VALUE"""),4)</f>
        <v>4</v>
      </c>
      <c r="D322" s="8">
        <f ca="1">IFERROR(__xludf.DUMMYFUNCTION("""COMPUTED_VALUE"""),2024)</f>
        <v>2024</v>
      </c>
      <c r="E322" s="8">
        <f ca="1">IFERROR(__xludf.DUMMYFUNCTION("""COMPUTED_VALUE"""),0.19)</f>
        <v>0.19</v>
      </c>
      <c r="F322" s="8">
        <f ca="1">IFERROR(__xludf.DUMMYFUNCTION("""COMPUTED_VALUE"""),38.02)</f>
        <v>38.020000000000003</v>
      </c>
    </row>
    <row r="323" spans="1:6" x14ac:dyDescent="0.2">
      <c r="A323" s="8" t="str">
        <f ca="1">IFERROR(__xludf.DUMMYFUNCTION("""COMPUTED_VALUE"""),"TRPL4")</f>
        <v>TRPL4</v>
      </c>
      <c r="B323" s="16">
        <f ca="1">IFERROR(__xludf.DUMMYFUNCTION("""COMPUTED_VALUE"""),45392)</f>
        <v>45392</v>
      </c>
      <c r="C323" s="8">
        <f ca="1">IFERROR(__xludf.DUMMYFUNCTION("""COMPUTED_VALUE"""),4)</f>
        <v>4</v>
      </c>
      <c r="D323" s="8">
        <f ca="1">IFERROR(__xludf.DUMMYFUNCTION("""COMPUTED_VALUE"""),2024)</f>
        <v>2024</v>
      </c>
      <c r="E323" s="8">
        <f ca="1">IFERROR(__xludf.DUMMYFUNCTION("""COMPUTED_VALUE"""),1.96)</f>
        <v>1.96</v>
      </c>
      <c r="F323" s="8">
        <f ca="1">IFERROR(__xludf.DUMMYFUNCTION("""COMPUTED_VALUE"""),1243.63)</f>
        <v>1243.6300000000001</v>
      </c>
    </row>
    <row r="324" spans="1:6" x14ac:dyDescent="0.2">
      <c r="A324" s="8" t="str">
        <f ca="1">IFERROR(__xludf.DUMMYFUNCTION("""COMPUTED_VALUE"""),"BBDC3")</f>
        <v>BBDC3</v>
      </c>
      <c r="B324" s="16">
        <f ca="1">IFERROR(__xludf.DUMMYFUNCTION("""COMPUTED_VALUE"""),45383)</f>
        <v>45383</v>
      </c>
      <c r="C324" s="8">
        <f ca="1">IFERROR(__xludf.DUMMYFUNCTION("""COMPUTED_VALUE"""),4)</f>
        <v>4</v>
      </c>
      <c r="D324" s="8">
        <f ca="1">IFERROR(__xludf.DUMMYFUNCTION("""COMPUTED_VALUE"""),2024)</f>
        <v>2024</v>
      </c>
      <c r="E324" s="8">
        <f ca="1">IFERROR(__xludf.DUMMYFUNCTION("""COMPUTED_VALUE"""),0.02)</f>
        <v>0.02</v>
      </c>
      <c r="F324" s="8">
        <f ca="1">IFERROR(__xludf.DUMMYFUNCTION("""COMPUTED_VALUE"""),13.4)</f>
        <v>13.4</v>
      </c>
    </row>
    <row r="325" spans="1:6" x14ac:dyDescent="0.2">
      <c r="A325" s="8" t="str">
        <f ca="1">IFERROR(__xludf.DUMMYFUNCTION("""COMPUTED_VALUE"""),"BBAS3")</f>
        <v>BBAS3</v>
      </c>
      <c r="B325" s="16">
        <f ca="1">IFERROR(__xludf.DUMMYFUNCTION("""COMPUTED_VALUE"""),45378)</f>
        <v>45378</v>
      </c>
      <c r="C325" s="8">
        <f ca="1">IFERROR(__xludf.DUMMYFUNCTION("""COMPUTED_VALUE"""),3)</f>
        <v>3</v>
      </c>
      <c r="D325" s="8">
        <f ca="1">IFERROR(__xludf.DUMMYFUNCTION("""COMPUTED_VALUE"""),2024)</f>
        <v>2024</v>
      </c>
      <c r="E325" s="8">
        <f ca="1">IFERROR(__xludf.DUMMYFUNCTION("""COMPUTED_VALUE"""),0.41)</f>
        <v>0.41</v>
      </c>
      <c r="F325" s="8">
        <f ca="1">IFERROR(__xludf.DUMMYFUNCTION("""COMPUTED_VALUE"""),274.29)</f>
        <v>274.29000000000002</v>
      </c>
    </row>
    <row r="326" spans="1:6" x14ac:dyDescent="0.2">
      <c r="A326" s="8" t="str">
        <f ca="1">IFERROR(__xludf.DUMMYFUNCTION("""COMPUTED_VALUE"""),"BRSR6")</f>
        <v>BRSR6</v>
      </c>
      <c r="B326" s="16">
        <f ca="1">IFERROR(__xludf.DUMMYFUNCTION("""COMPUTED_VALUE"""),45378)</f>
        <v>45378</v>
      </c>
      <c r="C326" s="8">
        <f ca="1">IFERROR(__xludf.DUMMYFUNCTION("""COMPUTED_VALUE"""),3)</f>
        <v>3</v>
      </c>
      <c r="D326" s="8">
        <f ca="1">IFERROR(__xludf.DUMMYFUNCTION("""COMPUTED_VALUE"""),2024)</f>
        <v>2024</v>
      </c>
      <c r="E326" s="8">
        <f ca="1">IFERROR(__xludf.DUMMYFUNCTION("""COMPUTED_VALUE"""),0.12)</f>
        <v>0.12</v>
      </c>
      <c r="F326" s="8">
        <f ca="1">IFERROR(__xludf.DUMMYFUNCTION("""COMPUTED_VALUE"""),100.18)</f>
        <v>100.18</v>
      </c>
    </row>
    <row r="327" spans="1:6" x14ac:dyDescent="0.2">
      <c r="A327" s="8" t="str">
        <f ca="1">IFERROR(__xludf.DUMMYFUNCTION("""COMPUTED_VALUE"""),"PETR4")</f>
        <v>PETR4</v>
      </c>
      <c r="B327" s="16">
        <f ca="1">IFERROR(__xludf.DUMMYFUNCTION("""COMPUTED_VALUE"""),45371)</f>
        <v>45371</v>
      </c>
      <c r="C327" s="8">
        <f ca="1">IFERROR(__xludf.DUMMYFUNCTION("""COMPUTED_VALUE"""),3)</f>
        <v>3</v>
      </c>
      <c r="D327" s="8">
        <f ca="1">IFERROR(__xludf.DUMMYFUNCTION("""COMPUTED_VALUE"""),2024)</f>
        <v>2024</v>
      </c>
      <c r="E327" s="8">
        <f ca="1">IFERROR(__xludf.DUMMYFUNCTION("""COMPUTED_VALUE"""),0)</f>
        <v>0</v>
      </c>
      <c r="F327" s="8">
        <f ca="1">IFERROR(__xludf.DUMMYFUNCTION("""COMPUTED_VALUE"""),156.87)</f>
        <v>156.87</v>
      </c>
    </row>
    <row r="328" spans="1:6" x14ac:dyDescent="0.2">
      <c r="A328" s="8" t="str">
        <f ca="1">IFERROR(__xludf.DUMMYFUNCTION("""COMPUTED_VALUE"""),"BBDC3")</f>
        <v>BBDC3</v>
      </c>
      <c r="B328" s="16">
        <f ca="1">IFERROR(__xludf.DUMMYFUNCTION("""COMPUTED_VALUE"""),45352)</f>
        <v>45352</v>
      </c>
      <c r="C328" s="8">
        <f ca="1">IFERROR(__xludf.DUMMYFUNCTION("""COMPUTED_VALUE"""),3)</f>
        <v>3</v>
      </c>
      <c r="D328" s="8">
        <f ca="1">IFERROR(__xludf.DUMMYFUNCTION("""COMPUTED_VALUE"""),2024)</f>
        <v>2024</v>
      </c>
      <c r="E328" s="8">
        <f ca="1">IFERROR(__xludf.DUMMYFUNCTION("""COMPUTED_VALUE"""),0.02)</f>
        <v>0.02</v>
      </c>
      <c r="F328" s="8">
        <f ca="1">IFERROR(__xludf.DUMMYFUNCTION("""COMPUTED_VALUE"""),13.4)</f>
        <v>13.4</v>
      </c>
    </row>
    <row r="329" spans="1:6" x14ac:dyDescent="0.2">
      <c r="A329" s="8" t="str">
        <f ca="1">IFERROR(__xludf.DUMMYFUNCTION("""COMPUTED_VALUE"""),"BBAS3")</f>
        <v>BBAS3</v>
      </c>
      <c r="B329" s="16">
        <f ca="1">IFERROR(__xludf.DUMMYFUNCTION("""COMPUTED_VALUE"""),45351)</f>
        <v>45351</v>
      </c>
      <c r="C329" s="8">
        <f ca="1">IFERROR(__xludf.DUMMYFUNCTION("""COMPUTED_VALUE"""),2)</f>
        <v>2</v>
      </c>
      <c r="D329" s="8">
        <f ca="1">IFERROR(__xludf.DUMMYFUNCTION("""COMPUTED_VALUE"""),2024)</f>
        <v>2024</v>
      </c>
      <c r="E329" s="8">
        <f ca="1">IFERROR(__xludf.DUMMYFUNCTION("""COMPUTED_VALUE"""),0.61)</f>
        <v>0.61</v>
      </c>
      <c r="F329" s="8">
        <f ca="1">IFERROR(__xludf.DUMMYFUNCTION("""COMPUTED_VALUE"""),410.5)</f>
        <v>410.5</v>
      </c>
    </row>
    <row r="330" spans="1:6" x14ac:dyDescent="0.2">
      <c r="A330" s="8" t="str">
        <f ca="1">IFERROR(__xludf.DUMMYFUNCTION("""COMPUTED_VALUE"""),"BBAS3")</f>
        <v>BBAS3</v>
      </c>
      <c r="B330" s="16">
        <f ca="1">IFERROR(__xludf.DUMMYFUNCTION("""COMPUTED_VALUE"""),45351)</f>
        <v>45351</v>
      </c>
      <c r="C330" s="8">
        <f ca="1">IFERROR(__xludf.DUMMYFUNCTION("""COMPUTED_VALUE"""),2)</f>
        <v>2</v>
      </c>
      <c r="D330" s="8">
        <f ca="1">IFERROR(__xludf.DUMMYFUNCTION("""COMPUTED_VALUE"""),2024)</f>
        <v>2024</v>
      </c>
      <c r="E330" s="8">
        <f ca="1">IFERROR(__xludf.DUMMYFUNCTION("""COMPUTED_VALUE"""),0.22)</f>
        <v>0.22</v>
      </c>
      <c r="F330" s="8">
        <f ca="1">IFERROR(__xludf.DUMMYFUNCTION("""COMPUTED_VALUE"""),173.78)</f>
        <v>173.78</v>
      </c>
    </row>
    <row r="331" spans="1:6" x14ac:dyDescent="0.2">
      <c r="A331" s="8" t="str">
        <f ca="1">IFERROR(__xludf.DUMMYFUNCTION("""COMPUTED_VALUE"""),"BBAS3")</f>
        <v>BBAS3</v>
      </c>
      <c r="B331" s="16">
        <f ca="1">IFERROR(__xludf.DUMMYFUNCTION("""COMPUTED_VALUE"""),45351)</f>
        <v>45351</v>
      </c>
      <c r="C331" s="8">
        <f ca="1">IFERROR(__xludf.DUMMYFUNCTION("""COMPUTED_VALUE"""),2)</f>
        <v>2</v>
      </c>
      <c r="D331" s="8">
        <f ca="1">IFERROR(__xludf.DUMMYFUNCTION("""COMPUTED_VALUE"""),2024)</f>
        <v>2024</v>
      </c>
      <c r="E331" s="8">
        <f ca="1">IFERROR(__xludf.DUMMYFUNCTION("""COMPUTED_VALUE"""),0)</f>
        <v>0</v>
      </c>
      <c r="F331" s="8">
        <f ca="1">IFERROR(__xludf.DUMMYFUNCTION("""COMPUTED_VALUE"""),2.39)</f>
        <v>2.39</v>
      </c>
    </row>
    <row r="332" spans="1:6" x14ac:dyDescent="0.2">
      <c r="A332" s="8" t="str">
        <f ca="1">IFERROR(__xludf.DUMMYFUNCTION("""COMPUTED_VALUE"""),"BBAS3")</f>
        <v>BBAS3</v>
      </c>
      <c r="B332" s="16">
        <f ca="1">IFERROR(__xludf.DUMMYFUNCTION("""COMPUTED_VALUE"""),45351)</f>
        <v>45351</v>
      </c>
      <c r="C332" s="8">
        <f ca="1">IFERROR(__xludf.DUMMYFUNCTION("""COMPUTED_VALUE"""),2)</f>
        <v>2</v>
      </c>
      <c r="D332" s="8">
        <f ca="1">IFERROR(__xludf.DUMMYFUNCTION("""COMPUTED_VALUE"""),2024)</f>
        <v>2024</v>
      </c>
      <c r="E332" s="8">
        <f ca="1">IFERROR(__xludf.DUMMYFUNCTION("""COMPUTED_VALUE"""),0)</f>
        <v>0</v>
      </c>
      <c r="F332" s="8">
        <f ca="1">IFERROR(__xludf.DUMMYFUNCTION("""COMPUTED_VALUE"""),6.65)</f>
        <v>6.65</v>
      </c>
    </row>
    <row r="333" spans="1:6" x14ac:dyDescent="0.2">
      <c r="A333" s="8" t="str">
        <f ca="1">IFERROR(__xludf.DUMMYFUNCTION("""COMPUTED_VALUE"""),"KLBN4")</f>
        <v>KLBN4</v>
      </c>
      <c r="B333" s="16">
        <f ca="1">IFERROR(__xludf.DUMMYFUNCTION("""COMPUTED_VALUE"""),45348)</f>
        <v>45348</v>
      </c>
      <c r="C333" s="8">
        <f ca="1">IFERROR(__xludf.DUMMYFUNCTION("""COMPUTED_VALUE"""),2)</f>
        <v>2</v>
      </c>
      <c r="D333" s="8">
        <f ca="1">IFERROR(__xludf.DUMMYFUNCTION("""COMPUTED_VALUE"""),2024)</f>
        <v>2024</v>
      </c>
      <c r="E333" s="8">
        <f ca="1">IFERROR(__xludf.DUMMYFUNCTION("""COMPUTED_VALUE"""),0.04)</f>
        <v>0.04</v>
      </c>
      <c r="F333" s="8">
        <f ca="1">IFERROR(__xludf.DUMMYFUNCTION("""COMPUTED_VALUE"""),64.17)</f>
        <v>64.17</v>
      </c>
    </row>
    <row r="334" spans="1:6" x14ac:dyDescent="0.2">
      <c r="A334" s="8" t="str">
        <f ca="1">IFERROR(__xludf.DUMMYFUNCTION("""COMPUTED_VALUE"""),"KLBN4")</f>
        <v>KLBN4</v>
      </c>
      <c r="B334" s="16">
        <f ca="1">IFERROR(__xludf.DUMMYFUNCTION("""COMPUTED_VALUE"""),45348)</f>
        <v>45348</v>
      </c>
      <c r="C334" s="8">
        <f ca="1">IFERROR(__xludf.DUMMYFUNCTION("""COMPUTED_VALUE"""),2)</f>
        <v>2</v>
      </c>
      <c r="D334" s="8">
        <f ca="1">IFERROR(__xludf.DUMMYFUNCTION("""COMPUTED_VALUE"""),2024)</f>
        <v>2024</v>
      </c>
      <c r="E334" s="8">
        <f ca="1">IFERROR(__xludf.DUMMYFUNCTION("""COMPUTED_VALUE"""),0.03)</f>
        <v>0.03</v>
      </c>
      <c r="F334" s="8">
        <f ca="1">IFERROR(__xludf.DUMMYFUNCTION("""COMPUTED_VALUE"""),48.58)</f>
        <v>48.58</v>
      </c>
    </row>
    <row r="335" spans="1:6" x14ac:dyDescent="0.2">
      <c r="A335" s="8" t="str">
        <f ca="1">IFERROR(__xludf.DUMMYFUNCTION("""COMPUTED_VALUE"""),"BBSE3")</f>
        <v>BBSE3</v>
      </c>
      <c r="B335" s="16">
        <f ca="1">IFERROR(__xludf.DUMMYFUNCTION("""COMPUTED_VALUE"""),45344)</f>
        <v>45344</v>
      </c>
      <c r="C335" s="8">
        <f ca="1">IFERROR(__xludf.DUMMYFUNCTION("""COMPUTED_VALUE"""),2)</f>
        <v>2</v>
      </c>
      <c r="D335" s="8">
        <f ca="1">IFERROR(__xludf.DUMMYFUNCTION("""COMPUTED_VALUE"""),2024)</f>
        <v>2024</v>
      </c>
      <c r="E335" s="8">
        <f ca="1">IFERROR(__xludf.DUMMYFUNCTION("""COMPUTED_VALUE"""),0)</f>
        <v>0</v>
      </c>
      <c r="F335" s="8">
        <f ca="1">IFERROR(__xludf.DUMMYFUNCTION("""COMPUTED_VALUE"""),16.41)</f>
        <v>16.41</v>
      </c>
    </row>
    <row r="336" spans="1:6" x14ac:dyDescent="0.2">
      <c r="A336" s="8" t="str">
        <f ca="1">IFERROR(__xludf.DUMMYFUNCTION("""COMPUTED_VALUE"""),"BBSE3")</f>
        <v>BBSE3</v>
      </c>
      <c r="B336" s="16">
        <f ca="1">IFERROR(__xludf.DUMMYFUNCTION("""COMPUTED_VALUE"""),45344)</f>
        <v>45344</v>
      </c>
      <c r="C336" s="8">
        <f ca="1">IFERROR(__xludf.DUMMYFUNCTION("""COMPUTED_VALUE"""),2)</f>
        <v>2</v>
      </c>
      <c r="D336" s="8">
        <f ca="1">IFERROR(__xludf.DUMMYFUNCTION("""COMPUTED_VALUE"""),2024)</f>
        <v>2024</v>
      </c>
      <c r="E336" s="8">
        <f ca="1">IFERROR(__xludf.DUMMYFUNCTION("""COMPUTED_VALUE"""),1.24)</f>
        <v>1.24</v>
      </c>
      <c r="F336" s="8">
        <f ca="1">IFERROR(__xludf.DUMMYFUNCTION("""COMPUTED_VALUE"""),1354.88)</f>
        <v>1354.88</v>
      </c>
    </row>
    <row r="337" spans="1:6" x14ac:dyDescent="0.2">
      <c r="A337" s="8" t="str">
        <f ca="1">IFERROR(__xludf.DUMMYFUNCTION("""COMPUTED_VALUE"""),"ABCB4")</f>
        <v>ABCB4</v>
      </c>
      <c r="B337" s="16">
        <f ca="1">IFERROR(__xludf.DUMMYFUNCTION("""COMPUTED_VALUE"""),45342)</f>
        <v>45342</v>
      </c>
      <c r="C337" s="8">
        <f ca="1">IFERROR(__xludf.DUMMYFUNCTION("""COMPUTED_VALUE"""),2)</f>
        <v>2</v>
      </c>
      <c r="D337" s="8">
        <f ca="1">IFERROR(__xludf.DUMMYFUNCTION("""COMPUTED_VALUE"""),2024)</f>
        <v>2024</v>
      </c>
      <c r="E337" s="8">
        <f ca="1">IFERROR(__xludf.DUMMYFUNCTION("""COMPUTED_VALUE"""),0.74)</f>
        <v>0.74</v>
      </c>
      <c r="F337" s="8">
        <f ca="1">IFERROR(__xludf.DUMMYFUNCTION("""COMPUTED_VALUE"""),92.59)</f>
        <v>92.59</v>
      </c>
    </row>
    <row r="338" spans="1:6" x14ac:dyDescent="0.2">
      <c r="A338" s="8" t="str">
        <f ca="1">IFERROR(__xludf.DUMMYFUNCTION("""COMPUTED_VALUE"""),"PETR4")</f>
        <v>PETR4</v>
      </c>
      <c r="B338" s="16">
        <f ca="1">IFERROR(__xludf.DUMMYFUNCTION("""COMPUTED_VALUE"""),45342)</f>
        <v>45342</v>
      </c>
      <c r="C338" s="8">
        <f ca="1">IFERROR(__xludf.DUMMYFUNCTION("""COMPUTED_VALUE"""),2)</f>
        <v>2</v>
      </c>
      <c r="D338" s="8">
        <f ca="1">IFERROR(__xludf.DUMMYFUNCTION("""COMPUTED_VALUE"""),2024)</f>
        <v>2024</v>
      </c>
      <c r="E338" s="8">
        <f ca="1">IFERROR(__xludf.DUMMYFUNCTION("""COMPUTED_VALUE"""),0)</f>
        <v>0</v>
      </c>
      <c r="F338" s="8">
        <f ca="1">IFERROR(__xludf.DUMMYFUNCTION("""COMPUTED_VALUE"""),141.06)</f>
        <v>141.06</v>
      </c>
    </row>
    <row r="339" spans="1:6" x14ac:dyDescent="0.2">
      <c r="A339" s="8" t="str">
        <f ca="1">IFERROR(__xludf.DUMMYFUNCTION("""COMPUTED_VALUE"""),"BBDC3")</f>
        <v>BBDC3</v>
      </c>
      <c r="B339" s="16">
        <f ca="1">IFERROR(__xludf.DUMMYFUNCTION("""COMPUTED_VALUE"""),45323)</f>
        <v>45323</v>
      </c>
      <c r="C339" s="8">
        <f ca="1">IFERROR(__xludf.DUMMYFUNCTION("""COMPUTED_VALUE"""),2)</f>
        <v>2</v>
      </c>
      <c r="D339" s="8">
        <f ca="1">IFERROR(__xludf.DUMMYFUNCTION("""COMPUTED_VALUE"""),2024)</f>
        <v>2024</v>
      </c>
      <c r="E339" s="8">
        <f ca="1">IFERROR(__xludf.DUMMYFUNCTION("""COMPUTED_VALUE"""),0.02)</f>
        <v>0.02</v>
      </c>
      <c r="F339" s="8">
        <f ca="1">IFERROR(__xludf.DUMMYFUNCTION("""COMPUTED_VALUE"""),13.4)</f>
        <v>13.4</v>
      </c>
    </row>
    <row r="340" spans="1:6" x14ac:dyDescent="0.2">
      <c r="A340" s="8" t="str">
        <f ca="1">IFERROR(__xludf.DUMMYFUNCTION("""COMPUTED_VALUE"""),"TAEE4")</f>
        <v>TAEE4</v>
      </c>
      <c r="B340" s="16">
        <f ca="1">IFERROR(__xludf.DUMMYFUNCTION("""COMPUTED_VALUE"""),45307)</f>
        <v>45307</v>
      </c>
      <c r="C340" s="8">
        <f ca="1">IFERROR(__xludf.DUMMYFUNCTION("""COMPUTED_VALUE"""),1)</f>
        <v>1</v>
      </c>
      <c r="D340" s="8">
        <f ca="1">IFERROR(__xludf.DUMMYFUNCTION("""COMPUTED_VALUE"""),2024)</f>
        <v>2024</v>
      </c>
      <c r="E340" s="8">
        <f ca="1">IFERROR(__xludf.DUMMYFUNCTION("""COMPUTED_VALUE"""),0.22)</f>
        <v>0.22</v>
      </c>
      <c r="F340" s="8">
        <f ca="1">IFERROR(__xludf.DUMMYFUNCTION("""COMPUTED_VALUE"""),337.09)</f>
        <v>337.09</v>
      </c>
    </row>
    <row r="341" spans="1:6" x14ac:dyDescent="0.2">
      <c r="A341" s="8" t="str">
        <f ca="1">IFERROR(__xludf.DUMMYFUNCTION("""COMPUTED_VALUE"""),"TRPL4")</f>
        <v>TRPL4</v>
      </c>
      <c r="B341" s="16">
        <f ca="1">IFERROR(__xludf.DUMMYFUNCTION("""COMPUTED_VALUE"""),45306)</f>
        <v>45306</v>
      </c>
      <c r="C341" s="8">
        <f ca="1">IFERROR(__xludf.DUMMYFUNCTION("""COMPUTED_VALUE"""),1)</f>
        <v>1</v>
      </c>
      <c r="D341" s="8">
        <f ca="1">IFERROR(__xludf.DUMMYFUNCTION("""COMPUTED_VALUE"""),2024)</f>
        <v>2024</v>
      </c>
      <c r="E341" s="8">
        <f ca="1">IFERROR(__xludf.DUMMYFUNCTION("""COMPUTED_VALUE"""),0.24)</f>
        <v>0.24</v>
      </c>
      <c r="F341" s="8">
        <f ca="1">IFERROR(__xludf.DUMMYFUNCTION("""COMPUTED_VALUE"""),153.98)</f>
        <v>153.97999999999999</v>
      </c>
    </row>
    <row r="342" spans="1:6" x14ac:dyDescent="0.2">
      <c r="A342" s="8" t="str">
        <f ca="1">IFERROR(__xludf.DUMMYFUNCTION("""COMPUTED_VALUE"""),"BBDC3")</f>
        <v>BBDC3</v>
      </c>
      <c r="B342" s="16">
        <f ca="1">IFERROR(__xludf.DUMMYFUNCTION("""COMPUTED_VALUE"""),45293)</f>
        <v>45293</v>
      </c>
      <c r="C342" s="8">
        <f ca="1">IFERROR(__xludf.DUMMYFUNCTION("""COMPUTED_VALUE"""),1)</f>
        <v>1</v>
      </c>
      <c r="D342" s="8">
        <f ca="1">IFERROR(__xludf.DUMMYFUNCTION("""COMPUTED_VALUE"""),2024)</f>
        <v>2024</v>
      </c>
      <c r="E342" s="8">
        <f ca="1">IFERROR(__xludf.DUMMYFUNCTION("""COMPUTED_VALUE"""),0.18)</f>
        <v>0.18</v>
      </c>
      <c r="F342" s="8">
        <f ca="1">IFERROR(__xludf.DUMMYFUNCTION("""COMPUTED_VALUE"""),139.06)</f>
        <v>139.06</v>
      </c>
    </row>
    <row r="343" spans="1:6" x14ac:dyDescent="0.2">
      <c r="A343" s="8" t="str">
        <f ca="1">IFERROR(__xludf.DUMMYFUNCTION("""COMPUTED_VALUE"""),"BBDC3")</f>
        <v>BBDC3</v>
      </c>
      <c r="B343" s="16">
        <f ca="1">IFERROR(__xludf.DUMMYFUNCTION("""COMPUTED_VALUE"""),45293)</f>
        <v>45293</v>
      </c>
      <c r="C343" s="8">
        <f ca="1">IFERROR(__xludf.DUMMYFUNCTION("""COMPUTED_VALUE"""),1)</f>
        <v>1</v>
      </c>
      <c r="D343" s="8">
        <f ca="1">IFERROR(__xludf.DUMMYFUNCTION("""COMPUTED_VALUE"""),2024)</f>
        <v>2024</v>
      </c>
      <c r="E343" s="8">
        <f ca="1">IFERROR(__xludf.DUMMYFUNCTION("""COMPUTED_VALUE"""),0.02)</f>
        <v>0.02</v>
      </c>
      <c r="F343" s="8">
        <f ca="1">IFERROR(__xludf.DUMMYFUNCTION("""COMPUTED_VALUE"""),13.4)</f>
        <v>13.4</v>
      </c>
    </row>
    <row r="344" spans="1:6" x14ac:dyDescent="0.2">
      <c r="A344" s="8" t="str">
        <f ca="1">IFERROR(__xludf.DUMMYFUNCTION("""COMPUTED_VALUE"""),"BBAS3")</f>
        <v>BBAS3</v>
      </c>
      <c r="B344" s="16">
        <f ca="1">IFERROR(__xludf.DUMMYFUNCTION("""COMPUTED_VALUE"""),46003)</f>
        <v>46003</v>
      </c>
      <c r="C344" s="8">
        <f ca="1">IFERROR(__xludf.DUMMYFUNCTION("""COMPUTED_VALUE"""),12)</f>
        <v>12</v>
      </c>
      <c r="D344" s="8">
        <f ca="1">IFERROR(__xludf.DUMMYFUNCTION("""COMPUTED_VALUE"""),2025)</f>
        <v>2025</v>
      </c>
      <c r="E344" s="8">
        <f ca="1">IFERROR(__xludf.DUMMYFUNCTION("""COMPUTED_VALUE"""),0.05)</f>
        <v>0.05</v>
      </c>
      <c r="F344" s="8">
        <f ca="1">IFERROR(__xludf.DUMMYFUNCTION("""COMPUTED_VALUE"""),162.34)</f>
        <v>162.34</v>
      </c>
    </row>
    <row r="345" spans="1:6" x14ac:dyDescent="0.2">
      <c r="A345" s="8" t="str">
        <f ca="1">IFERROR(__xludf.DUMMYFUNCTION("""COMPUTED_VALUE"""),"BBAS3")</f>
        <v>BBAS3</v>
      </c>
      <c r="B345" s="16">
        <f ca="1">IFERROR(__xludf.DUMMYFUNCTION("""COMPUTED_VALUE"""),46002)</f>
        <v>46002</v>
      </c>
      <c r="C345" s="8">
        <f ca="1">IFERROR(__xludf.DUMMYFUNCTION("""COMPUTED_VALUE"""),12)</f>
        <v>12</v>
      </c>
      <c r="D345" s="8">
        <f ca="1">IFERROR(__xludf.DUMMYFUNCTION("""COMPUTED_VALUE"""),2025)</f>
        <v>2025</v>
      </c>
      <c r="E345" s="8">
        <f ca="1">IFERROR(__xludf.DUMMYFUNCTION("""COMPUTED_VALUE"""),0.07)</f>
        <v>7.0000000000000007E-2</v>
      </c>
      <c r="F345" s="8">
        <f ca="1">IFERROR(__xludf.DUMMYFUNCTION("""COMPUTED_VALUE"""),254.77)</f>
        <v>254.77</v>
      </c>
    </row>
    <row r="346" spans="1:6" x14ac:dyDescent="0.2">
      <c r="A346" s="8" t="str">
        <f ca="1">IFERROR(__xludf.DUMMYFUNCTION("""COMPUTED_VALUE"""),"VULC3")</f>
        <v>VULC3</v>
      </c>
      <c r="B346" s="16">
        <f ca="1">IFERROR(__xludf.DUMMYFUNCTION("""COMPUTED_VALUE"""),45992)</f>
        <v>45992</v>
      </c>
      <c r="C346" s="8">
        <f ca="1">IFERROR(__xludf.DUMMYFUNCTION("""COMPUTED_VALUE"""),12)</f>
        <v>12</v>
      </c>
      <c r="D346" s="8">
        <f ca="1">IFERROR(__xludf.DUMMYFUNCTION("""COMPUTED_VALUE"""),2025)</f>
        <v>2025</v>
      </c>
      <c r="E346" s="8">
        <f ca="1">IFERROR(__xludf.DUMMYFUNCTION("""COMPUTED_VALUE"""),0.13)</f>
        <v>0.13</v>
      </c>
      <c r="F346" s="8">
        <f ca="1">IFERROR(__xludf.DUMMYFUNCTION("""COMPUTED_VALUE"""),105.25)</f>
        <v>105.25</v>
      </c>
    </row>
    <row r="347" spans="1:6" x14ac:dyDescent="0.2">
      <c r="A347" s="8" t="str">
        <f ca="1">IFERROR(__xludf.DUMMYFUNCTION("""COMPUTED_VALUE"""),"CGAS5")</f>
        <v>CGAS5</v>
      </c>
      <c r="B347" s="16">
        <f ca="1">IFERROR(__xludf.DUMMYFUNCTION("""COMPUTED_VALUE"""),45987)</f>
        <v>45987</v>
      </c>
      <c r="C347" s="8">
        <f ca="1">IFERROR(__xludf.DUMMYFUNCTION("""COMPUTED_VALUE"""),11)</f>
        <v>11</v>
      </c>
      <c r="D347" s="8">
        <f ca="1">IFERROR(__xludf.DUMMYFUNCTION("""COMPUTED_VALUE"""),2025)</f>
        <v>2025</v>
      </c>
      <c r="E347" s="8">
        <f ca="1">IFERROR(__xludf.DUMMYFUNCTION("""COMPUTED_VALUE"""),0.41)</f>
        <v>0.41</v>
      </c>
      <c r="F347" s="8">
        <f ca="1">IFERROR(__xludf.DUMMYFUNCTION("""COMPUTED_VALUE"""),16.24)</f>
        <v>16.239999999999998</v>
      </c>
    </row>
    <row r="348" spans="1:6" x14ac:dyDescent="0.2">
      <c r="A348" s="8" t="str">
        <f ca="1">IFERROR(__xludf.DUMMYFUNCTION("""COMPUTED_VALUE"""),"CGAS5")</f>
        <v>CGAS5</v>
      </c>
      <c r="B348" s="16">
        <f ca="1">IFERROR(__xludf.DUMMYFUNCTION("""COMPUTED_VALUE"""),45987)</f>
        <v>45987</v>
      </c>
      <c r="C348" s="8">
        <f ca="1">IFERROR(__xludf.DUMMYFUNCTION("""COMPUTED_VALUE"""),11)</f>
        <v>11</v>
      </c>
      <c r="D348" s="8">
        <f ca="1">IFERROR(__xludf.DUMMYFUNCTION("""COMPUTED_VALUE"""),2025)</f>
        <v>2025</v>
      </c>
      <c r="E348" s="8">
        <f ca="1">IFERROR(__xludf.DUMMYFUNCTION("""COMPUTED_VALUE"""),2.84)</f>
        <v>2.84</v>
      </c>
      <c r="F348" s="8">
        <f ca="1">IFERROR(__xludf.DUMMYFUNCTION("""COMPUTED_VALUE"""),96.68)</f>
        <v>96.68</v>
      </c>
    </row>
    <row r="349" spans="1:6" x14ac:dyDescent="0.2">
      <c r="A349" s="8" t="str">
        <f ca="1">IFERROR(__xludf.DUMMYFUNCTION("""COMPUTED_VALUE"""),"RANI3")</f>
        <v>RANI3</v>
      </c>
      <c r="B349" s="16">
        <f ca="1">IFERROR(__xludf.DUMMYFUNCTION("""COMPUTED_VALUE"""),45986)</f>
        <v>45986</v>
      </c>
      <c r="C349" s="8">
        <f ca="1">IFERROR(__xludf.DUMMYFUNCTION("""COMPUTED_VALUE"""),11)</f>
        <v>11</v>
      </c>
      <c r="D349" s="8">
        <f ca="1">IFERROR(__xludf.DUMMYFUNCTION("""COMPUTED_VALUE"""),2025)</f>
        <v>2025</v>
      </c>
      <c r="E349" s="8">
        <f ca="1">IFERROR(__xludf.DUMMYFUNCTION("""COMPUTED_VALUE"""),0.05)</f>
        <v>0.05</v>
      </c>
      <c r="F349" s="8">
        <f ca="1">IFERROR(__xludf.DUMMYFUNCTION("""COMPUTED_VALUE"""),65.38)</f>
        <v>65.38</v>
      </c>
    </row>
    <row r="350" spans="1:6" x14ac:dyDescent="0.2">
      <c r="A350" s="8" t="str">
        <f ca="1">IFERROR(__xludf.DUMMYFUNCTION("""COMPUTED_VALUE"""),"PETR4")</f>
        <v>PETR4</v>
      </c>
      <c r="B350" s="16">
        <f ca="1">IFERROR(__xludf.DUMMYFUNCTION("""COMPUTED_VALUE"""),45982)</f>
        <v>45982</v>
      </c>
      <c r="C350" s="8">
        <f ca="1">IFERROR(__xludf.DUMMYFUNCTION("""COMPUTED_VALUE"""),11)</f>
        <v>11</v>
      </c>
      <c r="D350" s="8">
        <f ca="1">IFERROR(__xludf.DUMMYFUNCTION("""COMPUTED_VALUE"""),2025)</f>
        <v>2025</v>
      </c>
      <c r="E350" s="8">
        <f ca="1">IFERROR(__xludf.DUMMYFUNCTION("""COMPUTED_VALUE"""),0.34)</f>
        <v>0.34</v>
      </c>
      <c r="F350" s="8">
        <f ca="1">IFERROR(__xludf.DUMMYFUNCTION("""COMPUTED_VALUE"""),82.53)</f>
        <v>82.53</v>
      </c>
    </row>
    <row r="351" spans="1:6" x14ac:dyDescent="0.2">
      <c r="A351" s="8" t="str">
        <f ca="1">IFERROR(__xludf.DUMMYFUNCTION("""COMPUTED_VALUE"""),"CXSE3")</f>
        <v>CXSE3</v>
      </c>
      <c r="B351" s="16">
        <f ca="1">IFERROR(__xludf.DUMMYFUNCTION("""COMPUTED_VALUE"""),45978)</f>
        <v>45978</v>
      </c>
      <c r="C351" s="8">
        <f ca="1">IFERROR(__xludf.DUMMYFUNCTION("""COMPUTED_VALUE"""),11)</f>
        <v>11</v>
      </c>
      <c r="D351" s="8">
        <f ca="1">IFERROR(__xludf.DUMMYFUNCTION("""COMPUTED_VALUE"""),2025)</f>
        <v>2025</v>
      </c>
      <c r="E351" s="8">
        <f ca="1">IFERROR(__xludf.DUMMYFUNCTION("""COMPUTED_VALUE"""),0.32)</f>
        <v>0.32</v>
      </c>
      <c r="F351" s="8">
        <f ca="1">IFERROR(__xludf.DUMMYFUNCTION("""COMPUTED_VALUE"""),558.72)</f>
        <v>558.72</v>
      </c>
    </row>
    <row r="352" spans="1:6" x14ac:dyDescent="0.2">
      <c r="A352" s="8" t="str">
        <f ca="1">IFERROR(__xludf.DUMMYFUNCTION("""COMPUTED_VALUE"""),"VULC3")</f>
        <v>VULC3</v>
      </c>
      <c r="B352" s="16">
        <f ca="1">IFERROR(__xludf.DUMMYFUNCTION("""COMPUTED_VALUE"""),45964)</f>
        <v>45964</v>
      </c>
      <c r="C352" s="8">
        <f ca="1">IFERROR(__xludf.DUMMYFUNCTION("""COMPUTED_VALUE"""),11)</f>
        <v>11</v>
      </c>
      <c r="D352" s="8">
        <f ca="1">IFERROR(__xludf.DUMMYFUNCTION("""COMPUTED_VALUE"""),2025)</f>
        <v>2025</v>
      </c>
      <c r="E352" s="8">
        <f ca="1">IFERROR(__xludf.DUMMYFUNCTION("""COMPUTED_VALUE"""),0.13)</f>
        <v>0.13</v>
      </c>
      <c r="F352" s="8">
        <f ca="1">IFERROR(__xludf.DUMMYFUNCTION("""COMPUTED_VALUE"""),59)</f>
        <v>59</v>
      </c>
    </row>
    <row r="353" spans="1:6" x14ac:dyDescent="0.2">
      <c r="A353" s="8" t="str">
        <f ca="1">IFERROR(__xludf.DUMMYFUNCTION("""COMPUTED_VALUE"""),"BBDC3")</f>
        <v>BBDC3</v>
      </c>
      <c r="B353" s="16">
        <f ca="1">IFERROR(__xludf.DUMMYFUNCTION("""COMPUTED_VALUE"""),45961)</f>
        <v>45961</v>
      </c>
      <c r="C353" s="8">
        <f ca="1">IFERROR(__xludf.DUMMYFUNCTION("""COMPUTED_VALUE"""),10)</f>
        <v>10</v>
      </c>
      <c r="D353" s="8">
        <f ca="1">IFERROR(__xludf.DUMMYFUNCTION("""COMPUTED_VALUE"""),2025)</f>
        <v>2025</v>
      </c>
      <c r="E353" s="8">
        <f ca="1">IFERROR(__xludf.DUMMYFUNCTION("""COMPUTED_VALUE"""),0.21)</f>
        <v>0.21</v>
      </c>
      <c r="F353" s="8">
        <f ca="1">IFERROR(__xludf.DUMMYFUNCTION("""COMPUTED_VALUE"""),2.46)</f>
        <v>2.46</v>
      </c>
    </row>
    <row r="354" spans="1:6" x14ac:dyDescent="0.2">
      <c r="A354" s="8" t="str">
        <f ca="1">IFERROR(__xludf.DUMMYFUNCTION("""COMPUTED_VALUE"""),"CGAS5")</f>
        <v>CGAS5</v>
      </c>
      <c r="B354" s="16">
        <f ca="1">IFERROR(__xludf.DUMMYFUNCTION("""COMPUTED_VALUE"""),45961)</f>
        <v>45961</v>
      </c>
      <c r="C354" s="8">
        <f ca="1">IFERROR(__xludf.DUMMYFUNCTION("""COMPUTED_VALUE"""),10)</f>
        <v>10</v>
      </c>
      <c r="D354" s="8">
        <f ca="1">IFERROR(__xludf.DUMMYFUNCTION("""COMPUTED_VALUE"""),2025)</f>
        <v>2025</v>
      </c>
      <c r="E354" s="8">
        <f ca="1">IFERROR(__xludf.DUMMYFUNCTION("""COMPUTED_VALUE"""),0)</f>
        <v>0</v>
      </c>
      <c r="F354" s="8">
        <f ca="1">IFERROR(__xludf.DUMMYFUNCTION("""COMPUTED_VALUE"""),227.49)</f>
        <v>227.49</v>
      </c>
    </row>
    <row r="355" spans="1:6" x14ac:dyDescent="0.2">
      <c r="A355" s="8" t="str">
        <f ca="1">IFERROR(__xludf.DUMMYFUNCTION("""COMPUTED_VALUE"""),"BRSR6")</f>
        <v>BRSR6</v>
      </c>
      <c r="B355" s="16">
        <f ca="1">IFERROR(__xludf.DUMMYFUNCTION("""COMPUTED_VALUE"""),45929)</f>
        <v>45929</v>
      </c>
      <c r="C355" s="8">
        <f ca="1">IFERROR(__xludf.DUMMYFUNCTION("""COMPUTED_VALUE"""),9)</f>
        <v>9</v>
      </c>
      <c r="D355" s="8">
        <f ca="1">IFERROR(__xludf.DUMMYFUNCTION("""COMPUTED_VALUE"""),2025)</f>
        <v>2025</v>
      </c>
      <c r="E355" s="8">
        <f ca="1">IFERROR(__xludf.DUMMYFUNCTION("""COMPUTED_VALUE"""),0.27)</f>
        <v>0.27</v>
      </c>
      <c r="F355" s="8">
        <f ca="1">IFERROR(__xludf.DUMMYFUNCTION("""COMPUTED_VALUE"""),300.41)</f>
        <v>300.41000000000003</v>
      </c>
    </row>
    <row r="356" spans="1:6" x14ac:dyDescent="0.2">
      <c r="A356" s="8" t="str">
        <f ca="1">IFERROR(__xludf.DUMMYFUNCTION("""COMPUTED_VALUE"""),"PETR4")</f>
        <v>PETR4</v>
      </c>
      <c r="B356" s="16">
        <f ca="1">IFERROR(__xludf.DUMMYFUNCTION("""COMPUTED_VALUE"""),45922)</f>
        <v>45922</v>
      </c>
      <c r="C356" s="8">
        <f ca="1">IFERROR(__xludf.DUMMYFUNCTION("""COMPUTED_VALUE"""),9)</f>
        <v>9</v>
      </c>
      <c r="D356" s="8">
        <f ca="1">IFERROR(__xludf.DUMMYFUNCTION("""COMPUTED_VALUE"""),2025)</f>
        <v>2025</v>
      </c>
      <c r="E356" s="8">
        <f ca="1">IFERROR(__xludf.DUMMYFUNCTION("""COMPUTED_VALUE"""),0.15)</f>
        <v>0.15</v>
      </c>
      <c r="F356" s="8">
        <f ca="1">IFERROR(__xludf.DUMMYFUNCTION("""COMPUTED_VALUE"""),35.9)</f>
        <v>35.9</v>
      </c>
    </row>
    <row r="357" spans="1:6" x14ac:dyDescent="0.2">
      <c r="A357" s="8" t="str">
        <f ca="1">IFERROR(__xludf.DUMMYFUNCTION("""COMPUTED_VALUE"""),"PETR4")</f>
        <v>PETR4</v>
      </c>
      <c r="B357" s="16">
        <f ca="1">IFERROR(__xludf.DUMMYFUNCTION("""COMPUTED_VALUE"""),45922)</f>
        <v>45922</v>
      </c>
      <c r="C357" s="8">
        <f ca="1">IFERROR(__xludf.DUMMYFUNCTION("""COMPUTED_VALUE"""),9)</f>
        <v>9</v>
      </c>
      <c r="D357" s="8">
        <f ca="1">IFERROR(__xludf.DUMMYFUNCTION("""COMPUTED_VALUE"""),2025)</f>
        <v>2025</v>
      </c>
      <c r="E357" s="8">
        <f ca="1">IFERROR(__xludf.DUMMYFUNCTION("""COMPUTED_VALUE"""),0.31)</f>
        <v>0.31</v>
      </c>
      <c r="F357" s="8">
        <f ca="1">IFERROR(__xludf.DUMMYFUNCTION("""COMPUTED_VALUE"""),89.14)</f>
        <v>89.14</v>
      </c>
    </row>
    <row r="358" spans="1:6" x14ac:dyDescent="0.2">
      <c r="A358" s="8" t="str">
        <f ca="1">IFERROR(__xludf.DUMMYFUNCTION("""COMPUTED_VALUE"""),"CEBR6")</f>
        <v>CEBR6</v>
      </c>
      <c r="B358" s="16">
        <f ca="1">IFERROR(__xludf.DUMMYFUNCTION("""COMPUTED_VALUE"""),45917)</f>
        <v>45917</v>
      </c>
      <c r="C358" s="8">
        <f ca="1">IFERROR(__xludf.DUMMYFUNCTION("""COMPUTED_VALUE"""),9)</f>
        <v>9</v>
      </c>
      <c r="D358" s="8">
        <f ca="1">IFERROR(__xludf.DUMMYFUNCTION("""COMPUTED_VALUE"""),2025)</f>
        <v>2025</v>
      </c>
      <c r="E358" s="8">
        <f ca="1">IFERROR(__xludf.DUMMYFUNCTION("""COMPUTED_VALUE"""),1.83)</f>
        <v>1.83</v>
      </c>
      <c r="F358" s="8">
        <f ca="1">IFERROR(__xludf.DUMMYFUNCTION("""COMPUTED_VALUE"""),1181.84)</f>
        <v>1181.8399999999999</v>
      </c>
    </row>
    <row r="359" spans="1:6" x14ac:dyDescent="0.2">
      <c r="A359" s="8" t="str">
        <f ca="1">IFERROR(__xludf.DUMMYFUNCTION("""COMPUTED_VALUE"""),"BBSE3")</f>
        <v>BBSE3</v>
      </c>
      <c r="B359" s="16">
        <f ca="1">IFERROR(__xludf.DUMMYFUNCTION("""COMPUTED_VALUE"""),45895)</f>
        <v>45895</v>
      </c>
      <c r="C359" s="8">
        <f ca="1">IFERROR(__xludf.DUMMYFUNCTION("""COMPUTED_VALUE"""),8)</f>
        <v>8</v>
      </c>
      <c r="D359" s="8">
        <f ca="1">IFERROR(__xludf.DUMMYFUNCTION("""COMPUTED_VALUE"""),2025)</f>
        <v>2025</v>
      </c>
      <c r="E359" s="8">
        <f ca="1">IFERROR(__xludf.DUMMYFUNCTION("""COMPUTED_VALUE"""),1.94)</f>
        <v>1.94</v>
      </c>
      <c r="F359" s="8">
        <f ca="1">IFERROR(__xludf.DUMMYFUNCTION("""COMPUTED_VALUE"""),38.84)</f>
        <v>38.840000000000003</v>
      </c>
    </row>
    <row r="360" spans="1:6" x14ac:dyDescent="0.2">
      <c r="A360" s="8" t="str">
        <f ca="1">IFERROR(__xludf.DUMMYFUNCTION("""COMPUTED_VALUE"""),"BBSE3")</f>
        <v>BBSE3</v>
      </c>
      <c r="B360" s="16">
        <f ca="1">IFERROR(__xludf.DUMMYFUNCTION("""COMPUTED_VALUE"""),45895)</f>
        <v>45895</v>
      </c>
      <c r="C360" s="8">
        <f ca="1">IFERROR(__xludf.DUMMYFUNCTION("""COMPUTED_VALUE"""),8)</f>
        <v>8</v>
      </c>
      <c r="D360" s="8">
        <f ca="1">IFERROR(__xludf.DUMMYFUNCTION("""COMPUTED_VALUE"""),2025)</f>
        <v>2025</v>
      </c>
      <c r="E360" s="8">
        <f ca="1">IFERROR(__xludf.DUMMYFUNCTION("""COMPUTED_VALUE"""),0)</f>
        <v>0</v>
      </c>
      <c r="F360" s="8">
        <f ca="1">IFERROR(__xludf.DUMMYFUNCTION("""COMPUTED_VALUE"""),6214.7)</f>
        <v>6214.7</v>
      </c>
    </row>
    <row r="361" spans="1:6" x14ac:dyDescent="0.2">
      <c r="A361" s="8" t="str">
        <f ca="1">IFERROR(__xludf.DUMMYFUNCTION("""COMPUTED_VALUE"""),"RANI3")</f>
        <v>RANI3</v>
      </c>
      <c r="B361" s="16">
        <f ca="1">IFERROR(__xludf.DUMMYFUNCTION("""COMPUTED_VALUE"""),45891)</f>
        <v>45891</v>
      </c>
      <c r="C361" s="8">
        <f ca="1">IFERROR(__xludf.DUMMYFUNCTION("""COMPUTED_VALUE"""),8)</f>
        <v>8</v>
      </c>
      <c r="D361" s="8">
        <f ca="1">IFERROR(__xludf.DUMMYFUNCTION("""COMPUTED_VALUE"""),2025)</f>
        <v>2025</v>
      </c>
      <c r="E361" s="8">
        <f ca="1">IFERROR(__xludf.DUMMYFUNCTION("""COMPUTED_VALUE"""),0.11)</f>
        <v>0.11</v>
      </c>
      <c r="F361" s="8">
        <f ca="1">IFERROR(__xludf.DUMMYFUNCTION("""COMPUTED_VALUE"""),160.25)</f>
        <v>160.25</v>
      </c>
    </row>
    <row r="362" spans="1:6" x14ac:dyDescent="0.2">
      <c r="A362" s="8" t="str">
        <f ca="1">IFERROR(__xludf.DUMMYFUNCTION("""COMPUTED_VALUE"""),"PETR4")</f>
        <v>PETR4</v>
      </c>
      <c r="B362" s="16">
        <f ca="1">IFERROR(__xludf.DUMMYFUNCTION("""COMPUTED_VALUE"""),45889)</f>
        <v>45889</v>
      </c>
      <c r="C362" s="8">
        <f ca="1">IFERROR(__xludf.DUMMYFUNCTION("""COMPUTED_VALUE"""),8)</f>
        <v>8</v>
      </c>
      <c r="D362" s="8">
        <f ca="1">IFERROR(__xludf.DUMMYFUNCTION("""COMPUTED_VALUE"""),2025)</f>
        <v>2025</v>
      </c>
      <c r="E362" s="8">
        <f ca="1">IFERROR(__xludf.DUMMYFUNCTION("""COMPUTED_VALUE"""),0.46)</f>
        <v>0.46</v>
      </c>
      <c r="F362" s="8">
        <f ca="1">IFERROR(__xludf.DUMMYFUNCTION("""COMPUTED_VALUE"""),111.67)</f>
        <v>111.67</v>
      </c>
    </row>
    <row r="363" spans="1:6" x14ac:dyDescent="0.2">
      <c r="A363" s="8" t="str">
        <f ca="1">IFERROR(__xludf.DUMMYFUNCTION("""COMPUTED_VALUE"""),"CXSE3")</f>
        <v>CXSE3</v>
      </c>
      <c r="B363" s="16">
        <f ca="1">IFERROR(__xludf.DUMMYFUNCTION("""COMPUTED_VALUE"""),45884)</f>
        <v>45884</v>
      </c>
      <c r="C363" s="8">
        <f ca="1">IFERROR(__xludf.DUMMYFUNCTION("""COMPUTED_VALUE"""),8)</f>
        <v>8</v>
      </c>
      <c r="D363" s="8">
        <f ca="1">IFERROR(__xludf.DUMMYFUNCTION("""COMPUTED_VALUE"""),2025)</f>
        <v>2025</v>
      </c>
      <c r="E363" s="8">
        <f ca="1">IFERROR(__xludf.DUMMYFUNCTION("""COMPUTED_VALUE"""),0.31)</f>
        <v>0.31</v>
      </c>
      <c r="F363" s="8">
        <f ca="1">IFERROR(__xludf.DUMMYFUNCTION("""COMPUTED_VALUE"""),437.1)</f>
        <v>437.1</v>
      </c>
    </row>
    <row r="364" spans="1:6" x14ac:dyDescent="0.2">
      <c r="A364" s="8" t="str">
        <f ca="1">IFERROR(__xludf.DUMMYFUNCTION("""COMPUTED_VALUE"""),"BBDC3")</f>
        <v>BBDC3</v>
      </c>
      <c r="B364" s="16">
        <f ca="1">IFERROR(__xludf.DUMMYFUNCTION("""COMPUTED_VALUE"""),45869)</f>
        <v>45869</v>
      </c>
      <c r="C364" s="8">
        <f ca="1">IFERROR(__xludf.DUMMYFUNCTION("""COMPUTED_VALUE"""),7)</f>
        <v>7</v>
      </c>
      <c r="D364" s="8">
        <f ca="1">IFERROR(__xludf.DUMMYFUNCTION("""COMPUTED_VALUE"""),2025)</f>
        <v>2025</v>
      </c>
      <c r="E364" s="8">
        <f ca="1">IFERROR(__xludf.DUMMYFUNCTION("""COMPUTED_VALUE"""),0.27)</f>
        <v>0.27</v>
      </c>
      <c r="F364" s="8">
        <f ca="1">IFERROR(__xludf.DUMMYFUNCTION("""COMPUTED_VALUE"""),3.18)</f>
        <v>3.18</v>
      </c>
    </row>
    <row r="365" spans="1:6" x14ac:dyDescent="0.2">
      <c r="A365" s="8" t="str">
        <f ca="1">IFERROR(__xludf.DUMMYFUNCTION("""COMPUTED_VALUE"""),"BRSR6")</f>
        <v>BRSR6</v>
      </c>
      <c r="B365" s="16">
        <f ca="1">IFERROR(__xludf.DUMMYFUNCTION("""COMPUTED_VALUE"""),45834)</f>
        <v>45834</v>
      </c>
      <c r="C365" s="8">
        <f ca="1">IFERROR(__xludf.DUMMYFUNCTION("""COMPUTED_VALUE"""),6)</f>
        <v>6</v>
      </c>
      <c r="D365" s="8">
        <f ca="1">IFERROR(__xludf.DUMMYFUNCTION("""COMPUTED_VALUE"""),2025)</f>
        <v>2025</v>
      </c>
      <c r="E365" s="8">
        <f ca="1">IFERROR(__xludf.DUMMYFUNCTION("""COMPUTED_VALUE"""),0.22)</f>
        <v>0.22</v>
      </c>
      <c r="F365" s="8">
        <f ca="1">IFERROR(__xludf.DUMMYFUNCTION("""COMPUTED_VALUE"""),245.79)</f>
        <v>245.79</v>
      </c>
    </row>
    <row r="366" spans="1:6" x14ac:dyDescent="0.2">
      <c r="A366" s="8" t="str">
        <f ca="1">IFERROR(__xludf.DUMMYFUNCTION("""COMPUTED_VALUE"""),"SAPR4")</f>
        <v>SAPR4</v>
      </c>
      <c r="B366" s="16">
        <f ca="1">IFERROR(__xludf.DUMMYFUNCTION("""COMPUTED_VALUE"""),45834)</f>
        <v>45834</v>
      </c>
      <c r="C366" s="8">
        <f ca="1">IFERROR(__xludf.DUMMYFUNCTION("""COMPUTED_VALUE"""),6)</f>
        <v>6</v>
      </c>
      <c r="D366" s="8">
        <f ca="1">IFERROR(__xludf.DUMMYFUNCTION("""COMPUTED_VALUE"""),2025)</f>
        <v>2025</v>
      </c>
      <c r="E366" s="8">
        <f ca="1">IFERROR(__xludf.DUMMYFUNCTION("""COMPUTED_VALUE"""),0.15)</f>
        <v>0.15</v>
      </c>
      <c r="F366" s="8">
        <f ca="1">IFERROR(__xludf.DUMMYFUNCTION("""COMPUTED_VALUE"""),327.71)</f>
        <v>327.71</v>
      </c>
    </row>
    <row r="367" spans="1:6" x14ac:dyDescent="0.2">
      <c r="A367" s="8" t="str">
        <f ca="1">IFERROR(__xludf.DUMMYFUNCTION("""COMPUTED_VALUE"""),"SAPR4")</f>
        <v>SAPR4</v>
      </c>
      <c r="B367" s="16">
        <f ca="1">IFERROR(__xludf.DUMMYFUNCTION("""COMPUTED_VALUE"""),45834)</f>
        <v>45834</v>
      </c>
      <c r="C367" s="8">
        <f ca="1">IFERROR(__xludf.DUMMYFUNCTION("""COMPUTED_VALUE"""),6)</f>
        <v>6</v>
      </c>
      <c r="D367" s="8">
        <f ca="1">IFERROR(__xludf.DUMMYFUNCTION("""COMPUTED_VALUE"""),2025)</f>
        <v>2025</v>
      </c>
      <c r="E367" s="8">
        <f ca="1">IFERROR(__xludf.DUMMYFUNCTION("""COMPUTED_VALUE"""),0.16)</f>
        <v>0.16</v>
      </c>
      <c r="F367" s="8">
        <f ca="1">IFERROR(__xludf.DUMMYFUNCTION("""COMPUTED_VALUE"""),349.41)</f>
        <v>349.41</v>
      </c>
    </row>
    <row r="368" spans="1:6" x14ac:dyDescent="0.2">
      <c r="A368" s="8" t="str">
        <f ca="1">IFERROR(__xludf.DUMMYFUNCTION("""COMPUTED_VALUE"""),"PETR4")</f>
        <v>PETR4</v>
      </c>
      <c r="B368" s="16">
        <f ca="1">IFERROR(__xludf.DUMMYFUNCTION("""COMPUTED_VALUE"""),45828)</f>
        <v>45828</v>
      </c>
      <c r="C368" s="8">
        <f ca="1">IFERROR(__xludf.DUMMYFUNCTION("""COMPUTED_VALUE"""),6)</f>
        <v>6</v>
      </c>
      <c r="D368" s="8">
        <f ca="1">IFERROR(__xludf.DUMMYFUNCTION("""COMPUTED_VALUE"""),2025)</f>
        <v>2025</v>
      </c>
      <c r="E368" s="8">
        <f ca="1">IFERROR(__xludf.DUMMYFUNCTION("""COMPUTED_VALUE"""),0)</f>
        <v>0</v>
      </c>
      <c r="F368" s="8">
        <f ca="1">IFERROR(__xludf.DUMMYFUNCTION("""COMPUTED_VALUE"""),1.49)</f>
        <v>1.49</v>
      </c>
    </row>
    <row r="369" spans="1:6" x14ac:dyDescent="0.2">
      <c r="A369" s="8" t="str">
        <f ca="1">IFERROR(__xludf.DUMMYFUNCTION("""COMPUTED_VALUE"""),"PETR4")</f>
        <v>PETR4</v>
      </c>
      <c r="B369" s="16">
        <f ca="1">IFERROR(__xludf.DUMMYFUNCTION("""COMPUTED_VALUE"""),45828)</f>
        <v>45828</v>
      </c>
      <c r="C369" s="8">
        <f ca="1">IFERROR(__xludf.DUMMYFUNCTION("""COMPUTED_VALUE"""),6)</f>
        <v>6</v>
      </c>
      <c r="D369" s="8">
        <f ca="1">IFERROR(__xludf.DUMMYFUNCTION("""COMPUTED_VALUE"""),2025)</f>
        <v>2025</v>
      </c>
      <c r="E369" s="8">
        <f ca="1">IFERROR(__xludf.DUMMYFUNCTION("""COMPUTED_VALUE"""),0.36)</f>
        <v>0.36</v>
      </c>
      <c r="F369" s="8">
        <f ca="1">IFERROR(__xludf.DUMMYFUNCTION("""COMPUTED_VALUE"""),31.57)</f>
        <v>31.57</v>
      </c>
    </row>
    <row r="370" spans="1:6" x14ac:dyDescent="0.2">
      <c r="A370" s="8" t="str">
        <f ca="1">IFERROR(__xludf.DUMMYFUNCTION("""COMPUTED_VALUE"""),"BBAS3")</f>
        <v>BBAS3</v>
      </c>
      <c r="B370" s="16">
        <f ca="1">IFERROR(__xludf.DUMMYFUNCTION("""COMPUTED_VALUE"""),45820)</f>
        <v>45820</v>
      </c>
      <c r="C370" s="8">
        <f ca="1">IFERROR(__xludf.DUMMYFUNCTION("""COMPUTED_VALUE"""),6)</f>
        <v>6</v>
      </c>
      <c r="D370" s="8">
        <f ca="1">IFERROR(__xludf.DUMMYFUNCTION("""COMPUTED_VALUE"""),2025)</f>
        <v>2025</v>
      </c>
      <c r="E370" s="8">
        <f ca="1">IFERROR(__xludf.DUMMYFUNCTION("""COMPUTED_VALUE"""),0.09)</f>
        <v>0.09</v>
      </c>
      <c r="F370" s="8">
        <f ca="1">IFERROR(__xludf.DUMMYFUNCTION("""COMPUTED_VALUE"""),371.87)</f>
        <v>371.87</v>
      </c>
    </row>
    <row r="371" spans="1:6" x14ac:dyDescent="0.2">
      <c r="A371" s="8" t="str">
        <f ca="1">IFERROR(__xludf.DUMMYFUNCTION("""COMPUTED_VALUE"""),"BBAS3")</f>
        <v>BBAS3</v>
      </c>
      <c r="B371" s="16">
        <f ca="1">IFERROR(__xludf.DUMMYFUNCTION("""COMPUTED_VALUE"""),45820)</f>
        <v>45820</v>
      </c>
      <c r="C371" s="8">
        <f ca="1">IFERROR(__xludf.DUMMYFUNCTION("""COMPUTED_VALUE"""),6)</f>
        <v>6</v>
      </c>
      <c r="D371" s="8">
        <f ca="1">IFERROR(__xludf.DUMMYFUNCTION("""COMPUTED_VALUE"""),2025)</f>
        <v>2025</v>
      </c>
      <c r="E371" s="8">
        <f ca="1">IFERROR(__xludf.DUMMYFUNCTION("""COMPUTED_VALUE"""),0.33)</f>
        <v>0.33</v>
      </c>
      <c r="F371" s="8">
        <f ca="1">IFERROR(__xludf.DUMMYFUNCTION("""COMPUTED_VALUE"""),1374.28)</f>
        <v>1374.28</v>
      </c>
    </row>
    <row r="372" spans="1:6" x14ac:dyDescent="0.2">
      <c r="A372" s="8" t="str">
        <f ca="1">IFERROR(__xludf.DUMMYFUNCTION("""COMPUTED_VALUE"""),"CEBR6")</f>
        <v>CEBR6</v>
      </c>
      <c r="B372" s="16">
        <f ca="1">IFERROR(__xludf.DUMMYFUNCTION("""COMPUTED_VALUE"""),45807)</f>
        <v>45807</v>
      </c>
      <c r="C372" s="8">
        <f ca="1">IFERROR(__xludf.DUMMYFUNCTION("""COMPUTED_VALUE"""),5)</f>
        <v>5</v>
      </c>
      <c r="D372" s="8">
        <f ca="1">IFERROR(__xludf.DUMMYFUNCTION("""COMPUTED_VALUE"""),2025)</f>
        <v>2025</v>
      </c>
      <c r="E372" s="8">
        <f ca="1">IFERROR(__xludf.DUMMYFUNCTION("""COMPUTED_VALUE"""),1.27)</f>
        <v>1.27</v>
      </c>
      <c r="F372" s="8">
        <f ca="1">IFERROR(__xludf.DUMMYFUNCTION("""COMPUTED_VALUE"""),562.75)</f>
        <v>562.75</v>
      </c>
    </row>
    <row r="373" spans="1:6" x14ac:dyDescent="0.2">
      <c r="A373" s="8" t="str">
        <f ca="1">IFERROR(__xludf.DUMMYFUNCTION("""COMPUTED_VALUE"""),"LEVE3")</f>
        <v>LEVE3</v>
      </c>
      <c r="B373" s="16">
        <f ca="1">IFERROR(__xludf.DUMMYFUNCTION("""COMPUTED_VALUE"""),45805)</f>
        <v>45805</v>
      </c>
      <c r="C373" s="8">
        <f ca="1">IFERROR(__xludf.DUMMYFUNCTION("""COMPUTED_VALUE"""),5)</f>
        <v>5</v>
      </c>
      <c r="D373" s="8">
        <f ca="1">IFERROR(__xludf.DUMMYFUNCTION("""COMPUTED_VALUE"""),2025)</f>
        <v>2025</v>
      </c>
      <c r="E373" s="8">
        <f ca="1">IFERROR(__xludf.DUMMYFUNCTION("""COMPUTED_VALUE"""),0.22)</f>
        <v>0.22</v>
      </c>
      <c r="F373" s="8">
        <f ca="1">IFERROR(__xludf.DUMMYFUNCTION("""COMPUTED_VALUE"""),139.55)</f>
        <v>139.55000000000001</v>
      </c>
    </row>
    <row r="374" spans="1:6" x14ac:dyDescent="0.2">
      <c r="A374" s="8" t="str">
        <f ca="1">IFERROR(__xludf.DUMMYFUNCTION("""COMPUTED_VALUE"""),"LEVE3")</f>
        <v>LEVE3</v>
      </c>
      <c r="B374" s="16">
        <f ca="1">IFERROR(__xludf.DUMMYFUNCTION("""COMPUTED_VALUE"""),45805)</f>
        <v>45805</v>
      </c>
      <c r="C374" s="8">
        <f ca="1">IFERROR(__xludf.DUMMYFUNCTION("""COMPUTED_VALUE"""),5)</f>
        <v>5</v>
      </c>
      <c r="D374" s="8">
        <f ca="1">IFERROR(__xludf.DUMMYFUNCTION("""COMPUTED_VALUE"""),2025)</f>
        <v>2025</v>
      </c>
      <c r="E374" s="8">
        <f ca="1">IFERROR(__xludf.DUMMYFUNCTION("""COMPUTED_VALUE"""),1.69)</f>
        <v>1.69</v>
      </c>
      <c r="F374" s="8">
        <f ca="1">IFERROR(__xludf.DUMMYFUNCTION("""COMPUTED_VALUE"""),1069.38)</f>
        <v>1069.3800000000001</v>
      </c>
    </row>
    <row r="375" spans="1:6" x14ac:dyDescent="0.2">
      <c r="A375" s="8" t="str">
        <f ca="1">IFERROR(__xludf.DUMMYFUNCTION("""COMPUTED_VALUE"""),"LEVE3")</f>
        <v>LEVE3</v>
      </c>
      <c r="B375" s="16">
        <f ca="1">IFERROR(__xludf.DUMMYFUNCTION("""COMPUTED_VALUE"""),45805)</f>
        <v>45805</v>
      </c>
      <c r="C375" s="8">
        <f ca="1">IFERROR(__xludf.DUMMYFUNCTION("""COMPUTED_VALUE"""),5)</f>
        <v>5</v>
      </c>
      <c r="D375" s="8">
        <f ca="1">IFERROR(__xludf.DUMMYFUNCTION("""COMPUTED_VALUE"""),2025)</f>
        <v>2025</v>
      </c>
      <c r="E375" s="8">
        <f ca="1">IFERROR(__xludf.DUMMYFUNCTION("""COMPUTED_VALUE"""),0.19)</f>
        <v>0.19</v>
      </c>
      <c r="F375" s="8">
        <f ca="1">IFERROR(__xludf.DUMMYFUNCTION("""COMPUTED_VALUE"""),63.69)</f>
        <v>63.69</v>
      </c>
    </row>
    <row r="376" spans="1:6" x14ac:dyDescent="0.2">
      <c r="A376" s="8" t="str">
        <f ca="1">IFERROR(__xludf.DUMMYFUNCTION("""COMPUTED_VALUE"""),"RANI3")</f>
        <v>RANI3</v>
      </c>
      <c r="B376" s="16">
        <f ca="1">IFERROR(__xludf.DUMMYFUNCTION("""COMPUTED_VALUE"""),45798)</f>
        <v>45798</v>
      </c>
      <c r="C376" s="8">
        <f ca="1">IFERROR(__xludf.DUMMYFUNCTION("""COMPUTED_VALUE"""),5)</f>
        <v>5</v>
      </c>
      <c r="D376" s="8">
        <f ca="1">IFERROR(__xludf.DUMMYFUNCTION("""COMPUTED_VALUE"""),2025)</f>
        <v>2025</v>
      </c>
      <c r="E376" s="8">
        <f ca="1">IFERROR(__xludf.DUMMYFUNCTION("""COMPUTED_VALUE"""),0.06)</f>
        <v>0.06</v>
      </c>
      <c r="F376" s="8">
        <f ca="1">IFERROR(__xludf.DUMMYFUNCTION("""COMPUTED_VALUE"""),91.36)</f>
        <v>91.36</v>
      </c>
    </row>
    <row r="377" spans="1:6" x14ac:dyDescent="0.2">
      <c r="A377" s="8" t="str">
        <f ca="1">IFERROR(__xludf.DUMMYFUNCTION("""COMPUTED_VALUE"""),"RANI3")</f>
        <v>RANI3</v>
      </c>
      <c r="B377" s="16">
        <f ca="1">IFERROR(__xludf.DUMMYFUNCTION("""COMPUTED_VALUE"""),45798)</f>
        <v>45798</v>
      </c>
      <c r="C377" s="8">
        <f ca="1">IFERROR(__xludf.DUMMYFUNCTION("""COMPUTED_VALUE"""),5)</f>
        <v>5</v>
      </c>
      <c r="D377" s="8">
        <f ca="1">IFERROR(__xludf.DUMMYFUNCTION("""COMPUTED_VALUE"""),2025)</f>
        <v>2025</v>
      </c>
      <c r="E377" s="8">
        <f ca="1">IFERROR(__xludf.DUMMYFUNCTION("""COMPUTED_VALUE"""),0.32)</f>
        <v>0.32</v>
      </c>
      <c r="F377" s="8">
        <f ca="1">IFERROR(__xludf.DUMMYFUNCTION("""COMPUTED_VALUE"""),471.83)</f>
        <v>471.83</v>
      </c>
    </row>
    <row r="378" spans="1:6" x14ac:dyDescent="0.2">
      <c r="A378" s="8" t="str">
        <f ca="1">IFERROR(__xludf.DUMMYFUNCTION("""COMPUTED_VALUE"""),"PETR4")</f>
        <v>PETR4</v>
      </c>
      <c r="B378" s="16">
        <f ca="1">IFERROR(__xludf.DUMMYFUNCTION("""COMPUTED_VALUE"""),45797)</f>
        <v>45797</v>
      </c>
      <c r="C378" s="8">
        <f ca="1">IFERROR(__xludf.DUMMYFUNCTION("""COMPUTED_VALUE"""),5)</f>
        <v>5</v>
      </c>
      <c r="D378" s="8">
        <f ca="1">IFERROR(__xludf.DUMMYFUNCTION("""COMPUTED_VALUE"""),2025)</f>
        <v>2025</v>
      </c>
      <c r="E378" s="8">
        <f ca="1">IFERROR(__xludf.DUMMYFUNCTION("""COMPUTED_VALUE"""),0)</f>
        <v>0</v>
      </c>
      <c r="F378" s="8">
        <f ca="1">IFERROR(__xludf.DUMMYFUNCTION("""COMPUTED_VALUE"""),1.18)</f>
        <v>1.18</v>
      </c>
    </row>
    <row r="379" spans="1:6" x14ac:dyDescent="0.2">
      <c r="A379" s="8" t="str">
        <f ca="1">IFERROR(__xludf.DUMMYFUNCTION("""COMPUTED_VALUE"""),"PETR4")</f>
        <v>PETR4</v>
      </c>
      <c r="B379" s="16">
        <f ca="1">IFERROR(__xludf.DUMMYFUNCTION("""COMPUTED_VALUE"""),45797)</f>
        <v>45797</v>
      </c>
      <c r="C379" s="8">
        <f ca="1">IFERROR(__xludf.DUMMYFUNCTION("""COMPUTED_VALUE"""),5)</f>
        <v>5</v>
      </c>
      <c r="D379" s="8">
        <f ca="1">IFERROR(__xludf.DUMMYFUNCTION("""COMPUTED_VALUE"""),2025)</f>
        <v>2025</v>
      </c>
      <c r="E379" s="8">
        <f ca="1">IFERROR(__xludf.DUMMYFUNCTION("""COMPUTED_VALUE"""),0.36)</f>
        <v>0.36</v>
      </c>
      <c r="F379" s="8">
        <f ca="1">IFERROR(__xludf.DUMMYFUNCTION("""COMPUTED_VALUE"""),31.57)</f>
        <v>31.57</v>
      </c>
    </row>
    <row r="380" spans="1:6" x14ac:dyDescent="0.2">
      <c r="A380" s="8" t="str">
        <f ca="1">IFERROR(__xludf.DUMMYFUNCTION("""COMPUTED_VALUE"""),"BRSR6")</f>
        <v>BRSR6</v>
      </c>
      <c r="B380" s="16">
        <f ca="1">IFERROR(__xludf.DUMMYFUNCTION("""COMPUTED_VALUE"""),45793)</f>
        <v>45793</v>
      </c>
      <c r="C380" s="8">
        <f ca="1">IFERROR(__xludf.DUMMYFUNCTION("""COMPUTED_VALUE"""),5)</f>
        <v>5</v>
      </c>
      <c r="D380" s="8">
        <f ca="1">IFERROR(__xludf.DUMMYFUNCTION("""COMPUTED_VALUE"""),2025)</f>
        <v>2025</v>
      </c>
      <c r="E380" s="8">
        <f ca="1">IFERROR(__xludf.DUMMYFUNCTION("""COMPUTED_VALUE"""),0.09)</f>
        <v>0.09</v>
      </c>
      <c r="F380" s="8">
        <f ca="1">IFERROR(__xludf.DUMMYFUNCTION("""COMPUTED_VALUE"""),114.38)</f>
        <v>114.38</v>
      </c>
    </row>
    <row r="381" spans="1:6" x14ac:dyDescent="0.2">
      <c r="A381" s="8" t="str">
        <f ca="1">IFERROR(__xludf.DUMMYFUNCTION("""COMPUTED_VALUE"""),"CXSE3")</f>
        <v>CXSE3</v>
      </c>
      <c r="B381" s="16">
        <f ca="1">IFERROR(__xludf.DUMMYFUNCTION("""COMPUTED_VALUE"""),45792)</f>
        <v>45792</v>
      </c>
      <c r="C381" s="8">
        <f ca="1">IFERROR(__xludf.DUMMYFUNCTION("""COMPUTED_VALUE"""),5)</f>
        <v>5</v>
      </c>
      <c r="D381" s="8">
        <f ca="1">IFERROR(__xludf.DUMMYFUNCTION("""COMPUTED_VALUE"""),2025)</f>
        <v>2025</v>
      </c>
      <c r="E381" s="8">
        <f ca="1">IFERROR(__xludf.DUMMYFUNCTION("""COMPUTED_VALUE"""),0.32)</f>
        <v>0.32</v>
      </c>
      <c r="F381" s="8">
        <f ca="1">IFERROR(__xludf.DUMMYFUNCTION("""COMPUTED_VALUE"""),188.16)</f>
        <v>188.16</v>
      </c>
    </row>
    <row r="382" spans="1:6" x14ac:dyDescent="0.2">
      <c r="A382" s="8" t="str">
        <f ca="1">IFERROR(__xludf.DUMMYFUNCTION("""COMPUTED_VALUE"""),"CXSE3")</f>
        <v>CXSE3</v>
      </c>
      <c r="B382" s="16">
        <f ca="1">IFERROR(__xludf.DUMMYFUNCTION("""COMPUTED_VALUE"""),45792)</f>
        <v>45792</v>
      </c>
      <c r="C382" s="8">
        <f ca="1">IFERROR(__xludf.DUMMYFUNCTION("""COMPUTED_VALUE"""),5)</f>
        <v>5</v>
      </c>
      <c r="D382" s="8">
        <f ca="1">IFERROR(__xludf.DUMMYFUNCTION("""COMPUTED_VALUE"""),2025)</f>
        <v>2025</v>
      </c>
      <c r="E382" s="8">
        <f ca="1">IFERROR(__xludf.DUMMYFUNCTION("""COMPUTED_VALUE"""),0)</f>
        <v>0</v>
      </c>
      <c r="F382" s="8">
        <f ca="1">IFERROR(__xludf.DUMMYFUNCTION("""COMPUTED_VALUE"""),0.08)</f>
        <v>0.08</v>
      </c>
    </row>
    <row r="383" spans="1:6" x14ac:dyDescent="0.2">
      <c r="A383" s="8" t="str">
        <f ca="1">IFERROR(__xludf.DUMMYFUNCTION("""COMPUTED_VALUE"""),"BBDC3")</f>
        <v>BBDC3</v>
      </c>
      <c r="B383" s="16">
        <f ca="1">IFERROR(__xludf.DUMMYFUNCTION("""COMPUTED_VALUE"""),45779)</f>
        <v>45779</v>
      </c>
      <c r="C383" s="8">
        <f ca="1">IFERROR(__xludf.DUMMYFUNCTION("""COMPUTED_VALUE"""),5)</f>
        <v>5</v>
      </c>
      <c r="D383" s="8">
        <f ca="1">IFERROR(__xludf.DUMMYFUNCTION("""COMPUTED_VALUE"""),2025)</f>
        <v>2025</v>
      </c>
      <c r="E383" s="8">
        <f ca="1">IFERROR(__xludf.DUMMYFUNCTION("""COMPUTED_VALUE"""),0.02)</f>
        <v>0.02</v>
      </c>
      <c r="F383" s="8">
        <f ca="1">IFERROR(__xludf.DUMMYFUNCTION("""COMPUTED_VALUE"""),0.21)</f>
        <v>0.21</v>
      </c>
    </row>
    <row r="384" spans="1:6" x14ac:dyDescent="0.2">
      <c r="A384" s="8" t="str">
        <f ca="1">IFERROR(__xludf.DUMMYFUNCTION("""COMPUTED_VALUE"""),"BBDC3")</f>
        <v>BBDC3</v>
      </c>
      <c r="B384" s="16">
        <f ca="1">IFERROR(__xludf.DUMMYFUNCTION("""COMPUTED_VALUE"""),45777)</f>
        <v>45777</v>
      </c>
      <c r="C384" s="8">
        <f ca="1">IFERROR(__xludf.DUMMYFUNCTION("""COMPUTED_VALUE"""),4)</f>
        <v>4</v>
      </c>
      <c r="D384" s="8">
        <f ca="1">IFERROR(__xludf.DUMMYFUNCTION("""COMPUTED_VALUE"""),2025)</f>
        <v>2025</v>
      </c>
      <c r="E384" s="8">
        <f ca="1">IFERROR(__xludf.DUMMYFUNCTION("""COMPUTED_VALUE"""),0.18)</f>
        <v>0.18</v>
      </c>
      <c r="F384" s="8">
        <f ca="1">IFERROR(__xludf.DUMMYFUNCTION("""COMPUTED_VALUE"""),2.14)</f>
        <v>2.14</v>
      </c>
    </row>
    <row r="385" spans="1:6" x14ac:dyDescent="0.2">
      <c r="A385" s="8" t="str">
        <f ca="1">IFERROR(__xludf.DUMMYFUNCTION("""COMPUTED_VALUE"""),"BBDC3")</f>
        <v>BBDC3</v>
      </c>
      <c r="B385" s="16">
        <f ca="1">IFERROR(__xludf.DUMMYFUNCTION("""COMPUTED_VALUE"""),45748)</f>
        <v>45748</v>
      </c>
      <c r="C385" s="8">
        <f ca="1">IFERROR(__xludf.DUMMYFUNCTION("""COMPUTED_VALUE"""),4)</f>
        <v>4</v>
      </c>
      <c r="D385" s="8">
        <f ca="1">IFERROR(__xludf.DUMMYFUNCTION("""COMPUTED_VALUE"""),2025)</f>
        <v>2025</v>
      </c>
      <c r="E385" s="8">
        <f ca="1">IFERROR(__xludf.DUMMYFUNCTION("""COMPUTED_VALUE"""),0.02)</f>
        <v>0.02</v>
      </c>
      <c r="F385" s="8">
        <f ca="1">IFERROR(__xludf.DUMMYFUNCTION("""COMPUTED_VALUE"""),0.21)</f>
        <v>0.21</v>
      </c>
    </row>
    <row r="386" spans="1:6" x14ac:dyDescent="0.2">
      <c r="A386" s="8" t="str">
        <f ca="1">IFERROR(__xludf.DUMMYFUNCTION("""COMPUTED_VALUE"""),"BRSR6")</f>
        <v>BRSR6</v>
      </c>
      <c r="B386" s="16">
        <f ca="1">IFERROR(__xludf.DUMMYFUNCTION("""COMPUTED_VALUE"""),45742)</f>
        <v>45742</v>
      </c>
      <c r="C386" s="8">
        <f ca="1">IFERROR(__xludf.DUMMYFUNCTION("""COMPUTED_VALUE"""),3)</f>
        <v>3</v>
      </c>
      <c r="D386" s="8">
        <f ca="1">IFERROR(__xludf.DUMMYFUNCTION("""COMPUTED_VALUE"""),2025)</f>
        <v>2025</v>
      </c>
      <c r="E386" s="8">
        <f ca="1">IFERROR(__xludf.DUMMYFUNCTION("""COMPUTED_VALUE"""),0.22)</f>
        <v>0.22</v>
      </c>
      <c r="F386" s="8">
        <f ca="1">IFERROR(__xludf.DUMMYFUNCTION("""COMPUTED_VALUE"""),245.79)</f>
        <v>245.79</v>
      </c>
    </row>
    <row r="387" spans="1:6" x14ac:dyDescent="0.2">
      <c r="A387" s="8" t="str">
        <f ca="1">IFERROR(__xludf.DUMMYFUNCTION("""COMPUTED_VALUE"""),"RANI3")</f>
        <v>RANI3</v>
      </c>
      <c r="B387" s="16">
        <f ca="1">IFERROR(__xludf.DUMMYFUNCTION("""COMPUTED_VALUE"""),45742)</f>
        <v>45742</v>
      </c>
      <c r="C387" s="8">
        <f ca="1">IFERROR(__xludf.DUMMYFUNCTION("""COMPUTED_VALUE"""),3)</f>
        <v>3</v>
      </c>
      <c r="D387" s="8">
        <f ca="1">IFERROR(__xludf.DUMMYFUNCTION("""COMPUTED_VALUE"""),2025)</f>
        <v>2025</v>
      </c>
      <c r="E387" s="8">
        <f ca="1">IFERROR(__xludf.DUMMYFUNCTION("""COMPUTED_VALUE"""),0.19)</f>
        <v>0.19</v>
      </c>
      <c r="F387" s="8">
        <f ca="1">IFERROR(__xludf.DUMMYFUNCTION("""COMPUTED_VALUE"""),282.16)</f>
        <v>282.16000000000003</v>
      </c>
    </row>
    <row r="388" spans="1:6" x14ac:dyDescent="0.2">
      <c r="A388" s="8" t="str">
        <f ca="1">IFERROR(__xludf.DUMMYFUNCTION("""COMPUTED_VALUE"""),"BBAS3")</f>
        <v>BBAS3</v>
      </c>
      <c r="B388" s="16">
        <f ca="1">IFERROR(__xludf.DUMMYFUNCTION("""COMPUTED_VALUE"""),45737)</f>
        <v>45737</v>
      </c>
      <c r="C388" s="8">
        <f ca="1">IFERROR(__xludf.DUMMYFUNCTION("""COMPUTED_VALUE"""),3)</f>
        <v>3</v>
      </c>
      <c r="D388" s="8">
        <f ca="1">IFERROR(__xludf.DUMMYFUNCTION("""COMPUTED_VALUE"""),2025)</f>
        <v>2025</v>
      </c>
      <c r="E388" s="8">
        <f ca="1">IFERROR(__xludf.DUMMYFUNCTION("""COMPUTED_VALUE"""),0.15)</f>
        <v>0.15</v>
      </c>
      <c r="F388" s="8">
        <f ca="1">IFERROR(__xludf.DUMMYFUNCTION("""COMPUTED_VALUE"""),12.7)</f>
        <v>12.7</v>
      </c>
    </row>
    <row r="389" spans="1:6" x14ac:dyDescent="0.2">
      <c r="A389" s="8" t="str">
        <f ca="1">IFERROR(__xludf.DUMMYFUNCTION("""COMPUTED_VALUE"""),"BBAS3")</f>
        <v>BBAS3</v>
      </c>
      <c r="B389" s="16">
        <f ca="1">IFERROR(__xludf.DUMMYFUNCTION("""COMPUTED_VALUE"""),45737)</f>
        <v>45737</v>
      </c>
      <c r="C389" s="8">
        <f ca="1">IFERROR(__xludf.DUMMYFUNCTION("""COMPUTED_VALUE"""),3)</f>
        <v>3</v>
      </c>
      <c r="D389" s="8">
        <f ca="1">IFERROR(__xludf.DUMMYFUNCTION("""COMPUTED_VALUE"""),2025)</f>
        <v>2025</v>
      </c>
      <c r="E389" s="8">
        <f ca="1">IFERROR(__xludf.DUMMYFUNCTION("""COMPUTED_VALUE"""),0)</f>
        <v>0</v>
      </c>
      <c r="F389" s="8">
        <f ca="1">IFERROR(__xludf.DUMMYFUNCTION("""COMPUTED_VALUE"""),575.96)</f>
        <v>575.96</v>
      </c>
    </row>
    <row r="390" spans="1:6" x14ac:dyDescent="0.2">
      <c r="A390" s="8" t="str">
        <f ca="1">IFERROR(__xludf.DUMMYFUNCTION("""COMPUTED_VALUE"""),"ISAE4")</f>
        <v>ISAE4</v>
      </c>
      <c r="B390" s="16">
        <f ca="1">IFERROR(__xludf.DUMMYFUNCTION("""COMPUTED_VALUE"""),45737)</f>
        <v>45737</v>
      </c>
      <c r="C390" s="8">
        <f ca="1">IFERROR(__xludf.DUMMYFUNCTION("""COMPUTED_VALUE"""),3)</f>
        <v>3</v>
      </c>
      <c r="D390" s="8">
        <f ca="1">IFERROR(__xludf.DUMMYFUNCTION("""COMPUTED_VALUE"""),2025)</f>
        <v>2025</v>
      </c>
      <c r="E390" s="8">
        <f ca="1">IFERROR(__xludf.DUMMYFUNCTION("""COMPUTED_VALUE"""),0.79)</f>
        <v>0.79</v>
      </c>
      <c r="F390" s="8">
        <f ca="1">IFERROR(__xludf.DUMMYFUNCTION("""COMPUTED_VALUE"""),599.34)</f>
        <v>599.34</v>
      </c>
    </row>
    <row r="391" spans="1:6" x14ac:dyDescent="0.2">
      <c r="A391" s="8" t="str">
        <f ca="1">IFERROR(__xludf.DUMMYFUNCTION("""COMPUTED_VALUE"""),"BBAS3")</f>
        <v>BBAS3</v>
      </c>
      <c r="B391" s="16">
        <f ca="1">IFERROR(__xludf.DUMMYFUNCTION("""COMPUTED_VALUE"""),45736)</f>
        <v>45736</v>
      </c>
      <c r="C391" s="8">
        <f ca="1">IFERROR(__xludf.DUMMYFUNCTION("""COMPUTED_VALUE"""),3)</f>
        <v>3</v>
      </c>
      <c r="D391" s="8">
        <f ca="1">IFERROR(__xludf.DUMMYFUNCTION("""COMPUTED_VALUE"""),2025)</f>
        <v>2025</v>
      </c>
      <c r="E391" s="8">
        <f ca="1">IFERROR(__xludf.DUMMYFUNCTION("""COMPUTED_VALUE"""),0.34)</f>
        <v>0.34</v>
      </c>
      <c r="F391" s="8">
        <f ca="1">IFERROR(__xludf.DUMMYFUNCTION("""COMPUTED_VALUE"""),29.12)</f>
        <v>29.12</v>
      </c>
    </row>
    <row r="392" spans="1:6" x14ac:dyDescent="0.2">
      <c r="A392" s="8" t="str">
        <f ca="1">IFERROR(__xludf.DUMMYFUNCTION("""COMPUTED_VALUE"""),"BBAS3")</f>
        <v>BBAS3</v>
      </c>
      <c r="B392" s="16">
        <f ca="1">IFERROR(__xludf.DUMMYFUNCTION("""COMPUTED_VALUE"""),45736)</f>
        <v>45736</v>
      </c>
      <c r="C392" s="8">
        <f ca="1">IFERROR(__xludf.DUMMYFUNCTION("""COMPUTED_VALUE"""),3)</f>
        <v>3</v>
      </c>
      <c r="D392" s="8">
        <f ca="1">IFERROR(__xludf.DUMMYFUNCTION("""COMPUTED_VALUE"""),2025)</f>
        <v>2025</v>
      </c>
      <c r="E392" s="8">
        <f ca="1">IFERROR(__xludf.DUMMYFUNCTION("""COMPUTED_VALUE"""),0)</f>
        <v>0</v>
      </c>
      <c r="F392" s="8">
        <f ca="1">IFERROR(__xludf.DUMMYFUNCTION("""COMPUTED_VALUE"""),0.28)</f>
        <v>0.28000000000000003</v>
      </c>
    </row>
    <row r="393" spans="1:6" x14ac:dyDescent="0.2">
      <c r="A393" s="8" t="str">
        <f ca="1">IFERROR(__xludf.DUMMYFUNCTION("""COMPUTED_VALUE"""),"BBAS3")</f>
        <v>BBAS3</v>
      </c>
      <c r="B393" s="16">
        <f ca="1">IFERROR(__xludf.DUMMYFUNCTION("""COMPUTED_VALUE"""),45736)</f>
        <v>45736</v>
      </c>
      <c r="C393" s="8">
        <f ca="1">IFERROR(__xludf.DUMMYFUNCTION("""COMPUTED_VALUE"""),3)</f>
        <v>3</v>
      </c>
      <c r="D393" s="8">
        <f ca="1">IFERROR(__xludf.DUMMYFUNCTION("""COMPUTED_VALUE"""),2025)</f>
        <v>2025</v>
      </c>
      <c r="E393" s="8">
        <f ca="1">IFERROR(__xludf.DUMMYFUNCTION("""COMPUTED_VALUE"""),0.14)</f>
        <v>0.14000000000000001</v>
      </c>
      <c r="F393" s="8">
        <f ca="1">IFERROR(__xludf.DUMMYFUNCTION("""COMPUTED_VALUE"""),13.6)</f>
        <v>13.6</v>
      </c>
    </row>
    <row r="394" spans="1:6" x14ac:dyDescent="0.2">
      <c r="A394" s="8" t="str">
        <f ca="1">IFERROR(__xludf.DUMMYFUNCTION("""COMPUTED_VALUE"""),"BBAS3")</f>
        <v>BBAS3</v>
      </c>
      <c r="B394" s="16">
        <f ca="1">IFERROR(__xludf.DUMMYFUNCTION("""COMPUTED_VALUE"""),45736)</f>
        <v>45736</v>
      </c>
      <c r="C394" s="8">
        <f ca="1">IFERROR(__xludf.DUMMYFUNCTION("""COMPUTED_VALUE"""),3)</f>
        <v>3</v>
      </c>
      <c r="D394" s="8">
        <f ca="1">IFERROR(__xludf.DUMMYFUNCTION("""COMPUTED_VALUE"""),2025)</f>
        <v>2025</v>
      </c>
      <c r="E394" s="8">
        <f ca="1">IFERROR(__xludf.DUMMYFUNCTION("""COMPUTED_VALUE"""),0)</f>
        <v>0</v>
      </c>
      <c r="F394" s="8">
        <f ca="1">IFERROR(__xludf.DUMMYFUNCTION("""COMPUTED_VALUE"""),0.69)</f>
        <v>0.69</v>
      </c>
    </row>
    <row r="395" spans="1:6" x14ac:dyDescent="0.2">
      <c r="A395" s="8" t="str">
        <f ca="1">IFERROR(__xludf.DUMMYFUNCTION("""COMPUTED_VALUE"""),"BBAS3")</f>
        <v>BBAS3</v>
      </c>
      <c r="B395" s="16">
        <f ca="1">IFERROR(__xludf.DUMMYFUNCTION("""COMPUTED_VALUE"""),45736)</f>
        <v>45736</v>
      </c>
      <c r="C395" s="8">
        <f ca="1">IFERROR(__xludf.DUMMYFUNCTION("""COMPUTED_VALUE"""),3)</f>
        <v>3</v>
      </c>
      <c r="D395" s="8">
        <f ca="1">IFERROR(__xludf.DUMMYFUNCTION("""COMPUTED_VALUE"""),2025)</f>
        <v>2025</v>
      </c>
      <c r="E395" s="8">
        <f ca="1">IFERROR(__xludf.DUMMYFUNCTION("""COMPUTED_VALUE"""),0)</f>
        <v>0</v>
      </c>
      <c r="F395" s="8">
        <f ca="1">IFERROR(__xludf.DUMMYFUNCTION("""COMPUTED_VALUE"""),1982.1)</f>
        <v>1982.1</v>
      </c>
    </row>
    <row r="396" spans="1:6" x14ac:dyDescent="0.2">
      <c r="A396" s="8" t="str">
        <f ca="1">IFERROR(__xludf.DUMMYFUNCTION("""COMPUTED_VALUE"""),"BBSE3")</f>
        <v>BBSE3</v>
      </c>
      <c r="B396" s="16">
        <f ca="1">IFERROR(__xludf.DUMMYFUNCTION("""COMPUTED_VALUE"""),45722)</f>
        <v>45722</v>
      </c>
      <c r="C396" s="8">
        <f ca="1">IFERROR(__xludf.DUMMYFUNCTION("""COMPUTED_VALUE"""),3)</f>
        <v>3</v>
      </c>
      <c r="D396" s="8">
        <f ca="1">IFERROR(__xludf.DUMMYFUNCTION("""COMPUTED_VALUE"""),2025)</f>
        <v>2025</v>
      </c>
      <c r="E396" s="8">
        <f ca="1">IFERROR(__xludf.DUMMYFUNCTION("""COMPUTED_VALUE"""),0)</f>
        <v>0</v>
      </c>
      <c r="F396" s="8">
        <f ca="1">IFERROR(__xludf.DUMMYFUNCTION("""COMPUTED_VALUE"""),3616.51)</f>
        <v>3616.51</v>
      </c>
    </row>
    <row r="397" spans="1:6" x14ac:dyDescent="0.2">
      <c r="A397" s="8" t="str">
        <f ca="1">IFERROR(__xludf.DUMMYFUNCTION("""COMPUTED_VALUE"""),"BBDC3")</f>
        <v>BBDC3</v>
      </c>
      <c r="B397" s="16">
        <f ca="1">IFERROR(__xludf.DUMMYFUNCTION("""COMPUTED_VALUE"""),45721)</f>
        <v>45721</v>
      </c>
      <c r="C397" s="8">
        <f ca="1">IFERROR(__xludf.DUMMYFUNCTION("""COMPUTED_VALUE"""),3)</f>
        <v>3</v>
      </c>
      <c r="D397" s="8">
        <f ca="1">IFERROR(__xludf.DUMMYFUNCTION("""COMPUTED_VALUE"""),2025)</f>
        <v>2025</v>
      </c>
      <c r="E397" s="8">
        <f ca="1">IFERROR(__xludf.DUMMYFUNCTION("""COMPUTED_VALUE"""),0.02)</f>
        <v>0.02</v>
      </c>
      <c r="F397" s="8">
        <f ca="1">IFERROR(__xludf.DUMMYFUNCTION("""COMPUTED_VALUE"""),0.21)</f>
        <v>0.21</v>
      </c>
    </row>
    <row r="398" spans="1:6" x14ac:dyDescent="0.2">
      <c r="A398" s="8" t="str">
        <f ca="1">IFERROR(__xludf.DUMMYFUNCTION("""COMPUTED_VALUE"""),"ISAE4")</f>
        <v>ISAE4</v>
      </c>
      <c r="B398" s="16">
        <f ca="1">IFERROR(__xludf.DUMMYFUNCTION("""COMPUTED_VALUE"""),45709)</f>
        <v>45709</v>
      </c>
      <c r="C398" s="8">
        <f ca="1">IFERROR(__xludf.DUMMYFUNCTION("""COMPUTED_VALUE"""),2)</f>
        <v>2</v>
      </c>
      <c r="D398" s="8">
        <f ca="1">IFERROR(__xludf.DUMMYFUNCTION("""COMPUTED_VALUE"""),2025)</f>
        <v>2025</v>
      </c>
      <c r="E398" s="8">
        <f ca="1">IFERROR(__xludf.DUMMYFUNCTION("""COMPUTED_VALUE"""),0)</f>
        <v>0</v>
      </c>
      <c r="F398" s="8">
        <f ca="1">IFERROR(__xludf.DUMMYFUNCTION("""COMPUTED_VALUE"""),599.34)</f>
        <v>599.34</v>
      </c>
    </row>
    <row r="399" spans="1:6" x14ac:dyDescent="0.2">
      <c r="A399" s="8" t="str">
        <f ca="1">IFERROR(__xludf.DUMMYFUNCTION("""COMPUTED_VALUE"""),"BBDC3")</f>
        <v>BBDC3</v>
      </c>
      <c r="B399" s="16">
        <f ca="1">IFERROR(__xludf.DUMMYFUNCTION("""COMPUTED_VALUE"""),45691)</f>
        <v>45691</v>
      </c>
      <c r="C399" s="8">
        <f ca="1">IFERROR(__xludf.DUMMYFUNCTION("""COMPUTED_VALUE"""),2)</f>
        <v>2</v>
      </c>
      <c r="D399" s="8">
        <f ca="1">IFERROR(__xludf.DUMMYFUNCTION("""COMPUTED_VALUE"""),2025)</f>
        <v>2025</v>
      </c>
      <c r="E399" s="8">
        <f ca="1">IFERROR(__xludf.DUMMYFUNCTION("""COMPUTED_VALUE"""),0.02)</f>
        <v>0.02</v>
      </c>
      <c r="F399" s="8">
        <f ca="1">IFERROR(__xludf.DUMMYFUNCTION("""COMPUTED_VALUE"""),0.21)</f>
        <v>0.21</v>
      </c>
    </row>
    <row r="400" spans="1:6" x14ac:dyDescent="0.2">
      <c r="A400" s="8" t="str">
        <f ca="1">IFERROR(__xludf.DUMMYFUNCTION("""COMPUTED_VALUE"""),"BBDC3")</f>
        <v>BBDC3</v>
      </c>
      <c r="B400" s="16">
        <f ca="1">IFERROR(__xludf.DUMMYFUNCTION("""COMPUTED_VALUE"""),45688)</f>
        <v>45688</v>
      </c>
      <c r="C400" s="8">
        <f ca="1">IFERROR(__xludf.DUMMYFUNCTION("""COMPUTED_VALUE"""),1)</f>
        <v>1</v>
      </c>
      <c r="D400" s="8">
        <f ca="1">IFERROR(__xludf.DUMMYFUNCTION("""COMPUTED_VALUE"""),2025)</f>
        <v>2025</v>
      </c>
      <c r="E400" s="8">
        <f ca="1">IFERROR(__xludf.DUMMYFUNCTION("""COMPUTED_VALUE"""),0.36)</f>
        <v>0.36</v>
      </c>
      <c r="F400" s="8">
        <f ca="1">IFERROR(__xludf.DUMMYFUNCTION("""COMPUTED_VALUE"""),279.02)</f>
        <v>279.02</v>
      </c>
    </row>
    <row r="401" spans="1:6" x14ac:dyDescent="0.2">
      <c r="A401" s="8" t="str">
        <f ca="1">IFERROR(__xludf.DUMMYFUNCTION("""COMPUTED_VALUE"""),"TAEE4")</f>
        <v>TAEE4</v>
      </c>
      <c r="B401" s="16">
        <f ca="1">IFERROR(__xludf.DUMMYFUNCTION("""COMPUTED_VALUE"""),45686)</f>
        <v>45686</v>
      </c>
      <c r="C401" s="8">
        <f ca="1">IFERROR(__xludf.DUMMYFUNCTION("""COMPUTED_VALUE"""),1)</f>
        <v>1</v>
      </c>
      <c r="D401" s="8">
        <f ca="1">IFERROR(__xludf.DUMMYFUNCTION("""COMPUTED_VALUE"""),2025)</f>
        <v>2025</v>
      </c>
      <c r="E401" s="8">
        <f ca="1">IFERROR(__xludf.DUMMYFUNCTION("""COMPUTED_VALUE"""),0.09)</f>
        <v>0.09</v>
      </c>
      <c r="F401" s="8">
        <f ca="1">IFERROR(__xludf.DUMMYFUNCTION("""COMPUTED_VALUE"""),186.72)</f>
        <v>186.72</v>
      </c>
    </row>
    <row r="402" spans="1:6" x14ac:dyDescent="0.2">
      <c r="A402" s="8" t="str">
        <f ca="1">IFERROR(__xludf.DUMMYFUNCTION("""COMPUTED_VALUE"""),"TAEE4")</f>
        <v>TAEE4</v>
      </c>
      <c r="B402" s="16">
        <f ca="1">IFERROR(__xludf.DUMMYFUNCTION("""COMPUTED_VALUE"""),45686)</f>
        <v>45686</v>
      </c>
      <c r="C402" s="8">
        <f ca="1">IFERROR(__xludf.DUMMYFUNCTION("""COMPUTED_VALUE"""),1)</f>
        <v>1</v>
      </c>
      <c r="D402" s="8">
        <f ca="1">IFERROR(__xludf.DUMMYFUNCTION("""COMPUTED_VALUE"""),2025)</f>
        <v>2025</v>
      </c>
      <c r="E402" s="8">
        <f ca="1">IFERROR(__xludf.DUMMYFUNCTION("""COMPUTED_VALUE"""),0.13)</f>
        <v>0.13</v>
      </c>
      <c r="F402" s="8">
        <f ca="1">IFERROR(__xludf.DUMMYFUNCTION("""COMPUTED_VALUE"""),235.92)</f>
        <v>235.92</v>
      </c>
    </row>
    <row r="403" spans="1:6" x14ac:dyDescent="0.2">
      <c r="A403" s="8" t="str">
        <f ca="1">IFERROR(__xludf.DUMMYFUNCTION("""COMPUTED_VALUE"""),"ISAE4")</f>
        <v>ISAE4</v>
      </c>
      <c r="B403" s="16">
        <f ca="1">IFERROR(__xludf.DUMMYFUNCTION("""COMPUTED_VALUE"""),45678)</f>
        <v>45678</v>
      </c>
      <c r="C403" s="8">
        <f ca="1">IFERROR(__xludf.DUMMYFUNCTION("""COMPUTED_VALUE"""),1)</f>
        <v>1</v>
      </c>
      <c r="D403" s="8">
        <f ca="1">IFERROR(__xludf.DUMMYFUNCTION("""COMPUTED_VALUE"""),2025)</f>
        <v>2025</v>
      </c>
      <c r="E403" s="8">
        <f ca="1">IFERROR(__xludf.DUMMYFUNCTION("""COMPUTED_VALUE"""),0.79)</f>
        <v>0.79</v>
      </c>
      <c r="F403" s="8">
        <f ca="1">IFERROR(__xludf.DUMMYFUNCTION("""COMPUTED_VALUE"""),599.34)</f>
        <v>599.34</v>
      </c>
    </row>
    <row r="404" spans="1:6" x14ac:dyDescent="0.2">
      <c r="A404" s="8" t="str">
        <f ca="1">IFERROR(__xludf.DUMMYFUNCTION("""COMPUTED_VALUE"""),"CXSE3")</f>
        <v>CXSE3</v>
      </c>
      <c r="B404" s="16">
        <f ca="1">IFERROR(__xludf.DUMMYFUNCTION("""COMPUTED_VALUE"""),45674)</f>
        <v>45674</v>
      </c>
      <c r="C404" s="8">
        <f ca="1">IFERROR(__xludf.DUMMYFUNCTION("""COMPUTED_VALUE"""),1)</f>
        <v>1</v>
      </c>
      <c r="D404" s="8">
        <f ca="1">IFERROR(__xludf.DUMMYFUNCTION("""COMPUTED_VALUE"""),2025)</f>
        <v>2025</v>
      </c>
      <c r="E404" s="8">
        <f ca="1">IFERROR(__xludf.DUMMYFUNCTION("""COMPUTED_VALUE"""),0.31)</f>
        <v>0.31</v>
      </c>
      <c r="F404" s="8">
        <f ca="1">IFERROR(__xludf.DUMMYFUNCTION("""COMPUTED_VALUE"""),182.28)</f>
        <v>182.28</v>
      </c>
    </row>
    <row r="405" spans="1:6" x14ac:dyDescent="0.2">
      <c r="A405" s="8" t="str">
        <f ca="1">IFERROR(__xludf.DUMMYFUNCTION("""COMPUTED_VALUE"""),"CXSE3")</f>
        <v>CXSE3</v>
      </c>
      <c r="B405" s="16">
        <f ca="1">IFERROR(__xludf.DUMMYFUNCTION("""COMPUTED_VALUE"""),45674)</f>
        <v>45674</v>
      </c>
      <c r="C405" s="8">
        <f ca="1">IFERROR(__xludf.DUMMYFUNCTION("""COMPUTED_VALUE"""),1)</f>
        <v>1</v>
      </c>
      <c r="D405" s="8">
        <f ca="1">IFERROR(__xludf.DUMMYFUNCTION("""COMPUTED_VALUE"""),2025)</f>
        <v>2025</v>
      </c>
      <c r="E405" s="8">
        <f ca="1">IFERROR(__xludf.DUMMYFUNCTION("""COMPUTED_VALUE"""),0)</f>
        <v>0</v>
      </c>
      <c r="F405" s="8">
        <f ca="1">IFERROR(__xludf.DUMMYFUNCTION("""COMPUTED_VALUE"""),0.77)</f>
        <v>0.77</v>
      </c>
    </row>
    <row r="406" spans="1:6" x14ac:dyDescent="0.2">
      <c r="A406" s="8" t="str">
        <f ca="1">IFERROR(__xludf.DUMMYFUNCTION("""COMPUTED_VALUE"""),"ABCB4")</f>
        <v>ABCB4</v>
      </c>
      <c r="B406" s="16">
        <f ca="1">IFERROR(__xludf.DUMMYFUNCTION("""COMPUTED_VALUE"""),45666)</f>
        <v>45666</v>
      </c>
      <c r="C406" s="8">
        <f ca="1">IFERROR(__xludf.DUMMYFUNCTION("""COMPUTED_VALUE"""),1)</f>
        <v>1</v>
      </c>
      <c r="D406" s="8">
        <f ca="1">IFERROR(__xludf.DUMMYFUNCTION("""COMPUTED_VALUE"""),2025)</f>
        <v>2025</v>
      </c>
      <c r="E406" s="8">
        <f ca="1">IFERROR(__xludf.DUMMYFUNCTION("""COMPUTED_VALUE"""),0.86)</f>
        <v>0.86</v>
      </c>
      <c r="F406" s="8">
        <f ca="1">IFERROR(__xludf.DUMMYFUNCTION("""COMPUTED_VALUE"""),175.44)</f>
        <v>175.44</v>
      </c>
    </row>
    <row r="407" spans="1:6" x14ac:dyDescent="0.2">
      <c r="A407" s="8" t="str">
        <f ca="1">IFERROR(__xludf.DUMMYFUNCTION("""COMPUTED_VALUE"""),"BBDC3")</f>
        <v>BBDC3</v>
      </c>
      <c r="B407" s="16">
        <f ca="1">IFERROR(__xludf.DUMMYFUNCTION("""COMPUTED_VALUE"""),45659)</f>
        <v>45659</v>
      </c>
      <c r="C407" s="8">
        <f ca="1">IFERROR(__xludf.DUMMYFUNCTION("""COMPUTED_VALUE"""),1)</f>
        <v>1</v>
      </c>
      <c r="D407" s="8">
        <f ca="1">IFERROR(__xludf.DUMMYFUNCTION("""COMPUTED_VALUE"""),2025)</f>
        <v>2025</v>
      </c>
      <c r="E407" s="8">
        <f ca="1">IFERROR(__xludf.DUMMYFUNCTION("""COMPUTED_VALUE"""),0.02)</f>
        <v>0.02</v>
      </c>
      <c r="F407" s="8">
        <f ca="1">IFERROR(__xludf.DUMMYFUNCTION("""COMPUTED_VALUE"""),0.21)</f>
        <v>0.21</v>
      </c>
    </row>
    <row r="408" spans="1:6" x14ac:dyDescent="0.2">
      <c r="A408" s="8"/>
      <c r="B408" s="8"/>
      <c r="C408" s="8"/>
      <c r="D408" s="8"/>
      <c r="E408" s="8"/>
      <c r="F408" s="8"/>
    </row>
    <row r="409" spans="1:6" x14ac:dyDescent="0.2">
      <c r="A409" s="8"/>
      <c r="B409" s="8"/>
      <c r="C409" s="8"/>
      <c r="D409" s="8"/>
      <c r="E409" s="8"/>
      <c r="F409" s="8"/>
    </row>
    <row r="410" spans="1:6" x14ac:dyDescent="0.2">
      <c r="A410" s="8"/>
      <c r="B410" s="8"/>
      <c r="C410" s="8"/>
      <c r="D410" s="8"/>
      <c r="E410" s="8"/>
      <c r="F410" s="8"/>
    </row>
    <row r="411" spans="1:6" x14ac:dyDescent="0.2">
      <c r="A411" s="8"/>
      <c r="B411" s="8"/>
      <c r="C411" s="8"/>
      <c r="D411" s="8"/>
      <c r="E411" s="8"/>
      <c r="F411" s="8"/>
    </row>
    <row r="412" spans="1:6" x14ac:dyDescent="0.2">
      <c r="A412" s="8"/>
      <c r="B412" s="8"/>
      <c r="C412" s="8"/>
      <c r="D412" s="8"/>
      <c r="E412" s="8"/>
      <c r="F412" s="8"/>
    </row>
    <row r="413" spans="1:6" x14ac:dyDescent="0.2">
      <c r="A413" s="8"/>
      <c r="B413" s="8"/>
      <c r="C413" s="8"/>
      <c r="D413" s="8"/>
      <c r="E413" s="8"/>
      <c r="F413" s="8"/>
    </row>
    <row r="414" spans="1:6" x14ac:dyDescent="0.2">
      <c r="A414" s="8"/>
      <c r="B414" s="8"/>
      <c r="C414" s="8"/>
      <c r="D414" s="8"/>
      <c r="E414" s="8"/>
      <c r="F414" s="8"/>
    </row>
    <row r="415" spans="1:6" x14ac:dyDescent="0.2">
      <c r="A415" s="8"/>
      <c r="B415" s="8"/>
      <c r="C415" s="8"/>
      <c r="D415" s="8"/>
      <c r="E415" s="8"/>
      <c r="F415" s="8"/>
    </row>
    <row r="416" spans="1:6" x14ac:dyDescent="0.2">
      <c r="A416" s="8"/>
      <c r="B416" s="8"/>
      <c r="C416" s="8"/>
      <c r="D416" s="8"/>
      <c r="E416" s="8"/>
      <c r="F416" s="8"/>
    </row>
    <row r="417" spans="1:6" x14ac:dyDescent="0.2">
      <c r="A417" s="8"/>
      <c r="B417" s="8"/>
      <c r="C417" s="8"/>
      <c r="D417" s="8"/>
      <c r="E417" s="8"/>
      <c r="F417" s="8"/>
    </row>
    <row r="418" spans="1:6" x14ac:dyDescent="0.2">
      <c r="A418" s="8"/>
      <c r="B418" s="8"/>
      <c r="C418" s="8"/>
      <c r="D418" s="8"/>
      <c r="E418" s="8"/>
      <c r="F418" s="8"/>
    </row>
    <row r="419" spans="1:6" x14ac:dyDescent="0.2">
      <c r="A419" s="8"/>
      <c r="B419" s="8"/>
      <c r="C419" s="8"/>
      <c r="D419" s="8"/>
      <c r="E419" s="8"/>
      <c r="F419" s="8"/>
    </row>
    <row r="420" spans="1:6" x14ac:dyDescent="0.2">
      <c r="A420" s="8"/>
      <c r="B420" s="8"/>
      <c r="C420" s="8"/>
      <c r="D420" s="8"/>
      <c r="E420" s="8"/>
      <c r="F420" s="8"/>
    </row>
    <row r="421" spans="1:6" x14ac:dyDescent="0.2">
      <c r="A421" s="8"/>
      <c r="B421" s="8"/>
      <c r="C421" s="8"/>
      <c r="D421" s="8"/>
      <c r="E421" s="8"/>
      <c r="F421" s="8"/>
    </row>
    <row r="422" spans="1:6" x14ac:dyDescent="0.2">
      <c r="A422" s="8"/>
      <c r="B422" s="8"/>
      <c r="C422" s="8"/>
      <c r="D422" s="8"/>
      <c r="E422" s="8"/>
      <c r="F422" s="8"/>
    </row>
    <row r="423" spans="1:6" x14ac:dyDescent="0.2">
      <c r="A423" s="8"/>
      <c r="B423" s="8"/>
      <c r="C423" s="8"/>
      <c r="D423" s="8"/>
      <c r="E423" s="8"/>
      <c r="F423" s="8"/>
    </row>
    <row r="424" spans="1:6" x14ac:dyDescent="0.2">
      <c r="A424" s="8"/>
      <c r="B424" s="8"/>
      <c r="C424" s="8"/>
      <c r="D424" s="8"/>
      <c r="E424" s="8"/>
      <c r="F424" s="8"/>
    </row>
    <row r="425" spans="1:6" x14ac:dyDescent="0.2">
      <c r="A425" s="8"/>
      <c r="B425" s="8"/>
      <c r="C425" s="8"/>
      <c r="D425" s="8"/>
      <c r="E425" s="8"/>
      <c r="F425" s="8"/>
    </row>
    <row r="426" spans="1:6" x14ac:dyDescent="0.2">
      <c r="A426" s="8"/>
      <c r="B426" s="8"/>
      <c r="C426" s="8"/>
      <c r="D426" s="8"/>
      <c r="E426" s="8"/>
      <c r="F426" s="8"/>
    </row>
    <row r="427" spans="1:6" x14ac:dyDescent="0.2">
      <c r="A427" s="8"/>
      <c r="B427" s="8"/>
      <c r="C427" s="8"/>
      <c r="D427" s="8"/>
      <c r="E427" s="8"/>
      <c r="F427" s="8"/>
    </row>
    <row r="428" spans="1:6" x14ac:dyDescent="0.2">
      <c r="A428" s="8"/>
      <c r="B428" s="8"/>
      <c r="C428" s="8"/>
      <c r="D428" s="8"/>
      <c r="E428" s="8"/>
      <c r="F428" s="8"/>
    </row>
    <row r="429" spans="1:6" x14ac:dyDescent="0.2">
      <c r="A429" s="8"/>
      <c r="B429" s="8"/>
      <c r="C429" s="8"/>
      <c r="D429" s="8"/>
      <c r="E429" s="8"/>
      <c r="F429" s="8"/>
    </row>
    <row r="430" spans="1:6" x14ac:dyDescent="0.2">
      <c r="A430" s="8"/>
      <c r="B430" s="8"/>
      <c r="C430" s="8"/>
      <c r="D430" s="8"/>
      <c r="E430" s="8"/>
      <c r="F430" s="8"/>
    </row>
    <row r="431" spans="1:6" x14ac:dyDescent="0.2">
      <c r="A431" s="8"/>
      <c r="B431" s="8"/>
      <c r="C431" s="8"/>
      <c r="D431" s="8"/>
      <c r="E431" s="8"/>
      <c r="F431" s="8"/>
    </row>
    <row r="432" spans="1:6" x14ac:dyDescent="0.2">
      <c r="A432" s="8"/>
      <c r="B432" s="8"/>
      <c r="C432" s="8"/>
      <c r="D432" s="8"/>
      <c r="E432" s="8"/>
      <c r="F432" s="8"/>
    </row>
    <row r="433" spans="1:6" x14ac:dyDescent="0.2">
      <c r="A433" s="8"/>
      <c r="B433" s="8"/>
      <c r="C433" s="8"/>
      <c r="D433" s="8"/>
      <c r="E433" s="8"/>
      <c r="F433" s="8"/>
    </row>
    <row r="434" spans="1:6" x14ac:dyDescent="0.2">
      <c r="A434" s="8"/>
      <c r="B434" s="8"/>
      <c r="C434" s="8"/>
      <c r="D434" s="8"/>
      <c r="E434" s="8"/>
      <c r="F434" s="8"/>
    </row>
    <row r="435" spans="1:6" x14ac:dyDescent="0.2">
      <c r="A435" s="8"/>
      <c r="B435" s="8"/>
      <c r="C435" s="8"/>
      <c r="D435" s="8"/>
      <c r="E435" s="8"/>
      <c r="F435" s="8"/>
    </row>
    <row r="436" spans="1:6" x14ac:dyDescent="0.2">
      <c r="A436" s="8"/>
      <c r="B436" s="8"/>
      <c r="C436" s="8"/>
      <c r="D436" s="8"/>
      <c r="E436" s="8"/>
      <c r="F436" s="8"/>
    </row>
    <row r="437" spans="1:6" x14ac:dyDescent="0.2">
      <c r="A437" s="8"/>
      <c r="B437" s="8"/>
      <c r="C437" s="8"/>
      <c r="D437" s="8"/>
      <c r="E437" s="8"/>
      <c r="F437" s="8"/>
    </row>
    <row r="438" spans="1:6" x14ac:dyDescent="0.2">
      <c r="A438" s="8"/>
      <c r="B438" s="8"/>
      <c r="C438" s="8"/>
      <c r="D438" s="8"/>
      <c r="E438" s="8"/>
      <c r="F438" s="8"/>
    </row>
    <row r="439" spans="1:6" x14ac:dyDescent="0.2">
      <c r="A439" s="8"/>
      <c r="B439" s="8"/>
      <c r="C439" s="8"/>
      <c r="D439" s="8"/>
      <c r="E439" s="8"/>
      <c r="F439" s="8"/>
    </row>
    <row r="440" spans="1:6" x14ac:dyDescent="0.2">
      <c r="A440" s="8"/>
      <c r="B440" s="8"/>
      <c r="C440" s="8"/>
      <c r="D440" s="8"/>
      <c r="E440" s="8"/>
      <c r="F440" s="8"/>
    </row>
    <row r="441" spans="1:6" x14ac:dyDescent="0.2">
      <c r="A441" s="8"/>
      <c r="B441" s="8"/>
      <c r="C441" s="8"/>
      <c r="D441" s="8"/>
      <c r="E441" s="8"/>
      <c r="F441" s="8"/>
    </row>
    <row r="442" spans="1:6" x14ac:dyDescent="0.2">
      <c r="A442" s="8"/>
      <c r="B442" s="8"/>
      <c r="C442" s="8"/>
      <c r="D442" s="8"/>
      <c r="E442" s="8"/>
      <c r="F442" s="8"/>
    </row>
    <row r="443" spans="1:6" x14ac:dyDescent="0.2">
      <c r="A443" s="8"/>
      <c r="B443" s="8"/>
      <c r="C443" s="8"/>
      <c r="D443" s="8"/>
      <c r="E443" s="8"/>
      <c r="F443" s="8"/>
    </row>
    <row r="444" spans="1:6" x14ac:dyDescent="0.2">
      <c r="A444" s="8"/>
      <c r="B444" s="8"/>
      <c r="C444" s="8"/>
      <c r="D444" s="8"/>
      <c r="E444" s="8"/>
      <c r="F444" s="8"/>
    </row>
    <row r="445" spans="1:6" x14ac:dyDescent="0.2">
      <c r="A445" s="8"/>
      <c r="B445" s="8"/>
      <c r="C445" s="8"/>
      <c r="D445" s="8"/>
      <c r="E445" s="8"/>
      <c r="F445" s="8"/>
    </row>
    <row r="446" spans="1:6" x14ac:dyDescent="0.2">
      <c r="A446" s="8"/>
      <c r="B446" s="8"/>
      <c r="C446" s="8"/>
      <c r="D446" s="8"/>
      <c r="E446" s="8"/>
      <c r="F446" s="8"/>
    </row>
    <row r="447" spans="1:6" x14ac:dyDescent="0.2">
      <c r="A447" s="8"/>
      <c r="B447" s="8"/>
      <c r="C447" s="8"/>
      <c r="D447" s="8"/>
      <c r="E447" s="8"/>
      <c r="F447" s="8"/>
    </row>
    <row r="448" spans="1:6" x14ac:dyDescent="0.2">
      <c r="A448" s="8"/>
      <c r="B448" s="8"/>
      <c r="C448" s="8"/>
      <c r="D448" s="8"/>
      <c r="E448" s="8"/>
      <c r="F448" s="8"/>
    </row>
    <row r="449" spans="1:6" x14ac:dyDescent="0.2">
      <c r="A449" s="8"/>
      <c r="B449" s="8"/>
      <c r="C449" s="8"/>
      <c r="D449" s="8"/>
      <c r="E449" s="8"/>
      <c r="F449" s="8"/>
    </row>
    <row r="450" spans="1:6" x14ac:dyDescent="0.2">
      <c r="A450" s="8"/>
      <c r="B450" s="8"/>
      <c r="C450" s="8"/>
      <c r="D450" s="8"/>
      <c r="E450" s="8"/>
      <c r="F450" s="8"/>
    </row>
    <row r="451" spans="1:6" x14ac:dyDescent="0.2">
      <c r="A451" s="8"/>
      <c r="B451" s="8"/>
      <c r="C451" s="8"/>
      <c r="D451" s="8"/>
      <c r="E451" s="8"/>
      <c r="F451" s="8"/>
    </row>
    <row r="452" spans="1:6" x14ac:dyDescent="0.2">
      <c r="A452" s="8"/>
      <c r="B452" s="8"/>
      <c r="C452" s="8"/>
      <c r="D452" s="8"/>
      <c r="E452" s="8"/>
      <c r="F452" s="8"/>
    </row>
    <row r="453" spans="1:6" x14ac:dyDescent="0.2">
      <c r="A453" s="8"/>
      <c r="B453" s="8"/>
      <c r="C453" s="8"/>
      <c r="D453" s="8"/>
      <c r="E453" s="8"/>
      <c r="F453" s="8"/>
    </row>
    <row r="454" spans="1:6" x14ac:dyDescent="0.2">
      <c r="A454" s="8"/>
      <c r="B454" s="8"/>
      <c r="C454" s="8"/>
      <c r="D454" s="8"/>
      <c r="E454" s="8"/>
      <c r="F454" s="8"/>
    </row>
    <row r="455" spans="1:6" x14ac:dyDescent="0.2">
      <c r="A455" s="8"/>
      <c r="B455" s="8"/>
      <c r="C455" s="8"/>
      <c r="D455" s="8"/>
      <c r="E455" s="8"/>
      <c r="F455" s="8"/>
    </row>
    <row r="456" spans="1:6" x14ac:dyDescent="0.2">
      <c r="A456" s="8"/>
      <c r="B456" s="8"/>
      <c r="C456" s="8"/>
      <c r="D456" s="8"/>
      <c r="E456" s="8"/>
      <c r="F456" s="8"/>
    </row>
    <row r="457" spans="1:6" x14ac:dyDescent="0.2">
      <c r="A457" s="8"/>
      <c r="B457" s="8"/>
      <c r="C457" s="8"/>
      <c r="D457" s="8"/>
      <c r="E457" s="8"/>
      <c r="F457" s="8"/>
    </row>
    <row r="458" spans="1:6" x14ac:dyDescent="0.2">
      <c r="A458" s="8"/>
      <c r="B458" s="8"/>
      <c r="C458" s="8"/>
      <c r="D458" s="8"/>
      <c r="E458" s="8"/>
      <c r="F458" s="8"/>
    </row>
    <row r="459" spans="1:6" x14ac:dyDescent="0.2">
      <c r="A459" s="8"/>
      <c r="B459" s="8"/>
      <c r="C459" s="8"/>
      <c r="D459" s="8"/>
      <c r="E459" s="8"/>
      <c r="F459" s="8"/>
    </row>
    <row r="460" spans="1:6" x14ac:dyDescent="0.2">
      <c r="A460" s="8"/>
      <c r="B460" s="8"/>
      <c r="C460" s="8"/>
      <c r="D460" s="8"/>
      <c r="E460" s="8"/>
      <c r="F460" s="8"/>
    </row>
    <row r="461" spans="1:6" x14ac:dyDescent="0.2">
      <c r="A461" s="8"/>
      <c r="B461" s="8"/>
      <c r="C461" s="8"/>
      <c r="D461" s="8"/>
      <c r="E461" s="8"/>
      <c r="F461" s="8"/>
    </row>
    <row r="462" spans="1:6" x14ac:dyDescent="0.2">
      <c r="A462" s="8"/>
      <c r="B462" s="8"/>
      <c r="C462" s="8"/>
      <c r="D462" s="8"/>
      <c r="E462" s="8"/>
      <c r="F462" s="8"/>
    </row>
    <row r="463" spans="1:6" x14ac:dyDescent="0.2">
      <c r="A463" s="8"/>
      <c r="B463" s="8"/>
      <c r="C463" s="8"/>
      <c r="D463" s="8"/>
      <c r="E463" s="8"/>
      <c r="F463" s="8"/>
    </row>
    <row r="464" spans="1:6" x14ac:dyDescent="0.2">
      <c r="A464" s="8"/>
      <c r="B464" s="8"/>
      <c r="C464" s="8"/>
      <c r="D464" s="8"/>
      <c r="E464" s="8"/>
      <c r="F464" s="8"/>
    </row>
    <row r="465" spans="1:6" x14ac:dyDescent="0.2">
      <c r="A465" s="8"/>
      <c r="B465" s="8"/>
      <c r="C465" s="8"/>
      <c r="D465" s="8"/>
      <c r="E465" s="8"/>
      <c r="F465" s="8"/>
    </row>
    <row r="466" spans="1:6" x14ac:dyDescent="0.2">
      <c r="A466" s="8"/>
      <c r="B466" s="8"/>
      <c r="C466" s="8"/>
      <c r="D466" s="8"/>
      <c r="E466" s="8"/>
      <c r="F466" s="8"/>
    </row>
    <row r="467" spans="1:6" x14ac:dyDescent="0.2">
      <c r="A467" s="8"/>
      <c r="B467" s="8"/>
      <c r="C467" s="8"/>
      <c r="D467" s="8"/>
      <c r="E467" s="8"/>
      <c r="F467" s="8"/>
    </row>
    <row r="468" spans="1:6" x14ac:dyDescent="0.2">
      <c r="A468" s="8"/>
      <c r="B468" s="8"/>
      <c r="C468" s="8"/>
      <c r="D468" s="8"/>
      <c r="E468" s="8"/>
      <c r="F468" s="8"/>
    </row>
    <row r="469" spans="1:6" x14ac:dyDescent="0.2">
      <c r="A469" s="8"/>
      <c r="B469" s="8"/>
      <c r="C469" s="8"/>
      <c r="D469" s="8"/>
      <c r="E469" s="8"/>
      <c r="F469" s="8"/>
    </row>
    <row r="470" spans="1:6" x14ac:dyDescent="0.2">
      <c r="A470" s="8"/>
      <c r="B470" s="8"/>
      <c r="C470" s="8"/>
      <c r="D470" s="8"/>
      <c r="E470" s="8"/>
      <c r="F470" s="8"/>
    </row>
    <row r="471" spans="1:6" x14ac:dyDescent="0.2">
      <c r="A471" s="8"/>
      <c r="B471" s="8"/>
      <c r="C471" s="8"/>
      <c r="D471" s="8"/>
      <c r="E471" s="8"/>
      <c r="F471" s="8"/>
    </row>
    <row r="472" spans="1:6" x14ac:dyDescent="0.2">
      <c r="A472" s="8"/>
      <c r="B472" s="8"/>
      <c r="C472" s="8"/>
      <c r="D472" s="8"/>
      <c r="E472" s="8"/>
      <c r="F472" s="8"/>
    </row>
    <row r="473" spans="1:6" x14ac:dyDescent="0.2">
      <c r="A473" s="8"/>
      <c r="B473" s="8"/>
      <c r="C473" s="8"/>
      <c r="D473" s="8"/>
      <c r="E473" s="8"/>
      <c r="F473" s="8"/>
    </row>
    <row r="474" spans="1:6" x14ac:dyDescent="0.2">
      <c r="A474" s="8"/>
      <c r="B474" s="8"/>
      <c r="C474" s="8"/>
      <c r="D474" s="8"/>
      <c r="E474" s="8"/>
      <c r="F474" s="8"/>
    </row>
    <row r="475" spans="1:6" x14ac:dyDescent="0.2">
      <c r="A475" s="8"/>
      <c r="B475" s="8"/>
      <c r="C475" s="8"/>
      <c r="D475" s="8"/>
      <c r="E475" s="8"/>
      <c r="F475" s="8"/>
    </row>
    <row r="476" spans="1:6" x14ac:dyDescent="0.2">
      <c r="A476" s="8"/>
      <c r="B476" s="8"/>
      <c r="C476" s="8"/>
      <c r="D476" s="8"/>
      <c r="E476" s="8"/>
      <c r="F476" s="8"/>
    </row>
    <row r="477" spans="1:6" x14ac:dyDescent="0.2">
      <c r="A477" s="8"/>
      <c r="B477" s="8"/>
      <c r="C477" s="8"/>
      <c r="D477" s="8"/>
      <c r="E477" s="8"/>
      <c r="F477" s="8"/>
    </row>
    <row r="478" spans="1:6" x14ac:dyDescent="0.2">
      <c r="A478" s="8"/>
      <c r="B478" s="8"/>
      <c r="C478" s="8"/>
      <c r="D478" s="8"/>
      <c r="E478" s="8"/>
      <c r="F478" s="8"/>
    </row>
    <row r="479" spans="1:6" x14ac:dyDescent="0.2">
      <c r="A479" s="8"/>
      <c r="B479" s="8"/>
      <c r="C479" s="8"/>
      <c r="D479" s="8"/>
      <c r="E479" s="8"/>
      <c r="F479" s="8"/>
    </row>
    <row r="480" spans="1:6" x14ac:dyDescent="0.2">
      <c r="A480" s="8"/>
      <c r="B480" s="8"/>
      <c r="C480" s="8"/>
      <c r="D480" s="8"/>
      <c r="E480" s="8"/>
      <c r="F480" s="8"/>
    </row>
    <row r="481" spans="1:6" x14ac:dyDescent="0.2">
      <c r="A481" s="8"/>
      <c r="B481" s="8"/>
      <c r="C481" s="8"/>
      <c r="D481" s="8"/>
      <c r="E481" s="8"/>
      <c r="F481" s="8"/>
    </row>
    <row r="482" spans="1:6" x14ac:dyDescent="0.2">
      <c r="A482" s="8"/>
      <c r="B482" s="8"/>
      <c r="C482" s="8"/>
      <c r="D482" s="8"/>
      <c r="E482" s="8"/>
      <c r="F482" s="8"/>
    </row>
    <row r="483" spans="1:6" x14ac:dyDescent="0.2">
      <c r="A483" s="8"/>
      <c r="B483" s="8"/>
      <c r="C483" s="8"/>
      <c r="D483" s="8"/>
      <c r="E483" s="8"/>
      <c r="F483" s="8"/>
    </row>
    <row r="484" spans="1:6" x14ac:dyDescent="0.2">
      <c r="A484" s="8"/>
      <c r="B484" s="8"/>
      <c r="C484" s="8"/>
      <c r="D484" s="8"/>
      <c r="E484" s="8"/>
      <c r="F484" s="8"/>
    </row>
    <row r="485" spans="1:6" x14ac:dyDescent="0.2">
      <c r="A485" s="8"/>
      <c r="B485" s="8"/>
      <c r="C485" s="8"/>
      <c r="D485" s="8"/>
      <c r="E485" s="8"/>
      <c r="F485" s="8"/>
    </row>
    <row r="486" spans="1:6" x14ac:dyDescent="0.2">
      <c r="A486" s="8"/>
      <c r="B486" s="8"/>
      <c r="C486" s="8"/>
      <c r="D486" s="8"/>
      <c r="E486" s="8"/>
      <c r="F486" s="8"/>
    </row>
    <row r="487" spans="1:6" x14ac:dyDescent="0.2">
      <c r="A487" s="8"/>
      <c r="B487" s="8"/>
      <c r="C487" s="8"/>
      <c r="D487" s="8"/>
      <c r="E487" s="8"/>
      <c r="F487" s="8"/>
    </row>
    <row r="488" spans="1:6" x14ac:dyDescent="0.2">
      <c r="A488" s="8"/>
      <c r="B488" s="8"/>
      <c r="C488" s="8"/>
      <c r="D488" s="8"/>
      <c r="E488" s="8"/>
      <c r="F488" s="8"/>
    </row>
    <row r="489" spans="1:6" x14ac:dyDescent="0.2">
      <c r="A489" s="8"/>
      <c r="B489" s="8"/>
      <c r="C489" s="8"/>
      <c r="D489" s="8"/>
      <c r="E489" s="8"/>
      <c r="F489" s="8"/>
    </row>
    <row r="490" spans="1:6" x14ac:dyDescent="0.2">
      <c r="A490" s="8"/>
      <c r="B490" s="8"/>
      <c r="C490" s="8"/>
      <c r="D490" s="8"/>
      <c r="E490" s="8"/>
      <c r="F490" s="8"/>
    </row>
    <row r="491" spans="1:6" x14ac:dyDescent="0.2">
      <c r="A491" s="8"/>
      <c r="B491" s="8"/>
      <c r="C491" s="8"/>
      <c r="D491" s="8"/>
      <c r="E491" s="8"/>
      <c r="F491" s="8"/>
    </row>
    <row r="492" spans="1:6" x14ac:dyDescent="0.2">
      <c r="A492" s="8"/>
      <c r="B492" s="8"/>
      <c r="C492" s="8"/>
      <c r="D492" s="8"/>
      <c r="E492" s="8"/>
      <c r="F492" s="8"/>
    </row>
    <row r="493" spans="1:6" x14ac:dyDescent="0.2">
      <c r="A493" s="8"/>
      <c r="B493" s="8"/>
      <c r="C493" s="8"/>
      <c r="D493" s="8"/>
      <c r="E493" s="8"/>
      <c r="F493" s="8"/>
    </row>
    <row r="494" spans="1:6" x14ac:dyDescent="0.2">
      <c r="A494" s="8"/>
      <c r="B494" s="8"/>
      <c r="C494" s="8"/>
      <c r="D494" s="8"/>
      <c r="E494" s="8"/>
      <c r="F494" s="8"/>
    </row>
    <row r="495" spans="1:6" x14ac:dyDescent="0.2">
      <c r="A495" s="8"/>
      <c r="B495" s="8"/>
      <c r="C495" s="8"/>
      <c r="D495" s="8"/>
      <c r="E495" s="8"/>
      <c r="F495" s="8"/>
    </row>
    <row r="496" spans="1:6" x14ac:dyDescent="0.2">
      <c r="A496" s="8"/>
      <c r="B496" s="8"/>
      <c r="C496" s="8"/>
      <c r="D496" s="8"/>
      <c r="E496" s="8"/>
      <c r="F496" s="8"/>
    </row>
    <row r="497" spans="1:6" x14ac:dyDescent="0.2">
      <c r="A497" s="8"/>
      <c r="B497" s="8"/>
      <c r="C497" s="8"/>
      <c r="D497" s="8"/>
      <c r="E497" s="8"/>
      <c r="F497" s="8"/>
    </row>
    <row r="498" spans="1:6" x14ac:dyDescent="0.2">
      <c r="A498" s="8"/>
      <c r="B498" s="8"/>
      <c r="C498" s="8"/>
      <c r="D498" s="8"/>
      <c r="E498" s="8"/>
      <c r="F498" s="8"/>
    </row>
    <row r="499" spans="1:6" x14ac:dyDescent="0.2">
      <c r="A499" s="8"/>
      <c r="B499" s="8"/>
      <c r="C499" s="8"/>
      <c r="D499" s="8"/>
      <c r="E499" s="8"/>
      <c r="F499" s="8"/>
    </row>
    <row r="500" spans="1:6" x14ac:dyDescent="0.2">
      <c r="A500" s="8"/>
      <c r="B500" s="8"/>
      <c r="C500" s="8"/>
      <c r="D500" s="8"/>
      <c r="E500" s="8"/>
      <c r="F500" s="8"/>
    </row>
    <row r="501" spans="1:6" x14ac:dyDescent="0.2">
      <c r="A501" s="8"/>
      <c r="B501" s="8"/>
      <c r="C501" s="8"/>
      <c r="D501" s="8"/>
      <c r="E501" s="8"/>
      <c r="F501" s="8"/>
    </row>
    <row r="502" spans="1:6" x14ac:dyDescent="0.2">
      <c r="A502" s="8"/>
      <c r="B502" s="8"/>
      <c r="C502" s="8"/>
      <c r="D502" s="8"/>
      <c r="E502" s="8"/>
      <c r="F502" s="8"/>
    </row>
    <row r="503" spans="1:6" x14ac:dyDescent="0.2">
      <c r="A503" s="8"/>
      <c r="B503" s="8"/>
      <c r="C503" s="8"/>
      <c r="D503" s="8"/>
      <c r="E503" s="8"/>
      <c r="F503" s="8"/>
    </row>
    <row r="504" spans="1:6" x14ac:dyDescent="0.2">
      <c r="A504" s="8"/>
      <c r="B504" s="8"/>
      <c r="C504" s="8"/>
      <c r="D504" s="8"/>
      <c r="E504" s="8"/>
      <c r="F504" s="8"/>
    </row>
    <row r="505" spans="1:6" x14ac:dyDescent="0.2">
      <c r="A505" s="8"/>
      <c r="B505" s="8"/>
      <c r="C505" s="8"/>
      <c r="D505" s="8"/>
      <c r="E505" s="8"/>
      <c r="F505" s="8"/>
    </row>
    <row r="506" spans="1:6" x14ac:dyDescent="0.2">
      <c r="A506" s="8"/>
      <c r="B506" s="8"/>
      <c r="C506" s="8"/>
      <c r="D506" s="8"/>
      <c r="E506" s="8"/>
      <c r="F506" s="8"/>
    </row>
    <row r="507" spans="1:6" x14ac:dyDescent="0.2">
      <c r="A507" s="8"/>
      <c r="B507" s="8"/>
      <c r="C507" s="8"/>
      <c r="D507" s="8"/>
      <c r="E507" s="8"/>
      <c r="F507" s="8"/>
    </row>
    <row r="508" spans="1:6" x14ac:dyDescent="0.2">
      <c r="A508" s="8"/>
      <c r="B508" s="8"/>
      <c r="C508" s="8"/>
      <c r="D508" s="8"/>
      <c r="E508" s="8"/>
      <c r="F508" s="8"/>
    </row>
    <row r="509" spans="1:6" x14ac:dyDescent="0.2">
      <c r="A509" s="8"/>
      <c r="B509" s="8"/>
      <c r="C509" s="8"/>
      <c r="D509" s="8"/>
      <c r="E509" s="8"/>
      <c r="F509" s="8"/>
    </row>
    <row r="510" spans="1:6" x14ac:dyDescent="0.2">
      <c r="A510" s="8"/>
      <c r="B510" s="8"/>
      <c r="C510" s="8"/>
      <c r="D510" s="8"/>
      <c r="E510" s="8"/>
      <c r="F510" s="8"/>
    </row>
    <row r="511" spans="1:6" x14ac:dyDescent="0.2">
      <c r="A511" s="8"/>
      <c r="B511" s="8"/>
      <c r="C511" s="8"/>
      <c r="D511" s="8"/>
      <c r="E511" s="8"/>
      <c r="F511" s="8"/>
    </row>
    <row r="512" spans="1:6" x14ac:dyDescent="0.2">
      <c r="A512" s="8"/>
      <c r="B512" s="8"/>
      <c r="C512" s="8"/>
      <c r="D512" s="8"/>
      <c r="E512" s="8"/>
      <c r="F512" s="8"/>
    </row>
    <row r="513" spans="1:6" x14ac:dyDescent="0.2">
      <c r="A513" s="8"/>
      <c r="B513" s="8"/>
      <c r="C513" s="8"/>
      <c r="D513" s="8"/>
      <c r="E513" s="8"/>
      <c r="F513" s="8"/>
    </row>
    <row r="514" spans="1:6" x14ac:dyDescent="0.2">
      <c r="A514" s="8"/>
      <c r="B514" s="8"/>
      <c r="C514" s="8"/>
      <c r="D514" s="8"/>
      <c r="E514" s="8"/>
      <c r="F514" s="8"/>
    </row>
    <row r="515" spans="1:6" x14ac:dyDescent="0.2">
      <c r="A515" s="8"/>
      <c r="B515" s="8"/>
      <c r="C515" s="8"/>
      <c r="D515" s="8"/>
      <c r="E515" s="8"/>
      <c r="F515" s="8"/>
    </row>
    <row r="516" spans="1:6" x14ac:dyDescent="0.2">
      <c r="A516" s="8"/>
      <c r="B516" s="8"/>
      <c r="C516" s="8"/>
      <c r="D516" s="8"/>
      <c r="E516" s="8"/>
      <c r="F516" s="8"/>
    </row>
    <row r="517" spans="1:6" x14ac:dyDescent="0.2">
      <c r="A517" s="8"/>
      <c r="B517" s="8"/>
      <c r="C517" s="8"/>
      <c r="D517" s="8"/>
      <c r="E517" s="8"/>
      <c r="F517" s="8"/>
    </row>
    <row r="518" spans="1:6" x14ac:dyDescent="0.2">
      <c r="A518" s="8"/>
      <c r="B518" s="8"/>
      <c r="C518" s="8"/>
      <c r="D518" s="8"/>
      <c r="E518" s="8"/>
      <c r="F518" s="8"/>
    </row>
    <row r="519" spans="1:6" x14ac:dyDescent="0.2">
      <c r="A519" s="8"/>
      <c r="B519" s="8"/>
      <c r="C519" s="8"/>
      <c r="D519" s="8"/>
      <c r="E519" s="8"/>
      <c r="F519" s="8"/>
    </row>
    <row r="520" spans="1:6" x14ac:dyDescent="0.2">
      <c r="A520" s="8"/>
      <c r="B520" s="8"/>
      <c r="C520" s="8"/>
      <c r="D520" s="8"/>
      <c r="E520" s="8"/>
      <c r="F520" s="8"/>
    </row>
    <row r="521" spans="1:6" x14ac:dyDescent="0.2">
      <c r="A521" s="8"/>
      <c r="B521" s="8"/>
      <c r="C521" s="8"/>
      <c r="D521" s="8"/>
      <c r="E521" s="8"/>
      <c r="F521" s="8"/>
    </row>
    <row r="522" spans="1:6" x14ac:dyDescent="0.2">
      <c r="A522" s="8"/>
      <c r="B522" s="8"/>
      <c r="C522" s="8"/>
      <c r="D522" s="8"/>
      <c r="E522" s="8"/>
      <c r="F522" s="8"/>
    </row>
    <row r="523" spans="1:6" x14ac:dyDescent="0.2">
      <c r="A523" s="8"/>
      <c r="B523" s="8"/>
      <c r="C523" s="8"/>
      <c r="D523" s="8"/>
      <c r="E523" s="8"/>
      <c r="F523" s="8"/>
    </row>
    <row r="524" spans="1:6" x14ac:dyDescent="0.2">
      <c r="A524" s="8"/>
      <c r="B524" s="8"/>
      <c r="C524" s="8"/>
      <c r="D524" s="8"/>
      <c r="E524" s="8"/>
      <c r="F524" s="8"/>
    </row>
    <row r="525" spans="1:6" x14ac:dyDescent="0.2">
      <c r="A525" s="8"/>
      <c r="B525" s="8"/>
      <c r="C525" s="8"/>
      <c r="D525" s="8"/>
      <c r="E525" s="8"/>
      <c r="F525" s="8"/>
    </row>
    <row r="526" spans="1:6" x14ac:dyDescent="0.2">
      <c r="A526" s="8"/>
      <c r="B526" s="8"/>
      <c r="C526" s="8"/>
      <c r="D526" s="8"/>
      <c r="E526" s="8"/>
      <c r="F526" s="8"/>
    </row>
    <row r="527" spans="1:6" x14ac:dyDescent="0.2">
      <c r="A527" s="8"/>
      <c r="B527" s="8"/>
      <c r="C527" s="8"/>
      <c r="D527" s="8"/>
      <c r="E527" s="8"/>
      <c r="F527" s="8"/>
    </row>
    <row r="528" spans="1:6" x14ac:dyDescent="0.2">
      <c r="A528" s="8"/>
      <c r="B528" s="8"/>
      <c r="C528" s="8"/>
      <c r="D528" s="8"/>
      <c r="E528" s="8"/>
      <c r="F528" s="8"/>
    </row>
    <row r="529" spans="1:6" x14ac:dyDescent="0.2">
      <c r="A529" s="8"/>
      <c r="B529" s="8"/>
      <c r="C529" s="8"/>
      <c r="D529" s="8"/>
      <c r="E529" s="8"/>
      <c r="F529" s="8"/>
    </row>
    <row r="530" spans="1:6" x14ac:dyDescent="0.2">
      <c r="A530" s="8"/>
      <c r="B530" s="8"/>
      <c r="C530" s="8"/>
      <c r="D530" s="8"/>
      <c r="E530" s="8"/>
      <c r="F530" s="8"/>
    </row>
    <row r="531" spans="1:6" x14ac:dyDescent="0.2">
      <c r="A531" s="8"/>
      <c r="B531" s="8"/>
      <c r="C531" s="8"/>
      <c r="D531" s="8"/>
      <c r="E531" s="8"/>
      <c r="F531" s="8"/>
    </row>
    <row r="532" spans="1:6" x14ac:dyDescent="0.2">
      <c r="A532" s="8"/>
      <c r="B532" s="8"/>
      <c r="C532" s="8"/>
      <c r="D532" s="8"/>
      <c r="E532" s="8"/>
      <c r="F532" s="8"/>
    </row>
    <row r="533" spans="1:6" x14ac:dyDescent="0.2">
      <c r="A533" s="8"/>
      <c r="B533" s="8"/>
      <c r="C533" s="8"/>
      <c r="D533" s="8"/>
      <c r="E533" s="8"/>
      <c r="F533" s="8"/>
    </row>
    <row r="534" spans="1:6" x14ac:dyDescent="0.2">
      <c r="A534" s="8"/>
      <c r="B534" s="8"/>
      <c r="C534" s="8"/>
      <c r="D534" s="8"/>
      <c r="E534" s="8"/>
      <c r="F534" s="8"/>
    </row>
    <row r="535" spans="1:6" x14ac:dyDescent="0.2">
      <c r="A535" s="8"/>
      <c r="B535" s="8"/>
      <c r="C535" s="8"/>
      <c r="D535" s="8"/>
      <c r="E535" s="8"/>
      <c r="F535" s="8"/>
    </row>
    <row r="536" spans="1:6" x14ac:dyDescent="0.2">
      <c r="A536" s="8"/>
      <c r="B536" s="8"/>
      <c r="C536" s="8"/>
      <c r="D536" s="8"/>
      <c r="E536" s="8"/>
      <c r="F536" s="8"/>
    </row>
    <row r="537" spans="1:6" x14ac:dyDescent="0.2">
      <c r="A537" s="8"/>
      <c r="B537" s="8"/>
      <c r="C537" s="8"/>
      <c r="D537" s="8"/>
      <c r="E537" s="8"/>
      <c r="F537" s="8"/>
    </row>
    <row r="538" spans="1:6" x14ac:dyDescent="0.2">
      <c r="A538" s="8"/>
      <c r="B538" s="8"/>
      <c r="C538" s="8"/>
      <c r="D538" s="8"/>
      <c r="E538" s="8"/>
      <c r="F538" s="8"/>
    </row>
    <row r="539" spans="1:6" x14ac:dyDescent="0.2">
      <c r="A539" s="8"/>
      <c r="B539" s="8"/>
      <c r="C539" s="8"/>
      <c r="D539" s="8"/>
      <c r="E539" s="8"/>
      <c r="F539" s="8"/>
    </row>
    <row r="540" spans="1:6" x14ac:dyDescent="0.2">
      <c r="A540" s="8"/>
      <c r="B540" s="8"/>
      <c r="C540" s="8"/>
      <c r="D540" s="8"/>
      <c r="E540" s="8"/>
      <c r="F540" s="8"/>
    </row>
    <row r="541" spans="1:6" x14ac:dyDescent="0.2">
      <c r="A541" s="8"/>
      <c r="B541" s="8"/>
      <c r="C541" s="8"/>
      <c r="D541" s="8"/>
      <c r="E541" s="8"/>
      <c r="F541" s="8"/>
    </row>
    <row r="542" spans="1:6" x14ac:dyDescent="0.2">
      <c r="A542" s="8"/>
      <c r="B542" s="8"/>
      <c r="C542" s="8"/>
      <c r="D542" s="8"/>
      <c r="E542" s="8"/>
      <c r="F542" s="8"/>
    </row>
    <row r="543" spans="1:6" x14ac:dyDescent="0.2">
      <c r="A543" s="8"/>
      <c r="B543" s="8"/>
      <c r="C543" s="8"/>
      <c r="D543" s="8"/>
      <c r="E543" s="8"/>
      <c r="F543" s="8"/>
    </row>
    <row r="544" spans="1:6" x14ac:dyDescent="0.2">
      <c r="A544" s="8"/>
      <c r="B544" s="8"/>
      <c r="C544" s="8"/>
      <c r="D544" s="8"/>
      <c r="E544" s="8"/>
      <c r="F544" s="8"/>
    </row>
    <row r="545" spans="1:6" x14ac:dyDescent="0.2">
      <c r="A545" s="8"/>
      <c r="B545" s="8"/>
      <c r="C545" s="8"/>
      <c r="D545" s="8"/>
      <c r="E545" s="8"/>
      <c r="F545" s="8"/>
    </row>
    <row r="546" spans="1:6" x14ac:dyDescent="0.2">
      <c r="A546" s="8"/>
      <c r="B546" s="8"/>
      <c r="C546" s="8"/>
      <c r="D546" s="8"/>
      <c r="E546" s="8"/>
      <c r="F546" s="8"/>
    </row>
    <row r="547" spans="1:6" x14ac:dyDescent="0.2">
      <c r="A547" s="8"/>
      <c r="B547" s="8"/>
      <c r="C547" s="8"/>
      <c r="D547" s="8"/>
      <c r="E547" s="8"/>
      <c r="F547" s="8"/>
    </row>
    <row r="548" spans="1:6" x14ac:dyDescent="0.2">
      <c r="A548" s="8"/>
      <c r="B548" s="8"/>
      <c r="C548" s="8"/>
      <c r="D548" s="8"/>
      <c r="E548" s="8"/>
      <c r="F548" s="8"/>
    </row>
    <row r="549" spans="1:6" x14ac:dyDescent="0.2">
      <c r="A549" s="8"/>
      <c r="B549" s="8"/>
      <c r="C549" s="8"/>
      <c r="D549" s="8"/>
      <c r="E549" s="8"/>
      <c r="F549" s="8"/>
    </row>
    <row r="550" spans="1:6" x14ac:dyDescent="0.2">
      <c r="A550" s="8"/>
      <c r="B550" s="8"/>
      <c r="C550" s="8"/>
      <c r="D550" s="8"/>
      <c r="E550" s="8"/>
      <c r="F550" s="8"/>
    </row>
    <row r="551" spans="1:6" x14ac:dyDescent="0.2">
      <c r="A551" s="8"/>
      <c r="B551" s="8"/>
      <c r="C551" s="8"/>
      <c r="D551" s="8"/>
      <c r="E551" s="8"/>
      <c r="F551" s="8"/>
    </row>
    <row r="552" spans="1:6" x14ac:dyDescent="0.2">
      <c r="A552" s="8"/>
      <c r="B552" s="8"/>
      <c r="C552" s="8"/>
      <c r="D552" s="8"/>
      <c r="E552" s="8"/>
      <c r="F552" s="8"/>
    </row>
    <row r="553" spans="1:6" x14ac:dyDescent="0.2">
      <c r="A553" s="8"/>
      <c r="B553" s="8"/>
      <c r="C553" s="8"/>
      <c r="D553" s="8"/>
      <c r="E553" s="8"/>
      <c r="F553" s="8"/>
    </row>
    <row r="554" spans="1:6" x14ac:dyDescent="0.2">
      <c r="A554" s="8"/>
      <c r="B554" s="8"/>
      <c r="C554" s="8"/>
      <c r="D554" s="8"/>
      <c r="E554" s="8"/>
      <c r="F554" s="8"/>
    </row>
    <row r="555" spans="1:6" x14ac:dyDescent="0.2">
      <c r="A555" s="8"/>
      <c r="B555" s="8"/>
      <c r="C555" s="8"/>
      <c r="D555" s="8"/>
      <c r="E555" s="8"/>
      <c r="F555" s="8"/>
    </row>
    <row r="556" spans="1:6" x14ac:dyDescent="0.2">
      <c r="A556" s="8"/>
      <c r="B556" s="8"/>
      <c r="C556" s="8"/>
      <c r="D556" s="8"/>
      <c r="E556" s="8"/>
      <c r="F556" s="8"/>
    </row>
    <row r="557" spans="1:6" x14ac:dyDescent="0.2">
      <c r="A557" s="8"/>
      <c r="B557" s="8"/>
      <c r="C557" s="8"/>
      <c r="D557" s="8"/>
      <c r="E557" s="8"/>
      <c r="F557" s="8"/>
    </row>
    <row r="558" spans="1:6" x14ac:dyDescent="0.2">
      <c r="A558" s="8"/>
      <c r="B558" s="8"/>
      <c r="C558" s="8"/>
      <c r="D558" s="8"/>
      <c r="E558" s="8"/>
      <c r="F558" s="8"/>
    </row>
    <row r="559" spans="1:6" x14ac:dyDescent="0.2">
      <c r="A559" s="8"/>
      <c r="B559" s="8"/>
      <c r="C559" s="8"/>
      <c r="D559" s="8"/>
      <c r="E559" s="8"/>
      <c r="F559" s="8"/>
    </row>
    <row r="560" spans="1:6" x14ac:dyDescent="0.2">
      <c r="A560" s="8"/>
      <c r="B560" s="8"/>
      <c r="C560" s="8"/>
      <c r="D560" s="8"/>
      <c r="E560" s="8"/>
      <c r="F560" s="8"/>
    </row>
    <row r="561" spans="1:6" x14ac:dyDescent="0.2">
      <c r="A561" s="8"/>
      <c r="B561" s="8"/>
      <c r="C561" s="8"/>
      <c r="D561" s="8"/>
      <c r="E561" s="8"/>
      <c r="F561" s="8"/>
    </row>
    <row r="562" spans="1:6" x14ac:dyDescent="0.2">
      <c r="A562" s="8"/>
      <c r="B562" s="8"/>
      <c r="C562" s="8"/>
      <c r="D562" s="8"/>
      <c r="E562" s="8"/>
      <c r="F562" s="8"/>
    </row>
    <row r="563" spans="1:6" x14ac:dyDescent="0.2">
      <c r="A563" s="8"/>
      <c r="B563" s="8"/>
      <c r="C563" s="8"/>
      <c r="D563" s="8"/>
      <c r="E563" s="8"/>
      <c r="F563" s="8"/>
    </row>
    <row r="564" spans="1:6" x14ac:dyDescent="0.2">
      <c r="A564" s="8"/>
      <c r="B564" s="8"/>
      <c r="C564" s="8"/>
      <c r="D564" s="8"/>
      <c r="E564" s="8"/>
      <c r="F564" s="8"/>
    </row>
    <row r="565" spans="1:6" x14ac:dyDescent="0.2">
      <c r="A565" s="8"/>
      <c r="B565" s="8"/>
      <c r="C565" s="8"/>
      <c r="D565" s="8"/>
      <c r="E565" s="8"/>
      <c r="F565" s="8"/>
    </row>
    <row r="566" spans="1:6" x14ac:dyDescent="0.2">
      <c r="A566" s="8"/>
      <c r="B566" s="8"/>
      <c r="C566" s="8"/>
      <c r="D566" s="8"/>
      <c r="E566" s="8"/>
      <c r="F566" s="8"/>
    </row>
    <row r="567" spans="1:6" x14ac:dyDescent="0.2">
      <c r="A567" s="8"/>
      <c r="B567" s="8"/>
      <c r="C567" s="8"/>
      <c r="D567" s="8"/>
      <c r="E567" s="8"/>
      <c r="F567" s="8"/>
    </row>
    <row r="568" spans="1:6" x14ac:dyDescent="0.2">
      <c r="A568" s="8"/>
      <c r="B568" s="8"/>
      <c r="C568" s="8"/>
      <c r="D568" s="8"/>
      <c r="E568" s="8"/>
      <c r="F568" s="8"/>
    </row>
    <row r="569" spans="1:6" x14ac:dyDescent="0.2">
      <c r="A569" s="8"/>
      <c r="B569" s="8"/>
      <c r="C569" s="8"/>
      <c r="D569" s="8"/>
      <c r="E569" s="8"/>
      <c r="F569" s="8"/>
    </row>
    <row r="570" spans="1:6" x14ac:dyDescent="0.2">
      <c r="A570" s="8"/>
      <c r="B570" s="8"/>
      <c r="C570" s="8"/>
      <c r="D570" s="8"/>
      <c r="E570" s="8"/>
      <c r="F570" s="8"/>
    </row>
    <row r="571" spans="1:6" x14ac:dyDescent="0.2">
      <c r="A571" s="8"/>
      <c r="B571" s="8"/>
      <c r="C571" s="8"/>
      <c r="D571" s="8"/>
      <c r="E571" s="8"/>
      <c r="F571" s="8"/>
    </row>
    <row r="572" spans="1:6" x14ac:dyDescent="0.2">
      <c r="A572" s="8"/>
      <c r="B572" s="8"/>
      <c r="C572" s="8"/>
      <c r="D572" s="8"/>
      <c r="E572" s="8"/>
      <c r="F572" s="8"/>
    </row>
    <row r="573" spans="1:6" x14ac:dyDescent="0.2">
      <c r="A573" s="8"/>
      <c r="B573" s="8"/>
      <c r="C573" s="8"/>
      <c r="D573" s="8"/>
      <c r="E573" s="8"/>
      <c r="F573" s="8"/>
    </row>
    <row r="574" spans="1:6" x14ac:dyDescent="0.2">
      <c r="A574" s="8"/>
      <c r="B574" s="8"/>
      <c r="C574" s="8"/>
      <c r="D574" s="8"/>
      <c r="E574" s="8"/>
      <c r="F574" s="8"/>
    </row>
    <row r="575" spans="1:6" x14ac:dyDescent="0.2">
      <c r="A575" s="8"/>
      <c r="B575" s="8"/>
      <c r="C575" s="8"/>
      <c r="D575" s="8"/>
      <c r="E575" s="8"/>
      <c r="F575" s="8"/>
    </row>
    <row r="576" spans="1:6" x14ac:dyDescent="0.2">
      <c r="A576" s="8"/>
      <c r="B576" s="8"/>
      <c r="C576" s="8"/>
      <c r="D576" s="8"/>
      <c r="E576" s="8"/>
      <c r="F576" s="8"/>
    </row>
    <row r="577" spans="1:6" x14ac:dyDescent="0.2">
      <c r="A577" s="8"/>
      <c r="B577" s="8"/>
      <c r="C577" s="8"/>
      <c r="D577" s="8"/>
      <c r="E577" s="8"/>
      <c r="F577" s="8"/>
    </row>
    <row r="578" spans="1:6" x14ac:dyDescent="0.2">
      <c r="A578" s="8"/>
      <c r="B578" s="8"/>
      <c r="C578" s="8"/>
      <c r="D578" s="8"/>
      <c r="E578" s="8"/>
      <c r="F578" s="8"/>
    </row>
    <row r="579" spans="1:6" x14ac:dyDescent="0.2">
      <c r="A579" s="8"/>
      <c r="B579" s="8"/>
      <c r="C579" s="8"/>
      <c r="D579" s="8"/>
      <c r="E579" s="8"/>
      <c r="F579" s="8"/>
    </row>
    <row r="580" spans="1:6" x14ac:dyDescent="0.2">
      <c r="A580" s="8"/>
      <c r="B580" s="8"/>
      <c r="C580" s="8"/>
      <c r="D580" s="8"/>
      <c r="E580" s="8"/>
      <c r="F580" s="8"/>
    </row>
    <row r="581" spans="1:6" x14ac:dyDescent="0.2">
      <c r="A581" s="8"/>
      <c r="B581" s="8"/>
      <c r="C581" s="8"/>
      <c r="D581" s="8"/>
      <c r="E581" s="8"/>
      <c r="F581" s="8"/>
    </row>
    <row r="582" spans="1:6" x14ac:dyDescent="0.2">
      <c r="A582" s="8"/>
      <c r="B582" s="8"/>
      <c r="C582" s="8"/>
      <c r="D582" s="8"/>
      <c r="E582" s="8"/>
      <c r="F582" s="8"/>
    </row>
    <row r="583" spans="1:6" x14ac:dyDescent="0.2">
      <c r="A583" s="8"/>
      <c r="B583" s="8"/>
      <c r="C583" s="8"/>
      <c r="D583" s="8"/>
      <c r="E583" s="8"/>
      <c r="F583" s="8"/>
    </row>
    <row r="584" spans="1:6" x14ac:dyDescent="0.2">
      <c r="A584" s="8"/>
      <c r="B584" s="8"/>
      <c r="C584" s="8"/>
      <c r="D584" s="8"/>
      <c r="E584" s="8"/>
      <c r="F584" s="8"/>
    </row>
    <row r="585" spans="1:6" x14ac:dyDescent="0.2">
      <c r="A585" s="8"/>
      <c r="B585" s="8"/>
      <c r="C585" s="8"/>
      <c r="D585" s="8"/>
      <c r="E585" s="8"/>
      <c r="F585" s="8"/>
    </row>
    <row r="586" spans="1:6" x14ac:dyDescent="0.2">
      <c r="A586" s="8"/>
      <c r="B586" s="8"/>
      <c r="C586" s="8"/>
      <c r="D586" s="8"/>
      <c r="E586" s="8"/>
      <c r="F586" s="8"/>
    </row>
    <row r="587" spans="1:6" x14ac:dyDescent="0.2">
      <c r="A587" s="8"/>
      <c r="B587" s="8"/>
      <c r="C587" s="8"/>
      <c r="D587" s="8"/>
      <c r="E587" s="8"/>
      <c r="F587" s="8"/>
    </row>
    <row r="588" spans="1:6" x14ac:dyDescent="0.2">
      <c r="A588" s="8"/>
      <c r="B588" s="8"/>
      <c r="C588" s="8"/>
      <c r="D588" s="8"/>
      <c r="E588" s="8"/>
      <c r="F588" s="8"/>
    </row>
    <row r="589" spans="1:6" x14ac:dyDescent="0.2">
      <c r="A589" s="8"/>
      <c r="B589" s="8"/>
      <c r="C589" s="8"/>
      <c r="D589" s="8"/>
      <c r="E589" s="8"/>
      <c r="F589" s="8"/>
    </row>
    <row r="590" spans="1:6" x14ac:dyDescent="0.2">
      <c r="A590" s="8"/>
      <c r="B590" s="8"/>
      <c r="C590" s="8"/>
      <c r="D590" s="8"/>
      <c r="E590" s="8"/>
      <c r="F590" s="8"/>
    </row>
    <row r="591" spans="1:6" x14ac:dyDescent="0.2">
      <c r="A591" s="8"/>
      <c r="B591" s="8"/>
      <c r="C591" s="8"/>
      <c r="D591" s="8"/>
      <c r="E591" s="8"/>
      <c r="F591" s="8"/>
    </row>
    <row r="592" spans="1:6" x14ac:dyDescent="0.2">
      <c r="A592" s="8"/>
      <c r="B592" s="8"/>
      <c r="C592" s="8"/>
      <c r="D592" s="8"/>
      <c r="E592" s="8"/>
      <c r="F592" s="8"/>
    </row>
    <row r="593" spans="1:6" x14ac:dyDescent="0.2">
      <c r="A593" s="8"/>
      <c r="B593" s="8"/>
      <c r="C593" s="8"/>
      <c r="D593" s="8"/>
      <c r="E593" s="8"/>
      <c r="F593" s="8"/>
    </row>
    <row r="594" spans="1:6" x14ac:dyDescent="0.2">
      <c r="A594" s="8"/>
      <c r="B594" s="8"/>
      <c r="C594" s="8"/>
      <c r="D594" s="8"/>
      <c r="E594" s="8"/>
      <c r="F594" s="8"/>
    </row>
    <row r="595" spans="1:6" x14ac:dyDescent="0.2">
      <c r="A595" s="8"/>
      <c r="B595" s="8"/>
      <c r="C595" s="8"/>
      <c r="D595" s="8"/>
      <c r="E595" s="8"/>
      <c r="F595" s="8"/>
    </row>
    <row r="596" spans="1:6" x14ac:dyDescent="0.2">
      <c r="A596" s="8"/>
      <c r="B596" s="8"/>
      <c r="C596" s="8"/>
      <c r="D596" s="8"/>
      <c r="E596" s="8"/>
      <c r="F596" s="8"/>
    </row>
    <row r="597" spans="1:6" x14ac:dyDescent="0.2">
      <c r="A597" s="8"/>
      <c r="B597" s="8"/>
      <c r="C597" s="8"/>
      <c r="D597" s="8"/>
      <c r="E597" s="8"/>
      <c r="F597" s="8"/>
    </row>
    <row r="598" spans="1:6" x14ac:dyDescent="0.2">
      <c r="A598" s="8"/>
      <c r="B598" s="8"/>
      <c r="C598" s="8"/>
      <c r="D598" s="8"/>
      <c r="E598" s="8"/>
      <c r="F598" s="8"/>
    </row>
    <row r="599" spans="1:6" x14ac:dyDescent="0.2">
      <c r="A599" s="8"/>
      <c r="B599" s="8"/>
      <c r="C599" s="8"/>
      <c r="D599" s="8"/>
      <c r="E599" s="8"/>
      <c r="F599" s="8"/>
    </row>
    <row r="600" spans="1:6" x14ac:dyDescent="0.2">
      <c r="A600" s="8"/>
      <c r="B600" s="8"/>
      <c r="C600" s="8"/>
      <c r="D600" s="8"/>
      <c r="E600" s="8"/>
      <c r="F600" s="8"/>
    </row>
    <row r="601" spans="1:6" x14ac:dyDescent="0.2">
      <c r="A601" s="8"/>
      <c r="B601" s="8"/>
      <c r="C601" s="8"/>
      <c r="D601" s="8"/>
      <c r="E601" s="8"/>
      <c r="F601" s="8"/>
    </row>
    <row r="602" spans="1:6" x14ac:dyDescent="0.2">
      <c r="A602" s="8"/>
      <c r="B602" s="8"/>
      <c r="C602" s="8"/>
      <c r="D602" s="8"/>
      <c r="E602" s="8"/>
      <c r="F602" s="8"/>
    </row>
    <row r="603" spans="1:6" x14ac:dyDescent="0.2">
      <c r="A603" s="8"/>
      <c r="B603" s="8"/>
      <c r="C603" s="8"/>
      <c r="D603" s="8"/>
      <c r="E603" s="8"/>
      <c r="F603" s="8"/>
    </row>
    <row r="604" spans="1:6" x14ac:dyDescent="0.2">
      <c r="A604" s="8"/>
      <c r="B604" s="8"/>
      <c r="C604" s="8"/>
      <c r="D604" s="8"/>
      <c r="E604" s="8"/>
      <c r="F604" s="8"/>
    </row>
    <row r="605" spans="1:6" x14ac:dyDescent="0.2">
      <c r="A605" s="8"/>
      <c r="B605" s="8"/>
      <c r="C605" s="8"/>
      <c r="D605" s="8"/>
      <c r="E605" s="8"/>
      <c r="F605" s="8"/>
    </row>
    <row r="606" spans="1:6" x14ac:dyDescent="0.2">
      <c r="A606" s="8"/>
      <c r="B606" s="8"/>
      <c r="C606" s="8"/>
      <c r="D606" s="8"/>
      <c r="E606" s="8"/>
      <c r="F606" s="8"/>
    </row>
    <row r="607" spans="1:6" x14ac:dyDescent="0.2">
      <c r="A607" s="8"/>
      <c r="B607" s="8"/>
      <c r="C607" s="8"/>
      <c r="D607" s="8"/>
      <c r="E607" s="8"/>
      <c r="F607" s="8"/>
    </row>
    <row r="608" spans="1:6" x14ac:dyDescent="0.2">
      <c r="A608" s="8"/>
      <c r="B608" s="8"/>
      <c r="C608" s="8"/>
      <c r="D608" s="8"/>
      <c r="E608" s="8"/>
      <c r="F608" s="8"/>
    </row>
    <row r="609" spans="1:6" x14ac:dyDescent="0.2">
      <c r="A609" s="8"/>
      <c r="B609" s="8"/>
      <c r="C609" s="8"/>
      <c r="D609" s="8"/>
      <c r="E609" s="8"/>
      <c r="F609" s="8"/>
    </row>
    <row r="610" spans="1:6" x14ac:dyDescent="0.2">
      <c r="A610" s="8"/>
      <c r="B610" s="8"/>
      <c r="C610" s="8"/>
      <c r="D610" s="8"/>
      <c r="E610" s="8"/>
      <c r="F610" s="8"/>
    </row>
    <row r="611" spans="1:6" x14ac:dyDescent="0.2">
      <c r="A611" s="8"/>
      <c r="B611" s="8"/>
      <c r="C611" s="8"/>
      <c r="D611" s="8"/>
      <c r="E611" s="8"/>
      <c r="F611" s="8"/>
    </row>
    <row r="612" spans="1:6" x14ac:dyDescent="0.2">
      <c r="A612" s="8"/>
      <c r="B612" s="8"/>
      <c r="C612" s="8"/>
      <c r="D612" s="8"/>
      <c r="E612" s="8"/>
      <c r="F612" s="8"/>
    </row>
    <row r="613" spans="1:6" x14ac:dyDescent="0.2">
      <c r="A613" s="8"/>
      <c r="B613" s="8"/>
      <c r="C613" s="8"/>
      <c r="D613" s="8"/>
      <c r="E613" s="8"/>
      <c r="F613" s="8"/>
    </row>
    <row r="614" spans="1:6" x14ac:dyDescent="0.2">
      <c r="A614" s="8"/>
      <c r="B614" s="8"/>
      <c r="C614" s="8"/>
      <c r="D614" s="8"/>
      <c r="E614" s="8"/>
      <c r="F614" s="8"/>
    </row>
    <row r="615" spans="1:6" x14ac:dyDescent="0.2">
      <c r="A615" s="8"/>
      <c r="B615" s="8"/>
      <c r="C615" s="8"/>
      <c r="D615" s="8"/>
      <c r="E615" s="8"/>
      <c r="F615" s="8"/>
    </row>
    <row r="616" spans="1:6" x14ac:dyDescent="0.2">
      <c r="A616" s="8"/>
      <c r="B616" s="8"/>
      <c r="C616" s="8"/>
      <c r="D616" s="8"/>
      <c r="E616" s="8"/>
      <c r="F616" s="8"/>
    </row>
    <row r="617" spans="1:6" x14ac:dyDescent="0.2">
      <c r="A617" s="8"/>
      <c r="B617" s="8"/>
      <c r="C617" s="8"/>
      <c r="D617" s="8"/>
      <c r="E617" s="8"/>
      <c r="F617" s="8"/>
    </row>
    <row r="618" spans="1:6" x14ac:dyDescent="0.2">
      <c r="A618" s="8"/>
      <c r="B618" s="8"/>
      <c r="C618" s="8"/>
      <c r="D618" s="8"/>
      <c r="E618" s="8"/>
      <c r="F618" s="8"/>
    </row>
    <row r="619" spans="1:6" x14ac:dyDescent="0.2">
      <c r="A619" s="8"/>
      <c r="B619" s="8"/>
      <c r="C619" s="8"/>
      <c r="D619" s="8"/>
      <c r="E619" s="8"/>
      <c r="F619" s="8"/>
    </row>
    <row r="620" spans="1:6" x14ac:dyDescent="0.2">
      <c r="A620" s="8"/>
      <c r="B620" s="8"/>
      <c r="C620" s="8"/>
      <c r="D620" s="8"/>
      <c r="E620" s="8"/>
      <c r="F620" s="8"/>
    </row>
    <row r="621" spans="1:6" x14ac:dyDescent="0.2">
      <c r="A621" s="8"/>
      <c r="B621" s="8"/>
      <c r="C621" s="8"/>
      <c r="D621" s="8"/>
      <c r="E621" s="8"/>
      <c r="F621" s="8"/>
    </row>
    <row r="622" spans="1:6" x14ac:dyDescent="0.2">
      <c r="A622" s="8"/>
      <c r="B622" s="8"/>
      <c r="C622" s="8"/>
      <c r="D622" s="8"/>
      <c r="E622" s="8"/>
      <c r="F622" s="8"/>
    </row>
    <row r="623" spans="1:6" x14ac:dyDescent="0.2">
      <c r="A623" s="8"/>
      <c r="B623" s="8"/>
      <c r="C623" s="8"/>
      <c r="D623" s="8"/>
      <c r="E623" s="8"/>
      <c r="F623" s="8"/>
    </row>
    <row r="624" spans="1:6" x14ac:dyDescent="0.2">
      <c r="A624" s="8"/>
      <c r="B624" s="8"/>
      <c r="C624" s="8"/>
      <c r="D624" s="8"/>
      <c r="E624" s="8"/>
      <c r="F624" s="8"/>
    </row>
    <row r="625" spans="1:6" x14ac:dyDescent="0.2">
      <c r="A625" s="8"/>
      <c r="B625" s="8"/>
      <c r="C625" s="8"/>
      <c r="D625" s="8"/>
      <c r="E625" s="8"/>
      <c r="F625" s="8"/>
    </row>
    <row r="626" spans="1:6" x14ac:dyDescent="0.2">
      <c r="A626" s="8"/>
      <c r="B626" s="8"/>
      <c r="C626" s="8"/>
      <c r="D626" s="8"/>
      <c r="E626" s="8"/>
      <c r="F626" s="8"/>
    </row>
    <row r="627" spans="1:6" x14ac:dyDescent="0.2">
      <c r="A627" s="8"/>
      <c r="B627" s="8"/>
      <c r="C627" s="8"/>
      <c r="D627" s="8"/>
      <c r="E627" s="8"/>
      <c r="F627" s="8"/>
    </row>
    <row r="628" spans="1:6" x14ac:dyDescent="0.2">
      <c r="A628" s="8"/>
      <c r="B628" s="8"/>
      <c r="C628" s="8"/>
      <c r="D628" s="8"/>
      <c r="E628" s="8"/>
      <c r="F628" s="8"/>
    </row>
    <row r="629" spans="1:6" x14ac:dyDescent="0.2">
      <c r="A629" s="8"/>
      <c r="B629" s="8"/>
      <c r="C629" s="8"/>
      <c r="D629" s="8"/>
      <c r="E629" s="8"/>
      <c r="F629" s="8"/>
    </row>
    <row r="630" spans="1:6" x14ac:dyDescent="0.2">
      <c r="A630" s="8"/>
      <c r="B630" s="8"/>
      <c r="C630" s="8"/>
      <c r="D630" s="8"/>
      <c r="E630" s="8"/>
      <c r="F630" s="8"/>
    </row>
    <row r="631" spans="1:6" x14ac:dyDescent="0.2">
      <c r="A631" s="8"/>
      <c r="B631" s="8"/>
      <c r="C631" s="8"/>
      <c r="D631" s="8"/>
      <c r="E631" s="8"/>
      <c r="F631" s="8"/>
    </row>
    <row r="632" spans="1:6" x14ac:dyDescent="0.2">
      <c r="A632" s="8"/>
      <c r="B632" s="8"/>
      <c r="C632" s="8"/>
      <c r="D632" s="8"/>
      <c r="E632" s="8"/>
      <c r="F632" s="8"/>
    </row>
    <row r="633" spans="1:6" x14ac:dyDescent="0.2">
      <c r="A633" s="8"/>
      <c r="B633" s="8"/>
      <c r="C633" s="8"/>
      <c r="D633" s="8"/>
      <c r="E633" s="8"/>
      <c r="F633" s="8"/>
    </row>
    <row r="634" spans="1:6" x14ac:dyDescent="0.2">
      <c r="A634" s="8"/>
      <c r="B634" s="8"/>
      <c r="C634" s="8"/>
      <c r="D634" s="8"/>
      <c r="E634" s="8"/>
      <c r="F634" s="8"/>
    </row>
    <row r="635" spans="1:6" x14ac:dyDescent="0.2">
      <c r="A635" s="8"/>
      <c r="B635" s="8"/>
      <c r="C635" s="8"/>
      <c r="D635" s="8"/>
      <c r="E635" s="8"/>
      <c r="F635" s="8"/>
    </row>
    <row r="636" spans="1:6" x14ac:dyDescent="0.2">
      <c r="A636" s="8"/>
      <c r="B636" s="8"/>
      <c r="C636" s="8"/>
      <c r="D636" s="8"/>
      <c r="E636" s="8"/>
      <c r="F636" s="8"/>
    </row>
    <row r="637" spans="1:6" x14ac:dyDescent="0.2">
      <c r="A637" s="8"/>
      <c r="B637" s="8"/>
      <c r="C637" s="8"/>
      <c r="D637" s="8"/>
      <c r="E637" s="8"/>
      <c r="F637" s="8"/>
    </row>
    <row r="638" spans="1:6" x14ac:dyDescent="0.2">
      <c r="A638" s="8"/>
      <c r="B638" s="8"/>
      <c r="C638" s="8"/>
      <c r="D638" s="8"/>
      <c r="E638" s="8"/>
      <c r="F638" s="8"/>
    </row>
    <row r="639" spans="1:6" x14ac:dyDescent="0.2">
      <c r="A639" s="8"/>
      <c r="B639" s="8"/>
      <c r="C639" s="8"/>
      <c r="D639" s="8"/>
      <c r="E639" s="8"/>
      <c r="F639" s="8"/>
    </row>
    <row r="640" spans="1:6" x14ac:dyDescent="0.2">
      <c r="A640" s="8"/>
      <c r="B640" s="8"/>
      <c r="C640" s="8"/>
      <c r="D640" s="8"/>
      <c r="E640" s="8"/>
      <c r="F640" s="8"/>
    </row>
    <row r="641" spans="1:6" x14ac:dyDescent="0.2">
      <c r="A641" s="8"/>
      <c r="B641" s="8"/>
      <c r="C641" s="8"/>
      <c r="D641" s="8"/>
      <c r="E641" s="8"/>
      <c r="F641" s="8"/>
    </row>
    <row r="642" spans="1:6" x14ac:dyDescent="0.2">
      <c r="A642" s="8"/>
      <c r="B642" s="8"/>
      <c r="C642" s="8"/>
      <c r="D642" s="8"/>
      <c r="E642" s="8"/>
      <c r="F642" s="8"/>
    </row>
    <row r="643" spans="1:6" x14ac:dyDescent="0.2">
      <c r="A643" s="8"/>
      <c r="B643" s="8"/>
      <c r="C643" s="8"/>
      <c r="D643" s="8"/>
      <c r="E643" s="8"/>
      <c r="F643" s="8"/>
    </row>
    <row r="644" spans="1:6" x14ac:dyDescent="0.2">
      <c r="A644" s="8"/>
      <c r="B644" s="8"/>
      <c r="C644" s="8"/>
      <c r="D644" s="8"/>
      <c r="E644" s="8"/>
      <c r="F644" s="8"/>
    </row>
    <row r="645" spans="1:6" x14ac:dyDescent="0.2">
      <c r="A645" s="8"/>
      <c r="B645" s="8"/>
      <c r="C645" s="8"/>
      <c r="D645" s="8"/>
      <c r="E645" s="8"/>
      <c r="F645" s="8"/>
    </row>
    <row r="646" spans="1:6" x14ac:dyDescent="0.2">
      <c r="A646" s="8"/>
      <c r="B646" s="8"/>
      <c r="C646" s="8"/>
      <c r="D646" s="8"/>
      <c r="E646" s="8"/>
      <c r="F646" s="8"/>
    </row>
    <row r="647" spans="1:6" x14ac:dyDescent="0.2">
      <c r="A647" s="8"/>
      <c r="B647" s="8"/>
      <c r="C647" s="8"/>
      <c r="D647" s="8"/>
      <c r="E647" s="8"/>
      <c r="F647" s="8"/>
    </row>
    <row r="648" spans="1:6" x14ac:dyDescent="0.2">
      <c r="A648" s="8"/>
      <c r="B648" s="8"/>
      <c r="C648" s="8"/>
      <c r="D648" s="8"/>
      <c r="E648" s="8"/>
      <c r="F648" s="8"/>
    </row>
    <row r="649" spans="1:6" x14ac:dyDescent="0.2">
      <c r="A649" s="8"/>
      <c r="B649" s="8"/>
      <c r="C649" s="8"/>
      <c r="D649" s="8"/>
      <c r="E649" s="8"/>
      <c r="F649" s="8"/>
    </row>
    <row r="650" spans="1:6" x14ac:dyDescent="0.2">
      <c r="A650" s="8"/>
      <c r="B650" s="8"/>
      <c r="C650" s="8"/>
      <c r="D650" s="8"/>
      <c r="E650" s="8"/>
      <c r="F650" s="8"/>
    </row>
    <row r="651" spans="1:6" x14ac:dyDescent="0.2">
      <c r="A651" s="8"/>
      <c r="B651" s="8"/>
      <c r="C651" s="8"/>
      <c r="D651" s="8"/>
      <c r="E651" s="8"/>
      <c r="F651" s="8"/>
    </row>
    <row r="652" spans="1:6" x14ac:dyDescent="0.2">
      <c r="A652" s="8"/>
      <c r="B652" s="8"/>
      <c r="C652" s="8"/>
      <c r="D652" s="8"/>
      <c r="E652" s="8"/>
      <c r="F652" s="8"/>
    </row>
    <row r="653" spans="1:6" x14ac:dyDescent="0.2">
      <c r="A653" s="8"/>
      <c r="B653" s="8"/>
      <c r="C653" s="8"/>
      <c r="D653" s="8"/>
      <c r="E653" s="8"/>
      <c r="F653" s="8"/>
    </row>
    <row r="654" spans="1:6" x14ac:dyDescent="0.2">
      <c r="A654" s="8"/>
      <c r="B654" s="8"/>
      <c r="C654" s="8"/>
      <c r="D654" s="8"/>
      <c r="E654" s="8"/>
      <c r="F654" s="8"/>
    </row>
    <row r="655" spans="1:6" x14ac:dyDescent="0.2">
      <c r="A655" s="8"/>
      <c r="B655" s="8"/>
      <c r="C655" s="8"/>
      <c r="D655" s="8"/>
      <c r="E655" s="8"/>
      <c r="F655" s="8"/>
    </row>
    <row r="656" spans="1:6" x14ac:dyDescent="0.2">
      <c r="A656" s="8"/>
      <c r="B656" s="8"/>
      <c r="C656" s="8"/>
      <c r="D656" s="8"/>
      <c r="E656" s="8"/>
      <c r="F656" s="8"/>
    </row>
    <row r="657" spans="1:6" x14ac:dyDescent="0.2">
      <c r="A657" s="8"/>
      <c r="B657" s="8"/>
      <c r="C657" s="8"/>
      <c r="D657" s="8"/>
      <c r="E657" s="8"/>
      <c r="F657" s="8"/>
    </row>
    <row r="658" spans="1:6" x14ac:dyDescent="0.2">
      <c r="A658" s="8"/>
      <c r="B658" s="8"/>
      <c r="C658" s="8"/>
      <c r="D658" s="8"/>
      <c r="E658" s="8"/>
      <c r="F658" s="8"/>
    </row>
    <row r="659" spans="1:6" x14ac:dyDescent="0.2">
      <c r="A659" s="8"/>
      <c r="B659" s="8"/>
      <c r="C659" s="8"/>
      <c r="D659" s="8"/>
      <c r="E659" s="8"/>
      <c r="F659" s="8"/>
    </row>
    <row r="660" spans="1:6" x14ac:dyDescent="0.2">
      <c r="A660" s="8"/>
      <c r="B660" s="8"/>
      <c r="C660" s="8"/>
      <c r="D660" s="8"/>
      <c r="E660" s="8"/>
      <c r="F660" s="8"/>
    </row>
    <row r="661" spans="1:6" x14ac:dyDescent="0.2">
      <c r="A661" s="8"/>
      <c r="B661" s="8"/>
      <c r="C661" s="8"/>
      <c r="D661" s="8"/>
      <c r="E661" s="8"/>
      <c r="F661" s="8"/>
    </row>
    <row r="662" spans="1:6" x14ac:dyDescent="0.2">
      <c r="A662" s="8"/>
      <c r="B662" s="8"/>
      <c r="C662" s="8"/>
      <c r="D662" s="8"/>
      <c r="E662" s="8"/>
      <c r="F662" s="8"/>
    </row>
    <row r="663" spans="1:6" x14ac:dyDescent="0.2">
      <c r="A663" s="8"/>
      <c r="B663" s="8"/>
      <c r="C663" s="8"/>
      <c r="D663" s="8"/>
      <c r="E663" s="8"/>
      <c r="F663" s="8"/>
    </row>
    <row r="664" spans="1:6" x14ac:dyDescent="0.2">
      <c r="A664" s="8"/>
      <c r="B664" s="8"/>
      <c r="C664" s="8"/>
      <c r="D664" s="8"/>
      <c r="E664" s="8"/>
      <c r="F664" s="8"/>
    </row>
    <row r="665" spans="1:6" x14ac:dyDescent="0.2">
      <c r="A665" s="8"/>
      <c r="B665" s="8"/>
      <c r="C665" s="8"/>
      <c r="D665" s="8"/>
      <c r="E665" s="8"/>
      <c r="F665" s="8"/>
    </row>
    <row r="666" spans="1:6" x14ac:dyDescent="0.2">
      <c r="A666" s="8"/>
      <c r="B666" s="8"/>
      <c r="C666" s="8"/>
      <c r="D666" s="8"/>
      <c r="E666" s="8"/>
      <c r="F666" s="8"/>
    </row>
    <row r="667" spans="1:6" x14ac:dyDescent="0.2">
      <c r="A667" s="8"/>
      <c r="B667" s="8"/>
      <c r="C667" s="8"/>
      <c r="D667" s="8"/>
      <c r="E667" s="8"/>
      <c r="F667" s="8"/>
    </row>
    <row r="668" spans="1:6" x14ac:dyDescent="0.2">
      <c r="A668" s="8"/>
      <c r="B668" s="8"/>
      <c r="C668" s="8"/>
      <c r="D668" s="8"/>
      <c r="E668" s="8"/>
      <c r="F668" s="8"/>
    </row>
    <row r="669" spans="1:6" x14ac:dyDescent="0.2">
      <c r="A669" s="8"/>
      <c r="B669" s="8"/>
      <c r="C669" s="8"/>
      <c r="D669" s="8"/>
      <c r="E669" s="8"/>
      <c r="F669" s="8"/>
    </row>
    <row r="670" spans="1:6" x14ac:dyDescent="0.2">
      <c r="A670" s="8"/>
      <c r="B670" s="8"/>
      <c r="C670" s="8"/>
      <c r="D670" s="8"/>
      <c r="E670" s="8"/>
      <c r="F670" s="8"/>
    </row>
    <row r="671" spans="1:6" x14ac:dyDescent="0.2">
      <c r="A671" s="8"/>
      <c r="B671" s="8"/>
      <c r="C671" s="8"/>
      <c r="D671" s="8"/>
      <c r="E671" s="8"/>
      <c r="F671" s="8"/>
    </row>
    <row r="672" spans="1:6" x14ac:dyDescent="0.2">
      <c r="A672" s="8"/>
      <c r="B672" s="8"/>
      <c r="C672" s="8"/>
      <c r="D672" s="8"/>
      <c r="E672" s="8"/>
      <c r="F672" s="8"/>
    </row>
    <row r="673" spans="1:6" x14ac:dyDescent="0.2">
      <c r="A673" s="8"/>
      <c r="B673" s="8"/>
      <c r="C673" s="8"/>
      <c r="D673" s="8"/>
      <c r="E673" s="8"/>
      <c r="F673" s="8"/>
    </row>
    <row r="674" spans="1:6" x14ac:dyDescent="0.2">
      <c r="A674" s="8"/>
      <c r="B674" s="8"/>
      <c r="C674" s="8"/>
      <c r="D674" s="8"/>
      <c r="E674" s="8"/>
      <c r="F674" s="8"/>
    </row>
    <row r="675" spans="1:6" x14ac:dyDescent="0.2">
      <c r="A675" s="8"/>
      <c r="B675" s="8"/>
      <c r="C675" s="8"/>
      <c r="D675" s="8"/>
      <c r="E675" s="8"/>
      <c r="F675" s="8"/>
    </row>
    <row r="676" spans="1:6" x14ac:dyDescent="0.2">
      <c r="A676" s="8"/>
      <c r="B676" s="8"/>
      <c r="C676" s="8"/>
      <c r="D676" s="8"/>
      <c r="E676" s="8"/>
      <c r="F676" s="8"/>
    </row>
    <row r="677" spans="1:6" x14ac:dyDescent="0.2">
      <c r="A677" s="8"/>
      <c r="B677" s="8"/>
      <c r="C677" s="8"/>
      <c r="D677" s="8"/>
      <c r="E677" s="8"/>
      <c r="F677" s="8"/>
    </row>
    <row r="678" spans="1:6" x14ac:dyDescent="0.2">
      <c r="A678" s="8"/>
      <c r="B678" s="8"/>
      <c r="C678" s="8"/>
      <c r="D678" s="8"/>
      <c r="E678" s="8"/>
      <c r="F678" s="8"/>
    </row>
    <row r="679" spans="1:6" x14ac:dyDescent="0.2">
      <c r="A679" s="8"/>
      <c r="B679" s="8"/>
      <c r="C679" s="8"/>
      <c r="D679" s="8"/>
      <c r="E679" s="8"/>
      <c r="F679" s="8"/>
    </row>
    <row r="680" spans="1:6" x14ac:dyDescent="0.2">
      <c r="A680" s="8"/>
      <c r="B680" s="8"/>
      <c r="C680" s="8"/>
      <c r="D680" s="8"/>
      <c r="E680" s="8"/>
      <c r="F680" s="8"/>
    </row>
    <row r="681" spans="1:6" x14ac:dyDescent="0.2">
      <c r="A681" s="8"/>
      <c r="B681" s="8"/>
      <c r="C681" s="8"/>
      <c r="D681" s="8"/>
      <c r="E681" s="8"/>
      <c r="F681" s="8"/>
    </row>
    <row r="682" spans="1:6" x14ac:dyDescent="0.2">
      <c r="A682" s="8"/>
      <c r="B682" s="8"/>
      <c r="C682" s="8"/>
      <c r="D682" s="8"/>
      <c r="E682" s="8"/>
      <c r="F682" s="8"/>
    </row>
    <row r="683" spans="1:6" x14ac:dyDescent="0.2">
      <c r="A683" s="8"/>
      <c r="B683" s="8"/>
      <c r="C683" s="8"/>
      <c r="D683" s="8"/>
      <c r="E683" s="8"/>
      <c r="F683" s="8"/>
    </row>
    <row r="684" spans="1:6" x14ac:dyDescent="0.2">
      <c r="A684" s="8"/>
      <c r="B684" s="8"/>
      <c r="C684" s="8"/>
      <c r="D684" s="8"/>
      <c r="E684" s="8"/>
      <c r="F684" s="8"/>
    </row>
    <row r="685" spans="1:6" x14ac:dyDescent="0.2">
      <c r="A685" s="8"/>
      <c r="B685" s="8"/>
      <c r="C685" s="8"/>
      <c r="D685" s="8"/>
      <c r="E685" s="8"/>
      <c r="F685" s="8"/>
    </row>
    <row r="686" spans="1:6" x14ac:dyDescent="0.2">
      <c r="A686" s="8"/>
      <c r="B686" s="8"/>
      <c r="C686" s="8"/>
      <c r="D686" s="8"/>
      <c r="E686" s="8"/>
      <c r="F686" s="8"/>
    </row>
    <row r="687" spans="1:6" x14ac:dyDescent="0.2">
      <c r="A687" s="8"/>
      <c r="B687" s="8"/>
      <c r="C687" s="8"/>
      <c r="D687" s="8"/>
      <c r="E687" s="8"/>
      <c r="F687" s="8"/>
    </row>
    <row r="688" spans="1:6" x14ac:dyDescent="0.2">
      <c r="A688" s="8"/>
      <c r="B688" s="8"/>
      <c r="C688" s="8"/>
      <c r="D688" s="8"/>
      <c r="E688" s="8"/>
      <c r="F688" s="8"/>
    </row>
    <row r="689" spans="1:6" x14ac:dyDescent="0.2">
      <c r="A689" s="8"/>
      <c r="B689" s="8"/>
      <c r="C689" s="8"/>
      <c r="D689" s="8"/>
      <c r="E689" s="8"/>
      <c r="F689" s="8"/>
    </row>
    <row r="690" spans="1:6" x14ac:dyDescent="0.2">
      <c r="A690" s="8"/>
      <c r="B690" s="8"/>
      <c r="C690" s="8"/>
      <c r="D690" s="8"/>
      <c r="E690" s="8"/>
      <c r="F690" s="8"/>
    </row>
    <row r="691" spans="1:6" x14ac:dyDescent="0.2">
      <c r="A691" s="8"/>
      <c r="B691" s="8"/>
      <c r="C691" s="8"/>
      <c r="D691" s="8"/>
      <c r="E691" s="8"/>
      <c r="F691" s="8"/>
    </row>
    <row r="692" spans="1:6" x14ac:dyDescent="0.2">
      <c r="A692" s="8"/>
      <c r="B692" s="8"/>
      <c r="C692" s="8"/>
      <c r="D692" s="8"/>
      <c r="E692" s="8"/>
      <c r="F692" s="8"/>
    </row>
    <row r="693" spans="1:6" x14ac:dyDescent="0.2">
      <c r="A693" s="8"/>
      <c r="B693" s="8"/>
      <c r="C693" s="8"/>
      <c r="D693" s="8"/>
      <c r="E693" s="8"/>
      <c r="F693" s="8"/>
    </row>
    <row r="694" spans="1:6" x14ac:dyDescent="0.2">
      <c r="A694" s="8"/>
      <c r="B694" s="8"/>
      <c r="C694" s="8"/>
      <c r="D694" s="8"/>
      <c r="E694" s="8"/>
      <c r="F694" s="8"/>
    </row>
    <row r="695" spans="1:6" x14ac:dyDescent="0.2">
      <c r="A695" s="8"/>
      <c r="B695" s="8"/>
      <c r="C695" s="8"/>
      <c r="D695" s="8"/>
      <c r="E695" s="8"/>
      <c r="F695" s="8"/>
    </row>
    <row r="696" spans="1:6" x14ac:dyDescent="0.2">
      <c r="A696" s="8"/>
      <c r="B696" s="8"/>
      <c r="C696" s="8"/>
      <c r="D696" s="8"/>
      <c r="E696" s="8"/>
      <c r="F696" s="8"/>
    </row>
    <row r="697" spans="1:6" x14ac:dyDescent="0.2">
      <c r="A697" s="8"/>
      <c r="B697" s="8"/>
      <c r="C697" s="8"/>
      <c r="D697" s="8"/>
      <c r="E697" s="8"/>
      <c r="F697" s="8"/>
    </row>
    <row r="698" spans="1:6" x14ac:dyDescent="0.2">
      <c r="A698" s="8"/>
      <c r="B698" s="8"/>
      <c r="C698" s="8"/>
      <c r="D698" s="8"/>
      <c r="E698" s="8"/>
      <c r="F698" s="8"/>
    </row>
    <row r="699" spans="1:6" x14ac:dyDescent="0.2">
      <c r="A699" s="8"/>
      <c r="B699" s="8"/>
      <c r="C699" s="8"/>
      <c r="D699" s="8"/>
      <c r="E699" s="8"/>
      <c r="F699" s="8"/>
    </row>
    <row r="700" spans="1:6" x14ac:dyDescent="0.2">
      <c r="A700" s="8"/>
      <c r="B700" s="8"/>
      <c r="C700" s="8"/>
      <c r="D700" s="8"/>
      <c r="E700" s="8"/>
      <c r="F700" s="8"/>
    </row>
    <row r="701" spans="1:6" x14ac:dyDescent="0.2">
      <c r="A701" s="8"/>
      <c r="B701" s="8"/>
      <c r="C701" s="8"/>
      <c r="D701" s="8"/>
      <c r="E701" s="8"/>
      <c r="F701" s="8"/>
    </row>
    <row r="702" spans="1:6" x14ac:dyDescent="0.2">
      <c r="A702" s="8"/>
      <c r="B702" s="8"/>
      <c r="C702" s="8"/>
      <c r="D702" s="8"/>
      <c r="E702" s="8"/>
      <c r="F702" s="8"/>
    </row>
    <row r="703" spans="1:6" x14ac:dyDescent="0.2">
      <c r="A703" s="8"/>
      <c r="B703" s="8"/>
      <c r="C703" s="8"/>
      <c r="D703" s="8"/>
      <c r="E703" s="8"/>
      <c r="F703" s="8"/>
    </row>
    <row r="704" spans="1:6" x14ac:dyDescent="0.2">
      <c r="A704" s="8"/>
      <c r="B704" s="8"/>
      <c r="C704" s="8"/>
      <c r="D704" s="8"/>
      <c r="E704" s="8"/>
      <c r="F704" s="8"/>
    </row>
    <row r="705" spans="1:6" x14ac:dyDescent="0.2">
      <c r="A705" s="8"/>
      <c r="B705" s="8"/>
      <c r="C705" s="8"/>
      <c r="D705" s="8"/>
      <c r="E705" s="8"/>
      <c r="F705" s="8"/>
    </row>
    <row r="706" spans="1:6" x14ac:dyDescent="0.2">
      <c r="A706" s="8"/>
      <c r="B706" s="8"/>
      <c r="C706" s="8"/>
      <c r="D706" s="8"/>
      <c r="E706" s="8"/>
      <c r="F706" s="8"/>
    </row>
    <row r="707" spans="1:6" x14ac:dyDescent="0.2">
      <c r="A707" s="8"/>
      <c r="B707" s="8"/>
      <c r="C707" s="8"/>
      <c r="D707" s="8"/>
      <c r="E707" s="8"/>
      <c r="F707" s="8"/>
    </row>
    <row r="708" spans="1:6" x14ac:dyDescent="0.2">
      <c r="A708" s="8"/>
      <c r="B708" s="8"/>
      <c r="C708" s="8"/>
      <c r="D708" s="8"/>
      <c r="E708" s="8"/>
      <c r="F708" s="8"/>
    </row>
    <row r="709" spans="1:6" x14ac:dyDescent="0.2">
      <c r="A709" s="8"/>
      <c r="B709" s="8"/>
      <c r="C709" s="8"/>
      <c r="D709" s="8"/>
      <c r="E709" s="8"/>
      <c r="F709" s="8"/>
    </row>
    <row r="710" spans="1:6" x14ac:dyDescent="0.2">
      <c r="A710" s="8"/>
      <c r="B710" s="8"/>
      <c r="C710" s="8"/>
      <c r="D710" s="8"/>
      <c r="E710" s="8"/>
      <c r="F710" s="8"/>
    </row>
    <row r="711" spans="1:6" x14ac:dyDescent="0.2">
      <c r="A711" s="8"/>
      <c r="B711" s="8"/>
      <c r="C711" s="8"/>
      <c r="D711" s="8"/>
      <c r="E711" s="8"/>
      <c r="F711" s="8"/>
    </row>
    <row r="712" spans="1:6" x14ac:dyDescent="0.2">
      <c r="A712" s="8"/>
      <c r="B712" s="8"/>
      <c r="C712" s="8"/>
      <c r="D712" s="8"/>
      <c r="E712" s="8"/>
      <c r="F712" s="8"/>
    </row>
    <row r="713" spans="1:6" x14ac:dyDescent="0.2">
      <c r="A713" s="8"/>
      <c r="B713" s="8"/>
      <c r="C713" s="8"/>
      <c r="D713" s="8"/>
      <c r="E713" s="8"/>
      <c r="F713" s="8"/>
    </row>
    <row r="714" spans="1:6" x14ac:dyDescent="0.2">
      <c r="A714" s="8"/>
      <c r="B714" s="8"/>
      <c r="C714" s="8"/>
      <c r="D714" s="8"/>
      <c r="E714" s="8"/>
      <c r="F714" s="8"/>
    </row>
    <row r="715" spans="1:6" x14ac:dyDescent="0.2">
      <c r="A715" s="8"/>
      <c r="B715" s="8"/>
      <c r="C715" s="8"/>
      <c r="D715" s="8"/>
      <c r="E715" s="8"/>
      <c r="F715" s="8"/>
    </row>
    <row r="716" spans="1:6" x14ac:dyDescent="0.2">
      <c r="A716" s="8"/>
      <c r="B716" s="8"/>
      <c r="C716" s="8"/>
      <c r="D716" s="8"/>
      <c r="E716" s="8"/>
      <c r="F716" s="8"/>
    </row>
    <row r="717" spans="1:6" x14ac:dyDescent="0.2">
      <c r="A717" s="8"/>
      <c r="B717" s="8"/>
      <c r="C717" s="8"/>
      <c r="D717" s="8"/>
      <c r="E717" s="8"/>
      <c r="F717" s="8"/>
    </row>
    <row r="718" spans="1:6" x14ac:dyDescent="0.2">
      <c r="A718" s="8"/>
      <c r="B718" s="8"/>
      <c r="C718" s="8"/>
      <c r="D718" s="8"/>
      <c r="E718" s="8"/>
      <c r="F718" s="8"/>
    </row>
    <row r="719" spans="1:6" x14ac:dyDescent="0.2">
      <c r="A719" s="8"/>
      <c r="B719" s="8"/>
      <c r="C719" s="8"/>
      <c r="D719" s="8"/>
      <c r="E719" s="8"/>
      <c r="F719" s="8"/>
    </row>
    <row r="720" spans="1:6" x14ac:dyDescent="0.2">
      <c r="A720" s="8"/>
      <c r="B720" s="8"/>
      <c r="C720" s="8"/>
      <c r="D720" s="8"/>
      <c r="E720" s="8"/>
      <c r="F720" s="8"/>
    </row>
    <row r="721" spans="1:6" x14ac:dyDescent="0.2">
      <c r="A721" s="8"/>
      <c r="B721" s="8"/>
      <c r="C721" s="8"/>
      <c r="D721" s="8"/>
      <c r="E721" s="8"/>
      <c r="F721" s="8"/>
    </row>
    <row r="722" spans="1:6" x14ac:dyDescent="0.2">
      <c r="A722" s="8"/>
      <c r="B722" s="8"/>
      <c r="C722" s="8"/>
      <c r="D722" s="8"/>
      <c r="E722" s="8"/>
      <c r="F722" s="8"/>
    </row>
    <row r="723" spans="1:6" x14ac:dyDescent="0.2">
      <c r="A723" s="8"/>
      <c r="B723" s="8"/>
      <c r="C723" s="8"/>
      <c r="D723" s="8"/>
      <c r="E723" s="8"/>
      <c r="F723" s="8"/>
    </row>
    <row r="724" spans="1:6" x14ac:dyDescent="0.2">
      <c r="A724" s="8"/>
      <c r="B724" s="8"/>
      <c r="C724" s="8"/>
      <c r="D724" s="8"/>
      <c r="E724" s="8"/>
      <c r="F724" s="8"/>
    </row>
    <row r="725" spans="1:6" x14ac:dyDescent="0.2">
      <c r="A725" s="8"/>
      <c r="B725" s="8"/>
      <c r="C725" s="8"/>
      <c r="D725" s="8"/>
      <c r="E725" s="8"/>
      <c r="F725" s="8"/>
    </row>
    <row r="726" spans="1:6" x14ac:dyDescent="0.2">
      <c r="A726" s="8"/>
      <c r="B726" s="8"/>
      <c r="C726" s="8"/>
      <c r="D726" s="8"/>
      <c r="E726" s="8"/>
      <c r="F726" s="8"/>
    </row>
    <row r="727" spans="1:6" x14ac:dyDescent="0.2">
      <c r="A727" s="8"/>
      <c r="B727" s="8"/>
      <c r="C727" s="8"/>
      <c r="D727" s="8"/>
      <c r="E727" s="8"/>
      <c r="F727" s="8"/>
    </row>
    <row r="728" spans="1:6" x14ac:dyDescent="0.2">
      <c r="A728" s="8"/>
      <c r="B728" s="8"/>
      <c r="C728" s="8"/>
      <c r="D728" s="8"/>
      <c r="E728" s="8"/>
      <c r="F728" s="8"/>
    </row>
    <row r="729" spans="1:6" x14ac:dyDescent="0.2">
      <c r="A729" s="8"/>
      <c r="B729" s="8"/>
      <c r="C729" s="8"/>
      <c r="D729" s="8"/>
      <c r="E729" s="8"/>
      <c r="F729" s="8"/>
    </row>
    <row r="730" spans="1:6" x14ac:dyDescent="0.2">
      <c r="A730" s="8"/>
      <c r="B730" s="8"/>
      <c r="C730" s="8"/>
      <c r="D730" s="8"/>
      <c r="E730" s="8"/>
      <c r="F730" s="8"/>
    </row>
    <row r="731" spans="1:6" x14ac:dyDescent="0.2">
      <c r="A731" s="8"/>
      <c r="B731" s="8"/>
      <c r="C731" s="8"/>
      <c r="D731" s="8"/>
      <c r="E731" s="8"/>
      <c r="F731" s="8"/>
    </row>
    <row r="732" spans="1:6" x14ac:dyDescent="0.2">
      <c r="A732" s="8"/>
      <c r="B732" s="8"/>
      <c r="C732" s="8"/>
      <c r="D732" s="8"/>
      <c r="E732" s="8"/>
      <c r="F732" s="8"/>
    </row>
    <row r="733" spans="1:6" x14ac:dyDescent="0.2">
      <c r="A733" s="8"/>
      <c r="B733" s="8"/>
      <c r="C733" s="8"/>
      <c r="D733" s="8"/>
      <c r="E733" s="8"/>
      <c r="F733" s="8"/>
    </row>
    <row r="734" spans="1:6" x14ac:dyDescent="0.2">
      <c r="A734" s="8"/>
      <c r="B734" s="8"/>
      <c r="C734" s="8"/>
      <c r="D734" s="8"/>
      <c r="E734" s="8"/>
      <c r="F734" s="8"/>
    </row>
    <row r="735" spans="1:6" x14ac:dyDescent="0.2">
      <c r="A735" s="8"/>
      <c r="B735" s="8"/>
      <c r="C735" s="8"/>
      <c r="D735" s="8"/>
      <c r="E735" s="8"/>
      <c r="F735" s="8"/>
    </row>
    <row r="736" spans="1:6" x14ac:dyDescent="0.2">
      <c r="A736" s="8"/>
      <c r="B736" s="8"/>
      <c r="C736" s="8"/>
      <c r="D736" s="8"/>
      <c r="E736" s="8"/>
      <c r="F736" s="8"/>
    </row>
    <row r="737" spans="1:6" x14ac:dyDescent="0.2">
      <c r="A737" s="8"/>
      <c r="B737" s="8"/>
      <c r="C737" s="8"/>
      <c r="D737" s="8"/>
      <c r="E737" s="8"/>
      <c r="F737" s="8"/>
    </row>
    <row r="738" spans="1:6" x14ac:dyDescent="0.2">
      <c r="A738" s="8"/>
      <c r="B738" s="8"/>
      <c r="C738" s="8"/>
      <c r="D738" s="8"/>
      <c r="E738" s="8"/>
      <c r="F738" s="8"/>
    </row>
    <row r="739" spans="1:6" x14ac:dyDescent="0.2">
      <c r="A739" s="8"/>
      <c r="B739" s="8"/>
      <c r="C739" s="8"/>
      <c r="D739" s="8"/>
      <c r="E739" s="8"/>
      <c r="F739" s="8"/>
    </row>
    <row r="740" spans="1:6" x14ac:dyDescent="0.2">
      <c r="A740" s="8"/>
      <c r="B740" s="8"/>
      <c r="C740" s="8"/>
      <c r="D740" s="8"/>
      <c r="E740" s="8"/>
      <c r="F740" s="8"/>
    </row>
    <row r="741" spans="1:6" x14ac:dyDescent="0.2">
      <c r="A741" s="8"/>
      <c r="B741" s="8"/>
      <c r="C741" s="8"/>
      <c r="D741" s="8"/>
      <c r="E741" s="8"/>
      <c r="F741" s="8"/>
    </row>
    <row r="742" spans="1:6" x14ac:dyDescent="0.2">
      <c r="A742" s="8"/>
      <c r="B742" s="8"/>
      <c r="C742" s="8"/>
      <c r="D742" s="8"/>
      <c r="E742" s="8"/>
      <c r="F742" s="8"/>
    </row>
    <row r="743" spans="1:6" x14ac:dyDescent="0.2">
      <c r="A743" s="8"/>
      <c r="B743" s="8"/>
      <c r="C743" s="8"/>
      <c r="D743" s="8"/>
      <c r="E743" s="8"/>
      <c r="F743" s="8"/>
    </row>
    <row r="744" spans="1:6" x14ac:dyDescent="0.2">
      <c r="A744" s="8"/>
      <c r="B744" s="8"/>
      <c r="C744" s="8"/>
      <c r="D744" s="8"/>
      <c r="E744" s="8"/>
      <c r="F744" s="8"/>
    </row>
    <row r="745" spans="1:6" x14ac:dyDescent="0.2">
      <c r="A745" s="8"/>
      <c r="B745" s="8"/>
      <c r="C745" s="8"/>
      <c r="D745" s="8"/>
      <c r="E745" s="8"/>
      <c r="F745" s="8"/>
    </row>
    <row r="746" spans="1:6" x14ac:dyDescent="0.2">
      <c r="A746" s="8"/>
      <c r="B746" s="8"/>
      <c r="C746" s="8"/>
      <c r="D746" s="8"/>
      <c r="E746" s="8"/>
      <c r="F746" s="8"/>
    </row>
    <row r="747" spans="1:6" x14ac:dyDescent="0.2">
      <c r="A747" s="8"/>
      <c r="B747" s="8"/>
      <c r="C747" s="8"/>
      <c r="D747" s="8"/>
      <c r="E747" s="8"/>
      <c r="F747" s="8"/>
    </row>
    <row r="748" spans="1:6" x14ac:dyDescent="0.2">
      <c r="A748" s="8"/>
      <c r="B748" s="8"/>
      <c r="C748" s="8"/>
      <c r="D748" s="8"/>
      <c r="E748" s="8"/>
      <c r="F748" s="8"/>
    </row>
    <row r="749" spans="1:6" x14ac:dyDescent="0.2">
      <c r="A749" s="8"/>
      <c r="B749" s="8"/>
      <c r="C749" s="8"/>
      <c r="D749" s="8"/>
      <c r="E749" s="8"/>
      <c r="F749" s="8"/>
    </row>
    <row r="750" spans="1:6" x14ac:dyDescent="0.2">
      <c r="A750" s="8"/>
      <c r="B750" s="8"/>
      <c r="C750" s="8"/>
      <c r="D750" s="8"/>
      <c r="E750" s="8"/>
      <c r="F750" s="8"/>
    </row>
    <row r="751" spans="1:6" x14ac:dyDescent="0.2">
      <c r="A751" s="8"/>
      <c r="B751" s="8"/>
      <c r="C751" s="8"/>
      <c r="D751" s="8"/>
      <c r="E751" s="8"/>
      <c r="F751" s="8"/>
    </row>
    <row r="752" spans="1:6" x14ac:dyDescent="0.2">
      <c r="A752" s="8"/>
      <c r="B752" s="8"/>
      <c r="C752" s="8"/>
      <c r="D752" s="8"/>
      <c r="E752" s="8"/>
      <c r="F752" s="8"/>
    </row>
    <row r="753" spans="1:6" x14ac:dyDescent="0.2">
      <c r="A753" s="8"/>
      <c r="B753" s="8"/>
      <c r="C753" s="8"/>
      <c r="D753" s="8"/>
      <c r="E753" s="8"/>
      <c r="F753" s="8"/>
    </row>
    <row r="754" spans="1:6" x14ac:dyDescent="0.2">
      <c r="A754" s="8"/>
      <c r="B754" s="8"/>
      <c r="C754" s="8"/>
      <c r="D754" s="8"/>
      <c r="E754" s="8"/>
      <c r="F754" s="8"/>
    </row>
    <row r="755" spans="1:6" x14ac:dyDescent="0.2">
      <c r="A755" s="8"/>
      <c r="B755" s="8"/>
      <c r="C755" s="8"/>
      <c r="D755" s="8"/>
      <c r="E755" s="8"/>
      <c r="F755" s="8"/>
    </row>
    <row r="756" spans="1:6" x14ac:dyDescent="0.2">
      <c r="A756" s="8"/>
      <c r="B756" s="8"/>
      <c r="C756" s="8"/>
      <c r="D756" s="8"/>
      <c r="E756" s="8"/>
      <c r="F756" s="8"/>
    </row>
    <row r="757" spans="1:6" x14ac:dyDescent="0.2">
      <c r="A757" s="8"/>
      <c r="B757" s="8"/>
      <c r="C757" s="8"/>
      <c r="D757" s="8"/>
      <c r="E757" s="8"/>
      <c r="F757" s="8"/>
    </row>
    <row r="758" spans="1:6" x14ac:dyDescent="0.2">
      <c r="A758" s="8"/>
      <c r="B758" s="8"/>
      <c r="C758" s="8"/>
      <c r="D758" s="8"/>
      <c r="E758" s="8"/>
      <c r="F758" s="8"/>
    </row>
    <row r="759" spans="1:6" x14ac:dyDescent="0.2">
      <c r="A759" s="8"/>
      <c r="B759" s="8"/>
      <c r="C759" s="8"/>
      <c r="D759" s="8"/>
      <c r="E759" s="8"/>
      <c r="F759" s="8"/>
    </row>
    <row r="760" spans="1:6" x14ac:dyDescent="0.2">
      <c r="A760" s="8"/>
      <c r="B760" s="8"/>
      <c r="C760" s="8"/>
      <c r="D760" s="8"/>
      <c r="E760" s="8"/>
      <c r="F760" s="8"/>
    </row>
    <row r="761" spans="1:6" x14ac:dyDescent="0.2">
      <c r="A761" s="8"/>
      <c r="B761" s="8"/>
      <c r="C761" s="8"/>
      <c r="D761" s="8"/>
      <c r="E761" s="8"/>
      <c r="F761" s="8"/>
    </row>
    <row r="762" spans="1:6" x14ac:dyDescent="0.2">
      <c r="A762" s="8"/>
      <c r="B762" s="8"/>
      <c r="C762" s="8"/>
      <c r="D762" s="8"/>
      <c r="E762" s="8"/>
      <c r="F762" s="8"/>
    </row>
    <row r="763" spans="1:6" x14ac:dyDescent="0.2">
      <c r="A763" s="8"/>
      <c r="B763" s="8"/>
      <c r="C763" s="8"/>
      <c r="D763" s="8"/>
      <c r="E763" s="8"/>
      <c r="F763" s="8"/>
    </row>
    <row r="764" spans="1:6" x14ac:dyDescent="0.2">
      <c r="A764" s="8"/>
      <c r="B764" s="8"/>
      <c r="C764" s="8"/>
      <c r="D764" s="8"/>
      <c r="E764" s="8"/>
      <c r="F764" s="8"/>
    </row>
    <row r="765" spans="1:6" x14ac:dyDescent="0.2">
      <c r="A765" s="8"/>
      <c r="B765" s="8"/>
      <c r="C765" s="8"/>
      <c r="D765" s="8"/>
      <c r="E765" s="8"/>
      <c r="F765" s="8"/>
    </row>
    <row r="766" spans="1:6" x14ac:dyDescent="0.2">
      <c r="A766" s="8"/>
      <c r="B766" s="8"/>
      <c r="C766" s="8"/>
      <c r="D766" s="8"/>
      <c r="E766" s="8"/>
      <c r="F766" s="8"/>
    </row>
    <row r="767" spans="1:6" x14ac:dyDescent="0.2">
      <c r="A767" s="8"/>
      <c r="B767" s="8"/>
      <c r="C767" s="8"/>
      <c r="D767" s="8"/>
      <c r="E767" s="8"/>
      <c r="F767" s="8"/>
    </row>
    <row r="768" spans="1:6" x14ac:dyDescent="0.2">
      <c r="A768" s="8"/>
      <c r="B768" s="8"/>
      <c r="C768" s="8"/>
      <c r="D768" s="8"/>
      <c r="E768" s="8"/>
      <c r="F768" s="8"/>
    </row>
    <row r="769" spans="1:6" x14ac:dyDescent="0.2">
      <c r="A769" s="8"/>
      <c r="B769" s="8"/>
      <c r="C769" s="8"/>
      <c r="D769" s="8"/>
      <c r="E769" s="8"/>
      <c r="F769" s="8"/>
    </row>
    <row r="770" spans="1:6" x14ac:dyDescent="0.2">
      <c r="A770" s="8"/>
      <c r="B770" s="8"/>
      <c r="C770" s="8"/>
      <c r="D770" s="8"/>
      <c r="E770" s="8"/>
      <c r="F770" s="8"/>
    </row>
    <row r="771" spans="1:6" x14ac:dyDescent="0.2">
      <c r="A771" s="8"/>
      <c r="B771" s="8"/>
      <c r="C771" s="8"/>
      <c r="D771" s="8"/>
      <c r="E771" s="8"/>
      <c r="F771" s="8"/>
    </row>
    <row r="772" spans="1:6" x14ac:dyDescent="0.2">
      <c r="A772" s="8"/>
      <c r="B772" s="8"/>
      <c r="C772" s="8"/>
      <c r="D772" s="8"/>
      <c r="E772" s="8"/>
      <c r="F772" s="8"/>
    </row>
    <row r="773" spans="1:6" x14ac:dyDescent="0.2">
      <c r="A773" s="8"/>
      <c r="B773" s="8"/>
      <c r="C773" s="8"/>
      <c r="D773" s="8"/>
      <c r="E773" s="8"/>
      <c r="F773" s="8"/>
    </row>
    <row r="774" spans="1:6" x14ac:dyDescent="0.2">
      <c r="A774" s="8"/>
      <c r="B774" s="8"/>
      <c r="C774" s="8"/>
      <c r="D774" s="8"/>
      <c r="E774" s="8"/>
      <c r="F774" s="8"/>
    </row>
    <row r="775" spans="1:6" x14ac:dyDescent="0.2">
      <c r="A775" s="8"/>
      <c r="B775" s="8"/>
      <c r="C775" s="8"/>
      <c r="D775" s="8"/>
      <c r="E775" s="8"/>
      <c r="F775" s="8"/>
    </row>
    <row r="776" spans="1:6" x14ac:dyDescent="0.2">
      <c r="A776" s="8"/>
      <c r="B776" s="8"/>
      <c r="C776" s="8"/>
      <c r="D776" s="8"/>
      <c r="E776" s="8"/>
      <c r="F776" s="8"/>
    </row>
    <row r="777" spans="1:6" x14ac:dyDescent="0.2">
      <c r="A777" s="8"/>
      <c r="B777" s="8"/>
      <c r="C777" s="8"/>
      <c r="D777" s="8"/>
      <c r="E777" s="8"/>
      <c r="F777" s="8"/>
    </row>
    <row r="778" spans="1:6" x14ac:dyDescent="0.2">
      <c r="A778" s="8"/>
      <c r="B778" s="8"/>
      <c r="C778" s="8"/>
      <c r="D778" s="8"/>
      <c r="E778" s="8"/>
      <c r="F778" s="8"/>
    </row>
    <row r="779" spans="1:6" x14ac:dyDescent="0.2">
      <c r="A779" s="8"/>
      <c r="B779" s="8"/>
      <c r="C779" s="8"/>
      <c r="D779" s="8"/>
      <c r="E779" s="8"/>
      <c r="F779" s="8"/>
    </row>
    <row r="780" spans="1:6" x14ac:dyDescent="0.2">
      <c r="A780" s="8"/>
      <c r="B780" s="8"/>
      <c r="C780" s="8"/>
      <c r="D780" s="8"/>
      <c r="E780" s="8"/>
      <c r="F780" s="8"/>
    </row>
    <row r="781" spans="1:6" x14ac:dyDescent="0.2">
      <c r="A781" s="8"/>
      <c r="B781" s="8"/>
      <c r="C781" s="8"/>
      <c r="D781" s="8"/>
      <c r="E781" s="8"/>
      <c r="F781" s="8"/>
    </row>
    <row r="782" spans="1:6" x14ac:dyDescent="0.2">
      <c r="A782" s="8"/>
      <c r="B782" s="8"/>
      <c r="C782" s="8"/>
      <c r="D782" s="8"/>
      <c r="E782" s="8"/>
      <c r="F782" s="8"/>
    </row>
    <row r="783" spans="1:6" x14ac:dyDescent="0.2">
      <c r="A783" s="8"/>
      <c r="B783" s="8"/>
      <c r="C783" s="8"/>
      <c r="D783" s="8"/>
      <c r="E783" s="8"/>
      <c r="F783" s="8"/>
    </row>
    <row r="784" spans="1:6" x14ac:dyDescent="0.2">
      <c r="A784" s="8"/>
      <c r="B784" s="8"/>
      <c r="C784" s="8"/>
      <c r="D784" s="8"/>
      <c r="E784" s="8"/>
      <c r="F784" s="8"/>
    </row>
    <row r="785" spans="1:6" x14ac:dyDescent="0.2">
      <c r="A785" s="8"/>
      <c r="B785" s="8"/>
      <c r="C785" s="8"/>
      <c r="D785" s="8"/>
      <c r="E785" s="8"/>
      <c r="F785" s="8"/>
    </row>
    <row r="786" spans="1:6" x14ac:dyDescent="0.2">
      <c r="A786" s="8"/>
      <c r="B786" s="8"/>
      <c r="C786" s="8"/>
      <c r="D786" s="8"/>
      <c r="E786" s="8"/>
      <c r="F786" s="8"/>
    </row>
    <row r="787" spans="1:6" x14ac:dyDescent="0.2">
      <c r="A787" s="8"/>
      <c r="B787" s="8"/>
      <c r="C787" s="8"/>
      <c r="D787" s="8"/>
      <c r="E787" s="8"/>
      <c r="F787" s="8"/>
    </row>
    <row r="788" spans="1:6" x14ac:dyDescent="0.2">
      <c r="A788" s="8"/>
      <c r="B788" s="8"/>
      <c r="C788" s="8"/>
      <c r="D788" s="8"/>
      <c r="E788" s="8"/>
      <c r="F788" s="8"/>
    </row>
    <row r="789" spans="1:6" x14ac:dyDescent="0.2">
      <c r="A789" s="8"/>
      <c r="B789" s="8"/>
      <c r="C789" s="8"/>
      <c r="D789" s="8"/>
      <c r="E789" s="8"/>
      <c r="F789" s="8"/>
    </row>
    <row r="790" spans="1:6" x14ac:dyDescent="0.2">
      <c r="A790" s="8"/>
      <c r="B790" s="8"/>
      <c r="C790" s="8"/>
      <c r="D790" s="8"/>
      <c r="E790" s="8"/>
      <c r="F790" s="8"/>
    </row>
    <row r="791" spans="1:6" x14ac:dyDescent="0.2">
      <c r="A791" s="8"/>
      <c r="B791" s="8"/>
      <c r="C791" s="8"/>
      <c r="D791" s="8"/>
      <c r="E791" s="8"/>
      <c r="F791" s="8"/>
    </row>
    <row r="792" spans="1:6" x14ac:dyDescent="0.2">
      <c r="A792" s="8"/>
      <c r="B792" s="8"/>
      <c r="C792" s="8"/>
      <c r="D792" s="8"/>
      <c r="E792" s="8"/>
      <c r="F792" s="8"/>
    </row>
    <row r="793" spans="1:6" x14ac:dyDescent="0.2">
      <c r="A793" s="8"/>
      <c r="B793" s="8"/>
      <c r="C793" s="8"/>
      <c r="D793" s="8"/>
      <c r="E793" s="8"/>
      <c r="F793" s="8"/>
    </row>
    <row r="794" spans="1:6" x14ac:dyDescent="0.2">
      <c r="A794" s="8"/>
      <c r="B794" s="8"/>
      <c r="C794" s="8"/>
      <c r="D794" s="8"/>
      <c r="E794" s="8"/>
      <c r="F794" s="8"/>
    </row>
    <row r="795" spans="1:6" x14ac:dyDescent="0.2">
      <c r="A795" s="8"/>
      <c r="B795" s="8"/>
      <c r="C795" s="8"/>
      <c r="D795" s="8"/>
      <c r="E795" s="8"/>
      <c r="F795" s="8"/>
    </row>
    <row r="796" spans="1:6" x14ac:dyDescent="0.2">
      <c r="A796" s="8"/>
      <c r="B796" s="8"/>
      <c r="C796" s="8"/>
      <c r="D796" s="8"/>
      <c r="E796" s="8"/>
      <c r="F796" s="8"/>
    </row>
    <row r="797" spans="1:6" x14ac:dyDescent="0.2">
      <c r="A797" s="8"/>
      <c r="B797" s="8"/>
      <c r="C797" s="8"/>
      <c r="D797" s="8"/>
      <c r="E797" s="8"/>
      <c r="F797" s="8"/>
    </row>
    <row r="798" spans="1:6" x14ac:dyDescent="0.2">
      <c r="A798" s="8"/>
      <c r="B798" s="8"/>
      <c r="C798" s="8"/>
      <c r="D798" s="8"/>
      <c r="E798" s="8"/>
      <c r="F798" s="8"/>
    </row>
    <row r="799" spans="1:6" x14ac:dyDescent="0.2">
      <c r="A799" s="8"/>
      <c r="B799" s="8"/>
      <c r="C799" s="8"/>
      <c r="D799" s="8"/>
      <c r="E799" s="8"/>
      <c r="F799" s="8"/>
    </row>
    <row r="800" spans="1:6" x14ac:dyDescent="0.2">
      <c r="A800" s="8"/>
      <c r="B800" s="8"/>
      <c r="C800" s="8"/>
      <c r="D800" s="8"/>
      <c r="E800" s="8"/>
      <c r="F800" s="8"/>
    </row>
    <row r="801" spans="1:6" x14ac:dyDescent="0.2">
      <c r="A801" s="8"/>
      <c r="B801" s="8"/>
      <c r="C801" s="8"/>
      <c r="D801" s="8"/>
      <c r="E801" s="8"/>
      <c r="F801" s="8"/>
    </row>
    <row r="802" spans="1:6" x14ac:dyDescent="0.2">
      <c r="A802" s="8"/>
      <c r="B802" s="8"/>
      <c r="C802" s="8"/>
      <c r="D802" s="8"/>
      <c r="E802" s="8"/>
      <c r="F802" s="8"/>
    </row>
    <row r="803" spans="1:6" x14ac:dyDescent="0.2">
      <c r="A803" s="8"/>
      <c r="B803" s="8"/>
      <c r="C803" s="8"/>
      <c r="D803" s="8"/>
      <c r="E803" s="8"/>
      <c r="F803" s="8"/>
    </row>
    <row r="804" spans="1:6" x14ac:dyDescent="0.2">
      <c r="A804" s="8"/>
      <c r="B804" s="8"/>
      <c r="C804" s="8"/>
      <c r="D804" s="8"/>
      <c r="E804" s="8"/>
      <c r="F804" s="8"/>
    </row>
    <row r="805" spans="1:6" x14ac:dyDescent="0.2">
      <c r="A805" s="8"/>
      <c r="B805" s="8"/>
      <c r="C805" s="8"/>
      <c r="D805" s="8"/>
      <c r="E805" s="8"/>
      <c r="F805" s="8"/>
    </row>
    <row r="806" spans="1:6" x14ac:dyDescent="0.2">
      <c r="A806" s="8"/>
      <c r="B806" s="8"/>
      <c r="C806" s="8"/>
      <c r="D806" s="8"/>
      <c r="E806" s="8"/>
      <c r="F806" s="8"/>
    </row>
    <row r="807" spans="1:6" x14ac:dyDescent="0.2">
      <c r="A807" s="8"/>
      <c r="B807" s="8"/>
      <c r="C807" s="8"/>
      <c r="D807" s="8"/>
      <c r="E807" s="8"/>
      <c r="F807" s="8"/>
    </row>
    <row r="808" spans="1:6" x14ac:dyDescent="0.2">
      <c r="A808" s="8"/>
      <c r="B808" s="8"/>
      <c r="C808" s="8"/>
      <c r="D808" s="8"/>
      <c r="E808" s="8"/>
      <c r="F808" s="8"/>
    </row>
    <row r="809" spans="1:6" x14ac:dyDescent="0.2">
      <c r="A809" s="8"/>
      <c r="B809" s="8"/>
      <c r="C809" s="8"/>
      <c r="D809" s="8"/>
      <c r="E809" s="8"/>
      <c r="F809" s="8"/>
    </row>
    <row r="810" spans="1:6" x14ac:dyDescent="0.2">
      <c r="A810" s="8"/>
      <c r="B810" s="8"/>
      <c r="C810" s="8"/>
      <c r="D810" s="8"/>
      <c r="E810" s="8"/>
      <c r="F810" s="8"/>
    </row>
    <row r="811" spans="1:6" x14ac:dyDescent="0.2">
      <c r="A811" s="8"/>
      <c r="B811" s="8"/>
      <c r="C811" s="8"/>
      <c r="D811" s="8"/>
      <c r="E811" s="8"/>
      <c r="F811" s="8"/>
    </row>
    <row r="812" spans="1:6" x14ac:dyDescent="0.2">
      <c r="A812" s="8"/>
      <c r="B812" s="8"/>
      <c r="C812" s="8"/>
      <c r="D812" s="8"/>
      <c r="E812" s="8"/>
      <c r="F812" s="8"/>
    </row>
    <row r="813" spans="1:6" x14ac:dyDescent="0.2">
      <c r="A813" s="8"/>
      <c r="B813" s="8"/>
      <c r="C813" s="8"/>
      <c r="D813" s="8"/>
      <c r="E813" s="8"/>
      <c r="F813" s="8"/>
    </row>
    <row r="814" spans="1:6" x14ac:dyDescent="0.2">
      <c r="A814" s="8"/>
      <c r="B814" s="8"/>
      <c r="C814" s="8"/>
      <c r="D814" s="8"/>
      <c r="E814" s="8"/>
      <c r="F814" s="8"/>
    </row>
    <row r="815" spans="1:6" x14ac:dyDescent="0.2">
      <c r="A815" s="8"/>
      <c r="B815" s="8"/>
      <c r="C815" s="8"/>
      <c r="D815" s="8"/>
      <c r="E815" s="8"/>
      <c r="F815" s="8"/>
    </row>
    <row r="816" spans="1:6" x14ac:dyDescent="0.2">
      <c r="A816" s="8"/>
      <c r="B816" s="8"/>
      <c r="C816" s="8"/>
      <c r="D816" s="8"/>
      <c r="E816" s="8"/>
      <c r="F816" s="8"/>
    </row>
    <row r="817" spans="1:6" x14ac:dyDescent="0.2">
      <c r="A817" s="8"/>
      <c r="B817" s="8"/>
      <c r="C817" s="8"/>
      <c r="D817" s="8"/>
      <c r="E817" s="8"/>
      <c r="F817" s="8"/>
    </row>
    <row r="818" spans="1:6" x14ac:dyDescent="0.2">
      <c r="A818" s="8"/>
      <c r="B818" s="8"/>
      <c r="C818" s="8"/>
      <c r="D818" s="8"/>
      <c r="E818" s="8"/>
      <c r="F818" s="8"/>
    </row>
    <row r="819" spans="1:6" x14ac:dyDescent="0.2">
      <c r="A819" s="8"/>
      <c r="B819" s="8"/>
      <c r="C819" s="8"/>
      <c r="D819" s="8"/>
      <c r="E819" s="8"/>
      <c r="F819" s="8"/>
    </row>
    <row r="820" spans="1:6" x14ac:dyDescent="0.2">
      <c r="A820" s="8"/>
      <c r="B820" s="8"/>
      <c r="C820" s="8"/>
      <c r="D820" s="8"/>
      <c r="E820" s="8"/>
      <c r="F820" s="8"/>
    </row>
    <row r="821" spans="1:6" x14ac:dyDescent="0.2">
      <c r="A821" s="8"/>
      <c r="B821" s="8"/>
      <c r="C821" s="8"/>
      <c r="D821" s="8"/>
      <c r="E821" s="8"/>
      <c r="F821" s="8"/>
    </row>
    <row r="822" spans="1:6" x14ac:dyDescent="0.2">
      <c r="A822" s="8"/>
      <c r="B822" s="8"/>
      <c r="C822" s="8"/>
      <c r="D822" s="8"/>
      <c r="E822" s="8"/>
      <c r="F822" s="8"/>
    </row>
    <row r="823" spans="1:6" x14ac:dyDescent="0.2">
      <c r="A823" s="8"/>
      <c r="B823" s="8"/>
      <c r="C823" s="8"/>
      <c r="D823" s="8"/>
      <c r="E823" s="8"/>
      <c r="F823" s="8"/>
    </row>
    <row r="824" spans="1:6" x14ac:dyDescent="0.2">
      <c r="A824" s="8"/>
      <c r="B824" s="8"/>
      <c r="C824" s="8"/>
      <c r="D824" s="8"/>
      <c r="E824" s="8"/>
      <c r="F824" s="8"/>
    </row>
    <row r="825" spans="1:6" x14ac:dyDescent="0.2">
      <c r="A825" s="8"/>
      <c r="B825" s="8"/>
      <c r="C825" s="8"/>
      <c r="D825" s="8"/>
      <c r="E825" s="8"/>
      <c r="F825" s="8"/>
    </row>
    <row r="826" spans="1:6" x14ac:dyDescent="0.2">
      <c r="A826" s="8"/>
      <c r="B826" s="8"/>
      <c r="C826" s="8"/>
      <c r="D826" s="8"/>
      <c r="E826" s="8"/>
      <c r="F826" s="8"/>
    </row>
    <row r="827" spans="1:6" x14ac:dyDescent="0.2">
      <c r="A827" s="8"/>
      <c r="B827" s="8"/>
      <c r="C827" s="8"/>
      <c r="D827" s="8"/>
      <c r="E827" s="8"/>
      <c r="F827" s="8"/>
    </row>
    <row r="828" spans="1:6" x14ac:dyDescent="0.2">
      <c r="A828" s="8"/>
      <c r="B828" s="8"/>
      <c r="C828" s="8"/>
      <c r="D828" s="8"/>
      <c r="E828" s="8"/>
      <c r="F828" s="8"/>
    </row>
    <row r="829" spans="1:6" x14ac:dyDescent="0.2">
      <c r="A829" s="8"/>
      <c r="B829" s="8"/>
      <c r="C829" s="8"/>
      <c r="D829" s="8"/>
      <c r="E829" s="8"/>
      <c r="F829" s="8"/>
    </row>
    <row r="830" spans="1:6" x14ac:dyDescent="0.2">
      <c r="A830" s="8"/>
      <c r="B830" s="8"/>
      <c r="C830" s="8"/>
      <c r="D830" s="8"/>
      <c r="E830" s="8"/>
      <c r="F830" s="8"/>
    </row>
    <row r="831" spans="1:6" x14ac:dyDescent="0.2">
      <c r="A831" s="8"/>
      <c r="B831" s="8"/>
      <c r="C831" s="8"/>
      <c r="D831" s="8"/>
      <c r="E831" s="8"/>
      <c r="F831" s="8"/>
    </row>
    <row r="832" spans="1:6" x14ac:dyDescent="0.2">
      <c r="A832" s="8"/>
      <c r="B832" s="8"/>
      <c r="C832" s="8"/>
      <c r="D832" s="8"/>
      <c r="E832" s="8"/>
      <c r="F832" s="8"/>
    </row>
    <row r="833" spans="1:6" x14ac:dyDescent="0.2">
      <c r="A833" s="8"/>
      <c r="B833" s="8"/>
      <c r="C833" s="8"/>
      <c r="D833" s="8"/>
      <c r="E833" s="8"/>
      <c r="F833" s="8"/>
    </row>
    <row r="834" spans="1:6" x14ac:dyDescent="0.2">
      <c r="A834" s="8"/>
      <c r="B834" s="8"/>
      <c r="C834" s="8"/>
      <c r="D834" s="8"/>
      <c r="E834" s="8"/>
      <c r="F834" s="8"/>
    </row>
    <row r="835" spans="1:6" x14ac:dyDescent="0.2">
      <c r="A835" s="8"/>
      <c r="B835" s="8"/>
      <c r="C835" s="8"/>
      <c r="D835" s="8"/>
      <c r="E835" s="8"/>
      <c r="F835" s="8"/>
    </row>
    <row r="836" spans="1:6" x14ac:dyDescent="0.2">
      <c r="A836" s="8"/>
      <c r="B836" s="8"/>
      <c r="C836" s="8"/>
      <c r="D836" s="8"/>
      <c r="E836" s="8"/>
      <c r="F836" s="8"/>
    </row>
    <row r="837" spans="1:6" x14ac:dyDescent="0.2">
      <c r="A837" s="8"/>
      <c r="B837" s="8"/>
      <c r="C837" s="8"/>
      <c r="D837" s="8"/>
      <c r="E837" s="8"/>
      <c r="F837" s="8"/>
    </row>
    <row r="838" spans="1:6" x14ac:dyDescent="0.2">
      <c r="A838" s="8"/>
      <c r="B838" s="8"/>
      <c r="C838" s="8"/>
      <c r="D838" s="8"/>
      <c r="E838" s="8"/>
      <c r="F838" s="8"/>
    </row>
    <row r="839" spans="1:6" x14ac:dyDescent="0.2">
      <c r="A839" s="8"/>
      <c r="B839" s="8"/>
      <c r="C839" s="8"/>
      <c r="D839" s="8"/>
      <c r="E839" s="8"/>
      <c r="F839" s="8"/>
    </row>
    <row r="840" spans="1:6" x14ac:dyDescent="0.2">
      <c r="A840" s="8"/>
      <c r="B840" s="8"/>
      <c r="C840" s="8"/>
      <c r="D840" s="8"/>
      <c r="E840" s="8"/>
      <c r="F840" s="8"/>
    </row>
    <row r="841" spans="1:6" x14ac:dyDescent="0.2">
      <c r="A841" s="8"/>
      <c r="B841" s="8"/>
      <c r="C841" s="8"/>
      <c r="D841" s="8"/>
      <c r="E841" s="8"/>
      <c r="F841" s="8"/>
    </row>
    <row r="842" spans="1:6" x14ac:dyDescent="0.2">
      <c r="A842" s="8"/>
      <c r="B842" s="8"/>
      <c r="C842" s="8"/>
      <c r="D842" s="8"/>
      <c r="E842" s="8"/>
      <c r="F842" s="8"/>
    </row>
    <row r="843" spans="1:6" x14ac:dyDescent="0.2">
      <c r="A843" s="8"/>
      <c r="B843" s="8"/>
      <c r="C843" s="8"/>
      <c r="D843" s="8"/>
      <c r="E843" s="8"/>
      <c r="F843" s="8"/>
    </row>
    <row r="844" spans="1:6" x14ac:dyDescent="0.2">
      <c r="A844" s="8"/>
      <c r="B844" s="8"/>
      <c r="C844" s="8"/>
      <c r="D844" s="8"/>
      <c r="E844" s="8"/>
      <c r="F844" s="8"/>
    </row>
    <row r="845" spans="1:6" x14ac:dyDescent="0.2">
      <c r="A845" s="8"/>
      <c r="B845" s="8"/>
      <c r="C845" s="8"/>
      <c r="D845" s="8"/>
      <c r="E845" s="8"/>
      <c r="F845" s="8"/>
    </row>
    <row r="846" spans="1:6" x14ac:dyDescent="0.2">
      <c r="A846" s="8"/>
      <c r="B846" s="8"/>
      <c r="C846" s="8"/>
      <c r="D846" s="8"/>
      <c r="E846" s="8"/>
      <c r="F846" s="8"/>
    </row>
    <row r="847" spans="1:6" x14ac:dyDescent="0.2">
      <c r="A847" s="8"/>
      <c r="B847" s="8"/>
      <c r="C847" s="8"/>
      <c r="D847" s="8"/>
      <c r="E847" s="8"/>
      <c r="F847" s="8"/>
    </row>
    <row r="848" spans="1:6" x14ac:dyDescent="0.2">
      <c r="A848" s="8"/>
      <c r="B848" s="8"/>
      <c r="C848" s="8"/>
      <c r="D848" s="8"/>
      <c r="E848" s="8"/>
      <c r="F848" s="8"/>
    </row>
    <row r="849" spans="1:6" x14ac:dyDescent="0.2">
      <c r="A849" s="8"/>
      <c r="B849" s="8"/>
      <c r="C849" s="8"/>
      <c r="D849" s="8"/>
      <c r="E849" s="8"/>
      <c r="F849" s="8"/>
    </row>
    <row r="850" spans="1:6" x14ac:dyDescent="0.2">
      <c r="A850" s="8"/>
      <c r="B850" s="8"/>
      <c r="C850" s="8"/>
      <c r="D850" s="8"/>
      <c r="E850" s="8"/>
      <c r="F850" s="8"/>
    </row>
    <row r="851" spans="1:6" x14ac:dyDescent="0.2">
      <c r="A851" s="8"/>
      <c r="B851" s="8"/>
      <c r="C851" s="8"/>
      <c r="D851" s="8"/>
      <c r="E851" s="8"/>
      <c r="F851" s="8"/>
    </row>
    <row r="852" spans="1:6" x14ac:dyDescent="0.2">
      <c r="A852" s="8"/>
      <c r="B852" s="8"/>
      <c r="C852" s="8"/>
      <c r="D852" s="8"/>
      <c r="E852" s="8"/>
      <c r="F852" s="8"/>
    </row>
    <row r="853" spans="1:6" x14ac:dyDescent="0.2">
      <c r="A853" s="8"/>
      <c r="B853" s="8"/>
      <c r="C853" s="8"/>
      <c r="D853" s="8"/>
      <c r="E853" s="8"/>
      <c r="F853" s="8"/>
    </row>
    <row r="854" spans="1:6" x14ac:dyDescent="0.2">
      <c r="A854" s="8"/>
      <c r="B854" s="8"/>
      <c r="C854" s="8"/>
      <c r="D854" s="8"/>
      <c r="E854" s="8"/>
      <c r="F854" s="8"/>
    </row>
    <row r="855" spans="1:6" x14ac:dyDescent="0.2">
      <c r="A855" s="8"/>
      <c r="B855" s="8"/>
      <c r="C855" s="8"/>
      <c r="D855" s="8"/>
      <c r="E855" s="8"/>
      <c r="F855" s="8"/>
    </row>
    <row r="856" spans="1:6" x14ac:dyDescent="0.2">
      <c r="A856" s="8"/>
      <c r="B856" s="8"/>
      <c r="C856" s="8"/>
      <c r="D856" s="8"/>
      <c r="E856" s="8"/>
      <c r="F856" s="8"/>
    </row>
    <row r="857" spans="1:6" x14ac:dyDescent="0.2">
      <c r="A857" s="8"/>
      <c r="B857" s="8"/>
      <c r="C857" s="8"/>
      <c r="D857" s="8"/>
      <c r="E857" s="8"/>
      <c r="F857" s="8"/>
    </row>
    <row r="858" spans="1:6" x14ac:dyDescent="0.2">
      <c r="A858" s="8"/>
      <c r="B858" s="8"/>
      <c r="C858" s="8"/>
      <c r="D858" s="8"/>
      <c r="E858" s="8"/>
      <c r="F858" s="8"/>
    </row>
    <row r="859" spans="1:6" x14ac:dyDescent="0.2">
      <c r="A859" s="8"/>
      <c r="B859" s="8"/>
      <c r="C859" s="8"/>
      <c r="D859" s="8"/>
      <c r="E859" s="8"/>
      <c r="F859" s="8"/>
    </row>
    <row r="860" spans="1:6" x14ac:dyDescent="0.2">
      <c r="A860" s="8"/>
      <c r="B860" s="8"/>
      <c r="C860" s="8"/>
      <c r="D860" s="8"/>
      <c r="E860" s="8"/>
      <c r="F860" s="8"/>
    </row>
    <row r="861" spans="1:6" x14ac:dyDescent="0.2">
      <c r="A861" s="8"/>
      <c r="B861" s="8"/>
      <c r="C861" s="8"/>
      <c r="D861" s="8"/>
      <c r="E861" s="8"/>
      <c r="F861" s="8"/>
    </row>
    <row r="862" spans="1:6" x14ac:dyDescent="0.2">
      <c r="A862" s="8"/>
      <c r="B862" s="8"/>
      <c r="C862" s="8"/>
      <c r="D862" s="8"/>
      <c r="E862" s="8"/>
      <c r="F862" s="8"/>
    </row>
    <row r="863" spans="1:6" x14ac:dyDescent="0.2">
      <c r="A863" s="8"/>
      <c r="B863" s="8"/>
      <c r="C863" s="8"/>
      <c r="D863" s="8"/>
      <c r="E863" s="8"/>
      <c r="F863" s="8"/>
    </row>
    <row r="864" spans="1:6" x14ac:dyDescent="0.2">
      <c r="A864" s="8"/>
      <c r="B864" s="8"/>
      <c r="C864" s="8"/>
      <c r="D864" s="8"/>
      <c r="E864" s="8"/>
      <c r="F864" s="8"/>
    </row>
    <row r="865" spans="1:6" x14ac:dyDescent="0.2">
      <c r="A865" s="8"/>
      <c r="B865" s="8"/>
      <c r="C865" s="8"/>
      <c r="D865" s="8"/>
      <c r="E865" s="8"/>
      <c r="F865" s="8"/>
    </row>
    <row r="866" spans="1:6" x14ac:dyDescent="0.2">
      <c r="A866" s="8"/>
      <c r="B866" s="8"/>
      <c r="C866" s="8"/>
      <c r="D866" s="8"/>
      <c r="E866" s="8"/>
      <c r="F866" s="8"/>
    </row>
    <row r="867" spans="1:6" x14ac:dyDescent="0.2">
      <c r="A867" s="8"/>
      <c r="B867" s="8"/>
      <c r="C867" s="8"/>
      <c r="D867" s="8"/>
      <c r="E867" s="8"/>
      <c r="F867" s="8"/>
    </row>
    <row r="868" spans="1:6" x14ac:dyDescent="0.2">
      <c r="A868" s="8"/>
      <c r="B868" s="8"/>
      <c r="C868" s="8"/>
      <c r="D868" s="8"/>
      <c r="E868" s="8"/>
      <c r="F868" s="8"/>
    </row>
    <row r="869" spans="1:6" x14ac:dyDescent="0.2">
      <c r="A869" s="8"/>
      <c r="B869" s="8"/>
      <c r="C869" s="8"/>
      <c r="D869" s="8"/>
      <c r="E869" s="8"/>
      <c r="F869" s="8"/>
    </row>
    <row r="870" spans="1:6" x14ac:dyDescent="0.2">
      <c r="A870" s="8"/>
      <c r="B870" s="8"/>
      <c r="C870" s="8"/>
      <c r="D870" s="8"/>
      <c r="E870" s="8"/>
      <c r="F870" s="8"/>
    </row>
    <row r="871" spans="1:6" x14ac:dyDescent="0.2">
      <c r="A871" s="8"/>
      <c r="B871" s="8"/>
      <c r="C871" s="8"/>
      <c r="D871" s="8"/>
      <c r="E871" s="8"/>
      <c r="F871" s="8"/>
    </row>
    <row r="872" spans="1:6" x14ac:dyDescent="0.2">
      <c r="A872" s="8"/>
      <c r="B872" s="8"/>
      <c r="C872" s="8"/>
      <c r="D872" s="8"/>
      <c r="E872" s="8"/>
      <c r="F872" s="8"/>
    </row>
    <row r="873" spans="1:6" x14ac:dyDescent="0.2">
      <c r="A873" s="8"/>
      <c r="B873" s="8"/>
      <c r="C873" s="8"/>
      <c r="D873" s="8"/>
      <c r="E873" s="8"/>
      <c r="F873" s="8"/>
    </row>
    <row r="874" spans="1:6" x14ac:dyDescent="0.2">
      <c r="A874" s="8"/>
      <c r="B874" s="8"/>
      <c r="C874" s="8"/>
      <c r="D874" s="8"/>
      <c r="E874" s="8"/>
      <c r="F874" s="8"/>
    </row>
    <row r="875" spans="1:6" x14ac:dyDescent="0.2">
      <c r="A875" s="8"/>
      <c r="B875" s="8"/>
      <c r="C875" s="8"/>
      <c r="D875" s="8"/>
      <c r="E875" s="8"/>
      <c r="F875" s="8"/>
    </row>
    <row r="876" spans="1:6" x14ac:dyDescent="0.2">
      <c r="A876" s="8"/>
      <c r="B876" s="8"/>
      <c r="C876" s="8"/>
      <c r="D876" s="8"/>
      <c r="E876" s="8"/>
      <c r="F876" s="8"/>
    </row>
    <row r="877" spans="1:6" x14ac:dyDescent="0.2">
      <c r="A877" s="8"/>
      <c r="B877" s="8"/>
      <c r="C877" s="8"/>
      <c r="D877" s="8"/>
      <c r="E877" s="8"/>
      <c r="F877" s="8"/>
    </row>
    <row r="878" spans="1:6" x14ac:dyDescent="0.2">
      <c r="A878" s="8"/>
      <c r="B878" s="8"/>
      <c r="C878" s="8"/>
      <c r="D878" s="8"/>
      <c r="E878" s="8"/>
      <c r="F878" s="8"/>
    </row>
    <row r="879" spans="1:6" x14ac:dyDescent="0.2">
      <c r="A879" s="8"/>
      <c r="B879" s="8"/>
      <c r="C879" s="8"/>
      <c r="D879" s="8"/>
      <c r="E879" s="8"/>
      <c r="F879" s="8"/>
    </row>
    <row r="880" spans="1:6" x14ac:dyDescent="0.2">
      <c r="A880" s="8"/>
      <c r="B880" s="8"/>
      <c r="C880" s="8"/>
      <c r="D880" s="8"/>
      <c r="E880" s="8"/>
      <c r="F880" s="8"/>
    </row>
    <row r="881" spans="1:6" x14ac:dyDescent="0.2">
      <c r="A881" s="8"/>
      <c r="B881" s="8"/>
      <c r="C881" s="8"/>
      <c r="D881" s="8"/>
      <c r="E881" s="8"/>
      <c r="F881" s="8"/>
    </row>
    <row r="882" spans="1:6" x14ac:dyDescent="0.2">
      <c r="A882" s="8"/>
      <c r="B882" s="8"/>
      <c r="C882" s="8"/>
      <c r="D882" s="8"/>
      <c r="E882" s="8"/>
      <c r="F882" s="8"/>
    </row>
    <row r="883" spans="1:6" x14ac:dyDescent="0.2">
      <c r="A883" s="8"/>
      <c r="B883" s="8"/>
      <c r="C883" s="8"/>
      <c r="D883" s="8"/>
      <c r="E883" s="8"/>
      <c r="F883" s="8"/>
    </row>
    <row r="884" spans="1:6" x14ac:dyDescent="0.2">
      <c r="A884" s="8"/>
      <c r="B884" s="8"/>
      <c r="C884" s="8"/>
      <c r="D884" s="8"/>
      <c r="E884" s="8"/>
      <c r="F884" s="8"/>
    </row>
    <row r="885" spans="1:6" x14ac:dyDescent="0.2">
      <c r="A885" s="8"/>
      <c r="B885" s="8"/>
      <c r="C885" s="8"/>
      <c r="D885" s="8"/>
      <c r="E885" s="8"/>
      <c r="F885" s="8"/>
    </row>
    <row r="886" spans="1:6" x14ac:dyDescent="0.2">
      <c r="A886" s="8"/>
      <c r="B886" s="8"/>
      <c r="C886" s="8"/>
      <c r="D886" s="8"/>
      <c r="E886" s="8"/>
      <c r="F886" s="8"/>
    </row>
    <row r="887" spans="1:6" x14ac:dyDescent="0.2">
      <c r="A887" s="8"/>
      <c r="B887" s="8"/>
      <c r="C887" s="8"/>
      <c r="D887" s="8"/>
      <c r="E887" s="8"/>
      <c r="F887" s="8"/>
    </row>
    <row r="888" spans="1:6" x14ac:dyDescent="0.2">
      <c r="A888" s="8"/>
      <c r="B888" s="8"/>
      <c r="C888" s="8"/>
      <c r="D888" s="8"/>
      <c r="E888" s="8"/>
      <c r="F888" s="8"/>
    </row>
    <row r="889" spans="1:6" x14ac:dyDescent="0.2">
      <c r="A889" s="8"/>
      <c r="B889" s="8"/>
      <c r="C889" s="8"/>
      <c r="D889" s="8"/>
      <c r="E889" s="8"/>
      <c r="F889" s="8"/>
    </row>
    <row r="890" spans="1:6" x14ac:dyDescent="0.2">
      <c r="A890" s="8"/>
      <c r="B890" s="8"/>
      <c r="C890" s="8"/>
      <c r="D890" s="8"/>
      <c r="E890" s="8"/>
      <c r="F890" s="8"/>
    </row>
    <row r="891" spans="1:6" x14ac:dyDescent="0.2">
      <c r="A891" s="8"/>
      <c r="B891" s="8"/>
      <c r="C891" s="8"/>
      <c r="D891" s="8"/>
      <c r="E891" s="8"/>
      <c r="F891" s="8"/>
    </row>
    <row r="892" spans="1:6" x14ac:dyDescent="0.2">
      <c r="A892" s="8"/>
      <c r="B892" s="8"/>
      <c r="C892" s="8"/>
      <c r="D892" s="8"/>
      <c r="E892" s="8"/>
      <c r="F892" s="8"/>
    </row>
    <row r="893" spans="1:6" x14ac:dyDescent="0.2">
      <c r="A893" s="8"/>
      <c r="B893" s="8"/>
      <c r="C893" s="8"/>
      <c r="D893" s="8"/>
      <c r="E893" s="8"/>
      <c r="F893" s="8"/>
    </row>
    <row r="894" spans="1:6" x14ac:dyDescent="0.2">
      <c r="A894" s="8"/>
      <c r="B894" s="8"/>
      <c r="C894" s="8"/>
      <c r="D894" s="8"/>
      <c r="E894" s="8"/>
      <c r="F894" s="8"/>
    </row>
    <row r="895" spans="1:6" x14ac:dyDescent="0.2">
      <c r="A895" s="8"/>
      <c r="B895" s="8"/>
      <c r="C895" s="8"/>
      <c r="D895" s="8"/>
      <c r="E895" s="8"/>
      <c r="F895" s="8"/>
    </row>
    <row r="896" spans="1:6" x14ac:dyDescent="0.2">
      <c r="A896" s="8"/>
      <c r="B896" s="8"/>
      <c r="C896" s="8"/>
      <c r="D896" s="8"/>
      <c r="E896" s="8"/>
      <c r="F896" s="8"/>
    </row>
    <row r="897" spans="1:6" x14ac:dyDescent="0.2">
      <c r="A897" s="8"/>
      <c r="B897" s="8"/>
      <c r="C897" s="8"/>
      <c r="D897" s="8"/>
      <c r="E897" s="8"/>
      <c r="F897" s="8"/>
    </row>
    <row r="898" spans="1:6" x14ac:dyDescent="0.2">
      <c r="A898" s="8"/>
      <c r="B898" s="8"/>
      <c r="C898" s="8"/>
      <c r="D898" s="8"/>
      <c r="E898" s="8"/>
      <c r="F898" s="8"/>
    </row>
    <row r="899" spans="1:6" x14ac:dyDescent="0.2">
      <c r="A899" s="8"/>
      <c r="B899" s="8"/>
      <c r="C899" s="8"/>
      <c r="D899" s="8"/>
      <c r="E899" s="8"/>
      <c r="F899" s="8"/>
    </row>
    <row r="900" spans="1:6" x14ac:dyDescent="0.2">
      <c r="A900" s="8"/>
      <c r="B900" s="8"/>
      <c r="C900" s="8"/>
      <c r="D900" s="8"/>
      <c r="E900" s="8"/>
      <c r="F900" s="8"/>
    </row>
    <row r="901" spans="1:6" x14ac:dyDescent="0.2">
      <c r="A901" s="8"/>
      <c r="B901" s="8"/>
      <c r="C901" s="8"/>
      <c r="D901" s="8"/>
      <c r="E901" s="8"/>
      <c r="F901" s="8"/>
    </row>
    <row r="902" spans="1:6" x14ac:dyDescent="0.2">
      <c r="A902" s="8"/>
      <c r="B902" s="8"/>
      <c r="C902" s="8"/>
      <c r="D902" s="8"/>
      <c r="E902" s="8"/>
      <c r="F902" s="8"/>
    </row>
    <row r="903" spans="1:6" x14ac:dyDescent="0.2">
      <c r="A903" s="8"/>
      <c r="B903" s="8"/>
      <c r="C903" s="8"/>
      <c r="D903" s="8"/>
      <c r="E903" s="8"/>
      <c r="F903" s="8"/>
    </row>
    <row r="904" spans="1:6" x14ac:dyDescent="0.2">
      <c r="A904" s="8"/>
      <c r="B904" s="8"/>
      <c r="C904" s="8"/>
      <c r="D904" s="8"/>
      <c r="E904" s="8"/>
      <c r="F904" s="8"/>
    </row>
    <row r="905" spans="1:6" x14ac:dyDescent="0.2">
      <c r="A905" s="8"/>
      <c r="B905" s="8"/>
      <c r="C905" s="8"/>
      <c r="D905" s="8"/>
      <c r="E905" s="8"/>
      <c r="F905" s="8"/>
    </row>
    <row r="906" spans="1:6" x14ac:dyDescent="0.2">
      <c r="A906" s="8"/>
      <c r="B906" s="8"/>
      <c r="C906" s="8"/>
      <c r="D906" s="8"/>
      <c r="E906" s="8"/>
      <c r="F906" s="8"/>
    </row>
    <row r="907" spans="1:6" x14ac:dyDescent="0.2">
      <c r="A907" s="8"/>
      <c r="B907" s="8"/>
      <c r="C907" s="8"/>
      <c r="D907" s="8"/>
      <c r="E907" s="8"/>
      <c r="F907" s="8"/>
    </row>
    <row r="908" spans="1:6" x14ac:dyDescent="0.2">
      <c r="A908" s="8"/>
      <c r="B908" s="8"/>
      <c r="C908" s="8"/>
      <c r="D908" s="8"/>
      <c r="E908" s="8"/>
      <c r="F908" s="8"/>
    </row>
    <row r="909" spans="1:6" x14ac:dyDescent="0.2">
      <c r="A909" s="8"/>
      <c r="B909" s="8"/>
      <c r="C909" s="8"/>
      <c r="D909" s="8"/>
      <c r="E909" s="8"/>
      <c r="F909" s="8"/>
    </row>
    <row r="910" spans="1:6" x14ac:dyDescent="0.2">
      <c r="A910" s="8"/>
      <c r="B910" s="8"/>
      <c r="C910" s="8"/>
      <c r="D910" s="8"/>
      <c r="E910" s="8"/>
      <c r="F910" s="8"/>
    </row>
    <row r="911" spans="1:6" x14ac:dyDescent="0.2">
      <c r="A911" s="8"/>
      <c r="B911" s="8"/>
      <c r="C911" s="8"/>
      <c r="D911" s="8"/>
      <c r="E911" s="8"/>
      <c r="F911" s="8"/>
    </row>
    <row r="912" spans="1:6" x14ac:dyDescent="0.2">
      <c r="A912" s="8"/>
      <c r="B912" s="8"/>
      <c r="C912" s="8"/>
      <c r="D912" s="8"/>
      <c r="E912" s="8"/>
      <c r="F912" s="8"/>
    </row>
    <row r="913" spans="1:6" x14ac:dyDescent="0.2">
      <c r="A913" s="8"/>
      <c r="B913" s="8"/>
      <c r="C913" s="8"/>
      <c r="D913" s="8"/>
      <c r="E913" s="8"/>
      <c r="F913" s="8"/>
    </row>
    <row r="914" spans="1:6" x14ac:dyDescent="0.2">
      <c r="A914" s="8"/>
      <c r="B914" s="8"/>
      <c r="C914" s="8"/>
      <c r="D914" s="8"/>
      <c r="E914" s="8"/>
      <c r="F914" s="8"/>
    </row>
    <row r="915" spans="1:6" x14ac:dyDescent="0.2">
      <c r="A915" s="8"/>
      <c r="B915" s="8"/>
      <c r="C915" s="8"/>
      <c r="D915" s="8"/>
      <c r="E915" s="8"/>
      <c r="F915" s="8"/>
    </row>
    <row r="916" spans="1:6" x14ac:dyDescent="0.2">
      <c r="A916" s="8"/>
      <c r="B916" s="8"/>
      <c r="C916" s="8"/>
      <c r="D916" s="8"/>
      <c r="E916" s="8"/>
      <c r="F916" s="8"/>
    </row>
    <row r="917" spans="1:6" x14ac:dyDescent="0.2">
      <c r="A917" s="8"/>
      <c r="B917" s="8"/>
      <c r="C917" s="8"/>
      <c r="D917" s="8"/>
      <c r="E917" s="8"/>
      <c r="F917" s="8"/>
    </row>
    <row r="918" spans="1:6" x14ac:dyDescent="0.2">
      <c r="A918" s="8"/>
      <c r="B918" s="8"/>
      <c r="C918" s="8"/>
      <c r="D918" s="8"/>
      <c r="E918" s="8"/>
      <c r="F918" s="8"/>
    </row>
    <row r="919" spans="1:6" x14ac:dyDescent="0.2">
      <c r="A919" s="8"/>
      <c r="B919" s="8"/>
      <c r="C919" s="8"/>
      <c r="D919" s="8"/>
      <c r="E919" s="8"/>
      <c r="F919" s="8"/>
    </row>
    <row r="920" spans="1:6" x14ac:dyDescent="0.2">
      <c r="A920" s="8"/>
      <c r="B920" s="8"/>
      <c r="C920" s="8"/>
      <c r="D920" s="8"/>
      <c r="E920" s="8"/>
      <c r="F920" s="8"/>
    </row>
    <row r="921" spans="1:6" x14ac:dyDescent="0.2">
      <c r="A921" s="8"/>
      <c r="B921" s="8"/>
      <c r="C921" s="8"/>
      <c r="D921" s="8"/>
      <c r="E921" s="8"/>
      <c r="F921" s="8"/>
    </row>
    <row r="922" spans="1:6" x14ac:dyDescent="0.2">
      <c r="A922" s="8"/>
      <c r="B922" s="8"/>
      <c r="C922" s="8"/>
      <c r="D922" s="8"/>
      <c r="E922" s="8"/>
      <c r="F922" s="8"/>
    </row>
    <row r="923" spans="1:6" x14ac:dyDescent="0.2">
      <c r="A923" s="8"/>
      <c r="B923" s="8"/>
      <c r="C923" s="8"/>
      <c r="D923" s="8"/>
      <c r="E923" s="8"/>
      <c r="F923" s="8"/>
    </row>
    <row r="924" spans="1:6" x14ac:dyDescent="0.2">
      <c r="A924" s="8"/>
      <c r="B924" s="8"/>
      <c r="C924" s="8"/>
      <c r="D924" s="8"/>
      <c r="E924" s="8"/>
      <c r="F924" s="8"/>
    </row>
    <row r="925" spans="1:6" x14ac:dyDescent="0.2">
      <c r="A925" s="8"/>
      <c r="B925" s="8"/>
      <c r="C925" s="8"/>
      <c r="D925" s="8"/>
      <c r="E925" s="8"/>
      <c r="F925" s="8"/>
    </row>
    <row r="926" spans="1:6" x14ac:dyDescent="0.2">
      <c r="A926" s="8"/>
      <c r="B926" s="8"/>
      <c r="C926" s="8"/>
      <c r="D926" s="8"/>
      <c r="E926" s="8"/>
      <c r="F926" s="8"/>
    </row>
    <row r="927" spans="1:6" x14ac:dyDescent="0.2">
      <c r="A927" s="8"/>
      <c r="B927" s="8"/>
      <c r="C927" s="8"/>
      <c r="D927" s="8"/>
      <c r="E927" s="8"/>
      <c r="F927" s="8"/>
    </row>
    <row r="928" spans="1:6" x14ac:dyDescent="0.2">
      <c r="A928" s="8"/>
      <c r="B928" s="8"/>
      <c r="C928" s="8"/>
      <c r="D928" s="8"/>
      <c r="E928" s="8"/>
      <c r="F928" s="8"/>
    </row>
    <row r="929" spans="1:6" x14ac:dyDescent="0.2">
      <c r="A929" s="8"/>
      <c r="B929" s="8"/>
      <c r="C929" s="8"/>
      <c r="D929" s="8"/>
      <c r="E929" s="8"/>
      <c r="F929" s="8"/>
    </row>
    <row r="930" spans="1:6" x14ac:dyDescent="0.2">
      <c r="A930" s="8"/>
      <c r="B930" s="8"/>
      <c r="C930" s="8"/>
      <c r="D930" s="8"/>
      <c r="E930" s="8"/>
      <c r="F930" s="8"/>
    </row>
    <row r="931" spans="1:6" x14ac:dyDescent="0.2">
      <c r="A931" s="8"/>
      <c r="B931" s="8"/>
      <c r="C931" s="8"/>
      <c r="D931" s="8"/>
      <c r="E931" s="8"/>
      <c r="F931" s="8"/>
    </row>
    <row r="932" spans="1:6" x14ac:dyDescent="0.2">
      <c r="A932" s="8"/>
      <c r="B932" s="8"/>
      <c r="C932" s="8"/>
      <c r="D932" s="8"/>
      <c r="E932" s="8"/>
      <c r="F932" s="8"/>
    </row>
    <row r="933" spans="1:6" x14ac:dyDescent="0.2">
      <c r="A933" s="8"/>
      <c r="B933" s="8"/>
      <c r="C933" s="8"/>
      <c r="D933" s="8"/>
      <c r="E933" s="8"/>
      <c r="F933" s="8"/>
    </row>
    <row r="934" spans="1:6" x14ac:dyDescent="0.2">
      <c r="A934" s="8"/>
      <c r="B934" s="8"/>
      <c r="C934" s="8"/>
      <c r="D934" s="8"/>
      <c r="E934" s="8"/>
      <c r="F934" s="8"/>
    </row>
    <row r="935" spans="1:6" x14ac:dyDescent="0.2">
      <c r="A935" s="8"/>
      <c r="B935" s="8"/>
      <c r="C935" s="8"/>
      <c r="D935" s="8"/>
      <c r="E935" s="8"/>
      <c r="F935" s="8"/>
    </row>
    <row r="936" spans="1:6" x14ac:dyDescent="0.2">
      <c r="A936" s="8"/>
      <c r="B936" s="8"/>
      <c r="C936" s="8"/>
      <c r="D936" s="8"/>
      <c r="E936" s="8"/>
      <c r="F936" s="8"/>
    </row>
    <row r="937" spans="1:6" x14ac:dyDescent="0.2">
      <c r="A937" s="8"/>
      <c r="B937" s="8"/>
      <c r="C937" s="8"/>
      <c r="D937" s="8"/>
      <c r="E937" s="8"/>
      <c r="F937" s="8"/>
    </row>
    <row r="938" spans="1:6" x14ac:dyDescent="0.2">
      <c r="A938" s="8"/>
      <c r="B938" s="8"/>
      <c r="C938" s="8"/>
      <c r="D938" s="8"/>
      <c r="E938" s="8"/>
      <c r="F938" s="8"/>
    </row>
    <row r="939" spans="1:6" x14ac:dyDescent="0.2">
      <c r="A939" s="8"/>
      <c r="B939" s="8"/>
      <c r="C939" s="8"/>
      <c r="D939" s="8"/>
      <c r="E939" s="8"/>
      <c r="F939" s="8"/>
    </row>
    <row r="940" spans="1:6" x14ac:dyDescent="0.2">
      <c r="A940" s="8"/>
      <c r="B940" s="8"/>
      <c r="C940" s="8"/>
      <c r="D940" s="8"/>
      <c r="E940" s="8"/>
      <c r="F940" s="8"/>
    </row>
    <row r="941" spans="1:6" x14ac:dyDescent="0.2">
      <c r="A941" s="8"/>
      <c r="B941" s="8"/>
      <c r="C941" s="8"/>
      <c r="D941" s="8"/>
      <c r="E941" s="8"/>
      <c r="F941" s="8"/>
    </row>
    <row r="942" spans="1:6" x14ac:dyDescent="0.2">
      <c r="A942" s="8"/>
      <c r="B942" s="8"/>
      <c r="C942" s="8"/>
      <c r="D942" s="8"/>
      <c r="E942" s="8"/>
      <c r="F942" s="8"/>
    </row>
    <row r="943" spans="1:6" x14ac:dyDescent="0.2">
      <c r="A943" s="8"/>
      <c r="B943" s="8"/>
      <c r="C943" s="8"/>
      <c r="D943" s="8"/>
      <c r="E943" s="8"/>
      <c r="F943" s="8"/>
    </row>
    <row r="944" spans="1:6" x14ac:dyDescent="0.2">
      <c r="A944" s="8"/>
      <c r="B944" s="8"/>
      <c r="C944" s="8"/>
      <c r="D944" s="8"/>
      <c r="E944" s="8"/>
      <c r="F944" s="8"/>
    </row>
    <row r="945" spans="1:6" x14ac:dyDescent="0.2">
      <c r="A945" s="8"/>
      <c r="B945" s="8"/>
      <c r="C945" s="8"/>
      <c r="D945" s="8"/>
      <c r="E945" s="8"/>
      <c r="F945" s="8"/>
    </row>
    <row r="946" spans="1:6" x14ac:dyDescent="0.2">
      <c r="A946" s="8"/>
      <c r="B946" s="8"/>
      <c r="C946" s="8"/>
      <c r="D946" s="8"/>
      <c r="E946" s="8"/>
      <c r="F946" s="8"/>
    </row>
    <row r="947" spans="1:6" x14ac:dyDescent="0.2">
      <c r="A947" s="8"/>
      <c r="B947" s="8"/>
      <c r="C947" s="8"/>
      <c r="D947" s="8"/>
      <c r="E947" s="8"/>
      <c r="F947" s="8"/>
    </row>
    <row r="948" spans="1:6" x14ac:dyDescent="0.2">
      <c r="A948" s="8"/>
      <c r="B948" s="8"/>
      <c r="C948" s="8"/>
      <c r="D948" s="8"/>
      <c r="E948" s="8"/>
      <c r="F948" s="8"/>
    </row>
    <row r="949" spans="1:6" x14ac:dyDescent="0.2">
      <c r="A949" s="8"/>
      <c r="B949" s="8"/>
      <c r="C949" s="8"/>
      <c r="D949" s="8"/>
      <c r="E949" s="8"/>
      <c r="F949" s="8"/>
    </row>
    <row r="950" spans="1:6" x14ac:dyDescent="0.2">
      <c r="A950" s="8"/>
      <c r="B950" s="8"/>
      <c r="C950" s="8"/>
      <c r="D950" s="8"/>
      <c r="E950" s="8"/>
      <c r="F950" s="8"/>
    </row>
    <row r="951" spans="1:6" x14ac:dyDescent="0.2">
      <c r="A951" s="8"/>
      <c r="B951" s="8"/>
      <c r="C951" s="8"/>
      <c r="D951" s="8"/>
      <c r="E951" s="8"/>
      <c r="F951" s="8"/>
    </row>
    <row r="952" spans="1:6" x14ac:dyDescent="0.2">
      <c r="A952" s="8"/>
      <c r="B952" s="8"/>
      <c r="C952" s="8"/>
      <c r="D952" s="8"/>
      <c r="E952" s="8"/>
      <c r="F952" s="8"/>
    </row>
    <row r="953" spans="1:6" x14ac:dyDescent="0.2">
      <c r="A953" s="8"/>
      <c r="B953" s="8"/>
      <c r="C953" s="8"/>
      <c r="D953" s="8"/>
      <c r="E953" s="8"/>
      <c r="F953" s="8"/>
    </row>
    <row r="954" spans="1:6" x14ac:dyDescent="0.2">
      <c r="A954" s="8"/>
      <c r="B954" s="8"/>
      <c r="C954" s="8"/>
      <c r="D954" s="8"/>
      <c r="E954" s="8"/>
      <c r="F954" s="8"/>
    </row>
    <row r="955" spans="1:6" x14ac:dyDescent="0.2">
      <c r="A955" s="8"/>
      <c r="B955" s="8"/>
      <c r="C955" s="8"/>
      <c r="D955" s="8"/>
      <c r="E955" s="8"/>
      <c r="F955" s="8"/>
    </row>
    <row r="956" spans="1:6" x14ac:dyDescent="0.2">
      <c r="A956" s="8"/>
      <c r="B956" s="8"/>
      <c r="C956" s="8"/>
      <c r="D956" s="8"/>
      <c r="E956" s="8"/>
      <c r="F956" s="8"/>
    </row>
    <row r="957" spans="1:6" x14ac:dyDescent="0.2">
      <c r="A957" s="8"/>
      <c r="B957" s="8"/>
      <c r="C957" s="8"/>
      <c r="D957" s="8"/>
      <c r="E957" s="8"/>
      <c r="F957" s="8"/>
    </row>
    <row r="958" spans="1:6" x14ac:dyDescent="0.2">
      <c r="A958" s="8"/>
      <c r="B958" s="8"/>
      <c r="C958" s="8"/>
      <c r="D958" s="8"/>
      <c r="E958" s="8"/>
      <c r="F958" s="8"/>
    </row>
    <row r="959" spans="1:6" x14ac:dyDescent="0.2">
      <c r="A959" s="8"/>
      <c r="B959" s="8"/>
      <c r="C959" s="8"/>
      <c r="D959" s="8"/>
      <c r="E959" s="8"/>
      <c r="F959" s="8"/>
    </row>
    <row r="960" spans="1:6" x14ac:dyDescent="0.2">
      <c r="A960" s="8"/>
      <c r="B960" s="8"/>
      <c r="C960" s="8"/>
      <c r="D960" s="8"/>
      <c r="E960" s="8"/>
      <c r="F960" s="8"/>
    </row>
    <row r="961" spans="1:6" x14ac:dyDescent="0.2">
      <c r="A961" s="8"/>
      <c r="B961" s="8"/>
      <c r="C961" s="8"/>
      <c r="D961" s="8"/>
      <c r="E961" s="8"/>
      <c r="F961" s="8"/>
    </row>
    <row r="962" spans="1:6" x14ac:dyDescent="0.2">
      <c r="A962" s="8"/>
      <c r="B962" s="8"/>
      <c r="C962" s="8"/>
      <c r="D962" s="8"/>
      <c r="E962" s="8"/>
      <c r="F962" s="8"/>
    </row>
    <row r="963" spans="1:6" x14ac:dyDescent="0.2">
      <c r="A963" s="8"/>
      <c r="B963" s="8"/>
      <c r="C963" s="8"/>
      <c r="D963" s="8"/>
      <c r="E963" s="8"/>
      <c r="F963" s="8"/>
    </row>
    <row r="964" spans="1:6" x14ac:dyDescent="0.2">
      <c r="A964" s="8"/>
      <c r="B964" s="8"/>
      <c r="C964" s="8"/>
      <c r="D964" s="8"/>
      <c r="E964" s="8"/>
      <c r="F964" s="8"/>
    </row>
    <row r="965" spans="1:6" x14ac:dyDescent="0.2">
      <c r="A965" s="8"/>
      <c r="B965" s="8"/>
      <c r="C965" s="8"/>
      <c r="D965" s="8"/>
      <c r="E965" s="8"/>
      <c r="F965" s="8"/>
    </row>
    <row r="966" spans="1:6" x14ac:dyDescent="0.2">
      <c r="A966" s="8"/>
      <c r="B966" s="8"/>
      <c r="C966" s="8"/>
      <c r="D966" s="8"/>
      <c r="E966" s="8"/>
      <c r="F966" s="8"/>
    </row>
    <row r="967" spans="1:6" x14ac:dyDescent="0.2">
      <c r="A967" s="8"/>
      <c r="B967" s="8"/>
      <c r="C967" s="8"/>
      <c r="D967" s="8"/>
      <c r="E967" s="8"/>
      <c r="F967" s="8"/>
    </row>
    <row r="968" spans="1:6" x14ac:dyDescent="0.2">
      <c r="A968" s="8"/>
      <c r="B968" s="8"/>
      <c r="C968" s="8"/>
      <c r="D968" s="8"/>
      <c r="E968" s="8"/>
      <c r="F968" s="8"/>
    </row>
    <row r="969" spans="1:6" x14ac:dyDescent="0.2">
      <c r="A969" s="8"/>
      <c r="B969" s="8"/>
      <c r="C969" s="8"/>
      <c r="D969" s="8"/>
      <c r="E969" s="8"/>
      <c r="F969" s="8"/>
    </row>
    <row r="970" spans="1:6" x14ac:dyDescent="0.2">
      <c r="A970" s="8"/>
      <c r="B970" s="8"/>
      <c r="C970" s="8"/>
      <c r="D970" s="8"/>
      <c r="E970" s="8"/>
      <c r="F970" s="8"/>
    </row>
    <row r="971" spans="1:6" x14ac:dyDescent="0.2">
      <c r="A971" s="8"/>
      <c r="B971" s="8"/>
      <c r="C971" s="8"/>
      <c r="D971" s="8"/>
      <c r="E971" s="8"/>
      <c r="F971" s="8"/>
    </row>
    <row r="972" spans="1:6" x14ac:dyDescent="0.2">
      <c r="A972" s="8"/>
      <c r="B972" s="8"/>
      <c r="C972" s="8"/>
      <c r="D972" s="8"/>
      <c r="E972" s="8"/>
      <c r="F972" s="8"/>
    </row>
    <row r="973" spans="1:6" x14ac:dyDescent="0.2">
      <c r="A973" s="8"/>
      <c r="B973" s="8"/>
      <c r="C973" s="8"/>
      <c r="D973" s="8"/>
      <c r="E973" s="8"/>
      <c r="F973" s="8"/>
    </row>
    <row r="974" spans="1:6" x14ac:dyDescent="0.2">
      <c r="A974" s="8"/>
      <c r="B974" s="8"/>
      <c r="C974" s="8"/>
      <c r="D974" s="8"/>
      <c r="E974" s="8"/>
      <c r="F974" s="8"/>
    </row>
    <row r="975" spans="1:6" x14ac:dyDescent="0.2">
      <c r="A975" s="8"/>
      <c r="B975" s="8"/>
      <c r="C975" s="8"/>
      <c r="D975" s="8"/>
      <c r="E975" s="8"/>
      <c r="F975" s="8"/>
    </row>
    <row r="976" spans="1:6" x14ac:dyDescent="0.2">
      <c r="A976" s="8"/>
      <c r="B976" s="8"/>
      <c r="C976" s="8"/>
      <c r="D976" s="8"/>
      <c r="E976" s="8"/>
      <c r="F976" s="8"/>
    </row>
    <row r="977" spans="1:6" x14ac:dyDescent="0.2">
      <c r="A977" s="8"/>
      <c r="B977" s="8"/>
      <c r="C977" s="8"/>
      <c r="D977" s="8"/>
      <c r="E977" s="8"/>
      <c r="F977" s="8"/>
    </row>
    <row r="978" spans="1:6" x14ac:dyDescent="0.2">
      <c r="A978" s="8"/>
      <c r="B978" s="8"/>
      <c r="C978" s="8"/>
      <c r="D978" s="8"/>
      <c r="E978" s="8"/>
      <c r="F978" s="8"/>
    </row>
    <row r="979" spans="1:6" x14ac:dyDescent="0.2">
      <c r="A979" s="8"/>
      <c r="B979" s="8"/>
      <c r="C979" s="8"/>
      <c r="D979" s="8"/>
      <c r="E979" s="8"/>
      <c r="F979" s="8"/>
    </row>
    <row r="980" spans="1:6" x14ac:dyDescent="0.2">
      <c r="A980" s="8"/>
      <c r="B980" s="8"/>
      <c r="C980" s="8"/>
      <c r="D980" s="8"/>
      <c r="E980" s="8"/>
      <c r="F980" s="8"/>
    </row>
    <row r="981" spans="1:6" x14ac:dyDescent="0.2">
      <c r="A981" s="8"/>
      <c r="B981" s="8"/>
      <c r="C981" s="8"/>
      <c r="D981" s="8"/>
      <c r="E981" s="8"/>
      <c r="F981" s="8"/>
    </row>
    <row r="982" spans="1:6" x14ac:dyDescent="0.2">
      <c r="A982" s="8"/>
      <c r="B982" s="8"/>
      <c r="C982" s="8"/>
      <c r="D982" s="8"/>
      <c r="E982" s="8"/>
      <c r="F982" s="8"/>
    </row>
    <row r="983" spans="1:6" x14ac:dyDescent="0.2">
      <c r="A983" s="8"/>
      <c r="B983" s="8"/>
      <c r="C983" s="8"/>
      <c r="D983" s="8"/>
      <c r="E983" s="8"/>
      <c r="F983" s="8"/>
    </row>
    <row r="984" spans="1:6" x14ac:dyDescent="0.2">
      <c r="A984" s="8"/>
      <c r="B984" s="8"/>
      <c r="C984" s="8"/>
      <c r="D984" s="8"/>
      <c r="E984" s="8"/>
      <c r="F984" s="8"/>
    </row>
    <row r="985" spans="1:6" x14ac:dyDescent="0.2">
      <c r="A985" s="8"/>
      <c r="B985" s="8"/>
      <c r="C985" s="8"/>
      <c r="D985" s="8"/>
      <c r="E985" s="8"/>
      <c r="F985" s="8"/>
    </row>
    <row r="986" spans="1:6" x14ac:dyDescent="0.2">
      <c r="A986" s="8"/>
      <c r="B986" s="8"/>
      <c r="C986" s="8"/>
      <c r="D986" s="8"/>
      <c r="E986" s="8"/>
      <c r="F986" s="8"/>
    </row>
    <row r="987" spans="1:6" x14ac:dyDescent="0.2">
      <c r="A987" s="8"/>
      <c r="B987" s="8"/>
      <c r="C987" s="8"/>
      <c r="D987" s="8"/>
      <c r="E987" s="8"/>
      <c r="F987" s="8"/>
    </row>
    <row r="988" spans="1:6" x14ac:dyDescent="0.2">
      <c r="A988" s="8"/>
      <c r="B988" s="8"/>
      <c r="C988" s="8"/>
      <c r="D988" s="8"/>
      <c r="E988" s="8"/>
      <c r="F988" s="8"/>
    </row>
    <row r="989" spans="1:6" x14ac:dyDescent="0.2">
      <c r="A989" s="8"/>
      <c r="B989" s="8"/>
      <c r="C989" s="8"/>
      <c r="D989" s="8"/>
      <c r="E989" s="8"/>
      <c r="F989" s="8"/>
    </row>
    <row r="990" spans="1:6" x14ac:dyDescent="0.2">
      <c r="A990" s="8"/>
      <c r="B990" s="8"/>
      <c r="C990" s="8"/>
      <c r="D990" s="8"/>
      <c r="E990" s="8"/>
      <c r="F990" s="8"/>
    </row>
    <row r="991" spans="1:6" x14ac:dyDescent="0.2">
      <c r="A991" s="8"/>
      <c r="B991" s="8"/>
      <c r="C991" s="8"/>
      <c r="D991" s="8"/>
      <c r="E991" s="8"/>
      <c r="F991" s="8"/>
    </row>
    <row r="992" spans="1:6" x14ac:dyDescent="0.2">
      <c r="A992" s="8"/>
      <c r="B992" s="8"/>
      <c r="C992" s="8"/>
      <c r="D992" s="8"/>
      <c r="E992" s="8"/>
      <c r="F992" s="8"/>
    </row>
    <row r="993" spans="1:6" x14ac:dyDescent="0.2">
      <c r="A993" s="8"/>
      <c r="B993" s="8"/>
      <c r="C993" s="8"/>
      <c r="D993" s="8"/>
      <c r="E993" s="8"/>
      <c r="F993" s="8"/>
    </row>
    <row r="994" spans="1:6" x14ac:dyDescent="0.2">
      <c r="A994" s="8"/>
      <c r="B994" s="8"/>
      <c r="C994" s="8"/>
      <c r="D994" s="8"/>
      <c r="E994" s="8"/>
      <c r="F994" s="8"/>
    </row>
    <row r="995" spans="1:6" x14ac:dyDescent="0.2">
      <c r="A995" s="8"/>
      <c r="B995" s="8"/>
      <c r="C995" s="8"/>
      <c r="D995" s="8"/>
      <c r="E995" s="8"/>
      <c r="F995" s="8"/>
    </row>
    <row r="996" spans="1:6" x14ac:dyDescent="0.2">
      <c r="A996" s="8"/>
      <c r="B996" s="8"/>
      <c r="C996" s="8"/>
      <c r="D996" s="8"/>
      <c r="E996" s="8"/>
      <c r="F996" s="8"/>
    </row>
    <row r="997" spans="1:6" x14ac:dyDescent="0.2">
      <c r="A997" s="8"/>
      <c r="B997" s="8"/>
      <c r="C997" s="8"/>
      <c r="D997" s="8"/>
      <c r="E997" s="8"/>
      <c r="F997" s="8"/>
    </row>
    <row r="998" spans="1:6" x14ac:dyDescent="0.2">
      <c r="A998" s="8"/>
      <c r="B998" s="8"/>
      <c r="C998" s="8"/>
      <c r="D998" s="8"/>
      <c r="E998" s="8"/>
      <c r="F998" s="8"/>
    </row>
    <row r="999" spans="1:6" x14ac:dyDescent="0.2">
      <c r="A999" s="8"/>
      <c r="B999" s="8"/>
      <c r="C999" s="8"/>
      <c r="D999" s="8"/>
      <c r="E999" s="8"/>
      <c r="F999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999"/>
  <sheetViews>
    <sheetView workbookViewId="0"/>
  </sheetViews>
  <sheetFormatPr defaultColWidth="12.5703125" defaultRowHeight="15.75" customHeight="1" x14ac:dyDescent="0.2"/>
  <cols>
    <col min="1" max="1" width="9.42578125" customWidth="1"/>
    <col min="2" max="2" width="4.140625" customWidth="1"/>
    <col min="3" max="3" width="9" customWidth="1"/>
    <col min="4" max="4" width="8" customWidth="1"/>
    <col min="5" max="6" width="8.7109375" customWidth="1"/>
  </cols>
  <sheetData>
    <row r="1" spans="1:6" x14ac:dyDescent="0.2">
      <c r="A1" s="16" t="str">
        <f ca="1">IFERROR(__xludf.DUMMYFUNCTION("IMPORTRANGE(""https://docs.google.com/spreadsheets/d/1iYr1ABX5E5xD5hdpo7T57xV80Bd6YZfcnip7j3Ia3No/edit?gid=153321439#gid=153321439"",""'Prov.B3'!AP2:AU1000"")"),"Pagamento")</f>
        <v>Pagamento</v>
      </c>
      <c r="B1" s="8" t="str">
        <f ca="1">IFERROR(__xludf.DUMMYFUNCTION("""COMPUTED_VALUE"""),"Mês")</f>
        <v>Mês</v>
      </c>
      <c r="C1" s="8" t="str">
        <f ca="1">IFERROR(__xludf.DUMMYFUNCTION("""COMPUTED_VALUE"""),"Referencia")</f>
        <v>Referencia</v>
      </c>
      <c r="D1" s="8" t="str">
        <f ca="1">IFERROR(__xludf.DUMMYFUNCTION("""COMPUTED_VALUE"""),"Valor")</f>
        <v>Valor</v>
      </c>
      <c r="E1" s="8" t="str">
        <f ca="1">IFERROR(__xludf.DUMMYFUNCTION("""COMPUTED_VALUE"""),"Valor Total")</f>
        <v>Valor Total</v>
      </c>
      <c r="F1" s="8"/>
    </row>
    <row r="2" spans="1:6" x14ac:dyDescent="0.2">
      <c r="A2" s="16">
        <f ca="1">IFERROR(__xludf.DUMMYFUNCTION("""COMPUTED_VALUE"""),45978)</f>
        <v>45978</v>
      </c>
      <c r="B2" s="8">
        <f ca="1">IFERROR(__xludf.DUMMYFUNCTION("""COMPUTED_VALUE"""),11)</f>
        <v>11</v>
      </c>
      <c r="C2" s="8">
        <f ca="1">IFERROR(__xludf.DUMMYFUNCTION("""COMPUTED_VALUE"""),2025)</f>
        <v>2025</v>
      </c>
      <c r="D2" s="8">
        <f ca="1">IFERROR(__xludf.DUMMYFUNCTION("""COMPUTED_VALUE"""),0.32)</f>
        <v>0.32</v>
      </c>
      <c r="E2" s="8">
        <f ca="1">IFERROR(__xludf.DUMMYFUNCTION("""COMPUTED_VALUE"""),558.72)</f>
        <v>558.72</v>
      </c>
      <c r="F2" s="8"/>
    </row>
    <row r="3" spans="1:6" x14ac:dyDescent="0.2">
      <c r="A3" s="16">
        <f ca="1">IFERROR(__xludf.DUMMYFUNCTION("""COMPUTED_VALUE"""),46006)</f>
        <v>46006</v>
      </c>
      <c r="B3" s="8">
        <f ca="1">IFERROR(__xludf.DUMMYFUNCTION("""COMPUTED_VALUE"""),12)</f>
        <v>12</v>
      </c>
      <c r="C3" s="8">
        <f ca="1">IFERROR(__xludf.DUMMYFUNCTION("""COMPUTED_VALUE"""),2025)</f>
        <v>2025</v>
      </c>
      <c r="D3" s="8">
        <f ca="1">IFERROR(__xludf.DUMMYFUNCTION("""COMPUTED_VALUE"""),2.2)</f>
        <v>2.2000000000000002</v>
      </c>
      <c r="E3" s="8">
        <f ca="1">IFERROR(__xludf.DUMMYFUNCTION("""COMPUTED_VALUE"""),1038.4)</f>
        <v>1038.4000000000001</v>
      </c>
      <c r="F3" s="8"/>
    </row>
    <row r="4" spans="1:6" x14ac:dyDescent="0.2">
      <c r="A4" s="16">
        <f ca="1">IFERROR(__xludf.DUMMYFUNCTION("""COMPUTED_VALUE"""),46008)</f>
        <v>46008</v>
      </c>
      <c r="B4" s="8">
        <f ca="1">IFERROR(__xludf.DUMMYFUNCTION("""COMPUTED_VALUE"""),12)</f>
        <v>12</v>
      </c>
      <c r="C4" s="8">
        <f ca="1">IFERROR(__xludf.DUMMYFUNCTION("""COMPUTED_VALUE"""),2025)</f>
        <v>2025</v>
      </c>
      <c r="D4" s="8">
        <f ca="1">IFERROR(__xludf.DUMMYFUNCTION("""COMPUTED_VALUE"""),0.608935)</f>
        <v>0.608935</v>
      </c>
      <c r="E4" s="8">
        <f ca="1">IFERROR(__xludf.DUMMYFUNCTION("""COMPUTED_VALUE"""),335.92)</f>
        <v>335.92</v>
      </c>
      <c r="F4" s="8"/>
    </row>
    <row r="5" spans="1:6" x14ac:dyDescent="0.2">
      <c r="A5" s="16">
        <f ca="1">IFERROR(__xludf.DUMMYFUNCTION("""COMPUTED_VALUE"""),46010)</f>
        <v>46010</v>
      </c>
      <c r="B5" s="8">
        <f ca="1">IFERROR(__xludf.DUMMYFUNCTION("""COMPUTED_VALUE"""),12)</f>
        <v>12</v>
      </c>
      <c r="C5" s="8">
        <f ca="1">IFERROR(__xludf.DUMMYFUNCTION("""COMPUTED_VALUE"""),2025)</f>
        <v>2025</v>
      </c>
      <c r="D5" s="8">
        <f ca="1">IFERROR(__xludf.DUMMYFUNCTION("""COMPUTED_VALUE"""),1.832319)</f>
        <v>1.832319</v>
      </c>
      <c r="E5" s="8">
        <f ca="1">IFERROR(__xludf.DUMMYFUNCTION("""COMPUTED_VALUE"""),1181.84)</f>
        <v>1181.8399999999999</v>
      </c>
      <c r="F5" s="8"/>
    </row>
    <row r="6" spans="1:6" x14ac:dyDescent="0.2">
      <c r="A6" s="16">
        <f ca="1">IFERROR(__xludf.DUMMYFUNCTION("""COMPUTED_VALUE"""),46013)</f>
        <v>46013</v>
      </c>
      <c r="B6" s="8">
        <f ca="1">IFERROR(__xludf.DUMMYFUNCTION("""COMPUTED_VALUE"""),12)</f>
        <v>12</v>
      </c>
      <c r="C6" s="8">
        <f ca="1">IFERROR(__xludf.DUMMYFUNCTION("""COMPUTED_VALUE"""),2025)</f>
        <v>2025</v>
      </c>
      <c r="D6" s="8">
        <f ca="1">IFERROR(__xludf.DUMMYFUNCTION("""COMPUTED_VALUE"""),0.13504)</f>
        <v>0.13503999999999999</v>
      </c>
      <c r="E6" s="8">
        <f ca="1">IFERROR(__xludf.DUMMYFUNCTION("""COMPUTED_VALUE"""),33.17)</f>
        <v>33.17</v>
      </c>
      <c r="F6" s="8"/>
    </row>
    <row r="7" spans="1:6" x14ac:dyDescent="0.2">
      <c r="A7" s="16">
        <f ca="1">IFERROR(__xludf.DUMMYFUNCTION("""COMPUTED_VALUE"""),46013)</f>
        <v>46013</v>
      </c>
      <c r="B7" s="8">
        <f ca="1">IFERROR(__xludf.DUMMYFUNCTION("""COMPUTED_VALUE"""),12)</f>
        <v>12</v>
      </c>
      <c r="C7" s="8">
        <f ca="1">IFERROR(__xludf.DUMMYFUNCTION("""COMPUTED_VALUE"""),2025)</f>
        <v>2025</v>
      </c>
      <c r="D7" s="8">
        <f ca="1">IFERROR(__xludf.DUMMYFUNCTION("""COMPUTED_VALUE"""),0.200921)</f>
        <v>0.20092099999999999</v>
      </c>
      <c r="E7" s="8">
        <f ca="1">IFERROR(__xludf.DUMMYFUNCTION("""COMPUTED_VALUE"""),58.06)</f>
        <v>58.06</v>
      </c>
      <c r="F7" s="8"/>
    </row>
    <row r="8" spans="1:6" x14ac:dyDescent="0.2">
      <c r="A8" s="16">
        <f ca="1">IFERROR(__xludf.DUMMYFUNCTION("""COMPUTED_VALUE"""),46020)</f>
        <v>46020</v>
      </c>
      <c r="B8" s="8">
        <f ca="1">IFERROR(__xludf.DUMMYFUNCTION("""COMPUTED_VALUE"""),12)</f>
        <v>12</v>
      </c>
      <c r="C8" s="8">
        <f ca="1">IFERROR(__xludf.DUMMYFUNCTION("""COMPUTED_VALUE"""),2025)</f>
        <v>2025</v>
      </c>
      <c r="D8" s="8">
        <f ca="1">IFERROR(__xludf.DUMMYFUNCTION("""COMPUTED_VALUE"""),0.125)</f>
        <v>0.125</v>
      </c>
      <c r="E8" s="8">
        <f ca="1">IFERROR(__xludf.DUMMYFUNCTION("""COMPUTED_VALUE"""),105.25)</f>
        <v>105.25</v>
      </c>
      <c r="F8" s="8"/>
    </row>
    <row r="9" spans="1:6" x14ac:dyDescent="0.2">
      <c r="A9" s="16" t="str">
        <f ca="1">IFERROR(__xludf.DUMMYFUNCTION("""COMPUTED_VALUE"""),"-")</f>
        <v>-</v>
      </c>
      <c r="B9" s="8" t="str">
        <f ca="1">IFERROR(__xludf.DUMMYFUNCTION("""COMPUTED_VALUE"""),"-")</f>
        <v>-</v>
      </c>
      <c r="C9" s="8" t="str">
        <f ca="1">IFERROR(__xludf.DUMMYFUNCTION("""COMPUTED_VALUE"""),"-")</f>
        <v>-</v>
      </c>
      <c r="D9" s="8">
        <f ca="1">IFERROR(__xludf.DUMMYFUNCTION("""COMPUTED_VALUE"""),0.286861)</f>
        <v>0.28686099999999998</v>
      </c>
      <c r="E9" s="8">
        <f ca="1">IFERROR(__xludf.DUMMYFUNCTION("""COMPUTED_VALUE"""),614.95)</f>
        <v>614.95000000000005</v>
      </c>
      <c r="F9" s="8"/>
    </row>
    <row r="10" spans="1:6" x14ac:dyDescent="0.2">
      <c r="A10" s="8"/>
      <c r="B10" s="8"/>
      <c r="C10" s="8"/>
      <c r="D10" s="8"/>
      <c r="E10" s="8"/>
      <c r="F10" s="8"/>
    </row>
    <row r="11" spans="1:6" x14ac:dyDescent="0.2">
      <c r="A11" s="8"/>
      <c r="B11" s="8"/>
      <c r="C11" s="8"/>
      <c r="D11" s="8"/>
      <c r="E11" s="8"/>
      <c r="F11" s="8"/>
    </row>
    <row r="12" spans="1:6" x14ac:dyDescent="0.2">
      <c r="A12" s="8"/>
      <c r="B12" s="8"/>
      <c r="C12" s="8"/>
      <c r="D12" s="8"/>
      <c r="E12" s="8"/>
      <c r="F12" s="8"/>
    </row>
    <row r="13" spans="1:6" x14ac:dyDescent="0.2">
      <c r="A13" s="8"/>
      <c r="B13" s="8"/>
      <c r="C13" s="8"/>
      <c r="D13" s="8"/>
      <c r="E13" s="8"/>
      <c r="F13" s="8"/>
    </row>
    <row r="14" spans="1:6" x14ac:dyDescent="0.2">
      <c r="A14" s="8"/>
      <c r="B14" s="8"/>
      <c r="C14" s="8"/>
      <c r="D14" s="8"/>
      <c r="E14" s="8"/>
      <c r="F14" s="8"/>
    </row>
    <row r="15" spans="1:6" x14ac:dyDescent="0.2">
      <c r="A15" s="8"/>
      <c r="B15" s="8"/>
      <c r="C15" s="8"/>
      <c r="D15" s="8"/>
      <c r="E15" s="8"/>
      <c r="F15" s="8"/>
    </row>
    <row r="16" spans="1:6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  <row r="41" spans="1:6" x14ac:dyDescent="0.2">
      <c r="A41" s="8"/>
      <c r="B41" s="8"/>
      <c r="C41" s="8"/>
      <c r="D41" s="8"/>
      <c r="E41" s="8"/>
      <c r="F41" s="8"/>
    </row>
    <row r="42" spans="1:6" x14ac:dyDescent="0.2">
      <c r="A42" s="8"/>
      <c r="B42" s="8"/>
      <c r="C42" s="8"/>
      <c r="D42" s="8"/>
      <c r="E42" s="8"/>
      <c r="F42" s="8"/>
    </row>
    <row r="43" spans="1:6" x14ac:dyDescent="0.2">
      <c r="A43" s="8"/>
      <c r="B43" s="8"/>
      <c r="C43" s="8"/>
      <c r="D43" s="8"/>
      <c r="E43" s="8"/>
      <c r="F43" s="8"/>
    </row>
    <row r="44" spans="1:6" x14ac:dyDescent="0.2">
      <c r="A44" s="8"/>
      <c r="B44" s="8"/>
      <c r="C44" s="8"/>
      <c r="D44" s="8"/>
      <c r="E44" s="8"/>
      <c r="F44" s="8"/>
    </row>
    <row r="45" spans="1:6" x14ac:dyDescent="0.2">
      <c r="A45" s="8"/>
      <c r="B45" s="8"/>
      <c r="C45" s="8"/>
      <c r="D45" s="8"/>
      <c r="E45" s="8"/>
      <c r="F45" s="8"/>
    </row>
    <row r="46" spans="1:6" x14ac:dyDescent="0.2">
      <c r="A46" s="8"/>
      <c r="B46" s="8"/>
      <c r="C46" s="8"/>
      <c r="D46" s="8"/>
      <c r="E46" s="8"/>
      <c r="F46" s="8"/>
    </row>
    <row r="47" spans="1:6" x14ac:dyDescent="0.2">
      <c r="A47" s="8"/>
      <c r="B47" s="8"/>
      <c r="C47" s="8"/>
      <c r="D47" s="8"/>
      <c r="E47" s="8"/>
      <c r="F47" s="8"/>
    </row>
    <row r="48" spans="1:6" x14ac:dyDescent="0.2">
      <c r="A48" s="8"/>
      <c r="B48" s="8"/>
      <c r="C48" s="8"/>
      <c r="D48" s="8"/>
      <c r="E48" s="8"/>
      <c r="F48" s="8"/>
    </row>
    <row r="49" spans="1:6" x14ac:dyDescent="0.2">
      <c r="A49" s="8"/>
      <c r="B49" s="8"/>
      <c r="C49" s="8"/>
      <c r="D49" s="8"/>
      <c r="E49" s="8"/>
      <c r="F49" s="8"/>
    </row>
    <row r="50" spans="1:6" x14ac:dyDescent="0.2">
      <c r="A50" s="8"/>
      <c r="B50" s="8"/>
      <c r="C50" s="8"/>
      <c r="D50" s="8"/>
      <c r="E50" s="8"/>
      <c r="F50" s="8"/>
    </row>
    <row r="51" spans="1:6" x14ac:dyDescent="0.2">
      <c r="A51" s="8"/>
      <c r="B51" s="8"/>
      <c r="C51" s="8"/>
      <c r="D51" s="8"/>
      <c r="E51" s="8"/>
      <c r="F51" s="8"/>
    </row>
    <row r="52" spans="1:6" x14ac:dyDescent="0.2">
      <c r="A52" s="8"/>
      <c r="B52" s="8"/>
      <c r="C52" s="8"/>
      <c r="D52" s="8"/>
      <c r="E52" s="8"/>
      <c r="F52" s="8"/>
    </row>
    <row r="53" spans="1:6" x14ac:dyDescent="0.2">
      <c r="A53" s="8"/>
      <c r="B53" s="8"/>
      <c r="C53" s="8"/>
      <c r="D53" s="8"/>
      <c r="E53" s="8"/>
      <c r="F53" s="8"/>
    </row>
    <row r="54" spans="1:6" x14ac:dyDescent="0.2">
      <c r="A54" s="8"/>
      <c r="B54" s="8"/>
      <c r="C54" s="8"/>
      <c r="D54" s="8"/>
      <c r="E54" s="8"/>
      <c r="F54" s="8"/>
    </row>
    <row r="55" spans="1:6" x14ac:dyDescent="0.2">
      <c r="A55" s="8"/>
      <c r="B55" s="8"/>
      <c r="C55" s="8"/>
      <c r="D55" s="8"/>
      <c r="E55" s="8"/>
      <c r="F55" s="8"/>
    </row>
    <row r="56" spans="1:6" x14ac:dyDescent="0.2">
      <c r="A56" s="8"/>
      <c r="B56" s="8"/>
      <c r="C56" s="8"/>
      <c r="D56" s="8"/>
      <c r="E56" s="8"/>
      <c r="F56" s="8"/>
    </row>
    <row r="57" spans="1:6" x14ac:dyDescent="0.2">
      <c r="A57" s="8"/>
      <c r="B57" s="8"/>
      <c r="C57" s="8"/>
      <c r="D57" s="8"/>
      <c r="E57" s="8"/>
      <c r="F57" s="8"/>
    </row>
    <row r="58" spans="1:6" x14ac:dyDescent="0.2">
      <c r="A58" s="8"/>
      <c r="B58" s="8"/>
      <c r="C58" s="8"/>
      <c r="D58" s="8"/>
      <c r="E58" s="8"/>
      <c r="F58" s="8"/>
    </row>
    <row r="59" spans="1:6" x14ac:dyDescent="0.2">
      <c r="A59" s="8"/>
      <c r="B59" s="8"/>
      <c r="C59" s="8"/>
      <c r="D59" s="8"/>
      <c r="E59" s="8"/>
      <c r="F59" s="8"/>
    </row>
    <row r="60" spans="1:6" x14ac:dyDescent="0.2">
      <c r="A60" s="8"/>
      <c r="B60" s="8"/>
      <c r="C60" s="8"/>
      <c r="D60" s="8"/>
      <c r="E60" s="8"/>
      <c r="F60" s="8"/>
    </row>
    <row r="61" spans="1:6" x14ac:dyDescent="0.2">
      <c r="A61" s="8"/>
      <c r="B61" s="8"/>
      <c r="C61" s="8"/>
      <c r="D61" s="8"/>
      <c r="E61" s="8"/>
      <c r="F61" s="8"/>
    </row>
    <row r="62" spans="1:6" x14ac:dyDescent="0.2">
      <c r="A62" s="8"/>
      <c r="B62" s="8"/>
      <c r="C62" s="8"/>
      <c r="D62" s="8"/>
      <c r="E62" s="8"/>
      <c r="F62" s="8"/>
    </row>
    <row r="63" spans="1:6" x14ac:dyDescent="0.2">
      <c r="A63" s="8"/>
      <c r="B63" s="8"/>
      <c r="C63" s="8"/>
      <c r="D63" s="8"/>
      <c r="E63" s="8"/>
      <c r="F63" s="8"/>
    </row>
    <row r="64" spans="1:6" x14ac:dyDescent="0.2">
      <c r="A64" s="8"/>
      <c r="B64" s="8"/>
      <c r="C64" s="8"/>
      <c r="D64" s="8"/>
      <c r="E64" s="8"/>
      <c r="F64" s="8"/>
    </row>
    <row r="65" spans="1:6" x14ac:dyDescent="0.2">
      <c r="A65" s="8"/>
      <c r="B65" s="8"/>
      <c r="C65" s="8"/>
      <c r="D65" s="8"/>
      <c r="E65" s="8"/>
      <c r="F65" s="8"/>
    </row>
    <row r="66" spans="1:6" x14ac:dyDescent="0.2">
      <c r="A66" s="8"/>
      <c r="B66" s="8"/>
      <c r="C66" s="8"/>
      <c r="D66" s="8"/>
      <c r="E66" s="8"/>
      <c r="F66" s="8"/>
    </row>
    <row r="67" spans="1:6" x14ac:dyDescent="0.2">
      <c r="A67" s="8"/>
      <c r="B67" s="8"/>
      <c r="C67" s="8"/>
      <c r="D67" s="8"/>
      <c r="E67" s="8"/>
      <c r="F67" s="8"/>
    </row>
    <row r="68" spans="1:6" x14ac:dyDescent="0.2">
      <c r="A68" s="8"/>
      <c r="B68" s="8"/>
      <c r="C68" s="8"/>
      <c r="D68" s="8"/>
      <c r="E68" s="8"/>
      <c r="F68" s="8"/>
    </row>
    <row r="69" spans="1:6" x14ac:dyDescent="0.2">
      <c r="A69" s="8"/>
      <c r="B69" s="8"/>
      <c r="C69" s="8"/>
      <c r="D69" s="8"/>
      <c r="E69" s="8"/>
      <c r="F69" s="8"/>
    </row>
    <row r="70" spans="1:6" x14ac:dyDescent="0.2">
      <c r="A70" s="8"/>
      <c r="B70" s="8"/>
      <c r="C70" s="8"/>
      <c r="D70" s="8"/>
      <c r="E70" s="8"/>
      <c r="F70" s="8"/>
    </row>
    <row r="71" spans="1:6" x14ac:dyDescent="0.2">
      <c r="A71" s="8"/>
      <c r="B71" s="8"/>
      <c r="C71" s="8"/>
      <c r="D71" s="8"/>
      <c r="E71" s="8"/>
      <c r="F71" s="8"/>
    </row>
    <row r="72" spans="1:6" x14ac:dyDescent="0.2">
      <c r="A72" s="8"/>
      <c r="B72" s="8"/>
      <c r="C72" s="8"/>
      <c r="D72" s="8"/>
      <c r="E72" s="8"/>
      <c r="F72" s="8"/>
    </row>
    <row r="73" spans="1:6" x14ac:dyDescent="0.2">
      <c r="A73" s="8"/>
      <c r="B73" s="8"/>
      <c r="C73" s="8"/>
      <c r="D73" s="8"/>
      <c r="E73" s="8"/>
      <c r="F73" s="8"/>
    </row>
    <row r="74" spans="1:6" x14ac:dyDescent="0.2">
      <c r="A74" s="8"/>
      <c r="B74" s="8"/>
      <c r="C74" s="8"/>
      <c r="D74" s="8"/>
      <c r="E74" s="8"/>
      <c r="F74" s="8"/>
    </row>
    <row r="75" spans="1:6" x14ac:dyDescent="0.2">
      <c r="A75" s="8"/>
      <c r="B75" s="8"/>
      <c r="C75" s="8"/>
      <c r="D75" s="8"/>
      <c r="E75" s="8"/>
      <c r="F75" s="8"/>
    </row>
    <row r="76" spans="1:6" x14ac:dyDescent="0.2">
      <c r="A76" s="8"/>
      <c r="B76" s="8"/>
      <c r="C76" s="8"/>
      <c r="D76" s="8"/>
      <c r="E76" s="8"/>
      <c r="F76" s="8"/>
    </row>
    <row r="77" spans="1:6" x14ac:dyDescent="0.2">
      <c r="A77" s="8"/>
      <c r="B77" s="8"/>
      <c r="C77" s="8"/>
      <c r="D77" s="8"/>
      <c r="E77" s="8"/>
      <c r="F77" s="8"/>
    </row>
    <row r="78" spans="1:6" x14ac:dyDescent="0.2">
      <c r="A78" s="8"/>
      <c r="B78" s="8"/>
      <c r="C78" s="8"/>
      <c r="D78" s="8"/>
      <c r="E78" s="8"/>
      <c r="F78" s="8"/>
    </row>
    <row r="79" spans="1:6" x14ac:dyDescent="0.2">
      <c r="A79" s="8"/>
      <c r="B79" s="8"/>
      <c r="C79" s="8"/>
      <c r="D79" s="8"/>
      <c r="E79" s="8"/>
      <c r="F79" s="8"/>
    </row>
    <row r="80" spans="1:6" x14ac:dyDescent="0.2">
      <c r="A80" s="8"/>
      <c r="B80" s="8"/>
      <c r="C80" s="8"/>
      <c r="D80" s="8"/>
      <c r="E80" s="8"/>
      <c r="F80" s="8"/>
    </row>
    <row r="81" spans="1:6" x14ac:dyDescent="0.2">
      <c r="A81" s="8"/>
      <c r="B81" s="8"/>
      <c r="C81" s="8"/>
      <c r="D81" s="8"/>
      <c r="E81" s="8"/>
      <c r="F81" s="8"/>
    </row>
    <row r="82" spans="1:6" x14ac:dyDescent="0.2">
      <c r="A82" s="8"/>
      <c r="B82" s="8"/>
      <c r="C82" s="8"/>
      <c r="D82" s="8"/>
      <c r="E82" s="8"/>
      <c r="F82" s="8"/>
    </row>
    <row r="83" spans="1:6" x14ac:dyDescent="0.2">
      <c r="A83" s="8"/>
      <c r="B83" s="8"/>
      <c r="C83" s="8"/>
      <c r="D83" s="8"/>
      <c r="E83" s="8"/>
      <c r="F83" s="8"/>
    </row>
    <row r="84" spans="1:6" x14ac:dyDescent="0.2">
      <c r="A84" s="8"/>
      <c r="B84" s="8"/>
      <c r="C84" s="8"/>
      <c r="D84" s="8"/>
      <c r="E84" s="8"/>
      <c r="F84" s="8"/>
    </row>
    <row r="85" spans="1:6" x14ac:dyDescent="0.2">
      <c r="A85" s="8"/>
      <c r="B85" s="8"/>
      <c r="C85" s="8"/>
      <c r="D85" s="8"/>
      <c r="E85" s="8"/>
      <c r="F85" s="8"/>
    </row>
    <row r="86" spans="1:6" x14ac:dyDescent="0.2">
      <c r="A86" s="8"/>
      <c r="B86" s="8"/>
      <c r="C86" s="8"/>
      <c r="D86" s="8"/>
      <c r="E86" s="8"/>
      <c r="F86" s="8"/>
    </row>
    <row r="87" spans="1:6" x14ac:dyDescent="0.2">
      <c r="A87" s="8"/>
      <c r="B87" s="8"/>
      <c r="C87" s="8"/>
      <c r="D87" s="8"/>
      <c r="E87" s="8"/>
      <c r="F87" s="8"/>
    </row>
    <row r="88" spans="1:6" x14ac:dyDescent="0.2">
      <c r="A88" s="8"/>
      <c r="B88" s="8"/>
      <c r="C88" s="8"/>
      <c r="D88" s="8"/>
      <c r="E88" s="8"/>
      <c r="F88" s="8"/>
    </row>
    <row r="89" spans="1:6" x14ac:dyDescent="0.2">
      <c r="A89" s="8"/>
      <c r="B89" s="8"/>
      <c r="C89" s="8"/>
      <c r="D89" s="8"/>
      <c r="E89" s="8"/>
      <c r="F89" s="8"/>
    </row>
    <row r="90" spans="1:6" x14ac:dyDescent="0.2">
      <c r="A90" s="8"/>
      <c r="B90" s="8"/>
      <c r="C90" s="8"/>
      <c r="D90" s="8"/>
      <c r="E90" s="8"/>
      <c r="F90" s="8"/>
    </row>
    <row r="91" spans="1:6" x14ac:dyDescent="0.2">
      <c r="A91" s="8"/>
      <c r="B91" s="8"/>
      <c r="C91" s="8"/>
      <c r="D91" s="8"/>
      <c r="E91" s="8"/>
      <c r="F91" s="8"/>
    </row>
    <row r="92" spans="1:6" x14ac:dyDescent="0.2">
      <c r="A92" s="8"/>
      <c r="B92" s="8"/>
      <c r="C92" s="8"/>
      <c r="D92" s="8"/>
      <c r="E92" s="8"/>
      <c r="F92" s="8"/>
    </row>
    <row r="93" spans="1:6" x14ac:dyDescent="0.2">
      <c r="A93" s="8"/>
      <c r="B93" s="8"/>
      <c r="C93" s="8"/>
      <c r="D93" s="8"/>
      <c r="E93" s="8"/>
      <c r="F93" s="8"/>
    </row>
    <row r="94" spans="1:6" x14ac:dyDescent="0.2">
      <c r="A94" s="8"/>
      <c r="B94" s="8"/>
      <c r="C94" s="8"/>
      <c r="D94" s="8"/>
      <c r="E94" s="8"/>
      <c r="F94" s="8"/>
    </row>
    <row r="95" spans="1:6" x14ac:dyDescent="0.2">
      <c r="A95" s="8"/>
      <c r="B95" s="8"/>
      <c r="C95" s="8"/>
      <c r="D95" s="8"/>
      <c r="E95" s="8"/>
      <c r="F95" s="8"/>
    </row>
    <row r="96" spans="1:6" x14ac:dyDescent="0.2">
      <c r="A96" s="8"/>
      <c r="B96" s="8"/>
      <c r="C96" s="8"/>
      <c r="D96" s="8"/>
      <c r="E96" s="8"/>
      <c r="F96" s="8"/>
    </row>
    <row r="97" spans="1:6" x14ac:dyDescent="0.2">
      <c r="A97" s="8"/>
      <c r="B97" s="8"/>
      <c r="C97" s="8"/>
      <c r="D97" s="8"/>
      <c r="E97" s="8"/>
      <c r="F97" s="8"/>
    </row>
    <row r="98" spans="1:6" x14ac:dyDescent="0.2">
      <c r="A98" s="8"/>
      <c r="B98" s="8"/>
      <c r="C98" s="8"/>
      <c r="D98" s="8"/>
      <c r="E98" s="8"/>
      <c r="F98" s="8"/>
    </row>
    <row r="99" spans="1:6" x14ac:dyDescent="0.2">
      <c r="A99" s="8"/>
      <c r="B99" s="8"/>
      <c r="C99" s="8"/>
      <c r="D99" s="8"/>
      <c r="E99" s="8"/>
      <c r="F99" s="8"/>
    </row>
    <row r="100" spans="1:6" x14ac:dyDescent="0.2">
      <c r="A100" s="8"/>
      <c r="B100" s="8"/>
      <c r="C100" s="8"/>
      <c r="D100" s="8"/>
      <c r="E100" s="8"/>
      <c r="F100" s="8"/>
    </row>
    <row r="101" spans="1:6" x14ac:dyDescent="0.2">
      <c r="A101" s="8"/>
      <c r="B101" s="8"/>
      <c r="C101" s="8"/>
      <c r="D101" s="8"/>
      <c r="E101" s="8"/>
      <c r="F101" s="8"/>
    </row>
    <row r="102" spans="1:6" x14ac:dyDescent="0.2">
      <c r="A102" s="8"/>
      <c r="B102" s="8"/>
      <c r="C102" s="8"/>
      <c r="D102" s="8"/>
      <c r="E102" s="8"/>
      <c r="F102" s="8"/>
    </row>
    <row r="103" spans="1:6" x14ac:dyDescent="0.2">
      <c r="A103" s="8"/>
      <c r="B103" s="8"/>
      <c r="C103" s="8"/>
      <c r="D103" s="8"/>
      <c r="E103" s="8"/>
      <c r="F103" s="8"/>
    </row>
    <row r="104" spans="1:6" x14ac:dyDescent="0.2">
      <c r="A104" s="8"/>
      <c r="B104" s="8"/>
      <c r="C104" s="8"/>
      <c r="D104" s="8"/>
      <c r="E104" s="8"/>
      <c r="F104" s="8"/>
    </row>
    <row r="105" spans="1:6" x14ac:dyDescent="0.2">
      <c r="A105" s="8"/>
      <c r="B105" s="8"/>
      <c r="C105" s="8"/>
      <c r="D105" s="8"/>
      <c r="E105" s="8"/>
      <c r="F105" s="8"/>
    </row>
    <row r="106" spans="1:6" x14ac:dyDescent="0.2">
      <c r="A106" s="8"/>
      <c r="B106" s="8"/>
      <c r="C106" s="8"/>
      <c r="D106" s="8"/>
      <c r="E106" s="8"/>
      <c r="F106" s="8"/>
    </row>
    <row r="107" spans="1:6" x14ac:dyDescent="0.2">
      <c r="A107" s="8"/>
      <c r="B107" s="8"/>
      <c r="C107" s="8"/>
      <c r="D107" s="8"/>
      <c r="E107" s="8"/>
      <c r="F107" s="8"/>
    </row>
    <row r="108" spans="1:6" x14ac:dyDescent="0.2">
      <c r="A108" s="8"/>
      <c r="B108" s="8"/>
      <c r="C108" s="8"/>
      <c r="D108" s="8"/>
      <c r="E108" s="8"/>
      <c r="F108" s="8"/>
    </row>
    <row r="109" spans="1:6" x14ac:dyDescent="0.2">
      <c r="A109" s="8"/>
      <c r="B109" s="8"/>
      <c r="C109" s="8"/>
      <c r="D109" s="8"/>
      <c r="E109" s="8"/>
      <c r="F109" s="8"/>
    </row>
    <row r="110" spans="1:6" x14ac:dyDescent="0.2">
      <c r="A110" s="8"/>
      <c r="B110" s="8"/>
      <c r="C110" s="8"/>
      <c r="D110" s="8"/>
      <c r="E110" s="8"/>
      <c r="F110" s="8"/>
    </row>
    <row r="111" spans="1:6" x14ac:dyDescent="0.2">
      <c r="A111" s="8"/>
      <c r="B111" s="8"/>
      <c r="C111" s="8"/>
      <c r="D111" s="8"/>
      <c r="E111" s="8"/>
      <c r="F111" s="8"/>
    </row>
    <row r="112" spans="1:6" x14ac:dyDescent="0.2">
      <c r="A112" s="8"/>
      <c r="B112" s="8"/>
      <c r="C112" s="8"/>
      <c r="D112" s="8"/>
      <c r="E112" s="8"/>
      <c r="F112" s="8"/>
    </row>
    <row r="113" spans="1:6" x14ac:dyDescent="0.2">
      <c r="A113" s="8"/>
      <c r="B113" s="8"/>
      <c r="C113" s="8"/>
      <c r="D113" s="8"/>
      <c r="E113" s="8"/>
      <c r="F113" s="8"/>
    </row>
    <row r="114" spans="1:6" x14ac:dyDescent="0.2">
      <c r="A114" s="8"/>
      <c r="B114" s="8"/>
      <c r="C114" s="8"/>
      <c r="D114" s="8"/>
      <c r="E114" s="8"/>
      <c r="F114" s="8"/>
    </row>
    <row r="115" spans="1:6" x14ac:dyDescent="0.2">
      <c r="A115" s="8"/>
      <c r="B115" s="8"/>
      <c r="C115" s="8"/>
      <c r="D115" s="8"/>
      <c r="E115" s="8"/>
      <c r="F115" s="8"/>
    </row>
    <row r="116" spans="1:6" x14ac:dyDescent="0.2">
      <c r="A116" s="8"/>
      <c r="B116" s="8"/>
      <c r="C116" s="8"/>
      <c r="D116" s="8"/>
      <c r="E116" s="8"/>
      <c r="F116" s="8"/>
    </row>
    <row r="117" spans="1:6" x14ac:dyDescent="0.2">
      <c r="A117" s="8"/>
      <c r="B117" s="8"/>
      <c r="C117" s="8"/>
      <c r="D117" s="8"/>
      <c r="E117" s="8"/>
      <c r="F117" s="8"/>
    </row>
    <row r="118" spans="1:6" x14ac:dyDescent="0.2">
      <c r="A118" s="8"/>
      <c r="B118" s="8"/>
      <c r="C118" s="8"/>
      <c r="D118" s="8"/>
      <c r="E118" s="8"/>
      <c r="F118" s="8"/>
    </row>
    <row r="119" spans="1:6" x14ac:dyDescent="0.2">
      <c r="A119" s="8"/>
      <c r="B119" s="8"/>
      <c r="C119" s="8"/>
      <c r="D119" s="8"/>
      <c r="E119" s="8"/>
      <c r="F119" s="8"/>
    </row>
    <row r="120" spans="1:6" x14ac:dyDescent="0.2">
      <c r="A120" s="8"/>
      <c r="B120" s="8"/>
      <c r="C120" s="8"/>
      <c r="D120" s="8"/>
      <c r="E120" s="8"/>
      <c r="F120" s="8"/>
    </row>
    <row r="121" spans="1:6" x14ac:dyDescent="0.2">
      <c r="A121" s="8"/>
      <c r="B121" s="8"/>
      <c r="C121" s="8"/>
      <c r="D121" s="8"/>
      <c r="E121" s="8"/>
      <c r="F121" s="8"/>
    </row>
    <row r="122" spans="1:6" x14ac:dyDescent="0.2">
      <c r="A122" s="8"/>
      <c r="B122" s="8"/>
      <c r="C122" s="8"/>
      <c r="D122" s="8"/>
      <c r="E122" s="8"/>
      <c r="F122" s="8"/>
    </row>
    <row r="123" spans="1:6" x14ac:dyDescent="0.2">
      <c r="A123" s="8"/>
      <c r="B123" s="8"/>
      <c r="C123" s="8"/>
      <c r="D123" s="8"/>
      <c r="E123" s="8"/>
      <c r="F123" s="8"/>
    </row>
    <row r="124" spans="1:6" x14ac:dyDescent="0.2">
      <c r="A124" s="8"/>
      <c r="B124" s="8"/>
      <c r="C124" s="8"/>
      <c r="D124" s="8"/>
      <c r="E124" s="8"/>
      <c r="F124" s="8"/>
    </row>
    <row r="125" spans="1:6" x14ac:dyDescent="0.2">
      <c r="A125" s="8"/>
      <c r="B125" s="8"/>
      <c r="C125" s="8"/>
      <c r="D125" s="8"/>
      <c r="E125" s="8"/>
      <c r="F125" s="8"/>
    </row>
    <row r="126" spans="1:6" x14ac:dyDescent="0.2">
      <c r="A126" s="8"/>
      <c r="B126" s="8"/>
      <c r="C126" s="8"/>
      <c r="D126" s="8"/>
      <c r="E126" s="8"/>
      <c r="F126" s="8"/>
    </row>
    <row r="127" spans="1:6" x14ac:dyDescent="0.2">
      <c r="A127" s="8"/>
      <c r="B127" s="8"/>
      <c r="C127" s="8"/>
      <c r="D127" s="8"/>
      <c r="E127" s="8"/>
      <c r="F127" s="8"/>
    </row>
    <row r="128" spans="1:6" x14ac:dyDescent="0.2">
      <c r="A128" s="8"/>
      <c r="B128" s="8"/>
      <c r="C128" s="8"/>
      <c r="D128" s="8"/>
      <c r="E128" s="8"/>
      <c r="F128" s="8"/>
    </row>
    <row r="129" spans="1:6" x14ac:dyDescent="0.2">
      <c r="A129" s="8"/>
      <c r="B129" s="8"/>
      <c r="C129" s="8"/>
      <c r="D129" s="8"/>
      <c r="E129" s="8"/>
      <c r="F129" s="8"/>
    </row>
    <row r="130" spans="1:6" x14ac:dyDescent="0.2">
      <c r="A130" s="8"/>
      <c r="B130" s="8"/>
      <c r="C130" s="8"/>
      <c r="D130" s="8"/>
      <c r="E130" s="8"/>
      <c r="F130" s="8"/>
    </row>
    <row r="131" spans="1:6" x14ac:dyDescent="0.2">
      <c r="A131" s="8"/>
      <c r="B131" s="8"/>
      <c r="C131" s="8"/>
      <c r="D131" s="8"/>
      <c r="E131" s="8"/>
      <c r="F131" s="8"/>
    </row>
    <row r="132" spans="1:6" x14ac:dyDescent="0.2">
      <c r="A132" s="8"/>
      <c r="B132" s="8"/>
      <c r="C132" s="8"/>
      <c r="D132" s="8"/>
      <c r="E132" s="8"/>
      <c r="F132" s="8"/>
    </row>
    <row r="133" spans="1:6" x14ac:dyDescent="0.2">
      <c r="A133" s="8"/>
      <c r="B133" s="8"/>
      <c r="C133" s="8"/>
      <c r="D133" s="8"/>
      <c r="E133" s="8"/>
      <c r="F133" s="8"/>
    </row>
    <row r="134" spans="1:6" x14ac:dyDescent="0.2">
      <c r="A134" s="8"/>
      <c r="B134" s="8"/>
      <c r="C134" s="8"/>
      <c r="D134" s="8"/>
      <c r="E134" s="8"/>
      <c r="F134" s="8"/>
    </row>
    <row r="135" spans="1:6" x14ac:dyDescent="0.2">
      <c r="A135" s="8"/>
      <c r="B135" s="8"/>
      <c r="C135" s="8"/>
      <c r="D135" s="8"/>
      <c r="E135" s="8"/>
      <c r="F135" s="8"/>
    </row>
    <row r="136" spans="1:6" x14ac:dyDescent="0.2">
      <c r="A136" s="8"/>
      <c r="B136" s="8"/>
      <c r="C136" s="8"/>
      <c r="D136" s="8"/>
      <c r="E136" s="8"/>
      <c r="F136" s="8"/>
    </row>
    <row r="137" spans="1:6" x14ac:dyDescent="0.2">
      <c r="A137" s="8"/>
      <c r="B137" s="8"/>
      <c r="C137" s="8"/>
      <c r="D137" s="8"/>
      <c r="E137" s="8"/>
      <c r="F137" s="8"/>
    </row>
    <row r="138" spans="1:6" x14ac:dyDescent="0.2">
      <c r="A138" s="8"/>
      <c r="B138" s="8"/>
      <c r="C138" s="8"/>
      <c r="D138" s="8"/>
      <c r="E138" s="8"/>
      <c r="F138" s="8"/>
    </row>
    <row r="139" spans="1:6" x14ac:dyDescent="0.2">
      <c r="A139" s="8"/>
      <c r="B139" s="8"/>
      <c r="C139" s="8"/>
      <c r="D139" s="8"/>
      <c r="E139" s="8"/>
      <c r="F139" s="8"/>
    </row>
    <row r="140" spans="1:6" x14ac:dyDescent="0.2">
      <c r="A140" s="8"/>
      <c r="B140" s="8"/>
      <c r="C140" s="8"/>
      <c r="D140" s="8"/>
      <c r="E140" s="8"/>
      <c r="F140" s="8"/>
    </row>
    <row r="141" spans="1:6" x14ac:dyDescent="0.2">
      <c r="A141" s="8"/>
      <c r="B141" s="8"/>
      <c r="C141" s="8"/>
      <c r="D141" s="8"/>
      <c r="E141" s="8"/>
      <c r="F141" s="8"/>
    </row>
    <row r="142" spans="1:6" x14ac:dyDescent="0.2">
      <c r="A142" s="8"/>
      <c r="B142" s="8"/>
      <c r="C142" s="8"/>
      <c r="D142" s="8"/>
      <c r="E142" s="8"/>
      <c r="F142" s="8"/>
    </row>
    <row r="143" spans="1:6" x14ac:dyDescent="0.2">
      <c r="A143" s="8"/>
      <c r="B143" s="8"/>
      <c r="C143" s="8"/>
      <c r="D143" s="8"/>
      <c r="E143" s="8"/>
      <c r="F143" s="8"/>
    </row>
    <row r="144" spans="1:6" x14ac:dyDescent="0.2">
      <c r="A144" s="8"/>
      <c r="B144" s="8"/>
      <c r="C144" s="8"/>
      <c r="D144" s="8"/>
      <c r="E144" s="8"/>
      <c r="F144" s="8"/>
    </row>
    <row r="145" spans="1:6" x14ac:dyDescent="0.2">
      <c r="A145" s="8"/>
      <c r="B145" s="8"/>
      <c r="C145" s="8"/>
      <c r="D145" s="8"/>
      <c r="E145" s="8"/>
      <c r="F145" s="8"/>
    </row>
    <row r="146" spans="1:6" x14ac:dyDescent="0.2">
      <c r="A146" s="8"/>
      <c r="B146" s="8"/>
      <c r="C146" s="8"/>
      <c r="D146" s="8"/>
      <c r="E146" s="8"/>
      <c r="F146" s="8"/>
    </row>
    <row r="147" spans="1:6" x14ac:dyDescent="0.2">
      <c r="A147" s="8"/>
      <c r="B147" s="8"/>
      <c r="C147" s="8"/>
      <c r="D147" s="8"/>
      <c r="E147" s="8"/>
      <c r="F147" s="8"/>
    </row>
    <row r="148" spans="1:6" x14ac:dyDescent="0.2">
      <c r="A148" s="8"/>
      <c r="B148" s="8"/>
      <c r="C148" s="8"/>
      <c r="D148" s="8"/>
      <c r="E148" s="8"/>
      <c r="F148" s="8"/>
    </row>
    <row r="149" spans="1:6" x14ac:dyDescent="0.2">
      <c r="A149" s="8"/>
      <c r="B149" s="8"/>
      <c r="C149" s="8"/>
      <c r="D149" s="8"/>
      <c r="E149" s="8"/>
      <c r="F149" s="8"/>
    </row>
    <row r="150" spans="1:6" x14ac:dyDescent="0.2">
      <c r="A150" s="8"/>
      <c r="B150" s="8"/>
      <c r="C150" s="8"/>
      <c r="D150" s="8"/>
      <c r="E150" s="8"/>
      <c r="F150" s="8"/>
    </row>
    <row r="151" spans="1:6" x14ac:dyDescent="0.2">
      <c r="A151" s="8"/>
      <c r="B151" s="8"/>
      <c r="C151" s="8"/>
      <c r="D151" s="8"/>
      <c r="E151" s="8"/>
      <c r="F151" s="8"/>
    </row>
    <row r="152" spans="1:6" x14ac:dyDescent="0.2">
      <c r="A152" s="8"/>
      <c r="B152" s="8"/>
      <c r="C152" s="8"/>
      <c r="D152" s="8"/>
      <c r="E152" s="8"/>
      <c r="F152" s="8"/>
    </row>
    <row r="153" spans="1:6" x14ac:dyDescent="0.2">
      <c r="A153" s="8"/>
      <c r="B153" s="8"/>
      <c r="C153" s="8"/>
      <c r="D153" s="8"/>
      <c r="E153" s="8"/>
      <c r="F153" s="8"/>
    </row>
    <row r="154" spans="1:6" x14ac:dyDescent="0.2">
      <c r="A154" s="8"/>
      <c r="B154" s="8"/>
      <c r="C154" s="8"/>
      <c r="D154" s="8"/>
      <c r="E154" s="8"/>
      <c r="F154" s="8"/>
    </row>
    <row r="155" spans="1:6" x14ac:dyDescent="0.2">
      <c r="A155" s="8"/>
      <c r="B155" s="8"/>
      <c r="C155" s="8"/>
      <c r="D155" s="8"/>
      <c r="E155" s="8"/>
      <c r="F155" s="8"/>
    </row>
    <row r="156" spans="1:6" x14ac:dyDescent="0.2">
      <c r="A156" s="8"/>
      <c r="B156" s="8"/>
      <c r="C156" s="8"/>
      <c r="D156" s="8"/>
      <c r="E156" s="8"/>
      <c r="F156" s="8"/>
    </row>
    <row r="157" spans="1:6" x14ac:dyDescent="0.2">
      <c r="A157" s="8"/>
      <c r="B157" s="8"/>
      <c r="C157" s="8"/>
      <c r="D157" s="8"/>
      <c r="E157" s="8"/>
      <c r="F157" s="8"/>
    </row>
    <row r="158" spans="1:6" x14ac:dyDescent="0.2">
      <c r="A158" s="8"/>
      <c r="B158" s="8"/>
      <c r="C158" s="8"/>
      <c r="D158" s="8"/>
      <c r="E158" s="8"/>
      <c r="F158" s="8"/>
    </row>
    <row r="159" spans="1:6" x14ac:dyDescent="0.2">
      <c r="A159" s="8"/>
      <c r="B159" s="8"/>
      <c r="C159" s="8"/>
      <c r="D159" s="8"/>
      <c r="E159" s="8"/>
      <c r="F159" s="8"/>
    </row>
    <row r="160" spans="1:6" x14ac:dyDescent="0.2">
      <c r="A160" s="8"/>
      <c r="B160" s="8"/>
      <c r="C160" s="8"/>
      <c r="D160" s="8"/>
      <c r="E160" s="8"/>
      <c r="F160" s="8"/>
    </row>
    <row r="161" spans="1:6" x14ac:dyDescent="0.2">
      <c r="A161" s="8"/>
      <c r="B161" s="8"/>
      <c r="C161" s="8"/>
      <c r="D161" s="8"/>
      <c r="E161" s="8"/>
      <c r="F161" s="8"/>
    </row>
    <row r="162" spans="1:6" x14ac:dyDescent="0.2">
      <c r="A162" s="8"/>
      <c r="B162" s="8"/>
      <c r="C162" s="8"/>
      <c r="D162" s="8"/>
      <c r="E162" s="8"/>
      <c r="F162" s="8"/>
    </row>
    <row r="163" spans="1:6" x14ac:dyDescent="0.2">
      <c r="A163" s="8"/>
      <c r="B163" s="8"/>
      <c r="C163" s="8"/>
      <c r="D163" s="8"/>
      <c r="E163" s="8"/>
      <c r="F163" s="8"/>
    </row>
    <row r="164" spans="1:6" x14ac:dyDescent="0.2">
      <c r="A164" s="8"/>
      <c r="B164" s="8"/>
      <c r="C164" s="8"/>
      <c r="D164" s="8"/>
      <c r="E164" s="8"/>
      <c r="F164" s="8"/>
    </row>
    <row r="165" spans="1:6" x14ac:dyDescent="0.2">
      <c r="A165" s="8"/>
      <c r="B165" s="8"/>
      <c r="C165" s="8"/>
      <c r="D165" s="8"/>
      <c r="E165" s="8"/>
      <c r="F165" s="8"/>
    </row>
    <row r="166" spans="1:6" x14ac:dyDescent="0.2">
      <c r="A166" s="8"/>
      <c r="B166" s="8"/>
      <c r="C166" s="8"/>
      <c r="D166" s="8"/>
      <c r="E166" s="8"/>
      <c r="F166" s="8"/>
    </row>
    <row r="167" spans="1:6" x14ac:dyDescent="0.2">
      <c r="A167" s="8"/>
      <c r="B167" s="8"/>
      <c r="C167" s="8"/>
      <c r="D167" s="8"/>
      <c r="E167" s="8"/>
      <c r="F167" s="8"/>
    </row>
    <row r="168" spans="1:6" x14ac:dyDescent="0.2">
      <c r="A168" s="8"/>
      <c r="B168" s="8"/>
      <c r="C168" s="8"/>
      <c r="D168" s="8"/>
      <c r="E168" s="8"/>
      <c r="F168" s="8"/>
    </row>
    <row r="169" spans="1:6" x14ac:dyDescent="0.2">
      <c r="A169" s="8"/>
      <c r="B169" s="8"/>
      <c r="C169" s="8"/>
      <c r="D169" s="8"/>
      <c r="E169" s="8"/>
      <c r="F169" s="8"/>
    </row>
    <row r="170" spans="1:6" x14ac:dyDescent="0.2">
      <c r="A170" s="8"/>
      <c r="B170" s="8"/>
      <c r="C170" s="8"/>
      <c r="D170" s="8"/>
      <c r="E170" s="8"/>
      <c r="F170" s="8"/>
    </row>
    <row r="171" spans="1:6" x14ac:dyDescent="0.2">
      <c r="A171" s="8"/>
      <c r="B171" s="8"/>
      <c r="C171" s="8"/>
      <c r="D171" s="8"/>
      <c r="E171" s="8"/>
      <c r="F171" s="8"/>
    </row>
    <row r="172" spans="1:6" x14ac:dyDescent="0.2">
      <c r="A172" s="8"/>
      <c r="B172" s="8"/>
      <c r="C172" s="8"/>
      <c r="D172" s="8"/>
      <c r="E172" s="8"/>
      <c r="F172" s="8"/>
    </row>
    <row r="173" spans="1:6" x14ac:dyDescent="0.2">
      <c r="A173" s="8"/>
      <c r="B173" s="8"/>
      <c r="C173" s="8"/>
      <c r="D173" s="8"/>
      <c r="E173" s="8"/>
      <c r="F173" s="8"/>
    </row>
    <row r="174" spans="1:6" x14ac:dyDescent="0.2">
      <c r="A174" s="8"/>
      <c r="B174" s="8"/>
      <c r="C174" s="8"/>
      <c r="D174" s="8"/>
      <c r="E174" s="8"/>
      <c r="F174" s="8"/>
    </row>
    <row r="175" spans="1:6" x14ac:dyDescent="0.2">
      <c r="A175" s="8"/>
      <c r="B175" s="8"/>
      <c r="C175" s="8"/>
      <c r="D175" s="8"/>
      <c r="E175" s="8"/>
      <c r="F175" s="8"/>
    </row>
    <row r="176" spans="1:6" x14ac:dyDescent="0.2">
      <c r="A176" s="8"/>
      <c r="B176" s="8"/>
      <c r="C176" s="8"/>
      <c r="D176" s="8"/>
      <c r="E176" s="8"/>
      <c r="F176" s="8"/>
    </row>
    <row r="177" spans="1:6" x14ac:dyDescent="0.2">
      <c r="A177" s="8"/>
      <c r="B177" s="8"/>
      <c r="C177" s="8"/>
      <c r="D177" s="8"/>
      <c r="E177" s="8"/>
      <c r="F177" s="8"/>
    </row>
    <row r="178" spans="1:6" x14ac:dyDescent="0.2">
      <c r="A178" s="8"/>
      <c r="B178" s="8"/>
      <c r="C178" s="8"/>
      <c r="D178" s="8"/>
      <c r="E178" s="8"/>
      <c r="F178" s="8"/>
    </row>
    <row r="179" spans="1:6" x14ac:dyDescent="0.2">
      <c r="A179" s="8"/>
      <c r="B179" s="8"/>
      <c r="C179" s="8"/>
      <c r="D179" s="8"/>
      <c r="E179" s="8"/>
      <c r="F179" s="8"/>
    </row>
    <row r="180" spans="1:6" x14ac:dyDescent="0.2">
      <c r="A180" s="8"/>
      <c r="B180" s="8"/>
      <c r="C180" s="8"/>
      <c r="D180" s="8"/>
      <c r="E180" s="8"/>
      <c r="F180" s="8"/>
    </row>
    <row r="181" spans="1:6" x14ac:dyDescent="0.2">
      <c r="A181" s="8"/>
      <c r="B181" s="8"/>
      <c r="C181" s="8"/>
      <c r="D181" s="8"/>
      <c r="E181" s="8"/>
      <c r="F181" s="8"/>
    </row>
    <row r="182" spans="1:6" x14ac:dyDescent="0.2">
      <c r="A182" s="8"/>
      <c r="B182" s="8"/>
      <c r="C182" s="8"/>
      <c r="D182" s="8"/>
      <c r="E182" s="8"/>
      <c r="F182" s="8"/>
    </row>
    <row r="183" spans="1:6" x14ac:dyDescent="0.2">
      <c r="A183" s="8"/>
      <c r="B183" s="8"/>
      <c r="C183" s="8"/>
      <c r="D183" s="8"/>
      <c r="E183" s="8"/>
      <c r="F183" s="8"/>
    </row>
    <row r="184" spans="1:6" x14ac:dyDescent="0.2">
      <c r="A184" s="8"/>
      <c r="B184" s="8"/>
      <c r="C184" s="8"/>
      <c r="D184" s="8"/>
      <c r="E184" s="8"/>
      <c r="F184" s="8"/>
    </row>
    <row r="185" spans="1:6" x14ac:dyDescent="0.2">
      <c r="A185" s="8"/>
      <c r="B185" s="8"/>
      <c r="C185" s="8"/>
      <c r="D185" s="8"/>
      <c r="E185" s="8"/>
      <c r="F185" s="8"/>
    </row>
    <row r="186" spans="1:6" x14ac:dyDescent="0.2">
      <c r="A186" s="8"/>
      <c r="B186" s="8"/>
      <c r="C186" s="8"/>
      <c r="D186" s="8"/>
      <c r="E186" s="8"/>
      <c r="F186" s="8"/>
    </row>
    <row r="187" spans="1:6" x14ac:dyDescent="0.2">
      <c r="A187" s="8"/>
      <c r="B187" s="8"/>
      <c r="C187" s="8"/>
      <c r="D187" s="8"/>
      <c r="E187" s="8"/>
      <c r="F187" s="8"/>
    </row>
    <row r="188" spans="1:6" x14ac:dyDescent="0.2">
      <c r="A188" s="8"/>
      <c r="B188" s="8"/>
      <c r="C188" s="8"/>
      <c r="D188" s="8"/>
      <c r="E188" s="8"/>
      <c r="F188" s="8"/>
    </row>
    <row r="189" spans="1:6" x14ac:dyDescent="0.2">
      <c r="A189" s="8"/>
      <c r="B189" s="8"/>
      <c r="C189" s="8"/>
      <c r="D189" s="8"/>
      <c r="E189" s="8"/>
      <c r="F189" s="8"/>
    </row>
    <row r="190" spans="1:6" x14ac:dyDescent="0.2">
      <c r="A190" s="8"/>
      <c r="B190" s="8"/>
      <c r="C190" s="8"/>
      <c r="D190" s="8"/>
      <c r="E190" s="8"/>
      <c r="F190" s="8"/>
    </row>
    <row r="191" spans="1:6" x14ac:dyDescent="0.2">
      <c r="A191" s="8"/>
      <c r="B191" s="8"/>
      <c r="C191" s="8"/>
      <c r="D191" s="8"/>
      <c r="E191" s="8"/>
      <c r="F191" s="8"/>
    </row>
    <row r="192" spans="1:6" x14ac:dyDescent="0.2">
      <c r="A192" s="8"/>
      <c r="B192" s="8"/>
      <c r="C192" s="8"/>
      <c r="D192" s="8"/>
      <c r="E192" s="8"/>
      <c r="F192" s="8"/>
    </row>
    <row r="193" spans="1:6" x14ac:dyDescent="0.2">
      <c r="A193" s="8"/>
      <c r="B193" s="8"/>
      <c r="C193" s="8"/>
      <c r="D193" s="8"/>
      <c r="E193" s="8"/>
      <c r="F193" s="8"/>
    </row>
    <row r="194" spans="1:6" x14ac:dyDescent="0.2">
      <c r="A194" s="8"/>
      <c r="B194" s="8"/>
      <c r="C194" s="8"/>
      <c r="D194" s="8"/>
      <c r="E194" s="8"/>
      <c r="F194" s="8"/>
    </row>
    <row r="195" spans="1:6" x14ac:dyDescent="0.2">
      <c r="A195" s="8"/>
      <c r="B195" s="8"/>
      <c r="C195" s="8"/>
      <c r="D195" s="8"/>
      <c r="E195" s="8"/>
      <c r="F195" s="8"/>
    </row>
    <row r="196" spans="1:6" x14ac:dyDescent="0.2">
      <c r="A196" s="8"/>
      <c r="B196" s="8"/>
      <c r="C196" s="8"/>
      <c r="D196" s="8"/>
      <c r="E196" s="8"/>
      <c r="F196" s="8"/>
    </row>
    <row r="197" spans="1:6" x14ac:dyDescent="0.2">
      <c r="A197" s="8"/>
      <c r="B197" s="8"/>
      <c r="C197" s="8"/>
      <c r="D197" s="8"/>
      <c r="E197" s="8"/>
      <c r="F197" s="8"/>
    </row>
    <row r="198" spans="1:6" x14ac:dyDescent="0.2">
      <c r="A198" s="8"/>
      <c r="B198" s="8"/>
      <c r="C198" s="8"/>
      <c r="D198" s="8"/>
      <c r="E198" s="8"/>
      <c r="F198" s="8"/>
    </row>
    <row r="199" spans="1:6" x14ac:dyDescent="0.2">
      <c r="A199" s="8"/>
      <c r="B199" s="8"/>
      <c r="C199" s="8"/>
      <c r="D199" s="8"/>
      <c r="E199" s="8"/>
      <c r="F199" s="8"/>
    </row>
    <row r="200" spans="1:6" x14ac:dyDescent="0.2">
      <c r="A200" s="8"/>
      <c r="B200" s="8"/>
      <c r="C200" s="8"/>
      <c r="D200" s="8"/>
      <c r="E200" s="8"/>
      <c r="F200" s="8"/>
    </row>
    <row r="201" spans="1:6" x14ac:dyDescent="0.2">
      <c r="A201" s="8"/>
      <c r="B201" s="8"/>
      <c r="C201" s="8"/>
      <c r="D201" s="8"/>
      <c r="E201" s="8"/>
      <c r="F201" s="8"/>
    </row>
    <row r="202" spans="1:6" x14ac:dyDescent="0.2">
      <c r="A202" s="8"/>
      <c r="B202" s="8"/>
      <c r="C202" s="8"/>
      <c r="D202" s="8"/>
      <c r="E202" s="8"/>
      <c r="F202" s="8"/>
    </row>
    <row r="203" spans="1:6" x14ac:dyDescent="0.2">
      <c r="A203" s="8"/>
      <c r="B203" s="8"/>
      <c r="C203" s="8"/>
      <c r="D203" s="8"/>
      <c r="E203" s="8"/>
      <c r="F203" s="8"/>
    </row>
    <row r="204" spans="1:6" x14ac:dyDescent="0.2">
      <c r="A204" s="8"/>
      <c r="B204" s="8"/>
      <c r="C204" s="8"/>
      <c r="D204" s="8"/>
      <c r="E204" s="8"/>
      <c r="F204" s="8"/>
    </row>
    <row r="205" spans="1:6" x14ac:dyDescent="0.2">
      <c r="A205" s="8"/>
      <c r="B205" s="8"/>
      <c r="C205" s="8"/>
      <c r="D205" s="8"/>
      <c r="E205" s="8"/>
      <c r="F205" s="8"/>
    </row>
    <row r="206" spans="1:6" x14ac:dyDescent="0.2">
      <c r="A206" s="8"/>
      <c r="B206" s="8"/>
      <c r="C206" s="8"/>
      <c r="D206" s="8"/>
      <c r="E206" s="8"/>
      <c r="F206" s="8"/>
    </row>
    <row r="207" spans="1:6" x14ac:dyDescent="0.2">
      <c r="A207" s="8"/>
      <c r="B207" s="8"/>
      <c r="C207" s="8"/>
      <c r="D207" s="8"/>
      <c r="E207" s="8"/>
      <c r="F207" s="8"/>
    </row>
    <row r="208" spans="1:6" x14ac:dyDescent="0.2">
      <c r="A208" s="8"/>
      <c r="B208" s="8"/>
      <c r="C208" s="8"/>
      <c r="D208" s="8"/>
      <c r="E208" s="8"/>
      <c r="F208" s="8"/>
    </row>
    <row r="209" spans="1:6" x14ac:dyDescent="0.2">
      <c r="A209" s="8"/>
      <c r="B209" s="8"/>
      <c r="C209" s="8"/>
      <c r="D209" s="8"/>
      <c r="E209" s="8"/>
      <c r="F209" s="8"/>
    </row>
    <row r="210" spans="1:6" x14ac:dyDescent="0.2">
      <c r="A210" s="8"/>
      <c r="B210" s="8"/>
      <c r="C210" s="8"/>
      <c r="D210" s="8"/>
      <c r="E210" s="8"/>
      <c r="F210" s="8"/>
    </row>
    <row r="211" spans="1:6" x14ac:dyDescent="0.2">
      <c r="A211" s="8"/>
      <c r="B211" s="8"/>
      <c r="C211" s="8"/>
      <c r="D211" s="8"/>
      <c r="E211" s="8"/>
      <c r="F211" s="8"/>
    </row>
    <row r="212" spans="1:6" x14ac:dyDescent="0.2">
      <c r="A212" s="8"/>
      <c r="B212" s="8"/>
      <c r="C212" s="8"/>
      <c r="D212" s="8"/>
      <c r="E212" s="8"/>
      <c r="F212" s="8"/>
    </row>
    <row r="213" spans="1:6" x14ac:dyDescent="0.2">
      <c r="A213" s="8"/>
      <c r="B213" s="8"/>
      <c r="C213" s="8"/>
      <c r="D213" s="8"/>
      <c r="E213" s="8"/>
      <c r="F213" s="8"/>
    </row>
    <row r="214" spans="1:6" x14ac:dyDescent="0.2">
      <c r="A214" s="8"/>
      <c r="B214" s="8"/>
      <c r="C214" s="8"/>
      <c r="D214" s="8"/>
      <c r="E214" s="8"/>
      <c r="F214" s="8"/>
    </row>
    <row r="215" spans="1:6" x14ac:dyDescent="0.2">
      <c r="A215" s="8"/>
      <c r="B215" s="8"/>
      <c r="C215" s="8"/>
      <c r="D215" s="8"/>
      <c r="E215" s="8"/>
      <c r="F215" s="8"/>
    </row>
    <row r="216" spans="1:6" x14ac:dyDescent="0.2">
      <c r="A216" s="8"/>
      <c r="B216" s="8"/>
      <c r="C216" s="8"/>
      <c r="D216" s="8"/>
      <c r="E216" s="8"/>
      <c r="F216" s="8"/>
    </row>
    <row r="217" spans="1:6" x14ac:dyDescent="0.2">
      <c r="A217" s="8"/>
      <c r="B217" s="8"/>
      <c r="C217" s="8"/>
      <c r="D217" s="8"/>
      <c r="E217" s="8"/>
      <c r="F217" s="8"/>
    </row>
    <row r="218" spans="1:6" x14ac:dyDescent="0.2">
      <c r="A218" s="8"/>
      <c r="B218" s="8"/>
      <c r="C218" s="8"/>
      <c r="D218" s="8"/>
      <c r="E218" s="8"/>
      <c r="F218" s="8"/>
    </row>
    <row r="219" spans="1:6" x14ac:dyDescent="0.2">
      <c r="A219" s="8"/>
      <c r="B219" s="8"/>
      <c r="C219" s="8"/>
      <c r="D219" s="8"/>
      <c r="E219" s="8"/>
      <c r="F219" s="8"/>
    </row>
    <row r="220" spans="1:6" x14ac:dyDescent="0.2">
      <c r="A220" s="8"/>
      <c r="B220" s="8"/>
      <c r="C220" s="8"/>
      <c r="D220" s="8"/>
      <c r="E220" s="8"/>
      <c r="F220" s="8"/>
    </row>
    <row r="221" spans="1:6" x14ac:dyDescent="0.2">
      <c r="A221" s="8"/>
      <c r="B221" s="8"/>
      <c r="C221" s="8"/>
      <c r="D221" s="8"/>
      <c r="E221" s="8"/>
      <c r="F221" s="8"/>
    </row>
    <row r="222" spans="1:6" x14ac:dyDescent="0.2">
      <c r="A222" s="8"/>
      <c r="B222" s="8"/>
      <c r="C222" s="8"/>
      <c r="D222" s="8"/>
      <c r="E222" s="8"/>
      <c r="F222" s="8"/>
    </row>
    <row r="223" spans="1:6" x14ac:dyDescent="0.2">
      <c r="A223" s="8"/>
      <c r="B223" s="8"/>
      <c r="C223" s="8"/>
      <c r="D223" s="8"/>
      <c r="E223" s="8"/>
      <c r="F223" s="8"/>
    </row>
    <row r="224" spans="1:6" x14ac:dyDescent="0.2">
      <c r="A224" s="8"/>
      <c r="B224" s="8"/>
      <c r="C224" s="8"/>
      <c r="D224" s="8"/>
      <c r="E224" s="8"/>
      <c r="F224" s="8"/>
    </row>
    <row r="225" spans="1:6" x14ac:dyDescent="0.2">
      <c r="A225" s="8"/>
      <c r="B225" s="8"/>
      <c r="C225" s="8"/>
      <c r="D225" s="8"/>
      <c r="E225" s="8"/>
      <c r="F225" s="8"/>
    </row>
    <row r="226" spans="1:6" x14ac:dyDescent="0.2">
      <c r="A226" s="8"/>
      <c r="B226" s="8"/>
      <c r="C226" s="8"/>
      <c r="D226" s="8"/>
      <c r="E226" s="8"/>
      <c r="F226" s="8"/>
    </row>
    <row r="227" spans="1:6" x14ac:dyDescent="0.2">
      <c r="A227" s="8"/>
      <c r="B227" s="8"/>
      <c r="C227" s="8"/>
      <c r="D227" s="8"/>
      <c r="E227" s="8"/>
      <c r="F227" s="8"/>
    </row>
    <row r="228" spans="1:6" x14ac:dyDescent="0.2">
      <c r="A228" s="8"/>
      <c r="B228" s="8"/>
      <c r="C228" s="8"/>
      <c r="D228" s="8"/>
      <c r="E228" s="8"/>
      <c r="F228" s="8"/>
    </row>
    <row r="229" spans="1:6" x14ac:dyDescent="0.2">
      <c r="A229" s="8"/>
      <c r="B229" s="8"/>
      <c r="C229" s="8"/>
      <c r="D229" s="8"/>
      <c r="E229" s="8"/>
      <c r="F229" s="8"/>
    </row>
    <row r="230" spans="1:6" x14ac:dyDescent="0.2">
      <c r="A230" s="8"/>
      <c r="B230" s="8"/>
      <c r="C230" s="8"/>
      <c r="D230" s="8"/>
      <c r="E230" s="8"/>
      <c r="F230" s="8"/>
    </row>
    <row r="231" spans="1:6" x14ac:dyDescent="0.2">
      <c r="A231" s="8"/>
      <c r="B231" s="8"/>
      <c r="C231" s="8"/>
      <c r="D231" s="8"/>
      <c r="E231" s="8"/>
      <c r="F231" s="8"/>
    </row>
    <row r="232" spans="1:6" x14ac:dyDescent="0.2">
      <c r="A232" s="8"/>
      <c r="B232" s="8"/>
      <c r="C232" s="8"/>
      <c r="D232" s="8"/>
      <c r="E232" s="8"/>
      <c r="F232" s="8"/>
    </row>
    <row r="233" spans="1:6" x14ac:dyDescent="0.2">
      <c r="A233" s="8"/>
      <c r="B233" s="8"/>
      <c r="C233" s="8"/>
      <c r="D233" s="8"/>
      <c r="E233" s="8"/>
      <c r="F233" s="8"/>
    </row>
    <row r="234" spans="1:6" x14ac:dyDescent="0.2">
      <c r="A234" s="8"/>
      <c r="B234" s="8"/>
      <c r="C234" s="8"/>
      <c r="D234" s="8"/>
      <c r="E234" s="8"/>
      <c r="F234" s="8"/>
    </row>
    <row r="235" spans="1:6" x14ac:dyDescent="0.2">
      <c r="A235" s="8"/>
      <c r="B235" s="8"/>
      <c r="C235" s="8"/>
      <c r="D235" s="8"/>
      <c r="E235" s="8"/>
      <c r="F235" s="8"/>
    </row>
    <row r="236" spans="1:6" x14ac:dyDescent="0.2">
      <c r="A236" s="8"/>
      <c r="B236" s="8"/>
      <c r="C236" s="8"/>
      <c r="D236" s="8"/>
      <c r="E236" s="8"/>
      <c r="F236" s="8"/>
    </row>
    <row r="237" spans="1:6" x14ac:dyDescent="0.2">
      <c r="A237" s="8"/>
      <c r="B237" s="8"/>
      <c r="C237" s="8"/>
      <c r="D237" s="8"/>
      <c r="E237" s="8"/>
      <c r="F237" s="8"/>
    </row>
    <row r="238" spans="1:6" x14ac:dyDescent="0.2">
      <c r="A238" s="8"/>
      <c r="B238" s="8"/>
      <c r="C238" s="8"/>
      <c r="D238" s="8"/>
      <c r="E238" s="8"/>
      <c r="F238" s="8"/>
    </row>
    <row r="239" spans="1:6" x14ac:dyDescent="0.2">
      <c r="A239" s="8"/>
      <c r="B239" s="8"/>
      <c r="C239" s="8"/>
      <c r="D239" s="8"/>
      <c r="E239" s="8"/>
      <c r="F239" s="8"/>
    </row>
    <row r="240" spans="1:6" x14ac:dyDescent="0.2">
      <c r="A240" s="8"/>
      <c r="B240" s="8"/>
      <c r="C240" s="8"/>
      <c r="D240" s="8"/>
      <c r="E240" s="8"/>
      <c r="F240" s="8"/>
    </row>
    <row r="241" spans="1:6" x14ac:dyDescent="0.2">
      <c r="A241" s="8"/>
      <c r="B241" s="8"/>
      <c r="C241" s="8"/>
      <c r="D241" s="8"/>
      <c r="E241" s="8"/>
      <c r="F241" s="8"/>
    </row>
    <row r="242" spans="1:6" x14ac:dyDescent="0.2">
      <c r="A242" s="8"/>
      <c r="B242" s="8"/>
      <c r="C242" s="8"/>
      <c r="D242" s="8"/>
      <c r="E242" s="8"/>
      <c r="F242" s="8"/>
    </row>
    <row r="243" spans="1:6" x14ac:dyDescent="0.2">
      <c r="A243" s="8"/>
      <c r="B243" s="8"/>
      <c r="C243" s="8"/>
      <c r="D243" s="8"/>
      <c r="E243" s="8"/>
      <c r="F243" s="8"/>
    </row>
    <row r="244" spans="1:6" x14ac:dyDescent="0.2">
      <c r="A244" s="8"/>
      <c r="B244" s="8"/>
      <c r="C244" s="8"/>
      <c r="D244" s="8"/>
      <c r="E244" s="8"/>
      <c r="F244" s="8"/>
    </row>
    <row r="245" spans="1:6" x14ac:dyDescent="0.2">
      <c r="A245" s="8"/>
      <c r="B245" s="8"/>
      <c r="C245" s="8"/>
      <c r="D245" s="8"/>
      <c r="E245" s="8"/>
      <c r="F245" s="8"/>
    </row>
    <row r="246" spans="1:6" x14ac:dyDescent="0.2">
      <c r="A246" s="8"/>
      <c r="B246" s="8"/>
      <c r="C246" s="8"/>
      <c r="D246" s="8"/>
      <c r="E246" s="8"/>
      <c r="F246" s="8"/>
    </row>
    <row r="247" spans="1:6" x14ac:dyDescent="0.2">
      <c r="A247" s="8"/>
      <c r="B247" s="8"/>
      <c r="C247" s="8"/>
      <c r="D247" s="8"/>
      <c r="E247" s="8"/>
      <c r="F247" s="8"/>
    </row>
    <row r="248" spans="1:6" x14ac:dyDescent="0.2">
      <c r="A248" s="8"/>
      <c r="B248" s="8"/>
      <c r="C248" s="8"/>
      <c r="D248" s="8"/>
      <c r="E248" s="8"/>
      <c r="F248" s="8"/>
    </row>
    <row r="249" spans="1:6" x14ac:dyDescent="0.2">
      <c r="A249" s="8"/>
      <c r="B249" s="8"/>
      <c r="C249" s="8"/>
      <c r="D249" s="8"/>
      <c r="E249" s="8"/>
      <c r="F249" s="8"/>
    </row>
    <row r="250" spans="1:6" x14ac:dyDescent="0.2">
      <c r="A250" s="8"/>
      <c r="B250" s="8"/>
      <c r="C250" s="8"/>
      <c r="D250" s="8"/>
      <c r="E250" s="8"/>
      <c r="F250" s="8"/>
    </row>
    <row r="251" spans="1:6" x14ac:dyDescent="0.2">
      <c r="A251" s="8"/>
      <c r="B251" s="8"/>
      <c r="C251" s="8"/>
      <c r="D251" s="8"/>
      <c r="E251" s="8"/>
      <c r="F251" s="8"/>
    </row>
    <row r="252" spans="1:6" x14ac:dyDescent="0.2">
      <c r="A252" s="8"/>
      <c r="B252" s="8"/>
      <c r="C252" s="8"/>
      <c r="D252" s="8"/>
      <c r="E252" s="8"/>
      <c r="F252" s="8"/>
    </row>
    <row r="253" spans="1:6" x14ac:dyDescent="0.2">
      <c r="A253" s="8"/>
      <c r="B253" s="8"/>
      <c r="C253" s="8"/>
      <c r="D253" s="8"/>
      <c r="E253" s="8"/>
      <c r="F253" s="8"/>
    </row>
    <row r="254" spans="1:6" x14ac:dyDescent="0.2">
      <c r="A254" s="8"/>
      <c r="B254" s="8"/>
      <c r="C254" s="8"/>
      <c r="D254" s="8"/>
      <c r="E254" s="8"/>
      <c r="F254" s="8"/>
    </row>
    <row r="255" spans="1:6" x14ac:dyDescent="0.2">
      <c r="A255" s="8"/>
      <c r="B255" s="8"/>
      <c r="C255" s="8"/>
      <c r="D255" s="8"/>
      <c r="E255" s="8"/>
      <c r="F255" s="8"/>
    </row>
    <row r="256" spans="1:6" x14ac:dyDescent="0.2">
      <c r="A256" s="8"/>
      <c r="B256" s="8"/>
      <c r="C256" s="8"/>
      <c r="D256" s="8"/>
      <c r="E256" s="8"/>
      <c r="F256" s="8"/>
    </row>
    <row r="257" spans="1:6" x14ac:dyDescent="0.2">
      <c r="A257" s="8"/>
      <c r="B257" s="8"/>
      <c r="C257" s="8"/>
      <c r="D257" s="8"/>
      <c r="E257" s="8"/>
      <c r="F257" s="8"/>
    </row>
    <row r="258" spans="1:6" x14ac:dyDescent="0.2">
      <c r="A258" s="8"/>
      <c r="B258" s="8"/>
      <c r="C258" s="8"/>
      <c r="D258" s="8"/>
      <c r="E258" s="8"/>
      <c r="F258" s="8"/>
    </row>
    <row r="259" spans="1:6" x14ac:dyDescent="0.2">
      <c r="A259" s="8"/>
      <c r="B259" s="8"/>
      <c r="C259" s="8"/>
      <c r="D259" s="8"/>
      <c r="E259" s="8"/>
      <c r="F259" s="8"/>
    </row>
    <row r="260" spans="1:6" x14ac:dyDescent="0.2">
      <c r="A260" s="8"/>
      <c r="B260" s="8"/>
      <c r="C260" s="8"/>
      <c r="D260" s="8"/>
      <c r="E260" s="8"/>
      <c r="F260" s="8"/>
    </row>
    <row r="261" spans="1:6" x14ac:dyDescent="0.2">
      <c r="A261" s="8"/>
      <c r="B261" s="8"/>
      <c r="C261" s="8"/>
      <c r="D261" s="8"/>
      <c r="E261" s="8"/>
      <c r="F261" s="8"/>
    </row>
    <row r="262" spans="1:6" x14ac:dyDescent="0.2">
      <c r="A262" s="8"/>
      <c r="B262" s="8"/>
      <c r="C262" s="8"/>
      <c r="D262" s="8"/>
      <c r="E262" s="8"/>
      <c r="F262" s="8"/>
    </row>
    <row r="263" spans="1:6" x14ac:dyDescent="0.2">
      <c r="A263" s="8"/>
      <c r="B263" s="8"/>
      <c r="C263" s="8"/>
      <c r="D263" s="8"/>
      <c r="E263" s="8"/>
      <c r="F263" s="8"/>
    </row>
    <row r="264" spans="1:6" x14ac:dyDescent="0.2">
      <c r="A264" s="8"/>
      <c r="B264" s="8"/>
      <c r="C264" s="8"/>
      <c r="D264" s="8"/>
      <c r="E264" s="8"/>
      <c r="F264" s="8"/>
    </row>
    <row r="265" spans="1:6" x14ac:dyDescent="0.2">
      <c r="A265" s="8"/>
      <c r="B265" s="8"/>
      <c r="C265" s="8"/>
      <c r="D265" s="8"/>
      <c r="E265" s="8"/>
      <c r="F265" s="8"/>
    </row>
    <row r="266" spans="1:6" x14ac:dyDescent="0.2">
      <c r="A266" s="8"/>
      <c r="B266" s="8"/>
      <c r="C266" s="8"/>
      <c r="D266" s="8"/>
      <c r="E266" s="8"/>
      <c r="F266" s="8"/>
    </row>
    <row r="267" spans="1:6" x14ac:dyDescent="0.2">
      <c r="A267" s="8"/>
      <c r="B267" s="8"/>
      <c r="C267" s="8"/>
      <c r="D267" s="8"/>
      <c r="E267" s="8"/>
      <c r="F267" s="8"/>
    </row>
    <row r="268" spans="1:6" x14ac:dyDescent="0.2">
      <c r="A268" s="8"/>
      <c r="B268" s="8"/>
      <c r="C268" s="8"/>
      <c r="D268" s="8"/>
      <c r="E268" s="8"/>
      <c r="F268" s="8"/>
    </row>
    <row r="269" spans="1:6" x14ac:dyDescent="0.2">
      <c r="A269" s="8"/>
      <c r="B269" s="8"/>
      <c r="C269" s="8"/>
      <c r="D269" s="8"/>
      <c r="E269" s="8"/>
      <c r="F269" s="8"/>
    </row>
    <row r="270" spans="1:6" x14ac:dyDescent="0.2">
      <c r="A270" s="8"/>
      <c r="B270" s="8"/>
      <c r="C270" s="8"/>
      <c r="D270" s="8"/>
      <c r="E270" s="8"/>
      <c r="F270" s="8"/>
    </row>
    <row r="271" spans="1:6" x14ac:dyDescent="0.2">
      <c r="A271" s="8"/>
      <c r="B271" s="8"/>
      <c r="C271" s="8"/>
      <c r="D271" s="8"/>
      <c r="E271" s="8"/>
      <c r="F271" s="8"/>
    </row>
    <row r="272" spans="1:6" x14ac:dyDescent="0.2">
      <c r="A272" s="8"/>
      <c r="B272" s="8"/>
      <c r="C272" s="8"/>
      <c r="D272" s="8"/>
      <c r="E272" s="8"/>
      <c r="F272" s="8"/>
    </row>
    <row r="273" spans="1:6" x14ac:dyDescent="0.2">
      <c r="A273" s="8"/>
      <c r="B273" s="8"/>
      <c r="C273" s="8"/>
      <c r="D273" s="8"/>
      <c r="E273" s="8"/>
      <c r="F273" s="8"/>
    </row>
    <row r="274" spans="1:6" x14ac:dyDescent="0.2">
      <c r="A274" s="8"/>
      <c r="B274" s="8"/>
      <c r="C274" s="8"/>
      <c r="D274" s="8"/>
      <c r="E274" s="8"/>
      <c r="F274" s="8"/>
    </row>
    <row r="275" spans="1:6" x14ac:dyDescent="0.2">
      <c r="A275" s="8"/>
      <c r="B275" s="8"/>
      <c r="C275" s="8"/>
      <c r="D275" s="8"/>
      <c r="E275" s="8"/>
      <c r="F275" s="8"/>
    </row>
    <row r="276" spans="1:6" x14ac:dyDescent="0.2">
      <c r="A276" s="8"/>
      <c r="B276" s="8"/>
      <c r="C276" s="8"/>
      <c r="D276" s="8"/>
      <c r="E276" s="8"/>
      <c r="F276" s="8"/>
    </row>
    <row r="277" spans="1:6" x14ac:dyDescent="0.2">
      <c r="A277" s="8"/>
      <c r="B277" s="8"/>
      <c r="C277" s="8"/>
      <c r="D277" s="8"/>
      <c r="E277" s="8"/>
      <c r="F277" s="8"/>
    </row>
    <row r="278" spans="1:6" x14ac:dyDescent="0.2">
      <c r="A278" s="8"/>
      <c r="B278" s="8"/>
      <c r="C278" s="8"/>
      <c r="D278" s="8"/>
      <c r="E278" s="8"/>
      <c r="F278" s="8"/>
    </row>
    <row r="279" spans="1:6" x14ac:dyDescent="0.2">
      <c r="A279" s="8"/>
      <c r="B279" s="8"/>
      <c r="C279" s="8"/>
      <c r="D279" s="8"/>
      <c r="E279" s="8"/>
      <c r="F279" s="8"/>
    </row>
    <row r="280" spans="1:6" x14ac:dyDescent="0.2">
      <c r="A280" s="8"/>
      <c r="B280" s="8"/>
      <c r="C280" s="8"/>
      <c r="D280" s="8"/>
      <c r="E280" s="8"/>
      <c r="F280" s="8"/>
    </row>
    <row r="281" spans="1:6" x14ac:dyDescent="0.2">
      <c r="A281" s="8"/>
      <c r="B281" s="8"/>
      <c r="C281" s="8"/>
      <c r="D281" s="8"/>
      <c r="E281" s="8"/>
      <c r="F281" s="8"/>
    </row>
    <row r="282" spans="1:6" x14ac:dyDescent="0.2">
      <c r="A282" s="8"/>
      <c r="B282" s="8"/>
      <c r="C282" s="8"/>
      <c r="D282" s="8"/>
      <c r="E282" s="8"/>
      <c r="F282" s="8"/>
    </row>
    <row r="283" spans="1:6" x14ac:dyDescent="0.2">
      <c r="A283" s="8"/>
      <c r="B283" s="8"/>
      <c r="C283" s="8"/>
      <c r="D283" s="8"/>
      <c r="E283" s="8"/>
      <c r="F283" s="8"/>
    </row>
    <row r="284" spans="1:6" x14ac:dyDescent="0.2">
      <c r="A284" s="8"/>
      <c r="B284" s="8"/>
      <c r="C284" s="8"/>
      <c r="D284" s="8"/>
      <c r="E284" s="8"/>
      <c r="F284" s="8"/>
    </row>
    <row r="285" spans="1:6" x14ac:dyDescent="0.2">
      <c r="A285" s="8"/>
      <c r="B285" s="8"/>
      <c r="C285" s="8"/>
      <c r="D285" s="8"/>
      <c r="E285" s="8"/>
      <c r="F285" s="8"/>
    </row>
    <row r="286" spans="1:6" x14ac:dyDescent="0.2">
      <c r="A286" s="8"/>
      <c r="B286" s="8"/>
      <c r="C286" s="8"/>
      <c r="D286" s="8"/>
      <c r="E286" s="8"/>
      <c r="F286" s="8"/>
    </row>
    <row r="287" spans="1:6" x14ac:dyDescent="0.2">
      <c r="A287" s="8"/>
      <c r="B287" s="8"/>
      <c r="C287" s="8"/>
      <c r="D287" s="8"/>
      <c r="E287" s="8"/>
      <c r="F287" s="8"/>
    </row>
    <row r="288" spans="1:6" x14ac:dyDescent="0.2">
      <c r="A288" s="8"/>
      <c r="B288" s="8"/>
      <c r="C288" s="8"/>
      <c r="D288" s="8"/>
      <c r="E288" s="8"/>
      <c r="F288" s="8"/>
    </row>
    <row r="289" spans="1:6" x14ac:dyDescent="0.2">
      <c r="A289" s="8"/>
      <c r="B289" s="8"/>
      <c r="C289" s="8"/>
      <c r="D289" s="8"/>
      <c r="E289" s="8"/>
      <c r="F289" s="8"/>
    </row>
    <row r="290" spans="1:6" x14ac:dyDescent="0.2">
      <c r="A290" s="8"/>
      <c r="B290" s="8"/>
      <c r="C290" s="8"/>
      <c r="D290" s="8"/>
      <c r="E290" s="8"/>
      <c r="F290" s="8"/>
    </row>
    <row r="291" spans="1:6" x14ac:dyDescent="0.2">
      <c r="A291" s="8"/>
      <c r="B291" s="8"/>
      <c r="C291" s="8"/>
      <c r="D291" s="8"/>
      <c r="E291" s="8"/>
      <c r="F291" s="8"/>
    </row>
    <row r="292" spans="1:6" x14ac:dyDescent="0.2">
      <c r="A292" s="8"/>
      <c r="B292" s="8"/>
      <c r="C292" s="8"/>
      <c r="D292" s="8"/>
      <c r="E292" s="8"/>
      <c r="F292" s="8"/>
    </row>
    <row r="293" spans="1:6" x14ac:dyDescent="0.2">
      <c r="A293" s="8"/>
      <c r="B293" s="8"/>
      <c r="C293" s="8"/>
      <c r="D293" s="8"/>
      <c r="E293" s="8"/>
      <c r="F293" s="8"/>
    </row>
    <row r="294" spans="1:6" x14ac:dyDescent="0.2">
      <c r="A294" s="8"/>
      <c r="B294" s="8"/>
      <c r="C294" s="8"/>
      <c r="D294" s="8"/>
      <c r="E294" s="8"/>
      <c r="F294" s="8"/>
    </row>
    <row r="295" spans="1:6" x14ac:dyDescent="0.2">
      <c r="A295" s="8"/>
      <c r="B295" s="8"/>
      <c r="C295" s="8"/>
      <c r="D295" s="8"/>
      <c r="E295" s="8"/>
      <c r="F295" s="8"/>
    </row>
    <row r="296" spans="1:6" x14ac:dyDescent="0.2">
      <c r="A296" s="8"/>
      <c r="B296" s="8"/>
      <c r="C296" s="8"/>
      <c r="D296" s="8"/>
      <c r="E296" s="8"/>
      <c r="F296" s="8"/>
    </row>
    <row r="297" spans="1:6" x14ac:dyDescent="0.2">
      <c r="A297" s="8"/>
      <c r="B297" s="8"/>
      <c r="C297" s="8"/>
      <c r="D297" s="8"/>
      <c r="E297" s="8"/>
      <c r="F297" s="8"/>
    </row>
    <row r="298" spans="1:6" x14ac:dyDescent="0.2">
      <c r="A298" s="8"/>
      <c r="B298" s="8"/>
      <c r="C298" s="8"/>
      <c r="D298" s="8"/>
      <c r="E298" s="8"/>
      <c r="F298" s="8"/>
    </row>
    <row r="299" spans="1:6" x14ac:dyDescent="0.2">
      <c r="A299" s="8"/>
      <c r="B299" s="8"/>
      <c r="C299" s="8"/>
      <c r="D299" s="8"/>
      <c r="E299" s="8"/>
      <c r="F299" s="8"/>
    </row>
    <row r="300" spans="1:6" x14ac:dyDescent="0.2">
      <c r="A300" s="8"/>
      <c r="B300" s="8"/>
      <c r="C300" s="8"/>
      <c r="D300" s="8"/>
      <c r="E300" s="8"/>
      <c r="F300" s="8"/>
    </row>
    <row r="301" spans="1:6" x14ac:dyDescent="0.2">
      <c r="A301" s="8"/>
      <c r="B301" s="8"/>
      <c r="C301" s="8"/>
      <c r="D301" s="8"/>
      <c r="E301" s="8"/>
      <c r="F301" s="8"/>
    </row>
    <row r="302" spans="1:6" x14ac:dyDescent="0.2">
      <c r="A302" s="8"/>
      <c r="B302" s="8"/>
      <c r="C302" s="8"/>
      <c r="D302" s="8"/>
      <c r="E302" s="8"/>
      <c r="F302" s="8"/>
    </row>
    <row r="303" spans="1:6" x14ac:dyDescent="0.2">
      <c r="A303" s="8"/>
      <c r="B303" s="8"/>
      <c r="C303" s="8"/>
      <c r="D303" s="8"/>
      <c r="E303" s="8"/>
      <c r="F303" s="8"/>
    </row>
    <row r="304" spans="1:6" x14ac:dyDescent="0.2">
      <c r="A304" s="8"/>
      <c r="B304" s="8"/>
      <c r="C304" s="8"/>
      <c r="D304" s="8"/>
      <c r="E304" s="8"/>
      <c r="F304" s="8"/>
    </row>
    <row r="305" spans="1:6" x14ac:dyDescent="0.2">
      <c r="A305" s="8"/>
      <c r="B305" s="8"/>
      <c r="C305" s="8"/>
      <c r="D305" s="8"/>
      <c r="E305" s="8"/>
      <c r="F305" s="8"/>
    </row>
    <row r="306" spans="1:6" x14ac:dyDescent="0.2">
      <c r="A306" s="8"/>
      <c r="B306" s="8"/>
      <c r="C306" s="8"/>
      <c r="D306" s="8"/>
      <c r="E306" s="8"/>
      <c r="F306" s="8"/>
    </row>
    <row r="307" spans="1:6" x14ac:dyDescent="0.2">
      <c r="A307" s="8"/>
      <c r="B307" s="8"/>
      <c r="C307" s="8"/>
      <c r="D307" s="8"/>
      <c r="E307" s="8"/>
      <c r="F307" s="8"/>
    </row>
    <row r="308" spans="1:6" x14ac:dyDescent="0.2">
      <c r="A308" s="8"/>
      <c r="B308" s="8"/>
      <c r="C308" s="8"/>
      <c r="D308" s="8"/>
      <c r="E308" s="8"/>
      <c r="F308" s="8"/>
    </row>
    <row r="309" spans="1:6" x14ac:dyDescent="0.2">
      <c r="A309" s="8"/>
      <c r="B309" s="8"/>
      <c r="C309" s="8"/>
      <c r="D309" s="8"/>
      <c r="E309" s="8"/>
      <c r="F309" s="8"/>
    </row>
    <row r="310" spans="1:6" x14ac:dyDescent="0.2">
      <c r="A310" s="8"/>
      <c r="B310" s="8"/>
      <c r="C310" s="8"/>
      <c r="D310" s="8"/>
      <c r="E310" s="8"/>
      <c r="F310" s="8"/>
    </row>
    <row r="311" spans="1:6" x14ac:dyDescent="0.2">
      <c r="A311" s="8"/>
      <c r="B311" s="8"/>
      <c r="C311" s="8"/>
      <c r="D311" s="8"/>
      <c r="E311" s="8"/>
      <c r="F311" s="8"/>
    </row>
    <row r="312" spans="1:6" x14ac:dyDescent="0.2">
      <c r="A312" s="8"/>
      <c r="B312" s="8"/>
      <c r="C312" s="8"/>
      <c r="D312" s="8"/>
      <c r="E312" s="8"/>
      <c r="F312" s="8"/>
    </row>
    <row r="313" spans="1:6" x14ac:dyDescent="0.2">
      <c r="A313" s="8"/>
      <c r="B313" s="8"/>
      <c r="C313" s="8"/>
      <c r="D313" s="8"/>
      <c r="E313" s="8"/>
      <c r="F313" s="8"/>
    </row>
    <row r="314" spans="1:6" x14ac:dyDescent="0.2">
      <c r="A314" s="8"/>
      <c r="B314" s="8"/>
      <c r="C314" s="8"/>
      <c r="D314" s="8"/>
      <c r="E314" s="8"/>
      <c r="F314" s="8"/>
    </row>
    <row r="315" spans="1:6" x14ac:dyDescent="0.2">
      <c r="A315" s="8"/>
      <c r="B315" s="8"/>
      <c r="C315" s="8"/>
      <c r="D315" s="8"/>
      <c r="E315" s="8"/>
      <c r="F315" s="8"/>
    </row>
    <row r="316" spans="1:6" x14ac:dyDescent="0.2">
      <c r="A316" s="8"/>
      <c r="B316" s="8"/>
      <c r="C316" s="8"/>
      <c r="D316" s="8"/>
      <c r="E316" s="8"/>
      <c r="F316" s="8"/>
    </row>
    <row r="317" spans="1:6" x14ac:dyDescent="0.2">
      <c r="A317" s="8"/>
      <c r="B317" s="8"/>
      <c r="C317" s="8"/>
      <c r="D317" s="8"/>
      <c r="E317" s="8"/>
      <c r="F317" s="8"/>
    </row>
    <row r="318" spans="1:6" x14ac:dyDescent="0.2">
      <c r="A318" s="8"/>
      <c r="B318" s="8"/>
      <c r="C318" s="8"/>
      <c r="D318" s="8"/>
      <c r="E318" s="8"/>
      <c r="F318" s="8"/>
    </row>
    <row r="319" spans="1:6" x14ac:dyDescent="0.2">
      <c r="A319" s="8"/>
      <c r="B319" s="8"/>
      <c r="C319" s="8"/>
      <c r="D319" s="8"/>
      <c r="E319" s="8"/>
      <c r="F319" s="8"/>
    </row>
    <row r="320" spans="1:6" x14ac:dyDescent="0.2">
      <c r="A320" s="8"/>
      <c r="B320" s="8"/>
      <c r="C320" s="8"/>
      <c r="D320" s="8"/>
      <c r="E320" s="8"/>
      <c r="F320" s="8"/>
    </row>
    <row r="321" spans="1:6" x14ac:dyDescent="0.2">
      <c r="A321" s="8"/>
      <c r="B321" s="8"/>
      <c r="C321" s="8"/>
      <c r="D321" s="8"/>
      <c r="E321" s="8"/>
      <c r="F321" s="8"/>
    </row>
    <row r="322" spans="1:6" x14ac:dyDescent="0.2">
      <c r="A322" s="8"/>
      <c r="B322" s="8"/>
      <c r="C322" s="8"/>
      <c r="D322" s="8"/>
      <c r="E322" s="8"/>
      <c r="F322" s="8"/>
    </row>
    <row r="323" spans="1:6" x14ac:dyDescent="0.2">
      <c r="A323" s="8"/>
      <c r="B323" s="8"/>
      <c r="C323" s="8"/>
      <c r="D323" s="8"/>
      <c r="E323" s="8"/>
      <c r="F323" s="8"/>
    </row>
    <row r="324" spans="1:6" x14ac:dyDescent="0.2">
      <c r="A324" s="8"/>
      <c r="B324" s="8"/>
      <c r="C324" s="8"/>
      <c r="D324" s="8"/>
      <c r="E324" s="8"/>
      <c r="F324" s="8"/>
    </row>
    <row r="325" spans="1:6" x14ac:dyDescent="0.2">
      <c r="A325" s="8"/>
      <c r="B325" s="8"/>
      <c r="C325" s="8"/>
      <c r="D325" s="8"/>
      <c r="E325" s="8"/>
      <c r="F325" s="8"/>
    </row>
    <row r="326" spans="1:6" x14ac:dyDescent="0.2">
      <c r="A326" s="8"/>
      <c r="B326" s="8"/>
      <c r="C326" s="8"/>
      <c r="D326" s="8"/>
      <c r="E326" s="8"/>
      <c r="F326" s="8"/>
    </row>
    <row r="327" spans="1:6" x14ac:dyDescent="0.2">
      <c r="A327" s="8"/>
      <c r="B327" s="8"/>
      <c r="C327" s="8"/>
      <c r="D327" s="8"/>
      <c r="E327" s="8"/>
      <c r="F327" s="8"/>
    </row>
    <row r="328" spans="1:6" x14ac:dyDescent="0.2">
      <c r="A328" s="8"/>
      <c r="B328" s="8"/>
      <c r="C328" s="8"/>
      <c r="D328" s="8"/>
      <c r="E328" s="8"/>
      <c r="F328" s="8"/>
    </row>
    <row r="329" spans="1:6" x14ac:dyDescent="0.2">
      <c r="A329" s="8"/>
      <c r="B329" s="8"/>
      <c r="C329" s="8"/>
      <c r="D329" s="8"/>
      <c r="E329" s="8"/>
      <c r="F329" s="8"/>
    </row>
    <row r="330" spans="1:6" x14ac:dyDescent="0.2">
      <c r="A330" s="8"/>
      <c r="B330" s="8"/>
      <c r="C330" s="8"/>
      <c r="D330" s="8"/>
      <c r="E330" s="8"/>
      <c r="F330" s="8"/>
    </row>
    <row r="331" spans="1:6" x14ac:dyDescent="0.2">
      <c r="A331" s="8"/>
      <c r="B331" s="8"/>
      <c r="C331" s="8"/>
      <c r="D331" s="8"/>
      <c r="E331" s="8"/>
      <c r="F331" s="8"/>
    </row>
    <row r="332" spans="1:6" x14ac:dyDescent="0.2">
      <c r="A332" s="8"/>
      <c r="B332" s="8"/>
      <c r="C332" s="8"/>
      <c r="D332" s="8"/>
      <c r="E332" s="8"/>
      <c r="F332" s="8"/>
    </row>
    <row r="333" spans="1:6" x14ac:dyDescent="0.2">
      <c r="A333" s="8"/>
      <c r="B333" s="8"/>
      <c r="C333" s="8"/>
      <c r="D333" s="8"/>
      <c r="E333" s="8"/>
      <c r="F333" s="8"/>
    </row>
    <row r="334" spans="1:6" x14ac:dyDescent="0.2">
      <c r="A334" s="8"/>
      <c r="B334" s="8"/>
      <c r="C334" s="8"/>
      <c r="D334" s="8"/>
      <c r="E334" s="8"/>
      <c r="F334" s="8"/>
    </row>
    <row r="335" spans="1:6" x14ac:dyDescent="0.2">
      <c r="A335" s="8"/>
      <c r="B335" s="8"/>
      <c r="C335" s="8"/>
      <c r="D335" s="8"/>
      <c r="E335" s="8"/>
      <c r="F335" s="8"/>
    </row>
    <row r="336" spans="1:6" x14ac:dyDescent="0.2">
      <c r="A336" s="8"/>
      <c r="B336" s="8"/>
      <c r="C336" s="8"/>
      <c r="D336" s="8"/>
      <c r="E336" s="8"/>
      <c r="F336" s="8"/>
    </row>
    <row r="337" spans="1:6" x14ac:dyDescent="0.2">
      <c r="A337" s="8"/>
      <c r="B337" s="8"/>
      <c r="C337" s="8"/>
      <c r="D337" s="8"/>
      <c r="E337" s="8"/>
      <c r="F337" s="8"/>
    </row>
    <row r="338" spans="1:6" x14ac:dyDescent="0.2">
      <c r="A338" s="8"/>
      <c r="B338" s="8"/>
      <c r="C338" s="8"/>
      <c r="D338" s="8"/>
      <c r="E338" s="8"/>
      <c r="F338" s="8"/>
    </row>
    <row r="339" spans="1:6" x14ac:dyDescent="0.2">
      <c r="A339" s="8"/>
      <c r="B339" s="8"/>
      <c r="C339" s="8"/>
      <c r="D339" s="8"/>
      <c r="E339" s="8"/>
      <c r="F339" s="8"/>
    </row>
    <row r="340" spans="1:6" x14ac:dyDescent="0.2">
      <c r="A340" s="8"/>
      <c r="B340" s="8"/>
      <c r="C340" s="8"/>
      <c r="D340" s="8"/>
      <c r="E340" s="8"/>
      <c r="F340" s="8"/>
    </row>
    <row r="341" spans="1:6" x14ac:dyDescent="0.2">
      <c r="A341" s="8"/>
      <c r="B341" s="8"/>
      <c r="C341" s="8"/>
      <c r="D341" s="8"/>
      <c r="E341" s="8"/>
      <c r="F341" s="8"/>
    </row>
    <row r="342" spans="1:6" x14ac:dyDescent="0.2">
      <c r="A342" s="8"/>
      <c r="B342" s="8"/>
      <c r="C342" s="8"/>
      <c r="D342" s="8"/>
      <c r="E342" s="8"/>
      <c r="F342" s="8"/>
    </row>
    <row r="343" spans="1:6" x14ac:dyDescent="0.2">
      <c r="A343" s="8"/>
      <c r="B343" s="8"/>
      <c r="C343" s="8"/>
      <c r="D343" s="8"/>
      <c r="E343" s="8"/>
      <c r="F343" s="8"/>
    </row>
    <row r="344" spans="1:6" x14ac:dyDescent="0.2">
      <c r="A344" s="8"/>
      <c r="B344" s="8"/>
      <c r="C344" s="8"/>
      <c r="D344" s="8"/>
      <c r="E344" s="8"/>
      <c r="F344" s="8"/>
    </row>
    <row r="345" spans="1:6" x14ac:dyDescent="0.2">
      <c r="A345" s="8"/>
      <c r="B345" s="8"/>
      <c r="C345" s="8"/>
      <c r="D345" s="8"/>
      <c r="E345" s="8"/>
      <c r="F345" s="8"/>
    </row>
    <row r="346" spans="1:6" x14ac:dyDescent="0.2">
      <c r="A346" s="8"/>
      <c r="B346" s="8"/>
      <c r="C346" s="8"/>
      <c r="D346" s="8"/>
      <c r="E346" s="8"/>
      <c r="F346" s="8"/>
    </row>
    <row r="347" spans="1:6" x14ac:dyDescent="0.2">
      <c r="A347" s="8"/>
      <c r="B347" s="8"/>
      <c r="C347" s="8"/>
      <c r="D347" s="8"/>
      <c r="E347" s="8"/>
      <c r="F347" s="8"/>
    </row>
    <row r="348" spans="1:6" x14ac:dyDescent="0.2">
      <c r="A348" s="8"/>
      <c r="B348" s="8"/>
      <c r="C348" s="8"/>
      <c r="D348" s="8"/>
      <c r="E348" s="8"/>
      <c r="F348" s="8"/>
    </row>
    <row r="349" spans="1:6" x14ac:dyDescent="0.2">
      <c r="A349" s="8"/>
      <c r="B349" s="8"/>
      <c r="C349" s="8"/>
      <c r="D349" s="8"/>
      <c r="E349" s="8"/>
      <c r="F349" s="8"/>
    </row>
    <row r="350" spans="1:6" x14ac:dyDescent="0.2">
      <c r="A350" s="8"/>
      <c r="B350" s="8"/>
      <c r="C350" s="8"/>
      <c r="D350" s="8"/>
      <c r="E350" s="8"/>
      <c r="F350" s="8"/>
    </row>
    <row r="351" spans="1:6" x14ac:dyDescent="0.2">
      <c r="A351" s="8"/>
      <c r="B351" s="8"/>
      <c r="C351" s="8"/>
      <c r="D351" s="8"/>
      <c r="E351" s="8"/>
      <c r="F351" s="8"/>
    </row>
    <row r="352" spans="1:6" x14ac:dyDescent="0.2">
      <c r="A352" s="8"/>
      <c r="B352" s="8"/>
      <c r="C352" s="8"/>
      <c r="D352" s="8"/>
      <c r="E352" s="8"/>
      <c r="F352" s="8"/>
    </row>
    <row r="353" spans="1:6" x14ac:dyDescent="0.2">
      <c r="A353" s="8"/>
      <c r="B353" s="8"/>
      <c r="C353" s="8"/>
      <c r="D353" s="8"/>
      <c r="E353" s="8"/>
      <c r="F353" s="8"/>
    </row>
    <row r="354" spans="1:6" x14ac:dyDescent="0.2">
      <c r="A354" s="8"/>
      <c r="B354" s="8"/>
      <c r="C354" s="8"/>
      <c r="D354" s="8"/>
      <c r="E354" s="8"/>
      <c r="F354" s="8"/>
    </row>
    <row r="355" spans="1:6" x14ac:dyDescent="0.2">
      <c r="A355" s="8"/>
      <c r="B355" s="8"/>
      <c r="C355" s="8"/>
      <c r="D355" s="8"/>
      <c r="E355" s="8"/>
      <c r="F355" s="8"/>
    </row>
    <row r="356" spans="1:6" x14ac:dyDescent="0.2">
      <c r="A356" s="8"/>
      <c r="B356" s="8"/>
      <c r="C356" s="8"/>
      <c r="D356" s="8"/>
      <c r="E356" s="8"/>
      <c r="F356" s="8"/>
    </row>
    <row r="357" spans="1:6" x14ac:dyDescent="0.2">
      <c r="A357" s="8"/>
      <c r="B357" s="8"/>
      <c r="C357" s="8"/>
      <c r="D357" s="8"/>
      <c r="E357" s="8"/>
      <c r="F357" s="8"/>
    </row>
    <row r="358" spans="1:6" x14ac:dyDescent="0.2">
      <c r="A358" s="8"/>
      <c r="B358" s="8"/>
      <c r="C358" s="8"/>
      <c r="D358" s="8"/>
      <c r="E358" s="8"/>
      <c r="F358" s="8"/>
    </row>
    <row r="359" spans="1:6" x14ac:dyDescent="0.2">
      <c r="A359" s="8"/>
      <c r="B359" s="8"/>
      <c r="C359" s="8"/>
      <c r="D359" s="8"/>
      <c r="E359" s="8"/>
      <c r="F359" s="8"/>
    </row>
    <row r="360" spans="1:6" x14ac:dyDescent="0.2">
      <c r="A360" s="8"/>
      <c r="B360" s="8"/>
      <c r="C360" s="8"/>
      <c r="D360" s="8"/>
      <c r="E360" s="8"/>
      <c r="F360" s="8"/>
    </row>
    <row r="361" spans="1:6" x14ac:dyDescent="0.2">
      <c r="A361" s="8"/>
      <c r="B361" s="8"/>
      <c r="C361" s="8"/>
      <c r="D361" s="8"/>
      <c r="E361" s="8"/>
      <c r="F361" s="8"/>
    </row>
    <row r="362" spans="1:6" x14ac:dyDescent="0.2">
      <c r="A362" s="8"/>
      <c r="B362" s="8"/>
      <c r="C362" s="8"/>
      <c r="D362" s="8"/>
      <c r="E362" s="8"/>
      <c r="F362" s="8"/>
    </row>
    <row r="363" spans="1:6" x14ac:dyDescent="0.2">
      <c r="A363" s="8"/>
      <c r="B363" s="8"/>
      <c r="C363" s="8"/>
      <c r="D363" s="8"/>
      <c r="E363" s="8"/>
      <c r="F363" s="8"/>
    </row>
    <row r="364" spans="1:6" x14ac:dyDescent="0.2">
      <c r="A364" s="8"/>
      <c r="B364" s="8"/>
      <c r="C364" s="8"/>
      <c r="D364" s="8"/>
      <c r="E364" s="8"/>
      <c r="F364" s="8"/>
    </row>
    <row r="365" spans="1:6" x14ac:dyDescent="0.2">
      <c r="A365" s="8"/>
      <c r="B365" s="8"/>
      <c r="C365" s="8"/>
      <c r="D365" s="8"/>
      <c r="E365" s="8"/>
      <c r="F365" s="8"/>
    </row>
    <row r="366" spans="1:6" x14ac:dyDescent="0.2">
      <c r="A366" s="8"/>
      <c r="B366" s="8"/>
      <c r="C366" s="8"/>
      <c r="D366" s="8"/>
      <c r="E366" s="8"/>
      <c r="F366" s="8"/>
    </row>
    <row r="367" spans="1:6" x14ac:dyDescent="0.2">
      <c r="A367" s="8"/>
      <c r="B367" s="8"/>
      <c r="C367" s="8"/>
      <c r="D367" s="8"/>
      <c r="E367" s="8"/>
      <c r="F367" s="8"/>
    </row>
    <row r="368" spans="1:6" x14ac:dyDescent="0.2">
      <c r="A368" s="8"/>
      <c r="B368" s="8"/>
      <c r="C368" s="8"/>
      <c r="D368" s="8"/>
      <c r="E368" s="8"/>
      <c r="F368" s="8"/>
    </row>
    <row r="369" spans="1:6" x14ac:dyDescent="0.2">
      <c r="A369" s="8"/>
      <c r="B369" s="8"/>
      <c r="C369" s="8"/>
      <c r="D369" s="8"/>
      <c r="E369" s="8"/>
      <c r="F369" s="8"/>
    </row>
    <row r="370" spans="1:6" x14ac:dyDescent="0.2">
      <c r="A370" s="8"/>
      <c r="B370" s="8"/>
      <c r="C370" s="8"/>
      <c r="D370" s="8"/>
      <c r="E370" s="8"/>
      <c r="F370" s="8"/>
    </row>
    <row r="371" spans="1:6" x14ac:dyDescent="0.2">
      <c r="A371" s="8"/>
      <c r="B371" s="8"/>
      <c r="C371" s="8"/>
      <c r="D371" s="8"/>
      <c r="E371" s="8"/>
      <c r="F371" s="8"/>
    </row>
    <row r="372" spans="1:6" x14ac:dyDescent="0.2">
      <c r="A372" s="8"/>
      <c r="B372" s="8"/>
      <c r="C372" s="8"/>
      <c r="D372" s="8"/>
      <c r="E372" s="8"/>
      <c r="F372" s="8"/>
    </row>
    <row r="373" spans="1:6" x14ac:dyDescent="0.2">
      <c r="A373" s="8"/>
      <c r="B373" s="8"/>
      <c r="C373" s="8"/>
      <c r="D373" s="8"/>
      <c r="E373" s="8"/>
      <c r="F373" s="8"/>
    </row>
    <row r="374" spans="1:6" x14ac:dyDescent="0.2">
      <c r="A374" s="8"/>
      <c r="B374" s="8"/>
      <c r="C374" s="8"/>
      <c r="D374" s="8"/>
      <c r="E374" s="8"/>
      <c r="F374" s="8"/>
    </row>
    <row r="375" spans="1:6" x14ac:dyDescent="0.2">
      <c r="A375" s="8"/>
      <c r="B375" s="8"/>
      <c r="C375" s="8"/>
      <c r="D375" s="8"/>
      <c r="E375" s="8"/>
      <c r="F375" s="8"/>
    </row>
    <row r="376" spans="1:6" x14ac:dyDescent="0.2">
      <c r="A376" s="8"/>
      <c r="B376" s="8"/>
      <c r="C376" s="8"/>
      <c r="D376" s="8"/>
      <c r="E376" s="8"/>
      <c r="F376" s="8"/>
    </row>
    <row r="377" spans="1:6" x14ac:dyDescent="0.2">
      <c r="A377" s="8"/>
      <c r="B377" s="8"/>
      <c r="C377" s="8"/>
      <c r="D377" s="8"/>
      <c r="E377" s="8"/>
      <c r="F377" s="8"/>
    </row>
    <row r="378" spans="1:6" x14ac:dyDescent="0.2">
      <c r="A378" s="8"/>
      <c r="B378" s="8"/>
      <c r="C378" s="8"/>
      <c r="D378" s="8"/>
      <c r="E378" s="8"/>
      <c r="F378" s="8"/>
    </row>
    <row r="379" spans="1:6" x14ac:dyDescent="0.2">
      <c r="A379" s="8"/>
      <c r="B379" s="8"/>
      <c r="C379" s="8"/>
      <c r="D379" s="8"/>
      <c r="E379" s="8"/>
      <c r="F379" s="8"/>
    </row>
    <row r="380" spans="1:6" x14ac:dyDescent="0.2">
      <c r="A380" s="8"/>
      <c r="B380" s="8"/>
      <c r="C380" s="8"/>
      <c r="D380" s="8"/>
      <c r="E380" s="8"/>
      <c r="F380" s="8"/>
    </row>
    <row r="381" spans="1:6" x14ac:dyDescent="0.2">
      <c r="A381" s="8"/>
      <c r="B381" s="8"/>
      <c r="C381" s="8"/>
      <c r="D381" s="8"/>
      <c r="E381" s="8"/>
      <c r="F381" s="8"/>
    </row>
    <row r="382" spans="1:6" x14ac:dyDescent="0.2">
      <c r="A382" s="8"/>
      <c r="B382" s="8"/>
      <c r="C382" s="8"/>
      <c r="D382" s="8"/>
      <c r="E382" s="8"/>
      <c r="F382" s="8"/>
    </row>
    <row r="383" spans="1:6" x14ac:dyDescent="0.2">
      <c r="A383" s="8"/>
      <c r="B383" s="8"/>
      <c r="C383" s="8"/>
      <c r="D383" s="8"/>
      <c r="E383" s="8"/>
      <c r="F383" s="8"/>
    </row>
    <row r="384" spans="1:6" x14ac:dyDescent="0.2">
      <c r="A384" s="8"/>
      <c r="B384" s="8"/>
      <c r="C384" s="8"/>
      <c r="D384" s="8"/>
      <c r="E384" s="8"/>
      <c r="F384" s="8"/>
    </row>
    <row r="385" spans="1:6" x14ac:dyDescent="0.2">
      <c r="A385" s="8"/>
      <c r="B385" s="8"/>
      <c r="C385" s="8"/>
      <c r="D385" s="8"/>
      <c r="E385" s="8"/>
      <c r="F385" s="8"/>
    </row>
    <row r="386" spans="1:6" x14ac:dyDescent="0.2">
      <c r="A386" s="8"/>
      <c r="B386" s="8"/>
      <c r="C386" s="8"/>
      <c r="D386" s="8"/>
      <c r="E386" s="8"/>
      <c r="F386" s="8"/>
    </row>
    <row r="387" spans="1:6" x14ac:dyDescent="0.2">
      <c r="A387" s="8"/>
      <c r="B387" s="8"/>
      <c r="C387" s="8"/>
      <c r="D387" s="8"/>
      <c r="E387" s="8"/>
      <c r="F387" s="8"/>
    </row>
    <row r="388" spans="1:6" x14ac:dyDescent="0.2">
      <c r="A388" s="8"/>
      <c r="B388" s="8"/>
      <c r="C388" s="8"/>
      <c r="D388" s="8"/>
      <c r="E388" s="8"/>
      <c r="F388" s="8"/>
    </row>
    <row r="389" spans="1:6" x14ac:dyDescent="0.2">
      <c r="A389" s="8"/>
      <c r="B389" s="8"/>
      <c r="C389" s="8"/>
      <c r="D389" s="8"/>
      <c r="E389" s="8"/>
      <c r="F389" s="8"/>
    </row>
    <row r="390" spans="1:6" x14ac:dyDescent="0.2">
      <c r="A390" s="8"/>
      <c r="B390" s="8"/>
      <c r="C390" s="8"/>
      <c r="D390" s="8"/>
      <c r="E390" s="8"/>
      <c r="F390" s="8"/>
    </row>
    <row r="391" spans="1:6" x14ac:dyDescent="0.2">
      <c r="A391" s="8"/>
      <c r="B391" s="8"/>
      <c r="C391" s="8"/>
      <c r="D391" s="8"/>
      <c r="E391" s="8"/>
      <c r="F391" s="8"/>
    </row>
    <row r="392" spans="1:6" x14ac:dyDescent="0.2">
      <c r="A392" s="8"/>
      <c r="B392" s="8"/>
      <c r="C392" s="8"/>
      <c r="D392" s="8"/>
      <c r="E392" s="8"/>
      <c r="F392" s="8"/>
    </row>
    <row r="393" spans="1:6" x14ac:dyDescent="0.2">
      <c r="A393" s="8"/>
      <c r="B393" s="8"/>
      <c r="C393" s="8"/>
      <c r="D393" s="8"/>
      <c r="E393" s="8"/>
      <c r="F393" s="8"/>
    </row>
    <row r="394" spans="1:6" x14ac:dyDescent="0.2">
      <c r="A394" s="8"/>
      <c r="B394" s="8"/>
      <c r="C394" s="8"/>
      <c r="D394" s="8"/>
      <c r="E394" s="8"/>
      <c r="F394" s="8"/>
    </row>
    <row r="395" spans="1:6" x14ac:dyDescent="0.2">
      <c r="A395" s="8"/>
      <c r="B395" s="8"/>
      <c r="C395" s="8"/>
      <c r="D395" s="8"/>
      <c r="E395" s="8"/>
      <c r="F395" s="8"/>
    </row>
    <row r="396" spans="1:6" x14ac:dyDescent="0.2">
      <c r="A396" s="8"/>
      <c r="B396" s="8"/>
      <c r="C396" s="8"/>
      <c r="D396" s="8"/>
      <c r="E396" s="8"/>
      <c r="F396" s="8"/>
    </row>
    <row r="397" spans="1:6" x14ac:dyDescent="0.2">
      <c r="A397" s="8"/>
      <c r="B397" s="8"/>
      <c r="C397" s="8"/>
      <c r="D397" s="8"/>
      <c r="E397" s="8"/>
      <c r="F397" s="8"/>
    </row>
    <row r="398" spans="1:6" x14ac:dyDescent="0.2">
      <c r="A398" s="8"/>
      <c r="B398" s="8"/>
      <c r="C398" s="8"/>
      <c r="D398" s="8"/>
      <c r="E398" s="8"/>
      <c r="F398" s="8"/>
    </row>
    <row r="399" spans="1:6" x14ac:dyDescent="0.2">
      <c r="A399" s="8"/>
      <c r="B399" s="8"/>
      <c r="C399" s="8"/>
      <c r="D399" s="8"/>
      <c r="E399" s="8"/>
      <c r="F399" s="8"/>
    </row>
    <row r="400" spans="1:6" x14ac:dyDescent="0.2">
      <c r="A400" s="8"/>
      <c r="B400" s="8"/>
      <c r="C400" s="8"/>
      <c r="D400" s="8"/>
      <c r="E400" s="8"/>
      <c r="F400" s="8"/>
    </row>
    <row r="401" spans="1:6" x14ac:dyDescent="0.2">
      <c r="A401" s="8"/>
      <c r="B401" s="8"/>
      <c r="C401" s="8"/>
      <c r="D401" s="8"/>
      <c r="E401" s="8"/>
      <c r="F401" s="8"/>
    </row>
    <row r="402" spans="1:6" x14ac:dyDescent="0.2">
      <c r="A402" s="8"/>
      <c r="B402" s="8"/>
      <c r="C402" s="8"/>
      <c r="D402" s="8"/>
      <c r="E402" s="8"/>
      <c r="F402" s="8"/>
    </row>
    <row r="403" spans="1:6" x14ac:dyDescent="0.2">
      <c r="A403" s="8"/>
      <c r="B403" s="8"/>
      <c r="C403" s="8"/>
      <c r="D403" s="8"/>
      <c r="E403" s="8"/>
      <c r="F403" s="8"/>
    </row>
    <row r="404" spans="1:6" x14ac:dyDescent="0.2">
      <c r="A404" s="8"/>
      <c r="B404" s="8"/>
      <c r="C404" s="8"/>
      <c r="D404" s="8"/>
      <c r="E404" s="8"/>
      <c r="F404" s="8"/>
    </row>
    <row r="405" spans="1:6" x14ac:dyDescent="0.2">
      <c r="A405" s="8"/>
      <c r="B405" s="8"/>
      <c r="C405" s="8"/>
      <c r="D405" s="8"/>
      <c r="E405" s="8"/>
      <c r="F405" s="8"/>
    </row>
    <row r="406" spans="1:6" x14ac:dyDescent="0.2">
      <c r="A406" s="8"/>
      <c r="B406" s="8"/>
      <c r="C406" s="8"/>
      <c r="D406" s="8"/>
      <c r="E406" s="8"/>
      <c r="F406" s="8"/>
    </row>
    <row r="407" spans="1:6" x14ac:dyDescent="0.2">
      <c r="A407" s="8"/>
      <c r="B407" s="8"/>
      <c r="C407" s="8"/>
      <c r="D407" s="8"/>
      <c r="E407" s="8"/>
      <c r="F407" s="8"/>
    </row>
    <row r="408" spans="1:6" x14ac:dyDescent="0.2">
      <c r="A408" s="8"/>
      <c r="B408" s="8"/>
      <c r="C408" s="8"/>
      <c r="D408" s="8"/>
      <c r="E408" s="8"/>
      <c r="F408" s="8"/>
    </row>
    <row r="409" spans="1:6" x14ac:dyDescent="0.2">
      <c r="A409" s="8"/>
      <c r="B409" s="8"/>
      <c r="C409" s="8"/>
      <c r="D409" s="8"/>
      <c r="E409" s="8"/>
      <c r="F409" s="8"/>
    </row>
    <row r="410" spans="1:6" x14ac:dyDescent="0.2">
      <c r="A410" s="8"/>
      <c r="B410" s="8"/>
      <c r="C410" s="8"/>
      <c r="D410" s="8"/>
      <c r="E410" s="8"/>
      <c r="F410" s="8"/>
    </row>
    <row r="411" spans="1:6" x14ac:dyDescent="0.2">
      <c r="A411" s="8"/>
      <c r="B411" s="8"/>
      <c r="C411" s="8"/>
      <c r="D411" s="8"/>
      <c r="E411" s="8"/>
      <c r="F411" s="8"/>
    </row>
    <row r="412" spans="1:6" x14ac:dyDescent="0.2">
      <c r="A412" s="8"/>
      <c r="B412" s="8"/>
      <c r="C412" s="8"/>
      <c r="D412" s="8"/>
      <c r="E412" s="8"/>
      <c r="F412" s="8"/>
    </row>
    <row r="413" spans="1:6" x14ac:dyDescent="0.2">
      <c r="A413" s="8"/>
      <c r="B413" s="8"/>
      <c r="C413" s="8"/>
      <c r="D413" s="8"/>
      <c r="E413" s="8"/>
      <c r="F413" s="8"/>
    </row>
    <row r="414" spans="1:6" x14ac:dyDescent="0.2">
      <c r="A414" s="8"/>
      <c r="B414" s="8"/>
      <c r="C414" s="8"/>
      <c r="D414" s="8"/>
      <c r="E414" s="8"/>
      <c r="F414" s="8"/>
    </row>
    <row r="415" spans="1:6" x14ac:dyDescent="0.2">
      <c r="A415" s="8"/>
      <c r="B415" s="8"/>
      <c r="C415" s="8"/>
      <c r="D415" s="8"/>
      <c r="E415" s="8"/>
      <c r="F415" s="8"/>
    </row>
    <row r="416" spans="1:6" x14ac:dyDescent="0.2">
      <c r="A416" s="8"/>
      <c r="B416" s="8"/>
      <c r="C416" s="8"/>
      <c r="D416" s="8"/>
      <c r="E416" s="8"/>
      <c r="F416" s="8"/>
    </row>
    <row r="417" spans="1:6" x14ac:dyDescent="0.2">
      <c r="A417" s="8"/>
      <c r="B417" s="8"/>
      <c r="C417" s="8"/>
      <c r="D417" s="8"/>
      <c r="E417" s="8"/>
      <c r="F417" s="8"/>
    </row>
    <row r="418" spans="1:6" x14ac:dyDescent="0.2">
      <c r="A418" s="8"/>
      <c r="B418" s="8"/>
      <c r="C418" s="8"/>
      <c r="D418" s="8"/>
      <c r="E418" s="8"/>
      <c r="F418" s="8"/>
    </row>
    <row r="419" spans="1:6" x14ac:dyDescent="0.2">
      <c r="A419" s="8"/>
      <c r="B419" s="8"/>
      <c r="C419" s="8"/>
      <c r="D419" s="8"/>
      <c r="E419" s="8"/>
      <c r="F419" s="8"/>
    </row>
    <row r="420" spans="1:6" x14ac:dyDescent="0.2">
      <c r="A420" s="8"/>
      <c r="B420" s="8"/>
      <c r="C420" s="8"/>
      <c r="D420" s="8"/>
      <c r="E420" s="8"/>
      <c r="F420" s="8"/>
    </row>
    <row r="421" spans="1:6" x14ac:dyDescent="0.2">
      <c r="A421" s="8"/>
      <c r="B421" s="8"/>
      <c r="C421" s="8"/>
      <c r="D421" s="8"/>
      <c r="E421" s="8"/>
      <c r="F421" s="8"/>
    </row>
    <row r="422" spans="1:6" x14ac:dyDescent="0.2">
      <c r="A422" s="8"/>
      <c r="B422" s="8"/>
      <c r="C422" s="8"/>
      <c r="D422" s="8"/>
      <c r="E422" s="8"/>
      <c r="F422" s="8"/>
    </row>
    <row r="423" spans="1:6" x14ac:dyDescent="0.2">
      <c r="A423" s="8"/>
      <c r="B423" s="8"/>
      <c r="C423" s="8"/>
      <c r="D423" s="8"/>
      <c r="E423" s="8"/>
      <c r="F423" s="8"/>
    </row>
    <row r="424" spans="1:6" x14ac:dyDescent="0.2">
      <c r="A424" s="8"/>
      <c r="B424" s="8"/>
      <c r="C424" s="8"/>
      <c r="D424" s="8"/>
      <c r="E424" s="8"/>
      <c r="F424" s="8"/>
    </row>
    <row r="425" spans="1:6" x14ac:dyDescent="0.2">
      <c r="A425" s="8"/>
      <c r="B425" s="8"/>
      <c r="C425" s="8"/>
      <c r="D425" s="8"/>
      <c r="E425" s="8"/>
      <c r="F425" s="8"/>
    </row>
    <row r="426" spans="1:6" x14ac:dyDescent="0.2">
      <c r="A426" s="8"/>
      <c r="B426" s="8"/>
      <c r="C426" s="8"/>
      <c r="D426" s="8"/>
      <c r="E426" s="8"/>
      <c r="F426" s="8"/>
    </row>
    <row r="427" spans="1:6" x14ac:dyDescent="0.2">
      <c r="A427" s="8"/>
      <c r="B427" s="8"/>
      <c r="C427" s="8"/>
      <c r="D427" s="8"/>
      <c r="E427" s="8"/>
      <c r="F427" s="8"/>
    </row>
    <row r="428" spans="1:6" x14ac:dyDescent="0.2">
      <c r="A428" s="8"/>
      <c r="B428" s="8"/>
      <c r="C428" s="8"/>
      <c r="D428" s="8"/>
      <c r="E428" s="8"/>
      <c r="F428" s="8"/>
    </row>
    <row r="429" spans="1:6" x14ac:dyDescent="0.2">
      <c r="A429" s="8"/>
      <c r="B429" s="8"/>
      <c r="C429" s="8"/>
      <c r="D429" s="8"/>
      <c r="E429" s="8"/>
      <c r="F429" s="8"/>
    </row>
    <row r="430" spans="1:6" x14ac:dyDescent="0.2">
      <c r="A430" s="8"/>
      <c r="B430" s="8"/>
      <c r="C430" s="8"/>
      <c r="D430" s="8"/>
      <c r="E430" s="8"/>
      <c r="F430" s="8"/>
    </row>
    <row r="431" spans="1:6" x14ac:dyDescent="0.2">
      <c r="A431" s="8"/>
      <c r="B431" s="8"/>
      <c r="C431" s="8"/>
      <c r="D431" s="8"/>
      <c r="E431" s="8"/>
      <c r="F431" s="8"/>
    </row>
    <row r="432" spans="1:6" x14ac:dyDescent="0.2">
      <c r="A432" s="8"/>
      <c r="B432" s="8"/>
      <c r="C432" s="8"/>
      <c r="D432" s="8"/>
      <c r="E432" s="8"/>
      <c r="F432" s="8"/>
    </row>
    <row r="433" spans="1:6" x14ac:dyDescent="0.2">
      <c r="A433" s="8"/>
      <c r="B433" s="8"/>
      <c r="C433" s="8"/>
      <c r="D433" s="8"/>
      <c r="E433" s="8"/>
      <c r="F433" s="8"/>
    </row>
    <row r="434" spans="1:6" x14ac:dyDescent="0.2">
      <c r="A434" s="8"/>
      <c r="B434" s="8"/>
      <c r="C434" s="8"/>
      <c r="D434" s="8"/>
      <c r="E434" s="8"/>
      <c r="F434" s="8"/>
    </row>
    <row r="435" spans="1:6" x14ac:dyDescent="0.2">
      <c r="A435" s="8"/>
      <c r="B435" s="8"/>
      <c r="C435" s="8"/>
      <c r="D435" s="8"/>
      <c r="E435" s="8"/>
      <c r="F435" s="8"/>
    </row>
    <row r="436" spans="1:6" x14ac:dyDescent="0.2">
      <c r="A436" s="8"/>
      <c r="B436" s="8"/>
      <c r="C436" s="8"/>
      <c r="D436" s="8"/>
      <c r="E436" s="8"/>
      <c r="F436" s="8"/>
    </row>
    <row r="437" spans="1:6" x14ac:dyDescent="0.2">
      <c r="A437" s="8"/>
      <c r="B437" s="8"/>
      <c r="C437" s="8"/>
      <c r="D437" s="8"/>
      <c r="E437" s="8"/>
      <c r="F437" s="8"/>
    </row>
    <row r="438" spans="1:6" x14ac:dyDescent="0.2">
      <c r="A438" s="8"/>
      <c r="B438" s="8"/>
      <c r="C438" s="8"/>
      <c r="D438" s="8"/>
      <c r="E438" s="8"/>
      <c r="F438" s="8"/>
    </row>
    <row r="439" spans="1:6" x14ac:dyDescent="0.2">
      <c r="A439" s="8"/>
      <c r="B439" s="8"/>
      <c r="C439" s="8"/>
      <c r="D439" s="8"/>
      <c r="E439" s="8"/>
      <c r="F439" s="8"/>
    </row>
    <row r="440" spans="1:6" x14ac:dyDescent="0.2">
      <c r="A440" s="8"/>
      <c r="B440" s="8"/>
      <c r="C440" s="8"/>
      <c r="D440" s="8"/>
      <c r="E440" s="8"/>
      <c r="F440" s="8"/>
    </row>
    <row r="441" spans="1:6" x14ac:dyDescent="0.2">
      <c r="A441" s="8"/>
      <c r="B441" s="8"/>
      <c r="C441" s="8"/>
      <c r="D441" s="8"/>
      <c r="E441" s="8"/>
      <c r="F441" s="8"/>
    </row>
    <row r="442" spans="1:6" x14ac:dyDescent="0.2">
      <c r="A442" s="8"/>
      <c r="B442" s="8"/>
      <c r="C442" s="8"/>
      <c r="D442" s="8"/>
      <c r="E442" s="8"/>
      <c r="F442" s="8"/>
    </row>
    <row r="443" spans="1:6" x14ac:dyDescent="0.2">
      <c r="A443" s="8"/>
      <c r="B443" s="8"/>
      <c r="C443" s="8"/>
      <c r="D443" s="8"/>
      <c r="E443" s="8"/>
      <c r="F443" s="8"/>
    </row>
    <row r="444" spans="1:6" x14ac:dyDescent="0.2">
      <c r="A444" s="8"/>
      <c r="B444" s="8"/>
      <c r="C444" s="8"/>
      <c r="D444" s="8"/>
      <c r="E444" s="8"/>
      <c r="F444" s="8"/>
    </row>
    <row r="445" spans="1:6" x14ac:dyDescent="0.2">
      <c r="A445" s="8"/>
      <c r="B445" s="8"/>
      <c r="C445" s="8"/>
      <c r="D445" s="8"/>
      <c r="E445" s="8"/>
      <c r="F445" s="8"/>
    </row>
    <row r="446" spans="1:6" x14ac:dyDescent="0.2">
      <c r="A446" s="8"/>
      <c r="B446" s="8"/>
      <c r="C446" s="8"/>
      <c r="D446" s="8"/>
      <c r="E446" s="8"/>
      <c r="F446" s="8"/>
    </row>
    <row r="447" spans="1:6" x14ac:dyDescent="0.2">
      <c r="A447" s="8"/>
      <c r="B447" s="8"/>
      <c r="C447" s="8"/>
      <c r="D447" s="8"/>
      <c r="E447" s="8"/>
      <c r="F447" s="8"/>
    </row>
    <row r="448" spans="1:6" x14ac:dyDescent="0.2">
      <c r="A448" s="8"/>
      <c r="B448" s="8"/>
      <c r="C448" s="8"/>
      <c r="D448" s="8"/>
      <c r="E448" s="8"/>
      <c r="F448" s="8"/>
    </row>
    <row r="449" spans="1:6" x14ac:dyDescent="0.2">
      <c r="A449" s="8"/>
      <c r="B449" s="8"/>
      <c r="C449" s="8"/>
      <c r="D449" s="8"/>
      <c r="E449" s="8"/>
      <c r="F449" s="8"/>
    </row>
    <row r="450" spans="1:6" x14ac:dyDescent="0.2">
      <c r="A450" s="8"/>
      <c r="B450" s="8"/>
      <c r="C450" s="8"/>
      <c r="D450" s="8"/>
      <c r="E450" s="8"/>
      <c r="F450" s="8"/>
    </row>
    <row r="451" spans="1:6" x14ac:dyDescent="0.2">
      <c r="A451" s="8"/>
      <c r="B451" s="8"/>
      <c r="C451" s="8"/>
      <c r="D451" s="8"/>
      <c r="E451" s="8"/>
      <c r="F451" s="8"/>
    </row>
    <row r="452" spans="1:6" x14ac:dyDescent="0.2">
      <c r="A452" s="8"/>
      <c r="B452" s="8"/>
      <c r="C452" s="8"/>
      <c r="D452" s="8"/>
      <c r="E452" s="8"/>
      <c r="F452" s="8"/>
    </row>
    <row r="453" spans="1:6" x14ac:dyDescent="0.2">
      <c r="A453" s="8"/>
      <c r="B453" s="8"/>
      <c r="C453" s="8"/>
      <c r="D453" s="8"/>
      <c r="E453" s="8"/>
      <c r="F453" s="8"/>
    </row>
    <row r="454" spans="1:6" x14ac:dyDescent="0.2">
      <c r="A454" s="8"/>
      <c r="B454" s="8"/>
      <c r="C454" s="8"/>
      <c r="D454" s="8"/>
      <c r="E454" s="8"/>
      <c r="F454" s="8"/>
    </row>
    <row r="455" spans="1:6" x14ac:dyDescent="0.2">
      <c r="A455" s="8"/>
      <c r="B455" s="8"/>
      <c r="C455" s="8"/>
      <c r="D455" s="8"/>
      <c r="E455" s="8"/>
      <c r="F455" s="8"/>
    </row>
    <row r="456" spans="1:6" x14ac:dyDescent="0.2">
      <c r="A456" s="8"/>
      <c r="B456" s="8"/>
      <c r="C456" s="8"/>
      <c r="D456" s="8"/>
      <c r="E456" s="8"/>
      <c r="F456" s="8"/>
    </row>
    <row r="457" spans="1:6" x14ac:dyDescent="0.2">
      <c r="A457" s="8"/>
      <c r="B457" s="8"/>
      <c r="C457" s="8"/>
      <c r="D457" s="8"/>
      <c r="E457" s="8"/>
      <c r="F457" s="8"/>
    </row>
    <row r="458" spans="1:6" x14ac:dyDescent="0.2">
      <c r="A458" s="8"/>
      <c r="B458" s="8"/>
      <c r="C458" s="8"/>
      <c r="D458" s="8"/>
      <c r="E458" s="8"/>
      <c r="F458" s="8"/>
    </row>
    <row r="459" spans="1:6" x14ac:dyDescent="0.2">
      <c r="A459" s="8"/>
      <c r="B459" s="8"/>
      <c r="C459" s="8"/>
      <c r="D459" s="8"/>
      <c r="E459" s="8"/>
      <c r="F459" s="8"/>
    </row>
    <row r="460" spans="1:6" x14ac:dyDescent="0.2">
      <c r="A460" s="8"/>
      <c r="B460" s="8"/>
      <c r="C460" s="8"/>
      <c r="D460" s="8"/>
      <c r="E460" s="8"/>
      <c r="F460" s="8"/>
    </row>
    <row r="461" spans="1:6" x14ac:dyDescent="0.2">
      <c r="A461" s="8"/>
      <c r="B461" s="8"/>
      <c r="C461" s="8"/>
      <c r="D461" s="8"/>
      <c r="E461" s="8"/>
      <c r="F461" s="8"/>
    </row>
    <row r="462" spans="1:6" x14ac:dyDescent="0.2">
      <c r="A462" s="8"/>
      <c r="B462" s="8"/>
      <c r="C462" s="8"/>
      <c r="D462" s="8"/>
      <c r="E462" s="8"/>
      <c r="F462" s="8"/>
    </row>
    <row r="463" spans="1:6" x14ac:dyDescent="0.2">
      <c r="A463" s="8"/>
      <c r="B463" s="8"/>
      <c r="C463" s="8"/>
      <c r="D463" s="8"/>
      <c r="E463" s="8"/>
      <c r="F463" s="8"/>
    </row>
    <row r="464" spans="1:6" x14ac:dyDescent="0.2">
      <c r="A464" s="8"/>
      <c r="B464" s="8"/>
      <c r="C464" s="8"/>
      <c r="D464" s="8"/>
      <c r="E464" s="8"/>
      <c r="F464" s="8"/>
    </row>
    <row r="465" spans="1:6" x14ac:dyDescent="0.2">
      <c r="A465" s="8"/>
      <c r="B465" s="8"/>
      <c r="C465" s="8"/>
      <c r="D465" s="8"/>
      <c r="E465" s="8"/>
      <c r="F465" s="8"/>
    </row>
    <row r="466" spans="1:6" x14ac:dyDescent="0.2">
      <c r="A466" s="8"/>
      <c r="B466" s="8"/>
      <c r="C466" s="8"/>
      <c r="D466" s="8"/>
      <c r="E466" s="8"/>
      <c r="F466" s="8"/>
    </row>
    <row r="467" spans="1:6" x14ac:dyDescent="0.2">
      <c r="A467" s="8"/>
      <c r="B467" s="8"/>
      <c r="C467" s="8"/>
      <c r="D467" s="8"/>
      <c r="E467" s="8"/>
      <c r="F467" s="8"/>
    </row>
    <row r="468" spans="1:6" x14ac:dyDescent="0.2">
      <c r="A468" s="8"/>
      <c r="B468" s="8"/>
      <c r="C468" s="8"/>
      <c r="D468" s="8"/>
      <c r="E468" s="8"/>
      <c r="F468" s="8"/>
    </row>
    <row r="469" spans="1:6" x14ac:dyDescent="0.2">
      <c r="A469" s="8"/>
      <c r="B469" s="8"/>
      <c r="C469" s="8"/>
      <c r="D469" s="8"/>
      <c r="E469" s="8"/>
      <c r="F469" s="8"/>
    </row>
    <row r="470" spans="1:6" x14ac:dyDescent="0.2">
      <c r="A470" s="8"/>
      <c r="B470" s="8"/>
      <c r="C470" s="8"/>
      <c r="D470" s="8"/>
      <c r="E470" s="8"/>
      <c r="F470" s="8"/>
    </row>
    <row r="471" spans="1:6" x14ac:dyDescent="0.2">
      <c r="A471" s="8"/>
      <c r="B471" s="8"/>
      <c r="C471" s="8"/>
      <c r="D471" s="8"/>
      <c r="E471" s="8"/>
      <c r="F471" s="8"/>
    </row>
    <row r="472" spans="1:6" x14ac:dyDescent="0.2">
      <c r="A472" s="8"/>
      <c r="B472" s="8"/>
      <c r="C472" s="8"/>
      <c r="D472" s="8"/>
      <c r="E472" s="8"/>
      <c r="F472" s="8"/>
    </row>
    <row r="473" spans="1:6" x14ac:dyDescent="0.2">
      <c r="A473" s="8"/>
      <c r="B473" s="8"/>
      <c r="C473" s="8"/>
      <c r="D473" s="8"/>
      <c r="E473" s="8"/>
      <c r="F473" s="8"/>
    </row>
    <row r="474" spans="1:6" x14ac:dyDescent="0.2">
      <c r="A474" s="8"/>
      <c r="B474" s="8"/>
      <c r="C474" s="8"/>
      <c r="D474" s="8"/>
      <c r="E474" s="8"/>
      <c r="F474" s="8"/>
    </row>
    <row r="475" spans="1:6" x14ac:dyDescent="0.2">
      <c r="A475" s="8"/>
      <c r="B475" s="8"/>
      <c r="C475" s="8"/>
      <c r="D475" s="8"/>
      <c r="E475" s="8"/>
      <c r="F475" s="8"/>
    </row>
    <row r="476" spans="1:6" x14ac:dyDescent="0.2">
      <c r="A476" s="8"/>
      <c r="B476" s="8"/>
      <c r="C476" s="8"/>
      <c r="D476" s="8"/>
      <c r="E476" s="8"/>
      <c r="F476" s="8"/>
    </row>
    <row r="477" spans="1:6" x14ac:dyDescent="0.2">
      <c r="A477" s="8"/>
      <c r="B477" s="8"/>
      <c r="C477" s="8"/>
      <c r="D477" s="8"/>
      <c r="E477" s="8"/>
      <c r="F477" s="8"/>
    </row>
    <row r="478" spans="1:6" x14ac:dyDescent="0.2">
      <c r="A478" s="8"/>
      <c r="B478" s="8"/>
      <c r="C478" s="8"/>
      <c r="D478" s="8"/>
      <c r="E478" s="8"/>
      <c r="F478" s="8"/>
    </row>
    <row r="479" spans="1:6" x14ac:dyDescent="0.2">
      <c r="A479" s="8"/>
      <c r="B479" s="8"/>
      <c r="C479" s="8"/>
      <c r="D479" s="8"/>
      <c r="E479" s="8"/>
      <c r="F479" s="8"/>
    </row>
    <row r="480" spans="1:6" x14ac:dyDescent="0.2">
      <c r="A480" s="8"/>
      <c r="B480" s="8"/>
      <c r="C480" s="8"/>
      <c r="D480" s="8"/>
      <c r="E480" s="8"/>
      <c r="F480" s="8"/>
    </row>
    <row r="481" spans="1:6" x14ac:dyDescent="0.2">
      <c r="A481" s="8"/>
      <c r="B481" s="8"/>
      <c r="C481" s="8"/>
      <c r="D481" s="8"/>
      <c r="E481" s="8"/>
      <c r="F481" s="8"/>
    </row>
    <row r="482" spans="1:6" x14ac:dyDescent="0.2">
      <c r="A482" s="8"/>
      <c r="B482" s="8"/>
      <c r="C482" s="8"/>
      <c r="D482" s="8"/>
      <c r="E482" s="8"/>
      <c r="F482" s="8"/>
    </row>
    <row r="483" spans="1:6" x14ac:dyDescent="0.2">
      <c r="A483" s="8"/>
      <c r="B483" s="8"/>
      <c r="C483" s="8"/>
      <c r="D483" s="8"/>
      <c r="E483" s="8"/>
      <c r="F483" s="8"/>
    </row>
    <row r="484" spans="1:6" x14ac:dyDescent="0.2">
      <c r="A484" s="8"/>
      <c r="B484" s="8"/>
      <c r="C484" s="8"/>
      <c r="D484" s="8"/>
      <c r="E484" s="8"/>
      <c r="F484" s="8"/>
    </row>
    <row r="485" spans="1:6" x14ac:dyDescent="0.2">
      <c r="A485" s="8"/>
      <c r="B485" s="8"/>
      <c r="C485" s="8"/>
      <c r="D485" s="8"/>
      <c r="E485" s="8"/>
      <c r="F485" s="8"/>
    </row>
    <row r="486" spans="1:6" x14ac:dyDescent="0.2">
      <c r="A486" s="8"/>
      <c r="B486" s="8"/>
      <c r="C486" s="8"/>
      <c r="D486" s="8"/>
      <c r="E486" s="8"/>
      <c r="F486" s="8"/>
    </row>
    <row r="487" spans="1:6" x14ac:dyDescent="0.2">
      <c r="A487" s="8"/>
      <c r="B487" s="8"/>
      <c r="C487" s="8"/>
      <c r="D487" s="8"/>
      <c r="E487" s="8"/>
      <c r="F487" s="8"/>
    </row>
    <row r="488" spans="1:6" x14ac:dyDescent="0.2">
      <c r="A488" s="8"/>
      <c r="B488" s="8"/>
      <c r="C488" s="8"/>
      <c r="D488" s="8"/>
      <c r="E488" s="8"/>
      <c r="F488" s="8"/>
    </row>
    <row r="489" spans="1:6" x14ac:dyDescent="0.2">
      <c r="A489" s="8"/>
      <c r="B489" s="8"/>
      <c r="C489" s="8"/>
      <c r="D489" s="8"/>
      <c r="E489" s="8"/>
      <c r="F489" s="8"/>
    </row>
    <row r="490" spans="1:6" x14ac:dyDescent="0.2">
      <c r="A490" s="8"/>
      <c r="B490" s="8"/>
      <c r="C490" s="8"/>
      <c r="D490" s="8"/>
      <c r="E490" s="8"/>
      <c r="F490" s="8"/>
    </row>
    <row r="491" spans="1:6" x14ac:dyDescent="0.2">
      <c r="A491" s="8"/>
      <c r="B491" s="8"/>
      <c r="C491" s="8"/>
      <c r="D491" s="8"/>
      <c r="E491" s="8"/>
      <c r="F491" s="8"/>
    </row>
    <row r="492" spans="1:6" x14ac:dyDescent="0.2">
      <c r="A492" s="8"/>
      <c r="B492" s="8"/>
      <c r="C492" s="8"/>
      <c r="D492" s="8"/>
      <c r="E492" s="8"/>
      <c r="F492" s="8"/>
    </row>
    <row r="493" spans="1:6" x14ac:dyDescent="0.2">
      <c r="A493" s="8"/>
      <c r="B493" s="8"/>
      <c r="C493" s="8"/>
      <c r="D493" s="8"/>
      <c r="E493" s="8"/>
      <c r="F493" s="8"/>
    </row>
    <row r="494" spans="1:6" x14ac:dyDescent="0.2">
      <c r="A494" s="8"/>
      <c r="B494" s="8"/>
      <c r="C494" s="8"/>
      <c r="D494" s="8"/>
      <c r="E494" s="8"/>
      <c r="F494" s="8"/>
    </row>
    <row r="495" spans="1:6" x14ac:dyDescent="0.2">
      <c r="A495" s="8"/>
      <c r="B495" s="8"/>
      <c r="C495" s="8"/>
      <c r="D495" s="8"/>
      <c r="E495" s="8"/>
      <c r="F495" s="8"/>
    </row>
    <row r="496" spans="1:6" x14ac:dyDescent="0.2">
      <c r="A496" s="8"/>
      <c r="B496" s="8"/>
      <c r="C496" s="8"/>
      <c r="D496" s="8"/>
      <c r="E496" s="8"/>
      <c r="F496" s="8"/>
    </row>
    <row r="497" spans="1:6" x14ac:dyDescent="0.2">
      <c r="A497" s="8"/>
      <c r="B497" s="8"/>
      <c r="C497" s="8"/>
      <c r="D497" s="8"/>
      <c r="E497" s="8"/>
      <c r="F497" s="8"/>
    </row>
    <row r="498" spans="1:6" x14ac:dyDescent="0.2">
      <c r="A498" s="8"/>
      <c r="B498" s="8"/>
      <c r="C498" s="8"/>
      <c r="D498" s="8"/>
      <c r="E498" s="8"/>
      <c r="F498" s="8"/>
    </row>
    <row r="499" spans="1:6" x14ac:dyDescent="0.2">
      <c r="A499" s="8"/>
      <c r="B499" s="8"/>
      <c r="C499" s="8"/>
      <c r="D499" s="8"/>
      <c r="E499" s="8"/>
      <c r="F499" s="8"/>
    </row>
    <row r="500" spans="1:6" x14ac:dyDescent="0.2">
      <c r="A500" s="8"/>
      <c r="B500" s="8"/>
      <c r="C500" s="8"/>
      <c r="D500" s="8"/>
      <c r="E500" s="8"/>
      <c r="F500" s="8"/>
    </row>
    <row r="501" spans="1:6" x14ac:dyDescent="0.2">
      <c r="A501" s="8"/>
      <c r="B501" s="8"/>
      <c r="C501" s="8"/>
      <c r="D501" s="8"/>
      <c r="E501" s="8"/>
      <c r="F501" s="8"/>
    </row>
    <row r="502" spans="1:6" x14ac:dyDescent="0.2">
      <c r="A502" s="8"/>
      <c r="B502" s="8"/>
      <c r="C502" s="8"/>
      <c r="D502" s="8"/>
      <c r="E502" s="8"/>
      <c r="F502" s="8"/>
    </row>
    <row r="503" spans="1:6" x14ac:dyDescent="0.2">
      <c r="A503" s="8"/>
      <c r="B503" s="8"/>
      <c r="C503" s="8"/>
      <c r="D503" s="8"/>
      <c r="E503" s="8"/>
      <c r="F503" s="8"/>
    </row>
    <row r="504" spans="1:6" x14ac:dyDescent="0.2">
      <c r="A504" s="8"/>
      <c r="B504" s="8"/>
      <c r="C504" s="8"/>
      <c r="D504" s="8"/>
      <c r="E504" s="8"/>
      <c r="F504" s="8"/>
    </row>
    <row r="505" spans="1:6" x14ac:dyDescent="0.2">
      <c r="A505" s="8"/>
      <c r="B505" s="8"/>
      <c r="C505" s="8"/>
      <c r="D505" s="8"/>
      <c r="E505" s="8"/>
      <c r="F505" s="8"/>
    </row>
    <row r="506" spans="1:6" x14ac:dyDescent="0.2">
      <c r="A506" s="8"/>
      <c r="B506" s="8"/>
      <c r="C506" s="8"/>
      <c r="D506" s="8"/>
      <c r="E506" s="8"/>
      <c r="F506" s="8"/>
    </row>
    <row r="507" spans="1:6" x14ac:dyDescent="0.2">
      <c r="A507" s="8"/>
      <c r="B507" s="8"/>
      <c r="C507" s="8"/>
      <c r="D507" s="8"/>
      <c r="E507" s="8"/>
      <c r="F507" s="8"/>
    </row>
    <row r="508" spans="1:6" x14ac:dyDescent="0.2">
      <c r="A508" s="8"/>
      <c r="B508" s="8"/>
      <c r="C508" s="8"/>
      <c r="D508" s="8"/>
      <c r="E508" s="8"/>
      <c r="F508" s="8"/>
    </row>
    <row r="509" spans="1:6" x14ac:dyDescent="0.2">
      <c r="A509" s="8"/>
      <c r="B509" s="8"/>
      <c r="C509" s="8"/>
      <c r="D509" s="8"/>
      <c r="E509" s="8"/>
      <c r="F509" s="8"/>
    </row>
    <row r="510" spans="1:6" x14ac:dyDescent="0.2">
      <c r="A510" s="8"/>
      <c r="B510" s="8"/>
      <c r="C510" s="8"/>
      <c r="D510" s="8"/>
      <c r="E510" s="8"/>
      <c r="F510" s="8"/>
    </row>
    <row r="511" spans="1:6" x14ac:dyDescent="0.2">
      <c r="A511" s="8"/>
      <c r="B511" s="8"/>
      <c r="C511" s="8"/>
      <c r="D511" s="8"/>
      <c r="E511" s="8"/>
      <c r="F511" s="8"/>
    </row>
    <row r="512" spans="1:6" x14ac:dyDescent="0.2">
      <c r="A512" s="8"/>
      <c r="B512" s="8"/>
      <c r="C512" s="8"/>
      <c r="D512" s="8"/>
      <c r="E512" s="8"/>
      <c r="F512" s="8"/>
    </row>
    <row r="513" spans="1:6" x14ac:dyDescent="0.2">
      <c r="A513" s="8"/>
      <c r="B513" s="8"/>
      <c r="C513" s="8"/>
      <c r="D513" s="8"/>
      <c r="E513" s="8"/>
      <c r="F513" s="8"/>
    </row>
    <row r="514" spans="1:6" x14ac:dyDescent="0.2">
      <c r="A514" s="8"/>
      <c r="B514" s="8"/>
      <c r="C514" s="8"/>
      <c r="D514" s="8"/>
      <c r="E514" s="8"/>
      <c r="F514" s="8"/>
    </row>
    <row r="515" spans="1:6" x14ac:dyDescent="0.2">
      <c r="A515" s="8"/>
      <c r="B515" s="8"/>
      <c r="C515" s="8"/>
      <c r="D515" s="8"/>
      <c r="E515" s="8"/>
      <c r="F515" s="8"/>
    </row>
    <row r="516" spans="1:6" x14ac:dyDescent="0.2">
      <c r="A516" s="8"/>
      <c r="B516" s="8"/>
      <c r="C516" s="8"/>
      <c r="D516" s="8"/>
      <c r="E516" s="8"/>
      <c r="F516" s="8"/>
    </row>
    <row r="517" spans="1:6" x14ac:dyDescent="0.2">
      <c r="A517" s="8"/>
      <c r="B517" s="8"/>
      <c r="C517" s="8"/>
      <c r="D517" s="8"/>
      <c r="E517" s="8"/>
      <c r="F517" s="8"/>
    </row>
    <row r="518" spans="1:6" x14ac:dyDescent="0.2">
      <c r="A518" s="8"/>
      <c r="B518" s="8"/>
      <c r="C518" s="8"/>
      <c r="D518" s="8"/>
      <c r="E518" s="8"/>
      <c r="F518" s="8"/>
    </row>
    <row r="519" spans="1:6" x14ac:dyDescent="0.2">
      <c r="A519" s="8"/>
      <c r="B519" s="8"/>
      <c r="C519" s="8"/>
      <c r="D519" s="8"/>
      <c r="E519" s="8"/>
      <c r="F519" s="8"/>
    </row>
    <row r="520" spans="1:6" x14ac:dyDescent="0.2">
      <c r="A520" s="8"/>
      <c r="B520" s="8"/>
      <c r="C520" s="8"/>
      <c r="D520" s="8"/>
      <c r="E520" s="8"/>
      <c r="F520" s="8"/>
    </row>
    <row r="521" spans="1:6" x14ac:dyDescent="0.2">
      <c r="A521" s="8"/>
      <c r="B521" s="8"/>
      <c r="C521" s="8"/>
      <c r="D521" s="8"/>
      <c r="E521" s="8"/>
      <c r="F521" s="8"/>
    </row>
    <row r="522" spans="1:6" x14ac:dyDescent="0.2">
      <c r="A522" s="8"/>
      <c r="B522" s="8"/>
      <c r="C522" s="8"/>
      <c r="D522" s="8"/>
      <c r="E522" s="8"/>
      <c r="F522" s="8"/>
    </row>
    <row r="523" spans="1:6" x14ac:dyDescent="0.2">
      <c r="A523" s="8"/>
      <c r="B523" s="8"/>
      <c r="C523" s="8"/>
      <c r="D523" s="8"/>
      <c r="E523" s="8"/>
      <c r="F523" s="8"/>
    </row>
    <row r="524" spans="1:6" x14ac:dyDescent="0.2">
      <c r="A524" s="8"/>
      <c r="B524" s="8"/>
      <c r="C524" s="8"/>
      <c r="D524" s="8"/>
      <c r="E524" s="8"/>
      <c r="F524" s="8"/>
    </row>
    <row r="525" spans="1:6" x14ac:dyDescent="0.2">
      <c r="A525" s="8"/>
      <c r="B525" s="8"/>
      <c r="C525" s="8"/>
      <c r="D525" s="8"/>
      <c r="E525" s="8"/>
      <c r="F525" s="8"/>
    </row>
    <row r="526" spans="1:6" x14ac:dyDescent="0.2">
      <c r="A526" s="8"/>
      <c r="B526" s="8"/>
      <c r="C526" s="8"/>
      <c r="D526" s="8"/>
      <c r="E526" s="8"/>
      <c r="F526" s="8"/>
    </row>
    <row r="527" spans="1:6" x14ac:dyDescent="0.2">
      <c r="A527" s="8"/>
      <c r="B527" s="8"/>
      <c r="C527" s="8"/>
      <c r="D527" s="8"/>
      <c r="E527" s="8"/>
      <c r="F527" s="8"/>
    </row>
    <row r="528" spans="1:6" x14ac:dyDescent="0.2">
      <c r="A528" s="8"/>
      <c r="B528" s="8"/>
      <c r="C528" s="8"/>
      <c r="D528" s="8"/>
      <c r="E528" s="8"/>
      <c r="F528" s="8"/>
    </row>
    <row r="529" spans="1:6" x14ac:dyDescent="0.2">
      <c r="A529" s="8"/>
      <c r="B529" s="8"/>
      <c r="C529" s="8"/>
      <c r="D529" s="8"/>
      <c r="E529" s="8"/>
      <c r="F529" s="8"/>
    </row>
    <row r="530" spans="1:6" x14ac:dyDescent="0.2">
      <c r="A530" s="8"/>
      <c r="B530" s="8"/>
      <c r="C530" s="8"/>
      <c r="D530" s="8"/>
      <c r="E530" s="8"/>
      <c r="F530" s="8"/>
    </row>
    <row r="531" spans="1:6" x14ac:dyDescent="0.2">
      <c r="A531" s="8"/>
      <c r="B531" s="8"/>
      <c r="C531" s="8"/>
      <c r="D531" s="8"/>
      <c r="E531" s="8"/>
      <c r="F531" s="8"/>
    </row>
    <row r="532" spans="1:6" x14ac:dyDescent="0.2">
      <c r="A532" s="8"/>
      <c r="B532" s="8"/>
      <c r="C532" s="8"/>
      <c r="D532" s="8"/>
      <c r="E532" s="8"/>
      <c r="F532" s="8"/>
    </row>
    <row r="533" spans="1:6" x14ac:dyDescent="0.2">
      <c r="A533" s="8"/>
      <c r="B533" s="8"/>
      <c r="C533" s="8"/>
      <c r="D533" s="8"/>
      <c r="E533" s="8"/>
      <c r="F533" s="8"/>
    </row>
    <row r="534" spans="1:6" x14ac:dyDescent="0.2">
      <c r="A534" s="8"/>
      <c r="B534" s="8"/>
      <c r="C534" s="8"/>
      <c r="D534" s="8"/>
      <c r="E534" s="8"/>
      <c r="F534" s="8"/>
    </row>
    <row r="535" spans="1:6" x14ac:dyDescent="0.2">
      <c r="A535" s="8"/>
      <c r="B535" s="8"/>
      <c r="C535" s="8"/>
      <c r="D535" s="8"/>
      <c r="E535" s="8"/>
      <c r="F535" s="8"/>
    </row>
    <row r="536" spans="1:6" x14ac:dyDescent="0.2">
      <c r="A536" s="8"/>
      <c r="B536" s="8"/>
      <c r="C536" s="8"/>
      <c r="D536" s="8"/>
      <c r="E536" s="8"/>
      <c r="F536" s="8"/>
    </row>
    <row r="537" spans="1:6" x14ac:dyDescent="0.2">
      <c r="A537" s="8"/>
      <c r="B537" s="8"/>
      <c r="C537" s="8"/>
      <c r="D537" s="8"/>
      <c r="E537" s="8"/>
      <c r="F537" s="8"/>
    </row>
    <row r="538" spans="1:6" x14ac:dyDescent="0.2">
      <c r="A538" s="8"/>
      <c r="B538" s="8"/>
      <c r="C538" s="8"/>
      <c r="D538" s="8"/>
      <c r="E538" s="8"/>
      <c r="F538" s="8"/>
    </row>
    <row r="539" spans="1:6" x14ac:dyDescent="0.2">
      <c r="A539" s="8"/>
      <c r="B539" s="8"/>
      <c r="C539" s="8"/>
      <c r="D539" s="8"/>
      <c r="E539" s="8"/>
      <c r="F539" s="8"/>
    </row>
    <row r="540" spans="1:6" x14ac:dyDescent="0.2">
      <c r="A540" s="8"/>
      <c r="B540" s="8"/>
      <c r="C540" s="8"/>
      <c r="D540" s="8"/>
      <c r="E540" s="8"/>
      <c r="F540" s="8"/>
    </row>
    <row r="541" spans="1:6" x14ac:dyDescent="0.2">
      <c r="A541" s="8"/>
      <c r="B541" s="8"/>
      <c r="C541" s="8"/>
      <c r="D541" s="8"/>
      <c r="E541" s="8"/>
      <c r="F541" s="8"/>
    </row>
    <row r="542" spans="1:6" x14ac:dyDescent="0.2">
      <c r="A542" s="8"/>
      <c r="B542" s="8"/>
      <c r="C542" s="8"/>
      <c r="D542" s="8"/>
      <c r="E542" s="8"/>
      <c r="F542" s="8"/>
    </row>
    <row r="543" spans="1:6" x14ac:dyDescent="0.2">
      <c r="A543" s="8"/>
      <c r="B543" s="8"/>
      <c r="C543" s="8"/>
      <c r="D543" s="8"/>
      <c r="E543" s="8"/>
      <c r="F543" s="8"/>
    </row>
    <row r="544" spans="1:6" x14ac:dyDescent="0.2">
      <c r="A544" s="8"/>
      <c r="B544" s="8"/>
      <c r="C544" s="8"/>
      <c r="D544" s="8"/>
      <c r="E544" s="8"/>
      <c r="F544" s="8"/>
    </row>
    <row r="545" spans="1:6" x14ac:dyDescent="0.2">
      <c r="A545" s="8"/>
      <c r="B545" s="8"/>
      <c r="C545" s="8"/>
      <c r="D545" s="8"/>
      <c r="E545" s="8"/>
      <c r="F545" s="8"/>
    </row>
    <row r="546" spans="1:6" x14ac:dyDescent="0.2">
      <c r="A546" s="8"/>
      <c r="B546" s="8"/>
      <c r="C546" s="8"/>
      <c r="D546" s="8"/>
      <c r="E546" s="8"/>
      <c r="F546" s="8"/>
    </row>
    <row r="547" spans="1:6" x14ac:dyDescent="0.2">
      <c r="A547" s="8"/>
      <c r="B547" s="8"/>
      <c r="C547" s="8"/>
      <c r="D547" s="8"/>
      <c r="E547" s="8"/>
      <c r="F547" s="8"/>
    </row>
    <row r="548" spans="1:6" x14ac:dyDescent="0.2">
      <c r="A548" s="8"/>
      <c r="B548" s="8"/>
      <c r="C548" s="8"/>
      <c r="D548" s="8"/>
      <c r="E548" s="8"/>
      <c r="F548" s="8"/>
    </row>
    <row r="549" spans="1:6" x14ac:dyDescent="0.2">
      <c r="A549" s="8"/>
      <c r="B549" s="8"/>
      <c r="C549" s="8"/>
      <c r="D549" s="8"/>
      <c r="E549" s="8"/>
      <c r="F549" s="8"/>
    </row>
    <row r="550" spans="1:6" x14ac:dyDescent="0.2">
      <c r="A550" s="8"/>
      <c r="B550" s="8"/>
      <c r="C550" s="8"/>
      <c r="D550" s="8"/>
      <c r="E550" s="8"/>
      <c r="F550" s="8"/>
    </row>
    <row r="551" spans="1:6" x14ac:dyDescent="0.2">
      <c r="A551" s="8"/>
      <c r="B551" s="8"/>
      <c r="C551" s="8"/>
      <c r="D551" s="8"/>
      <c r="E551" s="8"/>
      <c r="F551" s="8"/>
    </row>
    <row r="552" spans="1:6" x14ac:dyDescent="0.2">
      <c r="A552" s="8"/>
      <c r="B552" s="8"/>
      <c r="C552" s="8"/>
      <c r="D552" s="8"/>
      <c r="E552" s="8"/>
      <c r="F552" s="8"/>
    </row>
    <row r="553" spans="1:6" x14ac:dyDescent="0.2">
      <c r="A553" s="8"/>
      <c r="B553" s="8"/>
      <c r="C553" s="8"/>
      <c r="D553" s="8"/>
      <c r="E553" s="8"/>
      <c r="F553" s="8"/>
    </row>
    <row r="554" spans="1:6" x14ac:dyDescent="0.2">
      <c r="A554" s="8"/>
      <c r="B554" s="8"/>
      <c r="C554" s="8"/>
      <c r="D554" s="8"/>
      <c r="E554" s="8"/>
      <c r="F554" s="8"/>
    </row>
    <row r="555" spans="1:6" x14ac:dyDescent="0.2">
      <c r="A555" s="8"/>
      <c r="B555" s="8"/>
      <c r="C555" s="8"/>
      <c r="D555" s="8"/>
      <c r="E555" s="8"/>
      <c r="F555" s="8"/>
    </row>
    <row r="556" spans="1:6" x14ac:dyDescent="0.2">
      <c r="A556" s="8"/>
      <c r="B556" s="8"/>
      <c r="C556" s="8"/>
      <c r="D556" s="8"/>
      <c r="E556" s="8"/>
      <c r="F556" s="8"/>
    </row>
    <row r="557" spans="1:6" x14ac:dyDescent="0.2">
      <c r="A557" s="8"/>
      <c r="B557" s="8"/>
      <c r="C557" s="8"/>
      <c r="D557" s="8"/>
      <c r="E557" s="8"/>
      <c r="F557" s="8"/>
    </row>
    <row r="558" spans="1:6" x14ac:dyDescent="0.2">
      <c r="A558" s="8"/>
      <c r="B558" s="8"/>
      <c r="C558" s="8"/>
      <c r="D558" s="8"/>
      <c r="E558" s="8"/>
      <c r="F558" s="8"/>
    </row>
    <row r="559" spans="1:6" x14ac:dyDescent="0.2">
      <c r="A559" s="8"/>
      <c r="B559" s="8"/>
      <c r="C559" s="8"/>
      <c r="D559" s="8"/>
      <c r="E559" s="8"/>
      <c r="F559" s="8"/>
    </row>
    <row r="560" spans="1:6" x14ac:dyDescent="0.2">
      <c r="A560" s="8"/>
      <c r="B560" s="8"/>
      <c r="C560" s="8"/>
      <c r="D560" s="8"/>
      <c r="E560" s="8"/>
      <c r="F560" s="8"/>
    </row>
    <row r="561" spans="1:6" x14ac:dyDescent="0.2">
      <c r="A561" s="8"/>
      <c r="B561" s="8"/>
      <c r="C561" s="8"/>
      <c r="D561" s="8"/>
      <c r="E561" s="8"/>
      <c r="F561" s="8"/>
    </row>
    <row r="562" spans="1:6" x14ac:dyDescent="0.2">
      <c r="A562" s="8"/>
      <c r="B562" s="8"/>
      <c r="C562" s="8"/>
      <c r="D562" s="8"/>
      <c r="E562" s="8"/>
      <c r="F562" s="8"/>
    </row>
    <row r="563" spans="1:6" x14ac:dyDescent="0.2">
      <c r="A563" s="8"/>
      <c r="B563" s="8"/>
      <c r="C563" s="8"/>
      <c r="D563" s="8"/>
      <c r="E563" s="8"/>
      <c r="F563" s="8"/>
    </row>
    <row r="564" spans="1:6" x14ac:dyDescent="0.2">
      <c r="A564" s="8"/>
      <c r="B564" s="8"/>
      <c r="C564" s="8"/>
      <c r="D564" s="8"/>
      <c r="E564" s="8"/>
      <c r="F564" s="8"/>
    </row>
    <row r="565" spans="1:6" x14ac:dyDescent="0.2">
      <c r="A565" s="8"/>
      <c r="B565" s="8"/>
      <c r="C565" s="8"/>
      <c r="D565" s="8"/>
      <c r="E565" s="8"/>
      <c r="F565" s="8"/>
    </row>
    <row r="566" spans="1:6" x14ac:dyDescent="0.2">
      <c r="A566" s="8"/>
      <c r="B566" s="8"/>
      <c r="C566" s="8"/>
      <c r="D566" s="8"/>
      <c r="E566" s="8"/>
      <c r="F566" s="8"/>
    </row>
    <row r="567" spans="1:6" x14ac:dyDescent="0.2">
      <c r="A567" s="8"/>
      <c r="B567" s="8"/>
      <c r="C567" s="8"/>
      <c r="D567" s="8"/>
      <c r="E567" s="8"/>
      <c r="F567" s="8"/>
    </row>
    <row r="568" spans="1:6" x14ac:dyDescent="0.2">
      <c r="A568" s="8"/>
      <c r="B568" s="8"/>
      <c r="C568" s="8"/>
      <c r="D568" s="8"/>
      <c r="E568" s="8"/>
      <c r="F568" s="8"/>
    </row>
    <row r="569" spans="1:6" x14ac:dyDescent="0.2">
      <c r="A569" s="8"/>
      <c r="B569" s="8"/>
      <c r="C569" s="8"/>
      <c r="D569" s="8"/>
      <c r="E569" s="8"/>
      <c r="F569" s="8"/>
    </row>
    <row r="570" spans="1:6" x14ac:dyDescent="0.2">
      <c r="A570" s="8"/>
      <c r="B570" s="8"/>
      <c r="C570" s="8"/>
      <c r="D570" s="8"/>
      <c r="E570" s="8"/>
      <c r="F570" s="8"/>
    </row>
    <row r="571" spans="1:6" x14ac:dyDescent="0.2">
      <c r="A571" s="8"/>
      <c r="B571" s="8"/>
      <c r="C571" s="8"/>
      <c r="D571" s="8"/>
      <c r="E571" s="8"/>
      <c r="F571" s="8"/>
    </row>
    <row r="572" spans="1:6" x14ac:dyDescent="0.2">
      <c r="A572" s="8"/>
      <c r="B572" s="8"/>
      <c r="C572" s="8"/>
      <c r="D572" s="8"/>
      <c r="E572" s="8"/>
      <c r="F572" s="8"/>
    </row>
    <row r="573" spans="1:6" x14ac:dyDescent="0.2">
      <c r="A573" s="8"/>
      <c r="B573" s="8"/>
      <c r="C573" s="8"/>
      <c r="D573" s="8"/>
      <c r="E573" s="8"/>
      <c r="F573" s="8"/>
    </row>
    <row r="574" spans="1:6" x14ac:dyDescent="0.2">
      <c r="A574" s="8"/>
      <c r="B574" s="8"/>
      <c r="C574" s="8"/>
      <c r="D574" s="8"/>
      <c r="E574" s="8"/>
      <c r="F574" s="8"/>
    </row>
    <row r="575" spans="1:6" x14ac:dyDescent="0.2">
      <c r="A575" s="8"/>
      <c r="B575" s="8"/>
      <c r="C575" s="8"/>
      <c r="D575" s="8"/>
      <c r="E575" s="8"/>
      <c r="F575" s="8"/>
    </row>
    <row r="576" spans="1:6" x14ac:dyDescent="0.2">
      <c r="A576" s="8"/>
      <c r="B576" s="8"/>
      <c r="C576" s="8"/>
      <c r="D576" s="8"/>
      <c r="E576" s="8"/>
      <c r="F576" s="8"/>
    </row>
    <row r="577" spans="1:6" x14ac:dyDescent="0.2">
      <c r="A577" s="8"/>
      <c r="B577" s="8"/>
      <c r="C577" s="8"/>
      <c r="D577" s="8"/>
      <c r="E577" s="8"/>
      <c r="F577" s="8"/>
    </row>
    <row r="578" spans="1:6" x14ac:dyDescent="0.2">
      <c r="A578" s="8"/>
      <c r="B578" s="8"/>
      <c r="C578" s="8"/>
      <c r="D578" s="8"/>
      <c r="E578" s="8"/>
      <c r="F578" s="8"/>
    </row>
    <row r="579" spans="1:6" x14ac:dyDescent="0.2">
      <c r="A579" s="8"/>
      <c r="B579" s="8"/>
      <c r="C579" s="8"/>
      <c r="D579" s="8"/>
      <c r="E579" s="8"/>
      <c r="F579" s="8"/>
    </row>
    <row r="580" spans="1:6" x14ac:dyDescent="0.2">
      <c r="A580" s="8"/>
      <c r="B580" s="8"/>
      <c r="C580" s="8"/>
      <c r="D580" s="8"/>
      <c r="E580" s="8"/>
      <c r="F580" s="8"/>
    </row>
    <row r="581" spans="1:6" x14ac:dyDescent="0.2">
      <c r="A581" s="8"/>
      <c r="B581" s="8"/>
      <c r="C581" s="8"/>
      <c r="D581" s="8"/>
      <c r="E581" s="8"/>
      <c r="F581" s="8"/>
    </row>
    <row r="582" spans="1:6" x14ac:dyDescent="0.2">
      <c r="A582" s="8"/>
      <c r="B582" s="8"/>
      <c r="C582" s="8"/>
      <c r="D582" s="8"/>
      <c r="E582" s="8"/>
      <c r="F582" s="8"/>
    </row>
    <row r="583" spans="1:6" x14ac:dyDescent="0.2">
      <c r="A583" s="8"/>
      <c r="B583" s="8"/>
      <c r="C583" s="8"/>
      <c r="D583" s="8"/>
      <c r="E583" s="8"/>
      <c r="F583" s="8"/>
    </row>
    <row r="584" spans="1:6" x14ac:dyDescent="0.2">
      <c r="A584" s="8"/>
      <c r="B584" s="8"/>
      <c r="C584" s="8"/>
      <c r="D584" s="8"/>
      <c r="E584" s="8"/>
      <c r="F584" s="8"/>
    </row>
    <row r="585" spans="1:6" x14ac:dyDescent="0.2">
      <c r="A585" s="8"/>
      <c r="B585" s="8"/>
      <c r="C585" s="8"/>
      <c r="D585" s="8"/>
      <c r="E585" s="8"/>
      <c r="F585" s="8"/>
    </row>
    <row r="586" spans="1:6" x14ac:dyDescent="0.2">
      <c r="A586" s="8"/>
      <c r="B586" s="8"/>
      <c r="C586" s="8"/>
      <c r="D586" s="8"/>
      <c r="E586" s="8"/>
      <c r="F586" s="8"/>
    </row>
    <row r="587" spans="1:6" x14ac:dyDescent="0.2">
      <c r="A587" s="8"/>
      <c r="B587" s="8"/>
      <c r="C587" s="8"/>
      <c r="D587" s="8"/>
      <c r="E587" s="8"/>
      <c r="F587" s="8"/>
    </row>
    <row r="588" spans="1:6" x14ac:dyDescent="0.2">
      <c r="A588" s="8"/>
      <c r="B588" s="8"/>
      <c r="C588" s="8"/>
      <c r="D588" s="8"/>
      <c r="E588" s="8"/>
      <c r="F588" s="8"/>
    </row>
    <row r="589" spans="1:6" x14ac:dyDescent="0.2">
      <c r="A589" s="8"/>
      <c r="B589" s="8"/>
      <c r="C589" s="8"/>
      <c r="D589" s="8"/>
      <c r="E589" s="8"/>
      <c r="F589" s="8"/>
    </row>
    <row r="590" spans="1:6" x14ac:dyDescent="0.2">
      <c r="A590" s="8"/>
      <c r="B590" s="8"/>
      <c r="C590" s="8"/>
      <c r="D590" s="8"/>
      <c r="E590" s="8"/>
      <c r="F590" s="8"/>
    </row>
    <row r="591" spans="1:6" x14ac:dyDescent="0.2">
      <c r="A591" s="8"/>
      <c r="B591" s="8"/>
      <c r="C591" s="8"/>
      <c r="D591" s="8"/>
      <c r="E591" s="8"/>
      <c r="F591" s="8"/>
    </row>
    <row r="592" spans="1:6" x14ac:dyDescent="0.2">
      <c r="A592" s="8"/>
      <c r="B592" s="8"/>
      <c r="C592" s="8"/>
      <c r="D592" s="8"/>
      <c r="E592" s="8"/>
      <c r="F592" s="8"/>
    </row>
    <row r="593" spans="1:6" x14ac:dyDescent="0.2">
      <c r="A593" s="8"/>
      <c r="B593" s="8"/>
      <c r="C593" s="8"/>
      <c r="D593" s="8"/>
      <c r="E593" s="8"/>
      <c r="F593" s="8"/>
    </row>
    <row r="594" spans="1:6" x14ac:dyDescent="0.2">
      <c r="A594" s="8"/>
      <c r="B594" s="8"/>
      <c r="C594" s="8"/>
      <c r="D594" s="8"/>
      <c r="E594" s="8"/>
      <c r="F594" s="8"/>
    </row>
    <row r="595" spans="1:6" x14ac:dyDescent="0.2">
      <c r="A595" s="8"/>
      <c r="B595" s="8"/>
      <c r="C595" s="8"/>
      <c r="D595" s="8"/>
      <c r="E595" s="8"/>
      <c r="F595" s="8"/>
    </row>
    <row r="596" spans="1:6" x14ac:dyDescent="0.2">
      <c r="A596" s="8"/>
      <c r="B596" s="8"/>
      <c r="C596" s="8"/>
      <c r="D596" s="8"/>
      <c r="E596" s="8"/>
      <c r="F596" s="8"/>
    </row>
    <row r="597" spans="1:6" x14ac:dyDescent="0.2">
      <c r="A597" s="8"/>
      <c r="B597" s="8"/>
      <c r="C597" s="8"/>
      <c r="D597" s="8"/>
      <c r="E597" s="8"/>
      <c r="F597" s="8"/>
    </row>
    <row r="598" spans="1:6" x14ac:dyDescent="0.2">
      <c r="A598" s="8"/>
      <c r="B598" s="8"/>
      <c r="C598" s="8"/>
      <c r="D598" s="8"/>
      <c r="E598" s="8"/>
      <c r="F598" s="8"/>
    </row>
    <row r="599" spans="1:6" x14ac:dyDescent="0.2">
      <c r="A599" s="8"/>
      <c r="B599" s="8"/>
      <c r="C599" s="8"/>
      <c r="D599" s="8"/>
      <c r="E599" s="8"/>
      <c r="F599" s="8"/>
    </row>
    <row r="600" spans="1:6" x14ac:dyDescent="0.2">
      <c r="A600" s="8"/>
      <c r="B600" s="8"/>
      <c r="C600" s="8"/>
      <c r="D600" s="8"/>
      <c r="E600" s="8"/>
      <c r="F600" s="8"/>
    </row>
    <row r="601" spans="1:6" x14ac:dyDescent="0.2">
      <c r="A601" s="8"/>
      <c r="B601" s="8"/>
      <c r="C601" s="8"/>
      <c r="D601" s="8"/>
      <c r="E601" s="8"/>
      <c r="F601" s="8"/>
    </row>
    <row r="602" spans="1:6" x14ac:dyDescent="0.2">
      <c r="A602" s="8"/>
      <c r="B602" s="8"/>
      <c r="C602" s="8"/>
      <c r="D602" s="8"/>
      <c r="E602" s="8"/>
      <c r="F602" s="8"/>
    </row>
    <row r="603" spans="1:6" x14ac:dyDescent="0.2">
      <c r="A603" s="8"/>
      <c r="B603" s="8"/>
      <c r="C603" s="8"/>
      <c r="D603" s="8"/>
      <c r="E603" s="8"/>
      <c r="F603" s="8"/>
    </row>
    <row r="604" spans="1:6" x14ac:dyDescent="0.2">
      <c r="A604" s="8"/>
      <c r="B604" s="8"/>
      <c r="C604" s="8"/>
      <c r="D604" s="8"/>
      <c r="E604" s="8"/>
      <c r="F604" s="8"/>
    </row>
    <row r="605" spans="1:6" x14ac:dyDescent="0.2">
      <c r="A605" s="8"/>
      <c r="B605" s="8"/>
      <c r="C605" s="8"/>
      <c r="D605" s="8"/>
      <c r="E605" s="8"/>
      <c r="F605" s="8"/>
    </row>
    <row r="606" spans="1:6" x14ac:dyDescent="0.2">
      <c r="A606" s="8"/>
      <c r="B606" s="8"/>
      <c r="C606" s="8"/>
      <c r="D606" s="8"/>
      <c r="E606" s="8"/>
      <c r="F606" s="8"/>
    </row>
    <row r="607" spans="1:6" x14ac:dyDescent="0.2">
      <c r="A607" s="8"/>
      <c r="B607" s="8"/>
      <c r="C607" s="8"/>
      <c r="D607" s="8"/>
      <c r="E607" s="8"/>
      <c r="F607" s="8"/>
    </row>
    <row r="608" spans="1:6" x14ac:dyDescent="0.2">
      <c r="A608" s="8"/>
      <c r="B608" s="8"/>
      <c r="C608" s="8"/>
      <c r="D608" s="8"/>
      <c r="E608" s="8"/>
      <c r="F608" s="8"/>
    </row>
    <row r="609" spans="1:6" x14ac:dyDescent="0.2">
      <c r="A609" s="8"/>
      <c r="B609" s="8"/>
      <c r="C609" s="8"/>
      <c r="D609" s="8"/>
      <c r="E609" s="8"/>
      <c r="F609" s="8"/>
    </row>
    <row r="610" spans="1:6" x14ac:dyDescent="0.2">
      <c r="A610" s="8"/>
      <c r="B610" s="8"/>
      <c r="C610" s="8"/>
      <c r="D610" s="8"/>
      <c r="E610" s="8"/>
      <c r="F610" s="8"/>
    </row>
    <row r="611" spans="1:6" x14ac:dyDescent="0.2">
      <c r="A611" s="8"/>
      <c r="B611" s="8"/>
      <c r="C611" s="8"/>
      <c r="D611" s="8"/>
      <c r="E611" s="8"/>
      <c r="F611" s="8"/>
    </row>
    <row r="612" spans="1:6" x14ac:dyDescent="0.2">
      <c r="A612" s="8"/>
      <c r="B612" s="8"/>
      <c r="C612" s="8"/>
      <c r="D612" s="8"/>
      <c r="E612" s="8"/>
      <c r="F612" s="8"/>
    </row>
    <row r="613" spans="1:6" x14ac:dyDescent="0.2">
      <c r="A613" s="8"/>
      <c r="B613" s="8"/>
      <c r="C613" s="8"/>
      <c r="D613" s="8"/>
      <c r="E613" s="8"/>
      <c r="F613" s="8"/>
    </row>
    <row r="614" spans="1:6" x14ac:dyDescent="0.2">
      <c r="A614" s="8"/>
      <c r="B614" s="8"/>
      <c r="C614" s="8"/>
      <c r="D614" s="8"/>
      <c r="E614" s="8"/>
      <c r="F614" s="8"/>
    </row>
    <row r="615" spans="1:6" x14ac:dyDescent="0.2">
      <c r="A615" s="8"/>
      <c r="B615" s="8"/>
      <c r="C615" s="8"/>
      <c r="D615" s="8"/>
      <c r="E615" s="8"/>
      <c r="F615" s="8"/>
    </row>
    <row r="616" spans="1:6" x14ac:dyDescent="0.2">
      <c r="A616" s="8"/>
      <c r="B616" s="8"/>
      <c r="C616" s="8"/>
      <c r="D616" s="8"/>
      <c r="E616" s="8"/>
      <c r="F616" s="8"/>
    </row>
    <row r="617" spans="1:6" x14ac:dyDescent="0.2">
      <c r="A617" s="8"/>
      <c r="B617" s="8"/>
      <c r="C617" s="8"/>
      <c r="D617" s="8"/>
      <c r="E617" s="8"/>
      <c r="F617" s="8"/>
    </row>
    <row r="618" spans="1:6" x14ac:dyDescent="0.2">
      <c r="A618" s="8"/>
      <c r="B618" s="8"/>
      <c r="C618" s="8"/>
      <c r="D618" s="8"/>
      <c r="E618" s="8"/>
      <c r="F618" s="8"/>
    </row>
    <row r="619" spans="1:6" x14ac:dyDescent="0.2">
      <c r="A619" s="8"/>
      <c r="B619" s="8"/>
      <c r="C619" s="8"/>
      <c r="D619" s="8"/>
      <c r="E619" s="8"/>
      <c r="F619" s="8"/>
    </row>
    <row r="620" spans="1:6" x14ac:dyDescent="0.2">
      <c r="A620" s="8"/>
      <c r="B620" s="8"/>
      <c r="C620" s="8"/>
      <c r="D620" s="8"/>
      <c r="E620" s="8"/>
      <c r="F620" s="8"/>
    </row>
    <row r="621" spans="1:6" x14ac:dyDescent="0.2">
      <c r="A621" s="8"/>
      <c r="B621" s="8"/>
      <c r="C621" s="8"/>
      <c r="D621" s="8"/>
      <c r="E621" s="8"/>
      <c r="F621" s="8"/>
    </row>
    <row r="622" spans="1:6" x14ac:dyDescent="0.2">
      <c r="A622" s="8"/>
      <c r="B622" s="8"/>
      <c r="C622" s="8"/>
      <c r="D622" s="8"/>
      <c r="E622" s="8"/>
      <c r="F622" s="8"/>
    </row>
    <row r="623" spans="1:6" x14ac:dyDescent="0.2">
      <c r="A623" s="8"/>
      <c r="B623" s="8"/>
      <c r="C623" s="8"/>
      <c r="D623" s="8"/>
      <c r="E623" s="8"/>
      <c r="F623" s="8"/>
    </row>
    <row r="624" spans="1:6" x14ac:dyDescent="0.2">
      <c r="A624" s="8"/>
      <c r="B624" s="8"/>
      <c r="C624" s="8"/>
      <c r="D624" s="8"/>
      <c r="E624" s="8"/>
      <c r="F624" s="8"/>
    </row>
    <row r="625" spans="1:6" x14ac:dyDescent="0.2">
      <c r="A625" s="8"/>
      <c r="B625" s="8"/>
      <c r="C625" s="8"/>
      <c r="D625" s="8"/>
      <c r="E625" s="8"/>
      <c r="F625" s="8"/>
    </row>
    <row r="626" spans="1:6" x14ac:dyDescent="0.2">
      <c r="A626" s="8"/>
      <c r="B626" s="8"/>
      <c r="C626" s="8"/>
      <c r="D626" s="8"/>
      <c r="E626" s="8"/>
      <c r="F626" s="8"/>
    </row>
    <row r="627" spans="1:6" x14ac:dyDescent="0.2">
      <c r="A627" s="8"/>
      <c r="B627" s="8"/>
      <c r="C627" s="8"/>
      <c r="D627" s="8"/>
      <c r="E627" s="8"/>
      <c r="F627" s="8"/>
    </row>
    <row r="628" spans="1:6" x14ac:dyDescent="0.2">
      <c r="A628" s="8"/>
      <c r="B628" s="8"/>
      <c r="C628" s="8"/>
      <c r="D628" s="8"/>
      <c r="E628" s="8"/>
      <c r="F628" s="8"/>
    </row>
    <row r="629" spans="1:6" x14ac:dyDescent="0.2">
      <c r="A629" s="8"/>
      <c r="B629" s="8"/>
      <c r="C629" s="8"/>
      <c r="D629" s="8"/>
      <c r="E629" s="8"/>
      <c r="F629" s="8"/>
    </row>
    <row r="630" spans="1:6" x14ac:dyDescent="0.2">
      <c r="A630" s="8"/>
      <c r="B630" s="8"/>
      <c r="C630" s="8"/>
      <c r="D630" s="8"/>
      <c r="E630" s="8"/>
      <c r="F630" s="8"/>
    </row>
    <row r="631" spans="1:6" x14ac:dyDescent="0.2">
      <c r="A631" s="8"/>
      <c r="B631" s="8"/>
      <c r="C631" s="8"/>
      <c r="D631" s="8"/>
      <c r="E631" s="8"/>
      <c r="F631" s="8"/>
    </row>
    <row r="632" spans="1:6" x14ac:dyDescent="0.2">
      <c r="A632" s="8"/>
      <c r="B632" s="8"/>
      <c r="C632" s="8"/>
      <c r="D632" s="8"/>
      <c r="E632" s="8"/>
      <c r="F632" s="8"/>
    </row>
    <row r="633" spans="1:6" x14ac:dyDescent="0.2">
      <c r="A633" s="8"/>
      <c r="B633" s="8"/>
      <c r="C633" s="8"/>
      <c r="D633" s="8"/>
      <c r="E633" s="8"/>
      <c r="F633" s="8"/>
    </row>
    <row r="634" spans="1:6" x14ac:dyDescent="0.2">
      <c r="A634" s="8"/>
      <c r="B634" s="8"/>
      <c r="C634" s="8"/>
      <c r="D634" s="8"/>
      <c r="E634" s="8"/>
      <c r="F634" s="8"/>
    </row>
    <row r="635" spans="1:6" x14ac:dyDescent="0.2">
      <c r="A635" s="8"/>
      <c r="B635" s="8"/>
      <c r="C635" s="8"/>
      <c r="D635" s="8"/>
      <c r="E635" s="8"/>
      <c r="F635" s="8"/>
    </row>
    <row r="636" spans="1:6" x14ac:dyDescent="0.2">
      <c r="A636" s="8"/>
      <c r="B636" s="8"/>
      <c r="C636" s="8"/>
      <c r="D636" s="8"/>
      <c r="E636" s="8"/>
      <c r="F636" s="8"/>
    </row>
    <row r="637" spans="1:6" x14ac:dyDescent="0.2">
      <c r="A637" s="8"/>
      <c r="B637" s="8"/>
      <c r="C637" s="8"/>
      <c r="D637" s="8"/>
      <c r="E637" s="8"/>
      <c r="F637" s="8"/>
    </row>
    <row r="638" spans="1:6" x14ac:dyDescent="0.2">
      <c r="A638" s="8"/>
      <c r="B638" s="8"/>
      <c r="C638" s="8"/>
      <c r="D638" s="8"/>
      <c r="E638" s="8"/>
      <c r="F638" s="8"/>
    </row>
    <row r="639" spans="1:6" x14ac:dyDescent="0.2">
      <c r="A639" s="8"/>
      <c r="B639" s="8"/>
      <c r="C639" s="8"/>
      <c r="D639" s="8"/>
      <c r="E639" s="8"/>
      <c r="F639" s="8"/>
    </row>
    <row r="640" spans="1:6" x14ac:dyDescent="0.2">
      <c r="A640" s="8"/>
      <c r="B640" s="8"/>
      <c r="C640" s="8"/>
      <c r="D640" s="8"/>
      <c r="E640" s="8"/>
      <c r="F640" s="8"/>
    </row>
    <row r="641" spans="1:6" x14ac:dyDescent="0.2">
      <c r="A641" s="8"/>
      <c r="B641" s="8"/>
      <c r="C641" s="8"/>
      <c r="D641" s="8"/>
      <c r="E641" s="8"/>
      <c r="F641" s="8"/>
    </row>
    <row r="642" spans="1:6" x14ac:dyDescent="0.2">
      <c r="A642" s="8"/>
      <c r="B642" s="8"/>
      <c r="C642" s="8"/>
      <c r="D642" s="8"/>
      <c r="E642" s="8"/>
      <c r="F642" s="8"/>
    </row>
    <row r="643" spans="1:6" x14ac:dyDescent="0.2">
      <c r="A643" s="8"/>
      <c r="B643" s="8"/>
      <c r="C643" s="8"/>
      <c r="D643" s="8"/>
      <c r="E643" s="8"/>
      <c r="F643" s="8"/>
    </row>
    <row r="644" spans="1:6" x14ac:dyDescent="0.2">
      <c r="A644" s="8"/>
      <c r="B644" s="8"/>
      <c r="C644" s="8"/>
      <c r="D644" s="8"/>
      <c r="E644" s="8"/>
      <c r="F644" s="8"/>
    </row>
    <row r="645" spans="1:6" x14ac:dyDescent="0.2">
      <c r="A645" s="8"/>
      <c r="B645" s="8"/>
      <c r="C645" s="8"/>
      <c r="D645" s="8"/>
      <c r="E645" s="8"/>
      <c r="F645" s="8"/>
    </row>
    <row r="646" spans="1:6" x14ac:dyDescent="0.2">
      <c r="A646" s="8"/>
      <c r="B646" s="8"/>
      <c r="C646" s="8"/>
      <c r="D646" s="8"/>
      <c r="E646" s="8"/>
      <c r="F646" s="8"/>
    </row>
    <row r="647" spans="1:6" x14ac:dyDescent="0.2">
      <c r="A647" s="8"/>
      <c r="B647" s="8"/>
      <c r="C647" s="8"/>
      <c r="D647" s="8"/>
      <c r="E647" s="8"/>
      <c r="F647" s="8"/>
    </row>
    <row r="648" spans="1:6" x14ac:dyDescent="0.2">
      <c r="A648" s="8"/>
      <c r="B648" s="8"/>
      <c r="C648" s="8"/>
      <c r="D648" s="8"/>
      <c r="E648" s="8"/>
      <c r="F648" s="8"/>
    </row>
    <row r="649" spans="1:6" x14ac:dyDescent="0.2">
      <c r="A649" s="8"/>
      <c r="B649" s="8"/>
      <c r="C649" s="8"/>
      <c r="D649" s="8"/>
      <c r="E649" s="8"/>
      <c r="F649" s="8"/>
    </row>
    <row r="650" spans="1:6" x14ac:dyDescent="0.2">
      <c r="A650" s="8"/>
      <c r="B650" s="8"/>
      <c r="C650" s="8"/>
      <c r="D650" s="8"/>
      <c r="E650" s="8"/>
      <c r="F650" s="8"/>
    </row>
    <row r="651" spans="1:6" x14ac:dyDescent="0.2">
      <c r="A651" s="8"/>
      <c r="B651" s="8"/>
      <c r="C651" s="8"/>
      <c r="D651" s="8"/>
      <c r="E651" s="8"/>
      <c r="F651" s="8"/>
    </row>
    <row r="652" spans="1:6" x14ac:dyDescent="0.2">
      <c r="A652" s="8"/>
      <c r="B652" s="8"/>
      <c r="C652" s="8"/>
      <c r="D652" s="8"/>
      <c r="E652" s="8"/>
      <c r="F652" s="8"/>
    </row>
    <row r="653" spans="1:6" x14ac:dyDescent="0.2">
      <c r="A653" s="8"/>
      <c r="B653" s="8"/>
      <c r="C653" s="8"/>
      <c r="D653" s="8"/>
      <c r="E653" s="8"/>
      <c r="F653" s="8"/>
    </row>
    <row r="654" spans="1:6" x14ac:dyDescent="0.2">
      <c r="A654" s="8"/>
      <c r="B654" s="8"/>
      <c r="C654" s="8"/>
      <c r="D654" s="8"/>
      <c r="E654" s="8"/>
      <c r="F654" s="8"/>
    </row>
    <row r="655" spans="1:6" x14ac:dyDescent="0.2">
      <c r="A655" s="8"/>
      <c r="B655" s="8"/>
      <c r="C655" s="8"/>
      <c r="D655" s="8"/>
      <c r="E655" s="8"/>
      <c r="F655" s="8"/>
    </row>
    <row r="656" spans="1:6" x14ac:dyDescent="0.2">
      <c r="A656" s="8"/>
      <c r="B656" s="8"/>
      <c r="C656" s="8"/>
      <c r="D656" s="8"/>
      <c r="E656" s="8"/>
      <c r="F656" s="8"/>
    </row>
    <row r="657" spans="1:6" x14ac:dyDescent="0.2">
      <c r="A657" s="8"/>
      <c r="B657" s="8"/>
      <c r="C657" s="8"/>
      <c r="D657" s="8"/>
      <c r="E657" s="8"/>
      <c r="F657" s="8"/>
    </row>
    <row r="658" spans="1:6" x14ac:dyDescent="0.2">
      <c r="A658" s="8"/>
      <c r="B658" s="8"/>
      <c r="C658" s="8"/>
      <c r="D658" s="8"/>
      <c r="E658" s="8"/>
      <c r="F658" s="8"/>
    </row>
    <row r="659" spans="1:6" x14ac:dyDescent="0.2">
      <c r="A659" s="8"/>
      <c r="B659" s="8"/>
      <c r="C659" s="8"/>
      <c r="D659" s="8"/>
      <c r="E659" s="8"/>
      <c r="F659" s="8"/>
    </row>
    <row r="660" spans="1:6" x14ac:dyDescent="0.2">
      <c r="A660" s="8"/>
      <c r="B660" s="8"/>
      <c r="C660" s="8"/>
      <c r="D660" s="8"/>
      <c r="E660" s="8"/>
      <c r="F660" s="8"/>
    </row>
    <row r="661" spans="1:6" x14ac:dyDescent="0.2">
      <c r="A661" s="8"/>
      <c r="B661" s="8"/>
      <c r="C661" s="8"/>
      <c r="D661" s="8"/>
      <c r="E661" s="8"/>
      <c r="F661" s="8"/>
    </row>
    <row r="662" spans="1:6" x14ac:dyDescent="0.2">
      <c r="A662" s="8"/>
      <c r="B662" s="8"/>
      <c r="C662" s="8"/>
      <c r="D662" s="8"/>
      <c r="E662" s="8"/>
      <c r="F662" s="8"/>
    </row>
    <row r="663" spans="1:6" x14ac:dyDescent="0.2">
      <c r="A663" s="8"/>
      <c r="B663" s="8"/>
      <c r="C663" s="8"/>
      <c r="D663" s="8"/>
      <c r="E663" s="8"/>
      <c r="F663" s="8"/>
    </row>
    <row r="664" spans="1:6" x14ac:dyDescent="0.2">
      <c r="A664" s="8"/>
      <c r="B664" s="8"/>
      <c r="C664" s="8"/>
      <c r="D664" s="8"/>
      <c r="E664" s="8"/>
      <c r="F664" s="8"/>
    </row>
    <row r="665" spans="1:6" x14ac:dyDescent="0.2">
      <c r="A665" s="8"/>
      <c r="B665" s="8"/>
      <c r="C665" s="8"/>
      <c r="D665" s="8"/>
      <c r="E665" s="8"/>
      <c r="F665" s="8"/>
    </row>
    <row r="666" spans="1:6" x14ac:dyDescent="0.2">
      <c r="A666" s="8"/>
      <c r="B666" s="8"/>
      <c r="C666" s="8"/>
      <c r="D666" s="8"/>
      <c r="E666" s="8"/>
      <c r="F666" s="8"/>
    </row>
    <row r="667" spans="1:6" x14ac:dyDescent="0.2">
      <c r="A667" s="8"/>
      <c r="B667" s="8"/>
      <c r="C667" s="8"/>
      <c r="D667" s="8"/>
      <c r="E667" s="8"/>
      <c r="F667" s="8"/>
    </row>
    <row r="668" spans="1:6" x14ac:dyDescent="0.2">
      <c r="A668" s="8"/>
      <c r="B668" s="8"/>
      <c r="C668" s="8"/>
      <c r="D668" s="8"/>
      <c r="E668" s="8"/>
      <c r="F668" s="8"/>
    </row>
    <row r="669" spans="1:6" x14ac:dyDescent="0.2">
      <c r="A669" s="8"/>
      <c r="B669" s="8"/>
      <c r="C669" s="8"/>
      <c r="D669" s="8"/>
      <c r="E669" s="8"/>
      <c r="F669" s="8"/>
    </row>
    <row r="670" spans="1:6" x14ac:dyDescent="0.2">
      <c r="A670" s="8"/>
      <c r="B670" s="8"/>
      <c r="C670" s="8"/>
      <c r="D670" s="8"/>
      <c r="E670" s="8"/>
      <c r="F670" s="8"/>
    </row>
    <row r="671" spans="1:6" x14ac:dyDescent="0.2">
      <c r="A671" s="8"/>
      <c r="B671" s="8"/>
      <c r="C671" s="8"/>
      <c r="D671" s="8"/>
      <c r="E671" s="8"/>
      <c r="F671" s="8"/>
    </row>
    <row r="672" spans="1:6" x14ac:dyDescent="0.2">
      <c r="A672" s="8"/>
      <c r="B672" s="8"/>
      <c r="C672" s="8"/>
      <c r="D672" s="8"/>
      <c r="E672" s="8"/>
      <c r="F672" s="8"/>
    </row>
    <row r="673" spans="1:6" x14ac:dyDescent="0.2">
      <c r="A673" s="8"/>
      <c r="B673" s="8"/>
      <c r="C673" s="8"/>
      <c r="D673" s="8"/>
      <c r="E673" s="8"/>
      <c r="F673" s="8"/>
    </row>
    <row r="674" spans="1:6" x14ac:dyDescent="0.2">
      <c r="A674" s="8"/>
      <c r="B674" s="8"/>
      <c r="C674" s="8"/>
      <c r="D674" s="8"/>
      <c r="E674" s="8"/>
      <c r="F674" s="8"/>
    </row>
    <row r="675" spans="1:6" x14ac:dyDescent="0.2">
      <c r="A675" s="8"/>
      <c r="B675" s="8"/>
      <c r="C675" s="8"/>
      <c r="D675" s="8"/>
      <c r="E675" s="8"/>
      <c r="F675" s="8"/>
    </row>
    <row r="676" spans="1:6" x14ac:dyDescent="0.2">
      <c r="A676" s="8"/>
      <c r="B676" s="8"/>
      <c r="C676" s="8"/>
      <c r="D676" s="8"/>
      <c r="E676" s="8"/>
      <c r="F676" s="8"/>
    </row>
    <row r="677" spans="1:6" x14ac:dyDescent="0.2">
      <c r="A677" s="8"/>
      <c r="B677" s="8"/>
      <c r="C677" s="8"/>
      <c r="D677" s="8"/>
      <c r="E677" s="8"/>
      <c r="F677" s="8"/>
    </row>
    <row r="678" spans="1:6" x14ac:dyDescent="0.2">
      <c r="A678" s="8"/>
      <c r="B678" s="8"/>
      <c r="C678" s="8"/>
      <c r="D678" s="8"/>
      <c r="E678" s="8"/>
      <c r="F678" s="8"/>
    </row>
    <row r="679" spans="1:6" x14ac:dyDescent="0.2">
      <c r="A679" s="8"/>
      <c r="B679" s="8"/>
      <c r="C679" s="8"/>
      <c r="D679" s="8"/>
      <c r="E679" s="8"/>
      <c r="F679" s="8"/>
    </row>
    <row r="680" spans="1:6" x14ac:dyDescent="0.2">
      <c r="A680" s="8"/>
      <c r="B680" s="8"/>
      <c r="C680" s="8"/>
      <c r="D680" s="8"/>
      <c r="E680" s="8"/>
      <c r="F680" s="8"/>
    </row>
    <row r="681" spans="1:6" x14ac:dyDescent="0.2">
      <c r="A681" s="8"/>
      <c r="B681" s="8"/>
      <c r="C681" s="8"/>
      <c r="D681" s="8"/>
      <c r="E681" s="8"/>
      <c r="F681" s="8"/>
    </row>
    <row r="682" spans="1:6" x14ac:dyDescent="0.2">
      <c r="A682" s="8"/>
      <c r="B682" s="8"/>
      <c r="C682" s="8"/>
      <c r="D682" s="8"/>
      <c r="E682" s="8"/>
      <c r="F682" s="8"/>
    </row>
    <row r="683" spans="1:6" x14ac:dyDescent="0.2">
      <c r="A683" s="8"/>
      <c r="B683" s="8"/>
      <c r="C683" s="8"/>
      <c r="D683" s="8"/>
      <c r="E683" s="8"/>
      <c r="F683" s="8"/>
    </row>
    <row r="684" spans="1:6" x14ac:dyDescent="0.2">
      <c r="A684" s="8"/>
      <c r="B684" s="8"/>
      <c r="C684" s="8"/>
      <c r="D684" s="8"/>
      <c r="E684" s="8"/>
      <c r="F684" s="8"/>
    </row>
    <row r="685" spans="1:6" x14ac:dyDescent="0.2">
      <c r="A685" s="8"/>
      <c r="B685" s="8"/>
      <c r="C685" s="8"/>
      <c r="D685" s="8"/>
      <c r="E685" s="8"/>
      <c r="F685" s="8"/>
    </row>
    <row r="686" spans="1:6" x14ac:dyDescent="0.2">
      <c r="A686" s="8"/>
      <c r="B686" s="8"/>
      <c r="C686" s="8"/>
      <c r="D686" s="8"/>
      <c r="E686" s="8"/>
      <c r="F686" s="8"/>
    </row>
    <row r="687" spans="1:6" x14ac:dyDescent="0.2">
      <c r="A687" s="8"/>
      <c r="B687" s="8"/>
      <c r="C687" s="8"/>
      <c r="D687" s="8"/>
      <c r="E687" s="8"/>
      <c r="F687" s="8"/>
    </row>
    <row r="688" spans="1:6" x14ac:dyDescent="0.2">
      <c r="A688" s="8"/>
      <c r="B688" s="8"/>
      <c r="C688" s="8"/>
      <c r="D688" s="8"/>
      <c r="E688" s="8"/>
      <c r="F688" s="8"/>
    </row>
    <row r="689" spans="1:6" x14ac:dyDescent="0.2">
      <c r="A689" s="8"/>
      <c r="B689" s="8"/>
      <c r="C689" s="8"/>
      <c r="D689" s="8"/>
      <c r="E689" s="8"/>
      <c r="F689" s="8"/>
    </row>
    <row r="690" spans="1:6" x14ac:dyDescent="0.2">
      <c r="A690" s="8"/>
      <c r="B690" s="8"/>
      <c r="C690" s="8"/>
      <c r="D690" s="8"/>
      <c r="E690" s="8"/>
      <c r="F690" s="8"/>
    </row>
    <row r="691" spans="1:6" x14ac:dyDescent="0.2">
      <c r="A691" s="8"/>
      <c r="B691" s="8"/>
      <c r="C691" s="8"/>
      <c r="D691" s="8"/>
      <c r="E691" s="8"/>
      <c r="F691" s="8"/>
    </row>
    <row r="692" spans="1:6" x14ac:dyDescent="0.2">
      <c r="A692" s="8"/>
      <c r="B692" s="8"/>
      <c r="C692" s="8"/>
      <c r="D692" s="8"/>
      <c r="E692" s="8"/>
      <c r="F692" s="8"/>
    </row>
    <row r="693" spans="1:6" x14ac:dyDescent="0.2">
      <c r="A693" s="8"/>
      <c r="B693" s="8"/>
      <c r="C693" s="8"/>
      <c r="D693" s="8"/>
      <c r="E693" s="8"/>
      <c r="F693" s="8"/>
    </row>
    <row r="694" spans="1:6" x14ac:dyDescent="0.2">
      <c r="A694" s="8"/>
      <c r="B694" s="8"/>
      <c r="C694" s="8"/>
      <c r="D694" s="8"/>
      <c r="E694" s="8"/>
      <c r="F694" s="8"/>
    </row>
    <row r="695" spans="1:6" x14ac:dyDescent="0.2">
      <c r="A695" s="8"/>
      <c r="B695" s="8"/>
      <c r="C695" s="8"/>
      <c r="D695" s="8"/>
      <c r="E695" s="8"/>
      <c r="F695" s="8"/>
    </row>
    <row r="696" spans="1:6" x14ac:dyDescent="0.2">
      <c r="A696" s="8"/>
      <c r="B696" s="8"/>
      <c r="C696" s="8"/>
      <c r="D696" s="8"/>
      <c r="E696" s="8"/>
      <c r="F696" s="8"/>
    </row>
    <row r="697" spans="1:6" x14ac:dyDescent="0.2">
      <c r="A697" s="8"/>
      <c r="B697" s="8"/>
      <c r="C697" s="8"/>
      <c r="D697" s="8"/>
      <c r="E697" s="8"/>
      <c r="F697" s="8"/>
    </row>
    <row r="698" spans="1:6" x14ac:dyDescent="0.2">
      <c r="A698" s="8"/>
      <c r="B698" s="8"/>
      <c r="C698" s="8"/>
      <c r="D698" s="8"/>
      <c r="E698" s="8"/>
      <c r="F698" s="8"/>
    </row>
    <row r="699" spans="1:6" x14ac:dyDescent="0.2">
      <c r="A699" s="8"/>
      <c r="B699" s="8"/>
      <c r="C699" s="8"/>
      <c r="D699" s="8"/>
      <c r="E699" s="8"/>
      <c r="F699" s="8"/>
    </row>
    <row r="700" spans="1:6" x14ac:dyDescent="0.2">
      <c r="A700" s="8"/>
      <c r="B700" s="8"/>
      <c r="C700" s="8"/>
      <c r="D700" s="8"/>
      <c r="E700" s="8"/>
      <c r="F700" s="8"/>
    </row>
    <row r="701" spans="1:6" x14ac:dyDescent="0.2">
      <c r="A701" s="8"/>
      <c r="B701" s="8"/>
      <c r="C701" s="8"/>
      <c r="D701" s="8"/>
      <c r="E701" s="8"/>
      <c r="F701" s="8"/>
    </row>
    <row r="702" spans="1:6" x14ac:dyDescent="0.2">
      <c r="A702" s="8"/>
      <c r="B702" s="8"/>
      <c r="C702" s="8"/>
      <c r="D702" s="8"/>
      <c r="E702" s="8"/>
      <c r="F702" s="8"/>
    </row>
    <row r="703" spans="1:6" x14ac:dyDescent="0.2">
      <c r="A703" s="8"/>
      <c r="B703" s="8"/>
      <c r="C703" s="8"/>
      <c r="D703" s="8"/>
      <c r="E703" s="8"/>
      <c r="F703" s="8"/>
    </row>
    <row r="704" spans="1:6" x14ac:dyDescent="0.2">
      <c r="A704" s="8"/>
      <c r="B704" s="8"/>
      <c r="C704" s="8"/>
      <c r="D704" s="8"/>
      <c r="E704" s="8"/>
      <c r="F704" s="8"/>
    </row>
    <row r="705" spans="1:6" x14ac:dyDescent="0.2">
      <c r="A705" s="8"/>
      <c r="B705" s="8"/>
      <c r="C705" s="8"/>
      <c r="D705" s="8"/>
      <c r="E705" s="8"/>
      <c r="F705" s="8"/>
    </row>
    <row r="706" spans="1:6" x14ac:dyDescent="0.2">
      <c r="A706" s="8"/>
      <c r="B706" s="8"/>
      <c r="C706" s="8"/>
      <c r="D706" s="8"/>
      <c r="E706" s="8"/>
      <c r="F706" s="8"/>
    </row>
    <row r="707" spans="1:6" x14ac:dyDescent="0.2">
      <c r="A707" s="8"/>
      <c r="B707" s="8"/>
      <c r="C707" s="8"/>
      <c r="D707" s="8"/>
      <c r="E707" s="8"/>
      <c r="F707" s="8"/>
    </row>
    <row r="708" spans="1:6" x14ac:dyDescent="0.2">
      <c r="A708" s="8"/>
      <c r="B708" s="8"/>
      <c r="C708" s="8"/>
      <c r="D708" s="8"/>
      <c r="E708" s="8"/>
      <c r="F708" s="8"/>
    </row>
    <row r="709" spans="1:6" x14ac:dyDescent="0.2">
      <c r="A709" s="8"/>
      <c r="B709" s="8"/>
      <c r="C709" s="8"/>
      <c r="D709" s="8"/>
      <c r="E709" s="8"/>
      <c r="F709" s="8"/>
    </row>
    <row r="710" spans="1:6" x14ac:dyDescent="0.2">
      <c r="A710" s="8"/>
      <c r="B710" s="8"/>
      <c r="C710" s="8"/>
      <c r="D710" s="8"/>
      <c r="E710" s="8"/>
      <c r="F710" s="8"/>
    </row>
    <row r="711" spans="1:6" x14ac:dyDescent="0.2">
      <c r="A711" s="8"/>
      <c r="B711" s="8"/>
      <c r="C711" s="8"/>
      <c r="D711" s="8"/>
      <c r="E711" s="8"/>
      <c r="F711" s="8"/>
    </row>
    <row r="712" spans="1:6" x14ac:dyDescent="0.2">
      <c r="A712" s="8"/>
      <c r="B712" s="8"/>
      <c r="C712" s="8"/>
      <c r="D712" s="8"/>
      <c r="E712" s="8"/>
      <c r="F712" s="8"/>
    </row>
    <row r="713" spans="1:6" x14ac:dyDescent="0.2">
      <c r="A713" s="8"/>
      <c r="B713" s="8"/>
      <c r="C713" s="8"/>
      <c r="D713" s="8"/>
      <c r="E713" s="8"/>
      <c r="F713" s="8"/>
    </row>
    <row r="714" spans="1:6" x14ac:dyDescent="0.2">
      <c r="A714" s="8"/>
      <c r="B714" s="8"/>
      <c r="C714" s="8"/>
      <c r="D714" s="8"/>
      <c r="E714" s="8"/>
      <c r="F714" s="8"/>
    </row>
    <row r="715" spans="1:6" x14ac:dyDescent="0.2">
      <c r="A715" s="8"/>
      <c r="B715" s="8"/>
      <c r="C715" s="8"/>
      <c r="D715" s="8"/>
      <c r="E715" s="8"/>
      <c r="F715" s="8"/>
    </row>
    <row r="716" spans="1:6" x14ac:dyDescent="0.2">
      <c r="A716" s="8"/>
      <c r="B716" s="8"/>
      <c r="C716" s="8"/>
      <c r="D716" s="8"/>
      <c r="E716" s="8"/>
      <c r="F716" s="8"/>
    </row>
    <row r="717" spans="1:6" x14ac:dyDescent="0.2">
      <c r="A717" s="8"/>
      <c r="B717" s="8"/>
      <c r="C717" s="8"/>
      <c r="D717" s="8"/>
      <c r="E717" s="8"/>
      <c r="F717" s="8"/>
    </row>
    <row r="718" spans="1:6" x14ac:dyDescent="0.2">
      <c r="A718" s="8"/>
      <c r="B718" s="8"/>
      <c r="C718" s="8"/>
      <c r="D718" s="8"/>
      <c r="E718" s="8"/>
      <c r="F718" s="8"/>
    </row>
    <row r="719" spans="1:6" x14ac:dyDescent="0.2">
      <c r="A719" s="8"/>
      <c r="B719" s="8"/>
      <c r="C719" s="8"/>
      <c r="D719" s="8"/>
      <c r="E719" s="8"/>
      <c r="F719" s="8"/>
    </row>
    <row r="720" spans="1:6" x14ac:dyDescent="0.2">
      <c r="A720" s="8"/>
      <c r="B720" s="8"/>
      <c r="C720" s="8"/>
      <c r="D720" s="8"/>
      <c r="E720" s="8"/>
      <c r="F720" s="8"/>
    </row>
    <row r="721" spans="1:6" x14ac:dyDescent="0.2">
      <c r="A721" s="8"/>
      <c r="B721" s="8"/>
      <c r="C721" s="8"/>
      <c r="D721" s="8"/>
      <c r="E721" s="8"/>
      <c r="F721" s="8"/>
    </row>
    <row r="722" spans="1:6" x14ac:dyDescent="0.2">
      <c r="A722" s="8"/>
      <c r="B722" s="8"/>
      <c r="C722" s="8"/>
      <c r="D722" s="8"/>
      <c r="E722" s="8"/>
      <c r="F722" s="8"/>
    </row>
    <row r="723" spans="1:6" x14ac:dyDescent="0.2">
      <c r="A723" s="8"/>
      <c r="B723" s="8"/>
      <c r="C723" s="8"/>
      <c r="D723" s="8"/>
      <c r="E723" s="8"/>
      <c r="F723" s="8"/>
    </row>
    <row r="724" spans="1:6" x14ac:dyDescent="0.2">
      <c r="A724" s="8"/>
      <c r="B724" s="8"/>
      <c r="C724" s="8"/>
      <c r="D724" s="8"/>
      <c r="E724" s="8"/>
      <c r="F724" s="8"/>
    </row>
    <row r="725" spans="1:6" x14ac:dyDescent="0.2">
      <c r="A725" s="8"/>
      <c r="B725" s="8"/>
      <c r="C725" s="8"/>
      <c r="D725" s="8"/>
      <c r="E725" s="8"/>
      <c r="F725" s="8"/>
    </row>
    <row r="726" spans="1:6" x14ac:dyDescent="0.2">
      <c r="A726" s="8"/>
      <c r="B726" s="8"/>
      <c r="C726" s="8"/>
      <c r="D726" s="8"/>
      <c r="E726" s="8"/>
      <c r="F726" s="8"/>
    </row>
    <row r="727" spans="1:6" x14ac:dyDescent="0.2">
      <c r="A727" s="8"/>
      <c r="B727" s="8"/>
      <c r="C727" s="8"/>
      <c r="D727" s="8"/>
      <c r="E727" s="8"/>
      <c r="F727" s="8"/>
    </row>
    <row r="728" spans="1:6" x14ac:dyDescent="0.2">
      <c r="A728" s="8"/>
      <c r="B728" s="8"/>
      <c r="C728" s="8"/>
      <c r="D728" s="8"/>
      <c r="E728" s="8"/>
      <c r="F728" s="8"/>
    </row>
    <row r="729" spans="1:6" x14ac:dyDescent="0.2">
      <c r="A729" s="8"/>
      <c r="B729" s="8"/>
      <c r="C729" s="8"/>
      <c r="D729" s="8"/>
      <c r="E729" s="8"/>
      <c r="F729" s="8"/>
    </row>
    <row r="730" spans="1:6" x14ac:dyDescent="0.2">
      <c r="A730" s="8"/>
      <c r="B730" s="8"/>
      <c r="C730" s="8"/>
      <c r="D730" s="8"/>
      <c r="E730" s="8"/>
      <c r="F730" s="8"/>
    </row>
    <row r="731" spans="1:6" x14ac:dyDescent="0.2">
      <c r="A731" s="8"/>
      <c r="B731" s="8"/>
      <c r="C731" s="8"/>
      <c r="D731" s="8"/>
      <c r="E731" s="8"/>
      <c r="F731" s="8"/>
    </row>
    <row r="732" spans="1:6" x14ac:dyDescent="0.2">
      <c r="A732" s="8"/>
      <c r="B732" s="8"/>
      <c r="C732" s="8"/>
      <c r="D732" s="8"/>
      <c r="E732" s="8"/>
      <c r="F732" s="8"/>
    </row>
    <row r="733" spans="1:6" x14ac:dyDescent="0.2">
      <c r="A733" s="8"/>
      <c r="B733" s="8"/>
      <c r="C733" s="8"/>
      <c r="D733" s="8"/>
      <c r="E733" s="8"/>
      <c r="F733" s="8"/>
    </row>
    <row r="734" spans="1:6" x14ac:dyDescent="0.2">
      <c r="A734" s="8"/>
      <c r="B734" s="8"/>
      <c r="C734" s="8"/>
      <c r="D734" s="8"/>
      <c r="E734" s="8"/>
      <c r="F734" s="8"/>
    </row>
    <row r="735" spans="1:6" x14ac:dyDescent="0.2">
      <c r="A735" s="8"/>
      <c r="B735" s="8"/>
      <c r="C735" s="8"/>
      <c r="D735" s="8"/>
      <c r="E735" s="8"/>
      <c r="F735" s="8"/>
    </row>
    <row r="736" spans="1:6" x14ac:dyDescent="0.2">
      <c r="A736" s="8"/>
      <c r="B736" s="8"/>
      <c r="C736" s="8"/>
      <c r="D736" s="8"/>
      <c r="E736" s="8"/>
      <c r="F736" s="8"/>
    </row>
    <row r="737" spans="1:6" x14ac:dyDescent="0.2">
      <c r="A737" s="8"/>
      <c r="B737" s="8"/>
      <c r="C737" s="8"/>
      <c r="D737" s="8"/>
      <c r="E737" s="8"/>
      <c r="F737" s="8"/>
    </row>
    <row r="738" spans="1:6" x14ac:dyDescent="0.2">
      <c r="A738" s="8"/>
      <c r="B738" s="8"/>
      <c r="C738" s="8"/>
      <c r="D738" s="8"/>
      <c r="E738" s="8"/>
      <c r="F738" s="8"/>
    </row>
    <row r="739" spans="1:6" x14ac:dyDescent="0.2">
      <c r="A739" s="8"/>
      <c r="B739" s="8"/>
      <c r="C739" s="8"/>
      <c r="D739" s="8"/>
      <c r="E739" s="8"/>
      <c r="F739" s="8"/>
    </row>
    <row r="740" spans="1:6" x14ac:dyDescent="0.2">
      <c r="A740" s="8"/>
      <c r="B740" s="8"/>
      <c r="C740" s="8"/>
      <c r="D740" s="8"/>
      <c r="E740" s="8"/>
      <c r="F740" s="8"/>
    </row>
    <row r="741" spans="1:6" x14ac:dyDescent="0.2">
      <c r="A741" s="8"/>
      <c r="B741" s="8"/>
      <c r="C741" s="8"/>
      <c r="D741" s="8"/>
      <c r="E741" s="8"/>
      <c r="F741" s="8"/>
    </row>
    <row r="742" spans="1:6" x14ac:dyDescent="0.2">
      <c r="A742" s="8"/>
      <c r="B742" s="8"/>
      <c r="C742" s="8"/>
      <c r="D742" s="8"/>
      <c r="E742" s="8"/>
      <c r="F742" s="8"/>
    </row>
    <row r="743" spans="1:6" x14ac:dyDescent="0.2">
      <c r="A743" s="8"/>
      <c r="B743" s="8"/>
      <c r="C743" s="8"/>
      <c r="D743" s="8"/>
      <c r="E743" s="8"/>
      <c r="F743" s="8"/>
    </row>
    <row r="744" spans="1:6" x14ac:dyDescent="0.2">
      <c r="A744" s="8"/>
      <c r="B744" s="8"/>
      <c r="C744" s="8"/>
      <c r="D744" s="8"/>
      <c r="E744" s="8"/>
      <c r="F744" s="8"/>
    </row>
    <row r="745" spans="1:6" x14ac:dyDescent="0.2">
      <c r="A745" s="8"/>
      <c r="B745" s="8"/>
      <c r="C745" s="8"/>
      <c r="D745" s="8"/>
      <c r="E745" s="8"/>
      <c r="F745" s="8"/>
    </row>
    <row r="746" spans="1:6" x14ac:dyDescent="0.2">
      <c r="A746" s="8"/>
      <c r="B746" s="8"/>
      <c r="C746" s="8"/>
      <c r="D746" s="8"/>
      <c r="E746" s="8"/>
      <c r="F746" s="8"/>
    </row>
    <row r="747" spans="1:6" x14ac:dyDescent="0.2">
      <c r="A747" s="8"/>
      <c r="B747" s="8"/>
      <c r="C747" s="8"/>
      <c r="D747" s="8"/>
      <c r="E747" s="8"/>
      <c r="F747" s="8"/>
    </row>
    <row r="748" spans="1:6" x14ac:dyDescent="0.2">
      <c r="A748" s="8"/>
      <c r="B748" s="8"/>
      <c r="C748" s="8"/>
      <c r="D748" s="8"/>
      <c r="E748" s="8"/>
      <c r="F748" s="8"/>
    </row>
    <row r="749" spans="1:6" x14ac:dyDescent="0.2">
      <c r="A749" s="8"/>
      <c r="B749" s="8"/>
      <c r="C749" s="8"/>
      <c r="D749" s="8"/>
      <c r="E749" s="8"/>
      <c r="F749" s="8"/>
    </row>
    <row r="750" spans="1:6" x14ac:dyDescent="0.2">
      <c r="A750" s="8"/>
      <c r="B750" s="8"/>
      <c r="C750" s="8"/>
      <c r="D750" s="8"/>
      <c r="E750" s="8"/>
      <c r="F750" s="8"/>
    </row>
    <row r="751" spans="1:6" x14ac:dyDescent="0.2">
      <c r="A751" s="8"/>
      <c r="B751" s="8"/>
      <c r="C751" s="8"/>
      <c r="D751" s="8"/>
      <c r="E751" s="8"/>
      <c r="F751" s="8"/>
    </row>
    <row r="752" spans="1:6" x14ac:dyDescent="0.2">
      <c r="A752" s="8"/>
      <c r="B752" s="8"/>
      <c r="C752" s="8"/>
      <c r="D752" s="8"/>
      <c r="E752" s="8"/>
      <c r="F752" s="8"/>
    </row>
    <row r="753" spans="1:6" x14ac:dyDescent="0.2">
      <c r="A753" s="8"/>
      <c r="B753" s="8"/>
      <c r="C753" s="8"/>
      <c r="D753" s="8"/>
      <c r="E753" s="8"/>
      <c r="F753" s="8"/>
    </row>
    <row r="754" spans="1:6" x14ac:dyDescent="0.2">
      <c r="A754" s="8"/>
      <c r="B754" s="8"/>
      <c r="C754" s="8"/>
      <c r="D754" s="8"/>
      <c r="E754" s="8"/>
      <c r="F754" s="8"/>
    </row>
    <row r="755" spans="1:6" x14ac:dyDescent="0.2">
      <c r="A755" s="8"/>
      <c r="B755" s="8"/>
      <c r="C755" s="8"/>
      <c r="D755" s="8"/>
      <c r="E755" s="8"/>
      <c r="F755" s="8"/>
    </row>
    <row r="756" spans="1:6" x14ac:dyDescent="0.2">
      <c r="A756" s="8"/>
      <c r="B756" s="8"/>
      <c r="C756" s="8"/>
      <c r="D756" s="8"/>
      <c r="E756" s="8"/>
      <c r="F756" s="8"/>
    </row>
    <row r="757" spans="1:6" x14ac:dyDescent="0.2">
      <c r="A757" s="8"/>
      <c r="B757" s="8"/>
      <c r="C757" s="8"/>
      <c r="D757" s="8"/>
      <c r="E757" s="8"/>
      <c r="F757" s="8"/>
    </row>
    <row r="758" spans="1:6" x14ac:dyDescent="0.2">
      <c r="A758" s="8"/>
      <c r="B758" s="8"/>
      <c r="C758" s="8"/>
      <c r="D758" s="8"/>
      <c r="E758" s="8"/>
      <c r="F758" s="8"/>
    </row>
    <row r="759" spans="1:6" x14ac:dyDescent="0.2">
      <c r="A759" s="8"/>
      <c r="B759" s="8"/>
      <c r="C759" s="8"/>
      <c r="D759" s="8"/>
      <c r="E759" s="8"/>
      <c r="F759" s="8"/>
    </row>
    <row r="760" spans="1:6" x14ac:dyDescent="0.2">
      <c r="A760" s="8"/>
      <c r="B760" s="8"/>
      <c r="C760" s="8"/>
      <c r="D760" s="8"/>
      <c r="E760" s="8"/>
      <c r="F760" s="8"/>
    </row>
    <row r="761" spans="1:6" x14ac:dyDescent="0.2">
      <c r="A761" s="8"/>
      <c r="B761" s="8"/>
      <c r="C761" s="8"/>
      <c r="D761" s="8"/>
      <c r="E761" s="8"/>
      <c r="F761" s="8"/>
    </row>
    <row r="762" spans="1:6" x14ac:dyDescent="0.2">
      <c r="A762" s="8"/>
      <c r="B762" s="8"/>
      <c r="C762" s="8"/>
      <c r="D762" s="8"/>
      <c r="E762" s="8"/>
      <c r="F762" s="8"/>
    </row>
    <row r="763" spans="1:6" x14ac:dyDescent="0.2">
      <c r="A763" s="8"/>
      <c r="B763" s="8"/>
      <c r="C763" s="8"/>
      <c r="D763" s="8"/>
      <c r="E763" s="8"/>
      <c r="F763" s="8"/>
    </row>
    <row r="764" spans="1:6" x14ac:dyDescent="0.2">
      <c r="A764" s="8"/>
      <c r="B764" s="8"/>
      <c r="C764" s="8"/>
      <c r="D764" s="8"/>
      <c r="E764" s="8"/>
      <c r="F764" s="8"/>
    </row>
    <row r="765" spans="1:6" x14ac:dyDescent="0.2">
      <c r="A765" s="8"/>
      <c r="B765" s="8"/>
      <c r="C765" s="8"/>
      <c r="D765" s="8"/>
      <c r="E765" s="8"/>
      <c r="F765" s="8"/>
    </row>
    <row r="766" spans="1:6" x14ac:dyDescent="0.2">
      <c r="A766" s="8"/>
      <c r="B766" s="8"/>
      <c r="C766" s="8"/>
      <c r="D766" s="8"/>
      <c r="E766" s="8"/>
      <c r="F766" s="8"/>
    </row>
    <row r="767" spans="1:6" x14ac:dyDescent="0.2">
      <c r="A767" s="8"/>
      <c r="B767" s="8"/>
      <c r="C767" s="8"/>
      <c r="D767" s="8"/>
      <c r="E767" s="8"/>
      <c r="F767" s="8"/>
    </row>
    <row r="768" spans="1:6" x14ac:dyDescent="0.2">
      <c r="A768" s="8"/>
      <c r="B768" s="8"/>
      <c r="C768" s="8"/>
      <c r="D768" s="8"/>
      <c r="E768" s="8"/>
      <c r="F768" s="8"/>
    </row>
    <row r="769" spans="1:6" x14ac:dyDescent="0.2">
      <c r="A769" s="8"/>
      <c r="B769" s="8"/>
      <c r="C769" s="8"/>
      <c r="D769" s="8"/>
      <c r="E769" s="8"/>
      <c r="F769" s="8"/>
    </row>
    <row r="770" spans="1:6" x14ac:dyDescent="0.2">
      <c r="A770" s="8"/>
      <c r="B770" s="8"/>
      <c r="C770" s="8"/>
      <c r="D770" s="8"/>
      <c r="E770" s="8"/>
      <c r="F770" s="8"/>
    </row>
    <row r="771" spans="1:6" x14ac:dyDescent="0.2">
      <c r="A771" s="8"/>
      <c r="B771" s="8"/>
      <c r="C771" s="8"/>
      <c r="D771" s="8"/>
      <c r="E771" s="8"/>
      <c r="F771" s="8"/>
    </row>
    <row r="772" spans="1:6" x14ac:dyDescent="0.2">
      <c r="A772" s="8"/>
      <c r="B772" s="8"/>
      <c r="C772" s="8"/>
      <c r="D772" s="8"/>
      <c r="E772" s="8"/>
      <c r="F772" s="8"/>
    </row>
    <row r="773" spans="1:6" x14ac:dyDescent="0.2">
      <c r="A773" s="8"/>
      <c r="B773" s="8"/>
      <c r="C773" s="8"/>
      <c r="D773" s="8"/>
      <c r="E773" s="8"/>
      <c r="F773" s="8"/>
    </row>
    <row r="774" spans="1:6" x14ac:dyDescent="0.2">
      <c r="A774" s="8"/>
      <c r="B774" s="8"/>
      <c r="C774" s="8"/>
      <c r="D774" s="8"/>
      <c r="E774" s="8"/>
      <c r="F774" s="8"/>
    </row>
    <row r="775" spans="1:6" x14ac:dyDescent="0.2">
      <c r="A775" s="8"/>
      <c r="B775" s="8"/>
      <c r="C775" s="8"/>
      <c r="D775" s="8"/>
      <c r="E775" s="8"/>
      <c r="F775" s="8"/>
    </row>
    <row r="776" spans="1:6" x14ac:dyDescent="0.2">
      <c r="A776" s="8"/>
      <c r="B776" s="8"/>
      <c r="C776" s="8"/>
      <c r="D776" s="8"/>
      <c r="E776" s="8"/>
      <c r="F776" s="8"/>
    </row>
    <row r="777" spans="1:6" x14ac:dyDescent="0.2">
      <c r="A777" s="8"/>
      <c r="B777" s="8"/>
      <c r="C777" s="8"/>
      <c r="D777" s="8"/>
      <c r="E777" s="8"/>
      <c r="F777" s="8"/>
    </row>
    <row r="778" spans="1:6" x14ac:dyDescent="0.2">
      <c r="A778" s="8"/>
      <c r="B778" s="8"/>
      <c r="C778" s="8"/>
      <c r="D778" s="8"/>
      <c r="E778" s="8"/>
      <c r="F778" s="8"/>
    </row>
    <row r="779" spans="1:6" x14ac:dyDescent="0.2">
      <c r="A779" s="8"/>
      <c r="B779" s="8"/>
      <c r="C779" s="8"/>
      <c r="D779" s="8"/>
      <c r="E779" s="8"/>
      <c r="F779" s="8"/>
    </row>
    <row r="780" spans="1:6" x14ac:dyDescent="0.2">
      <c r="A780" s="8"/>
      <c r="B780" s="8"/>
      <c r="C780" s="8"/>
      <c r="D780" s="8"/>
      <c r="E780" s="8"/>
      <c r="F780" s="8"/>
    </row>
    <row r="781" spans="1:6" x14ac:dyDescent="0.2">
      <c r="A781" s="8"/>
      <c r="B781" s="8"/>
      <c r="C781" s="8"/>
      <c r="D781" s="8"/>
      <c r="E781" s="8"/>
      <c r="F781" s="8"/>
    </row>
    <row r="782" spans="1:6" x14ac:dyDescent="0.2">
      <c r="A782" s="8"/>
      <c r="B782" s="8"/>
      <c r="C782" s="8"/>
      <c r="D782" s="8"/>
      <c r="E782" s="8"/>
      <c r="F782" s="8"/>
    </row>
    <row r="783" spans="1:6" x14ac:dyDescent="0.2">
      <c r="A783" s="8"/>
      <c r="B783" s="8"/>
      <c r="C783" s="8"/>
      <c r="D783" s="8"/>
      <c r="E783" s="8"/>
      <c r="F783" s="8"/>
    </row>
    <row r="784" spans="1:6" x14ac:dyDescent="0.2">
      <c r="A784" s="8"/>
      <c r="B784" s="8"/>
      <c r="C784" s="8"/>
      <c r="D784" s="8"/>
      <c r="E784" s="8"/>
      <c r="F784" s="8"/>
    </row>
    <row r="785" spans="1:6" x14ac:dyDescent="0.2">
      <c r="A785" s="8"/>
      <c r="B785" s="8"/>
      <c r="C785" s="8"/>
      <c r="D785" s="8"/>
      <c r="E785" s="8"/>
      <c r="F785" s="8"/>
    </row>
    <row r="786" spans="1:6" x14ac:dyDescent="0.2">
      <c r="A786" s="8"/>
      <c r="B786" s="8"/>
      <c r="C786" s="8"/>
      <c r="D786" s="8"/>
      <c r="E786" s="8"/>
      <c r="F786" s="8"/>
    </row>
    <row r="787" spans="1:6" x14ac:dyDescent="0.2">
      <c r="A787" s="8"/>
      <c r="B787" s="8"/>
      <c r="C787" s="8"/>
      <c r="D787" s="8"/>
      <c r="E787" s="8"/>
      <c r="F787" s="8"/>
    </row>
    <row r="788" spans="1:6" x14ac:dyDescent="0.2">
      <c r="A788" s="8"/>
      <c r="B788" s="8"/>
      <c r="C788" s="8"/>
      <c r="D788" s="8"/>
      <c r="E788" s="8"/>
      <c r="F788" s="8"/>
    </row>
    <row r="789" spans="1:6" x14ac:dyDescent="0.2">
      <c r="A789" s="8"/>
      <c r="B789" s="8"/>
      <c r="C789" s="8"/>
      <c r="D789" s="8"/>
      <c r="E789" s="8"/>
      <c r="F789" s="8"/>
    </row>
    <row r="790" spans="1:6" x14ac:dyDescent="0.2">
      <c r="A790" s="8"/>
      <c r="B790" s="8"/>
      <c r="C790" s="8"/>
      <c r="D790" s="8"/>
      <c r="E790" s="8"/>
      <c r="F790" s="8"/>
    </row>
    <row r="791" spans="1:6" x14ac:dyDescent="0.2">
      <c r="A791" s="8"/>
      <c r="B791" s="8"/>
      <c r="C791" s="8"/>
      <c r="D791" s="8"/>
      <c r="E791" s="8"/>
      <c r="F791" s="8"/>
    </row>
    <row r="792" spans="1:6" x14ac:dyDescent="0.2">
      <c r="A792" s="8"/>
      <c r="B792" s="8"/>
      <c r="C792" s="8"/>
      <c r="D792" s="8"/>
      <c r="E792" s="8"/>
      <c r="F792" s="8"/>
    </row>
    <row r="793" spans="1:6" x14ac:dyDescent="0.2">
      <c r="A793" s="8"/>
      <c r="B793" s="8"/>
      <c r="C793" s="8"/>
      <c r="D793" s="8"/>
      <c r="E793" s="8"/>
      <c r="F793" s="8"/>
    </row>
    <row r="794" spans="1:6" x14ac:dyDescent="0.2">
      <c r="A794" s="8"/>
      <c r="B794" s="8"/>
      <c r="C794" s="8"/>
      <c r="D794" s="8"/>
      <c r="E794" s="8"/>
      <c r="F794" s="8"/>
    </row>
    <row r="795" spans="1:6" x14ac:dyDescent="0.2">
      <c r="A795" s="8"/>
      <c r="B795" s="8"/>
      <c r="C795" s="8"/>
      <c r="D795" s="8"/>
      <c r="E795" s="8"/>
      <c r="F795" s="8"/>
    </row>
    <row r="796" spans="1:6" x14ac:dyDescent="0.2">
      <c r="A796" s="8"/>
      <c r="B796" s="8"/>
      <c r="C796" s="8"/>
      <c r="D796" s="8"/>
      <c r="E796" s="8"/>
      <c r="F796" s="8"/>
    </row>
    <row r="797" spans="1:6" x14ac:dyDescent="0.2">
      <c r="A797" s="8"/>
      <c r="B797" s="8"/>
      <c r="C797" s="8"/>
      <c r="D797" s="8"/>
      <c r="E797" s="8"/>
      <c r="F797" s="8"/>
    </row>
    <row r="798" spans="1:6" x14ac:dyDescent="0.2">
      <c r="A798" s="8"/>
      <c r="B798" s="8"/>
      <c r="C798" s="8"/>
      <c r="D798" s="8"/>
      <c r="E798" s="8"/>
      <c r="F798" s="8"/>
    </row>
    <row r="799" spans="1:6" x14ac:dyDescent="0.2">
      <c r="A799" s="8"/>
      <c r="B799" s="8"/>
      <c r="C799" s="8"/>
      <c r="D799" s="8"/>
      <c r="E799" s="8"/>
      <c r="F799" s="8"/>
    </row>
    <row r="800" spans="1:6" x14ac:dyDescent="0.2">
      <c r="A800" s="8"/>
      <c r="B800" s="8"/>
      <c r="C800" s="8"/>
      <c r="D800" s="8"/>
      <c r="E800" s="8"/>
      <c r="F800" s="8"/>
    </row>
    <row r="801" spans="1:6" x14ac:dyDescent="0.2">
      <c r="A801" s="8"/>
      <c r="B801" s="8"/>
      <c r="C801" s="8"/>
      <c r="D801" s="8"/>
      <c r="E801" s="8"/>
      <c r="F801" s="8"/>
    </row>
    <row r="802" spans="1:6" x14ac:dyDescent="0.2">
      <c r="A802" s="8"/>
      <c r="B802" s="8"/>
      <c r="C802" s="8"/>
      <c r="D802" s="8"/>
      <c r="E802" s="8"/>
      <c r="F802" s="8"/>
    </row>
    <row r="803" spans="1:6" x14ac:dyDescent="0.2">
      <c r="A803" s="8"/>
      <c r="B803" s="8"/>
      <c r="C803" s="8"/>
      <c r="D803" s="8"/>
      <c r="E803" s="8"/>
      <c r="F803" s="8"/>
    </row>
    <row r="804" spans="1:6" x14ac:dyDescent="0.2">
      <c r="A804" s="8"/>
      <c r="B804" s="8"/>
      <c r="C804" s="8"/>
      <c r="D804" s="8"/>
      <c r="E804" s="8"/>
      <c r="F804" s="8"/>
    </row>
    <row r="805" spans="1:6" x14ac:dyDescent="0.2">
      <c r="A805" s="8"/>
      <c r="B805" s="8"/>
      <c r="C805" s="8"/>
      <c r="D805" s="8"/>
      <c r="E805" s="8"/>
      <c r="F805" s="8"/>
    </row>
    <row r="806" spans="1:6" x14ac:dyDescent="0.2">
      <c r="A806" s="8"/>
      <c r="B806" s="8"/>
      <c r="C806" s="8"/>
      <c r="D806" s="8"/>
      <c r="E806" s="8"/>
      <c r="F806" s="8"/>
    </row>
    <row r="807" spans="1:6" x14ac:dyDescent="0.2">
      <c r="A807" s="8"/>
      <c r="B807" s="8"/>
      <c r="C807" s="8"/>
      <c r="D807" s="8"/>
      <c r="E807" s="8"/>
      <c r="F807" s="8"/>
    </row>
    <row r="808" spans="1:6" x14ac:dyDescent="0.2">
      <c r="A808" s="8"/>
      <c r="B808" s="8"/>
      <c r="C808" s="8"/>
      <c r="D808" s="8"/>
      <c r="E808" s="8"/>
      <c r="F808" s="8"/>
    </row>
    <row r="809" spans="1:6" x14ac:dyDescent="0.2">
      <c r="A809" s="8"/>
      <c r="B809" s="8"/>
      <c r="C809" s="8"/>
      <c r="D809" s="8"/>
      <c r="E809" s="8"/>
      <c r="F809" s="8"/>
    </row>
    <row r="810" spans="1:6" x14ac:dyDescent="0.2">
      <c r="A810" s="8"/>
      <c r="B810" s="8"/>
      <c r="C810" s="8"/>
      <c r="D810" s="8"/>
      <c r="E810" s="8"/>
      <c r="F810" s="8"/>
    </row>
    <row r="811" spans="1:6" x14ac:dyDescent="0.2">
      <c r="A811" s="8"/>
      <c r="B811" s="8"/>
      <c r="C811" s="8"/>
      <c r="D811" s="8"/>
      <c r="E811" s="8"/>
      <c r="F811" s="8"/>
    </row>
    <row r="812" spans="1:6" x14ac:dyDescent="0.2">
      <c r="A812" s="8"/>
      <c r="B812" s="8"/>
      <c r="C812" s="8"/>
      <c r="D812" s="8"/>
      <c r="E812" s="8"/>
      <c r="F812" s="8"/>
    </row>
    <row r="813" spans="1:6" x14ac:dyDescent="0.2">
      <c r="A813" s="8"/>
      <c r="B813" s="8"/>
      <c r="C813" s="8"/>
      <c r="D813" s="8"/>
      <c r="E813" s="8"/>
      <c r="F813" s="8"/>
    </row>
    <row r="814" spans="1:6" x14ac:dyDescent="0.2">
      <c r="A814" s="8"/>
      <c r="B814" s="8"/>
      <c r="C814" s="8"/>
      <c r="D814" s="8"/>
      <c r="E814" s="8"/>
      <c r="F814" s="8"/>
    </row>
    <row r="815" spans="1:6" x14ac:dyDescent="0.2">
      <c r="A815" s="8"/>
      <c r="B815" s="8"/>
      <c r="C815" s="8"/>
      <c r="D815" s="8"/>
      <c r="E815" s="8"/>
      <c r="F815" s="8"/>
    </row>
    <row r="816" spans="1:6" x14ac:dyDescent="0.2">
      <c r="A816" s="8"/>
      <c r="B816" s="8"/>
      <c r="C816" s="8"/>
      <c r="D816" s="8"/>
      <c r="E816" s="8"/>
      <c r="F816" s="8"/>
    </row>
    <row r="817" spans="1:6" x14ac:dyDescent="0.2">
      <c r="A817" s="8"/>
      <c r="B817" s="8"/>
      <c r="C817" s="8"/>
      <c r="D817" s="8"/>
      <c r="E817" s="8"/>
      <c r="F817" s="8"/>
    </row>
    <row r="818" spans="1:6" x14ac:dyDescent="0.2">
      <c r="A818" s="8"/>
      <c r="B818" s="8"/>
      <c r="C818" s="8"/>
      <c r="D818" s="8"/>
      <c r="E818" s="8"/>
      <c r="F818" s="8"/>
    </row>
    <row r="819" spans="1:6" x14ac:dyDescent="0.2">
      <c r="A819" s="8"/>
      <c r="B819" s="8"/>
      <c r="C819" s="8"/>
      <c r="D819" s="8"/>
      <c r="E819" s="8"/>
      <c r="F819" s="8"/>
    </row>
    <row r="820" spans="1:6" x14ac:dyDescent="0.2">
      <c r="A820" s="8"/>
      <c r="B820" s="8"/>
      <c r="C820" s="8"/>
      <c r="D820" s="8"/>
      <c r="E820" s="8"/>
      <c r="F820" s="8"/>
    </row>
    <row r="821" spans="1:6" x14ac:dyDescent="0.2">
      <c r="A821" s="8"/>
      <c r="B821" s="8"/>
      <c r="C821" s="8"/>
      <c r="D821" s="8"/>
      <c r="E821" s="8"/>
      <c r="F821" s="8"/>
    </row>
    <row r="822" spans="1:6" x14ac:dyDescent="0.2">
      <c r="A822" s="8"/>
      <c r="B822" s="8"/>
      <c r="C822" s="8"/>
      <c r="D822" s="8"/>
      <c r="E822" s="8"/>
      <c r="F822" s="8"/>
    </row>
    <row r="823" spans="1:6" x14ac:dyDescent="0.2">
      <c r="A823" s="8"/>
      <c r="B823" s="8"/>
      <c r="C823" s="8"/>
      <c r="D823" s="8"/>
      <c r="E823" s="8"/>
      <c r="F823" s="8"/>
    </row>
    <row r="824" spans="1:6" x14ac:dyDescent="0.2">
      <c r="A824" s="8"/>
      <c r="B824" s="8"/>
      <c r="C824" s="8"/>
      <c r="D824" s="8"/>
      <c r="E824" s="8"/>
      <c r="F824" s="8"/>
    </row>
    <row r="825" spans="1:6" x14ac:dyDescent="0.2">
      <c r="A825" s="8"/>
      <c r="B825" s="8"/>
      <c r="C825" s="8"/>
      <c r="D825" s="8"/>
      <c r="E825" s="8"/>
      <c r="F825" s="8"/>
    </row>
    <row r="826" spans="1:6" x14ac:dyDescent="0.2">
      <c r="A826" s="8"/>
      <c r="B826" s="8"/>
      <c r="C826" s="8"/>
      <c r="D826" s="8"/>
      <c r="E826" s="8"/>
      <c r="F826" s="8"/>
    </row>
    <row r="827" spans="1:6" x14ac:dyDescent="0.2">
      <c r="A827" s="8"/>
      <c r="B827" s="8"/>
      <c r="C827" s="8"/>
      <c r="D827" s="8"/>
      <c r="E827" s="8"/>
      <c r="F827" s="8"/>
    </row>
    <row r="828" spans="1:6" x14ac:dyDescent="0.2">
      <c r="A828" s="8"/>
      <c r="B828" s="8"/>
      <c r="C828" s="8"/>
      <c r="D828" s="8"/>
      <c r="E828" s="8"/>
      <c r="F828" s="8"/>
    </row>
    <row r="829" spans="1:6" x14ac:dyDescent="0.2">
      <c r="A829" s="8"/>
      <c r="B829" s="8"/>
      <c r="C829" s="8"/>
      <c r="D829" s="8"/>
      <c r="E829" s="8"/>
      <c r="F829" s="8"/>
    </row>
    <row r="830" spans="1:6" x14ac:dyDescent="0.2">
      <c r="A830" s="8"/>
      <c r="B830" s="8"/>
      <c r="C830" s="8"/>
      <c r="D830" s="8"/>
      <c r="E830" s="8"/>
      <c r="F830" s="8"/>
    </row>
    <row r="831" spans="1:6" x14ac:dyDescent="0.2">
      <c r="A831" s="8"/>
      <c r="B831" s="8"/>
      <c r="C831" s="8"/>
      <c r="D831" s="8"/>
      <c r="E831" s="8"/>
      <c r="F831" s="8"/>
    </row>
    <row r="832" spans="1:6" x14ac:dyDescent="0.2">
      <c r="A832" s="8"/>
      <c r="B832" s="8"/>
      <c r="C832" s="8"/>
      <c r="D832" s="8"/>
      <c r="E832" s="8"/>
      <c r="F832" s="8"/>
    </row>
    <row r="833" spans="1:6" x14ac:dyDescent="0.2">
      <c r="A833" s="8"/>
      <c r="B833" s="8"/>
      <c r="C833" s="8"/>
      <c r="D833" s="8"/>
      <c r="E833" s="8"/>
      <c r="F833" s="8"/>
    </row>
    <row r="834" spans="1:6" x14ac:dyDescent="0.2">
      <c r="A834" s="8"/>
      <c r="B834" s="8"/>
      <c r="C834" s="8"/>
      <c r="D834" s="8"/>
      <c r="E834" s="8"/>
      <c r="F834" s="8"/>
    </row>
    <row r="835" spans="1:6" x14ac:dyDescent="0.2">
      <c r="A835" s="8"/>
      <c r="B835" s="8"/>
      <c r="C835" s="8"/>
      <c r="D835" s="8"/>
      <c r="E835" s="8"/>
      <c r="F835" s="8"/>
    </row>
    <row r="836" spans="1:6" x14ac:dyDescent="0.2">
      <c r="A836" s="8"/>
      <c r="B836" s="8"/>
      <c r="C836" s="8"/>
      <c r="D836" s="8"/>
      <c r="E836" s="8"/>
      <c r="F836" s="8"/>
    </row>
    <row r="837" spans="1:6" x14ac:dyDescent="0.2">
      <c r="A837" s="8"/>
      <c r="B837" s="8"/>
      <c r="C837" s="8"/>
      <c r="D837" s="8"/>
      <c r="E837" s="8"/>
      <c r="F837" s="8"/>
    </row>
    <row r="838" spans="1:6" x14ac:dyDescent="0.2">
      <c r="A838" s="8"/>
      <c r="B838" s="8"/>
      <c r="C838" s="8"/>
      <c r="D838" s="8"/>
      <c r="E838" s="8"/>
      <c r="F838" s="8"/>
    </row>
    <row r="839" spans="1:6" x14ac:dyDescent="0.2">
      <c r="A839" s="8"/>
      <c r="B839" s="8"/>
      <c r="C839" s="8"/>
      <c r="D839" s="8"/>
      <c r="E839" s="8"/>
      <c r="F839" s="8"/>
    </row>
    <row r="840" spans="1:6" x14ac:dyDescent="0.2">
      <c r="A840" s="8"/>
      <c r="B840" s="8"/>
      <c r="C840" s="8"/>
      <c r="D840" s="8"/>
      <c r="E840" s="8"/>
      <c r="F840" s="8"/>
    </row>
    <row r="841" spans="1:6" x14ac:dyDescent="0.2">
      <c r="A841" s="8"/>
      <c r="B841" s="8"/>
      <c r="C841" s="8"/>
      <c r="D841" s="8"/>
      <c r="E841" s="8"/>
      <c r="F841" s="8"/>
    </row>
    <row r="842" spans="1:6" x14ac:dyDescent="0.2">
      <c r="A842" s="8"/>
      <c r="B842" s="8"/>
      <c r="C842" s="8"/>
      <c r="D842" s="8"/>
      <c r="E842" s="8"/>
      <c r="F842" s="8"/>
    </row>
    <row r="843" spans="1:6" x14ac:dyDescent="0.2">
      <c r="A843" s="8"/>
      <c r="B843" s="8"/>
      <c r="C843" s="8"/>
      <c r="D843" s="8"/>
      <c r="E843" s="8"/>
      <c r="F843" s="8"/>
    </row>
    <row r="844" spans="1:6" x14ac:dyDescent="0.2">
      <c r="A844" s="8"/>
      <c r="B844" s="8"/>
      <c r="C844" s="8"/>
      <c r="D844" s="8"/>
      <c r="E844" s="8"/>
      <c r="F844" s="8"/>
    </row>
    <row r="845" spans="1:6" x14ac:dyDescent="0.2">
      <c r="A845" s="8"/>
      <c r="B845" s="8"/>
      <c r="C845" s="8"/>
      <c r="D845" s="8"/>
      <c r="E845" s="8"/>
      <c r="F845" s="8"/>
    </row>
    <row r="846" spans="1:6" x14ac:dyDescent="0.2">
      <c r="A846" s="8"/>
      <c r="B846" s="8"/>
      <c r="C846" s="8"/>
      <c r="D846" s="8"/>
      <c r="E846" s="8"/>
      <c r="F846" s="8"/>
    </row>
    <row r="847" spans="1:6" x14ac:dyDescent="0.2">
      <c r="A847" s="8"/>
      <c r="B847" s="8"/>
      <c r="C847" s="8"/>
      <c r="D847" s="8"/>
      <c r="E847" s="8"/>
      <c r="F847" s="8"/>
    </row>
    <row r="848" spans="1:6" x14ac:dyDescent="0.2">
      <c r="A848" s="8"/>
      <c r="B848" s="8"/>
      <c r="C848" s="8"/>
      <c r="D848" s="8"/>
      <c r="E848" s="8"/>
      <c r="F848" s="8"/>
    </row>
    <row r="849" spans="1:6" x14ac:dyDescent="0.2">
      <c r="A849" s="8"/>
      <c r="B849" s="8"/>
      <c r="C849" s="8"/>
      <c r="D849" s="8"/>
      <c r="E849" s="8"/>
      <c r="F849" s="8"/>
    </row>
    <row r="850" spans="1:6" x14ac:dyDescent="0.2">
      <c r="A850" s="8"/>
      <c r="B850" s="8"/>
      <c r="C850" s="8"/>
      <c r="D850" s="8"/>
      <c r="E850" s="8"/>
      <c r="F850" s="8"/>
    </row>
    <row r="851" spans="1:6" x14ac:dyDescent="0.2">
      <c r="A851" s="8"/>
      <c r="B851" s="8"/>
      <c r="C851" s="8"/>
      <c r="D851" s="8"/>
      <c r="E851" s="8"/>
      <c r="F851" s="8"/>
    </row>
    <row r="852" spans="1:6" x14ac:dyDescent="0.2">
      <c r="A852" s="8"/>
      <c r="B852" s="8"/>
      <c r="C852" s="8"/>
      <c r="D852" s="8"/>
      <c r="E852" s="8"/>
      <c r="F852" s="8"/>
    </row>
    <row r="853" spans="1:6" x14ac:dyDescent="0.2">
      <c r="A853" s="8"/>
      <c r="B853" s="8"/>
      <c r="C853" s="8"/>
      <c r="D853" s="8"/>
      <c r="E853" s="8"/>
      <c r="F853" s="8"/>
    </row>
    <row r="854" spans="1:6" x14ac:dyDescent="0.2">
      <c r="A854" s="8"/>
      <c r="B854" s="8"/>
      <c r="C854" s="8"/>
      <c r="D854" s="8"/>
      <c r="E854" s="8"/>
      <c r="F854" s="8"/>
    </row>
    <row r="855" spans="1:6" x14ac:dyDescent="0.2">
      <c r="A855" s="8"/>
      <c r="B855" s="8"/>
      <c r="C855" s="8"/>
      <c r="D855" s="8"/>
      <c r="E855" s="8"/>
      <c r="F855" s="8"/>
    </row>
    <row r="856" spans="1:6" x14ac:dyDescent="0.2">
      <c r="A856" s="8"/>
      <c r="B856" s="8"/>
      <c r="C856" s="8"/>
      <c r="D856" s="8"/>
      <c r="E856" s="8"/>
      <c r="F856" s="8"/>
    </row>
    <row r="857" spans="1:6" x14ac:dyDescent="0.2">
      <c r="A857" s="8"/>
      <c r="B857" s="8"/>
      <c r="C857" s="8"/>
      <c r="D857" s="8"/>
      <c r="E857" s="8"/>
      <c r="F857" s="8"/>
    </row>
    <row r="858" spans="1:6" x14ac:dyDescent="0.2">
      <c r="A858" s="8"/>
      <c r="B858" s="8"/>
      <c r="C858" s="8"/>
      <c r="D858" s="8"/>
      <c r="E858" s="8"/>
      <c r="F858" s="8"/>
    </row>
    <row r="859" spans="1:6" x14ac:dyDescent="0.2">
      <c r="A859" s="8"/>
      <c r="B859" s="8"/>
      <c r="C859" s="8"/>
      <c r="D859" s="8"/>
      <c r="E859" s="8"/>
      <c r="F859" s="8"/>
    </row>
    <row r="860" spans="1:6" x14ac:dyDescent="0.2">
      <c r="A860" s="8"/>
      <c r="B860" s="8"/>
      <c r="C860" s="8"/>
      <c r="D860" s="8"/>
      <c r="E860" s="8"/>
      <c r="F860" s="8"/>
    </row>
    <row r="861" spans="1:6" x14ac:dyDescent="0.2">
      <c r="A861" s="8"/>
      <c r="B861" s="8"/>
      <c r="C861" s="8"/>
      <c r="D861" s="8"/>
      <c r="E861" s="8"/>
      <c r="F861" s="8"/>
    </row>
    <row r="862" spans="1:6" x14ac:dyDescent="0.2">
      <c r="A862" s="8"/>
      <c r="B862" s="8"/>
      <c r="C862" s="8"/>
      <c r="D862" s="8"/>
      <c r="E862" s="8"/>
      <c r="F862" s="8"/>
    </row>
    <row r="863" spans="1:6" x14ac:dyDescent="0.2">
      <c r="A863" s="8"/>
      <c r="B863" s="8"/>
      <c r="C863" s="8"/>
      <c r="D863" s="8"/>
      <c r="E863" s="8"/>
      <c r="F863" s="8"/>
    </row>
    <row r="864" spans="1:6" x14ac:dyDescent="0.2">
      <c r="A864" s="8"/>
      <c r="B864" s="8"/>
      <c r="C864" s="8"/>
      <c r="D864" s="8"/>
      <c r="E864" s="8"/>
      <c r="F864" s="8"/>
    </row>
    <row r="865" spans="1:6" x14ac:dyDescent="0.2">
      <c r="A865" s="8"/>
      <c r="B865" s="8"/>
      <c r="C865" s="8"/>
      <c r="D865" s="8"/>
      <c r="E865" s="8"/>
      <c r="F865" s="8"/>
    </row>
    <row r="866" spans="1:6" x14ac:dyDescent="0.2">
      <c r="A866" s="8"/>
      <c r="B866" s="8"/>
      <c r="C866" s="8"/>
      <c r="D866" s="8"/>
      <c r="E866" s="8"/>
      <c r="F866" s="8"/>
    </row>
    <row r="867" spans="1:6" x14ac:dyDescent="0.2">
      <c r="A867" s="8"/>
      <c r="B867" s="8"/>
      <c r="C867" s="8"/>
      <c r="D867" s="8"/>
      <c r="E867" s="8"/>
      <c r="F867" s="8"/>
    </row>
    <row r="868" spans="1:6" x14ac:dyDescent="0.2">
      <c r="A868" s="8"/>
      <c r="B868" s="8"/>
      <c r="C868" s="8"/>
      <c r="D868" s="8"/>
      <c r="E868" s="8"/>
      <c r="F868" s="8"/>
    </row>
    <row r="869" spans="1:6" x14ac:dyDescent="0.2">
      <c r="A869" s="8"/>
      <c r="B869" s="8"/>
      <c r="C869" s="8"/>
      <c r="D869" s="8"/>
      <c r="E869" s="8"/>
      <c r="F869" s="8"/>
    </row>
    <row r="870" spans="1:6" x14ac:dyDescent="0.2">
      <c r="A870" s="8"/>
      <c r="B870" s="8"/>
      <c r="C870" s="8"/>
      <c r="D870" s="8"/>
      <c r="E870" s="8"/>
      <c r="F870" s="8"/>
    </row>
    <row r="871" spans="1:6" x14ac:dyDescent="0.2">
      <c r="A871" s="8"/>
      <c r="B871" s="8"/>
      <c r="C871" s="8"/>
      <c r="D871" s="8"/>
      <c r="E871" s="8"/>
      <c r="F871" s="8"/>
    </row>
    <row r="872" spans="1:6" x14ac:dyDescent="0.2">
      <c r="A872" s="8"/>
      <c r="B872" s="8"/>
      <c r="C872" s="8"/>
      <c r="D872" s="8"/>
      <c r="E872" s="8"/>
      <c r="F872" s="8"/>
    </row>
    <row r="873" spans="1:6" x14ac:dyDescent="0.2">
      <c r="A873" s="8"/>
      <c r="B873" s="8"/>
      <c r="C873" s="8"/>
      <c r="D873" s="8"/>
      <c r="E873" s="8"/>
      <c r="F873" s="8"/>
    </row>
    <row r="874" spans="1:6" x14ac:dyDescent="0.2">
      <c r="A874" s="8"/>
      <c r="B874" s="8"/>
      <c r="C874" s="8"/>
      <c r="D874" s="8"/>
      <c r="E874" s="8"/>
      <c r="F874" s="8"/>
    </row>
    <row r="875" spans="1:6" x14ac:dyDescent="0.2">
      <c r="A875" s="8"/>
      <c r="B875" s="8"/>
      <c r="C875" s="8"/>
      <c r="D875" s="8"/>
      <c r="E875" s="8"/>
      <c r="F875" s="8"/>
    </row>
    <row r="876" spans="1:6" x14ac:dyDescent="0.2">
      <c r="A876" s="8"/>
      <c r="B876" s="8"/>
      <c r="C876" s="8"/>
      <c r="D876" s="8"/>
      <c r="E876" s="8"/>
      <c r="F876" s="8"/>
    </row>
    <row r="877" spans="1:6" x14ac:dyDescent="0.2">
      <c r="A877" s="8"/>
      <c r="B877" s="8"/>
      <c r="C877" s="8"/>
      <c r="D877" s="8"/>
      <c r="E877" s="8"/>
      <c r="F877" s="8"/>
    </row>
    <row r="878" spans="1:6" x14ac:dyDescent="0.2">
      <c r="A878" s="8"/>
      <c r="B878" s="8"/>
      <c r="C878" s="8"/>
      <c r="D878" s="8"/>
      <c r="E878" s="8"/>
      <c r="F878" s="8"/>
    </row>
    <row r="879" spans="1:6" x14ac:dyDescent="0.2">
      <c r="A879" s="8"/>
      <c r="B879" s="8"/>
      <c r="C879" s="8"/>
      <c r="D879" s="8"/>
      <c r="E879" s="8"/>
      <c r="F879" s="8"/>
    </row>
    <row r="880" spans="1:6" x14ac:dyDescent="0.2">
      <c r="A880" s="8"/>
      <c r="B880" s="8"/>
      <c r="C880" s="8"/>
      <c r="D880" s="8"/>
      <c r="E880" s="8"/>
      <c r="F880" s="8"/>
    </row>
    <row r="881" spans="1:6" x14ac:dyDescent="0.2">
      <c r="A881" s="8"/>
      <c r="B881" s="8"/>
      <c r="C881" s="8"/>
      <c r="D881" s="8"/>
      <c r="E881" s="8"/>
      <c r="F881" s="8"/>
    </row>
    <row r="882" spans="1:6" x14ac:dyDescent="0.2">
      <c r="A882" s="8"/>
      <c r="B882" s="8"/>
      <c r="C882" s="8"/>
      <c r="D882" s="8"/>
      <c r="E882" s="8"/>
      <c r="F882" s="8"/>
    </row>
    <row r="883" spans="1:6" x14ac:dyDescent="0.2">
      <c r="A883" s="8"/>
      <c r="B883" s="8"/>
      <c r="C883" s="8"/>
      <c r="D883" s="8"/>
      <c r="E883" s="8"/>
      <c r="F883" s="8"/>
    </row>
    <row r="884" spans="1:6" x14ac:dyDescent="0.2">
      <c r="A884" s="8"/>
      <c r="B884" s="8"/>
      <c r="C884" s="8"/>
      <c r="D884" s="8"/>
      <c r="E884" s="8"/>
      <c r="F884" s="8"/>
    </row>
    <row r="885" spans="1:6" x14ac:dyDescent="0.2">
      <c r="A885" s="8"/>
      <c r="B885" s="8"/>
      <c r="C885" s="8"/>
      <c r="D885" s="8"/>
      <c r="E885" s="8"/>
      <c r="F885" s="8"/>
    </row>
    <row r="886" spans="1:6" x14ac:dyDescent="0.2">
      <c r="A886" s="8"/>
      <c r="B886" s="8"/>
      <c r="C886" s="8"/>
      <c r="D886" s="8"/>
      <c r="E886" s="8"/>
      <c r="F886" s="8"/>
    </row>
    <row r="887" spans="1:6" x14ac:dyDescent="0.2">
      <c r="A887" s="8"/>
      <c r="B887" s="8"/>
      <c r="C887" s="8"/>
      <c r="D887" s="8"/>
      <c r="E887" s="8"/>
      <c r="F887" s="8"/>
    </row>
    <row r="888" spans="1:6" x14ac:dyDescent="0.2">
      <c r="A888" s="8"/>
      <c r="B888" s="8"/>
      <c r="C888" s="8"/>
      <c r="D888" s="8"/>
      <c r="E888" s="8"/>
      <c r="F888" s="8"/>
    </row>
    <row r="889" spans="1:6" x14ac:dyDescent="0.2">
      <c r="A889" s="8"/>
      <c r="B889" s="8"/>
      <c r="C889" s="8"/>
      <c r="D889" s="8"/>
      <c r="E889" s="8"/>
      <c r="F889" s="8"/>
    </row>
    <row r="890" spans="1:6" x14ac:dyDescent="0.2">
      <c r="A890" s="8"/>
      <c r="B890" s="8"/>
      <c r="C890" s="8"/>
      <c r="D890" s="8"/>
      <c r="E890" s="8"/>
      <c r="F890" s="8"/>
    </row>
    <row r="891" spans="1:6" x14ac:dyDescent="0.2">
      <c r="A891" s="8"/>
      <c r="B891" s="8"/>
      <c r="C891" s="8"/>
      <c r="D891" s="8"/>
      <c r="E891" s="8"/>
      <c r="F891" s="8"/>
    </row>
    <row r="892" spans="1:6" x14ac:dyDescent="0.2">
      <c r="A892" s="8"/>
      <c r="B892" s="8"/>
      <c r="C892" s="8"/>
      <c r="D892" s="8"/>
      <c r="E892" s="8"/>
      <c r="F892" s="8"/>
    </row>
    <row r="893" spans="1:6" x14ac:dyDescent="0.2">
      <c r="A893" s="8"/>
      <c r="B893" s="8"/>
      <c r="C893" s="8"/>
      <c r="D893" s="8"/>
      <c r="E893" s="8"/>
      <c r="F893" s="8"/>
    </row>
    <row r="894" spans="1:6" x14ac:dyDescent="0.2">
      <c r="A894" s="8"/>
      <c r="B894" s="8"/>
      <c r="C894" s="8"/>
      <c r="D894" s="8"/>
      <c r="E894" s="8"/>
      <c r="F894" s="8"/>
    </row>
    <row r="895" spans="1:6" x14ac:dyDescent="0.2">
      <c r="A895" s="8"/>
      <c r="B895" s="8"/>
      <c r="C895" s="8"/>
      <c r="D895" s="8"/>
      <c r="E895" s="8"/>
      <c r="F895" s="8"/>
    </row>
    <row r="896" spans="1:6" x14ac:dyDescent="0.2">
      <c r="A896" s="8"/>
      <c r="B896" s="8"/>
      <c r="C896" s="8"/>
      <c r="D896" s="8"/>
      <c r="E896" s="8"/>
      <c r="F896" s="8"/>
    </row>
    <row r="897" spans="1:6" x14ac:dyDescent="0.2">
      <c r="A897" s="8"/>
      <c r="B897" s="8"/>
      <c r="C897" s="8"/>
      <c r="D897" s="8"/>
      <c r="E897" s="8"/>
      <c r="F897" s="8"/>
    </row>
    <row r="898" spans="1:6" x14ac:dyDescent="0.2">
      <c r="A898" s="8"/>
      <c r="B898" s="8"/>
      <c r="C898" s="8"/>
      <c r="D898" s="8"/>
      <c r="E898" s="8"/>
      <c r="F898" s="8"/>
    </row>
    <row r="899" spans="1:6" x14ac:dyDescent="0.2">
      <c r="A899" s="8"/>
      <c r="B899" s="8"/>
      <c r="C899" s="8"/>
      <c r="D899" s="8"/>
      <c r="E899" s="8"/>
      <c r="F899" s="8"/>
    </row>
    <row r="900" spans="1:6" x14ac:dyDescent="0.2">
      <c r="A900" s="8"/>
      <c r="B900" s="8"/>
      <c r="C900" s="8"/>
      <c r="D900" s="8"/>
      <c r="E900" s="8"/>
      <c r="F900" s="8"/>
    </row>
    <row r="901" spans="1:6" x14ac:dyDescent="0.2">
      <c r="A901" s="8"/>
      <c r="B901" s="8"/>
      <c r="C901" s="8"/>
      <c r="D901" s="8"/>
      <c r="E901" s="8"/>
      <c r="F901" s="8"/>
    </row>
    <row r="902" spans="1:6" x14ac:dyDescent="0.2">
      <c r="A902" s="8"/>
      <c r="B902" s="8"/>
      <c r="C902" s="8"/>
      <c r="D902" s="8"/>
      <c r="E902" s="8"/>
      <c r="F902" s="8"/>
    </row>
    <row r="903" spans="1:6" x14ac:dyDescent="0.2">
      <c r="A903" s="8"/>
      <c r="B903" s="8"/>
      <c r="C903" s="8"/>
      <c r="D903" s="8"/>
      <c r="E903" s="8"/>
      <c r="F903" s="8"/>
    </row>
    <row r="904" spans="1:6" x14ac:dyDescent="0.2">
      <c r="A904" s="8"/>
      <c r="B904" s="8"/>
      <c r="C904" s="8"/>
      <c r="D904" s="8"/>
      <c r="E904" s="8"/>
      <c r="F904" s="8"/>
    </row>
    <row r="905" spans="1:6" x14ac:dyDescent="0.2">
      <c r="A905" s="8"/>
      <c r="B905" s="8"/>
      <c r="C905" s="8"/>
      <c r="D905" s="8"/>
      <c r="E905" s="8"/>
      <c r="F905" s="8"/>
    </row>
    <row r="906" spans="1:6" x14ac:dyDescent="0.2">
      <c r="A906" s="8"/>
      <c r="B906" s="8"/>
      <c r="C906" s="8"/>
      <c r="D906" s="8"/>
      <c r="E906" s="8"/>
      <c r="F906" s="8"/>
    </row>
    <row r="907" spans="1:6" x14ac:dyDescent="0.2">
      <c r="A907" s="8"/>
      <c r="B907" s="8"/>
      <c r="C907" s="8"/>
      <c r="D907" s="8"/>
      <c r="E907" s="8"/>
      <c r="F907" s="8"/>
    </row>
    <row r="908" spans="1:6" x14ac:dyDescent="0.2">
      <c r="A908" s="8"/>
      <c r="B908" s="8"/>
      <c r="C908" s="8"/>
      <c r="D908" s="8"/>
      <c r="E908" s="8"/>
      <c r="F908" s="8"/>
    </row>
    <row r="909" spans="1:6" x14ac:dyDescent="0.2">
      <c r="A909" s="8"/>
      <c r="B909" s="8"/>
      <c r="C909" s="8"/>
      <c r="D909" s="8"/>
      <c r="E909" s="8"/>
      <c r="F909" s="8"/>
    </row>
    <row r="910" spans="1:6" x14ac:dyDescent="0.2">
      <c r="A910" s="8"/>
      <c r="B910" s="8"/>
      <c r="C910" s="8"/>
      <c r="D910" s="8"/>
      <c r="E910" s="8"/>
      <c r="F910" s="8"/>
    </row>
    <row r="911" spans="1:6" x14ac:dyDescent="0.2">
      <c r="A911" s="8"/>
      <c r="B911" s="8"/>
      <c r="C911" s="8"/>
      <c r="D911" s="8"/>
      <c r="E911" s="8"/>
      <c r="F911" s="8"/>
    </row>
    <row r="912" spans="1:6" x14ac:dyDescent="0.2">
      <c r="A912" s="8"/>
      <c r="B912" s="8"/>
      <c r="C912" s="8"/>
      <c r="D912" s="8"/>
      <c r="E912" s="8"/>
      <c r="F912" s="8"/>
    </row>
    <row r="913" spans="1:6" x14ac:dyDescent="0.2">
      <c r="A913" s="8"/>
      <c r="B913" s="8"/>
      <c r="C913" s="8"/>
      <c r="D913" s="8"/>
      <c r="E913" s="8"/>
      <c r="F913" s="8"/>
    </row>
    <row r="914" spans="1:6" x14ac:dyDescent="0.2">
      <c r="A914" s="8"/>
      <c r="B914" s="8"/>
      <c r="C914" s="8"/>
      <c r="D914" s="8"/>
      <c r="E914" s="8"/>
      <c r="F914" s="8"/>
    </row>
    <row r="915" spans="1:6" x14ac:dyDescent="0.2">
      <c r="A915" s="8"/>
      <c r="B915" s="8"/>
      <c r="C915" s="8"/>
      <c r="D915" s="8"/>
      <c r="E915" s="8"/>
      <c r="F915" s="8"/>
    </row>
    <row r="916" spans="1:6" x14ac:dyDescent="0.2">
      <c r="A916" s="8"/>
      <c r="B916" s="8"/>
      <c r="C916" s="8"/>
      <c r="D916" s="8"/>
      <c r="E916" s="8"/>
      <c r="F916" s="8"/>
    </row>
    <row r="917" spans="1:6" x14ac:dyDescent="0.2">
      <c r="A917" s="8"/>
      <c r="B917" s="8"/>
      <c r="C917" s="8"/>
      <c r="D917" s="8"/>
      <c r="E917" s="8"/>
      <c r="F917" s="8"/>
    </row>
    <row r="918" spans="1:6" x14ac:dyDescent="0.2">
      <c r="A918" s="8"/>
      <c r="B918" s="8"/>
      <c r="C918" s="8"/>
      <c r="D918" s="8"/>
      <c r="E918" s="8"/>
      <c r="F918" s="8"/>
    </row>
    <row r="919" spans="1:6" x14ac:dyDescent="0.2">
      <c r="A919" s="8"/>
      <c r="B919" s="8"/>
      <c r="C919" s="8"/>
      <c r="D919" s="8"/>
      <c r="E919" s="8"/>
      <c r="F919" s="8"/>
    </row>
    <row r="920" spans="1:6" x14ac:dyDescent="0.2">
      <c r="A920" s="8"/>
      <c r="B920" s="8"/>
      <c r="C920" s="8"/>
      <c r="D920" s="8"/>
      <c r="E920" s="8"/>
      <c r="F920" s="8"/>
    </row>
    <row r="921" spans="1:6" x14ac:dyDescent="0.2">
      <c r="A921" s="8"/>
      <c r="B921" s="8"/>
      <c r="C921" s="8"/>
      <c r="D921" s="8"/>
      <c r="E921" s="8"/>
      <c r="F921" s="8"/>
    </row>
    <row r="922" spans="1:6" x14ac:dyDescent="0.2">
      <c r="A922" s="8"/>
      <c r="B922" s="8"/>
      <c r="C922" s="8"/>
      <c r="D922" s="8"/>
      <c r="E922" s="8"/>
      <c r="F922" s="8"/>
    </row>
    <row r="923" spans="1:6" x14ac:dyDescent="0.2">
      <c r="A923" s="8"/>
      <c r="B923" s="8"/>
      <c r="C923" s="8"/>
      <c r="D923" s="8"/>
      <c r="E923" s="8"/>
      <c r="F923" s="8"/>
    </row>
    <row r="924" spans="1:6" x14ac:dyDescent="0.2">
      <c r="A924" s="8"/>
      <c r="B924" s="8"/>
      <c r="C924" s="8"/>
      <c r="D924" s="8"/>
      <c r="E924" s="8"/>
      <c r="F924" s="8"/>
    </row>
    <row r="925" spans="1:6" x14ac:dyDescent="0.2">
      <c r="A925" s="8"/>
      <c r="B925" s="8"/>
      <c r="C925" s="8"/>
      <c r="D925" s="8"/>
      <c r="E925" s="8"/>
      <c r="F925" s="8"/>
    </row>
    <row r="926" spans="1:6" x14ac:dyDescent="0.2">
      <c r="A926" s="8"/>
      <c r="B926" s="8"/>
      <c r="C926" s="8"/>
      <c r="D926" s="8"/>
      <c r="E926" s="8"/>
      <c r="F926" s="8"/>
    </row>
    <row r="927" spans="1:6" x14ac:dyDescent="0.2">
      <c r="A927" s="8"/>
      <c r="B927" s="8"/>
      <c r="C927" s="8"/>
      <c r="D927" s="8"/>
      <c r="E927" s="8"/>
      <c r="F927" s="8"/>
    </row>
    <row r="928" spans="1:6" x14ac:dyDescent="0.2">
      <c r="A928" s="8"/>
      <c r="B928" s="8"/>
      <c r="C928" s="8"/>
      <c r="D928" s="8"/>
      <c r="E928" s="8"/>
      <c r="F928" s="8"/>
    </row>
    <row r="929" spans="1:6" x14ac:dyDescent="0.2">
      <c r="A929" s="8"/>
      <c r="B929" s="8"/>
      <c r="C929" s="8"/>
      <c r="D929" s="8"/>
      <c r="E929" s="8"/>
      <c r="F929" s="8"/>
    </row>
    <row r="930" spans="1:6" x14ac:dyDescent="0.2">
      <c r="A930" s="8"/>
      <c r="B930" s="8"/>
      <c r="C930" s="8"/>
      <c r="D930" s="8"/>
      <c r="E930" s="8"/>
      <c r="F930" s="8"/>
    </row>
    <row r="931" spans="1:6" x14ac:dyDescent="0.2">
      <c r="A931" s="8"/>
      <c r="B931" s="8"/>
      <c r="C931" s="8"/>
      <c r="D931" s="8"/>
      <c r="E931" s="8"/>
      <c r="F931" s="8"/>
    </row>
    <row r="932" spans="1:6" x14ac:dyDescent="0.2">
      <c r="A932" s="8"/>
      <c r="B932" s="8"/>
      <c r="C932" s="8"/>
      <c r="D932" s="8"/>
      <c r="E932" s="8"/>
      <c r="F932" s="8"/>
    </row>
    <row r="933" spans="1:6" x14ac:dyDescent="0.2">
      <c r="A933" s="8"/>
      <c r="B933" s="8"/>
      <c r="C933" s="8"/>
      <c r="D933" s="8"/>
      <c r="E933" s="8"/>
      <c r="F933" s="8"/>
    </row>
    <row r="934" spans="1:6" x14ac:dyDescent="0.2">
      <c r="A934" s="8"/>
      <c r="B934" s="8"/>
      <c r="C934" s="8"/>
      <c r="D934" s="8"/>
      <c r="E934" s="8"/>
      <c r="F934" s="8"/>
    </row>
    <row r="935" spans="1:6" x14ac:dyDescent="0.2">
      <c r="A935" s="8"/>
      <c r="B935" s="8"/>
      <c r="C935" s="8"/>
      <c r="D935" s="8"/>
      <c r="E935" s="8"/>
      <c r="F935" s="8"/>
    </row>
    <row r="936" spans="1:6" x14ac:dyDescent="0.2">
      <c r="A936" s="8"/>
      <c r="B936" s="8"/>
      <c r="C936" s="8"/>
      <c r="D936" s="8"/>
      <c r="E936" s="8"/>
      <c r="F936" s="8"/>
    </row>
    <row r="937" spans="1:6" x14ac:dyDescent="0.2">
      <c r="A937" s="8"/>
      <c r="B937" s="8"/>
      <c r="C937" s="8"/>
      <c r="D937" s="8"/>
      <c r="E937" s="8"/>
      <c r="F937" s="8"/>
    </row>
    <row r="938" spans="1:6" x14ac:dyDescent="0.2">
      <c r="A938" s="8"/>
      <c r="B938" s="8"/>
      <c r="C938" s="8"/>
      <c r="D938" s="8"/>
      <c r="E938" s="8"/>
      <c r="F938" s="8"/>
    </row>
    <row r="939" spans="1:6" x14ac:dyDescent="0.2">
      <c r="A939" s="8"/>
      <c r="B939" s="8"/>
      <c r="C939" s="8"/>
      <c r="D939" s="8"/>
      <c r="E939" s="8"/>
      <c r="F939" s="8"/>
    </row>
    <row r="940" spans="1:6" x14ac:dyDescent="0.2">
      <c r="A940" s="8"/>
      <c r="B940" s="8"/>
      <c r="C940" s="8"/>
      <c r="D940" s="8"/>
      <c r="E940" s="8"/>
      <c r="F940" s="8"/>
    </row>
    <row r="941" spans="1:6" x14ac:dyDescent="0.2">
      <c r="A941" s="8"/>
      <c r="B941" s="8"/>
      <c r="C941" s="8"/>
      <c r="D941" s="8"/>
      <c r="E941" s="8"/>
      <c r="F941" s="8"/>
    </row>
    <row r="942" spans="1:6" x14ac:dyDescent="0.2">
      <c r="A942" s="8"/>
      <c r="B942" s="8"/>
      <c r="C942" s="8"/>
      <c r="D942" s="8"/>
      <c r="E942" s="8"/>
      <c r="F942" s="8"/>
    </row>
    <row r="943" spans="1:6" x14ac:dyDescent="0.2">
      <c r="A943" s="8"/>
      <c r="B943" s="8"/>
      <c r="C943" s="8"/>
      <c r="D943" s="8"/>
      <c r="E943" s="8"/>
      <c r="F943" s="8"/>
    </row>
    <row r="944" spans="1:6" x14ac:dyDescent="0.2">
      <c r="A944" s="8"/>
      <c r="B944" s="8"/>
      <c r="C944" s="8"/>
      <c r="D944" s="8"/>
      <c r="E944" s="8"/>
      <c r="F944" s="8"/>
    </row>
    <row r="945" spans="1:6" x14ac:dyDescent="0.2">
      <c r="A945" s="8"/>
      <c r="B945" s="8"/>
      <c r="C945" s="8"/>
      <c r="D945" s="8"/>
      <c r="E945" s="8"/>
      <c r="F945" s="8"/>
    </row>
    <row r="946" spans="1:6" x14ac:dyDescent="0.2">
      <c r="A946" s="8"/>
      <c r="B946" s="8"/>
      <c r="C946" s="8"/>
      <c r="D946" s="8"/>
      <c r="E946" s="8"/>
      <c r="F946" s="8"/>
    </row>
    <row r="947" spans="1:6" x14ac:dyDescent="0.2">
      <c r="A947" s="8"/>
      <c r="B947" s="8"/>
      <c r="C947" s="8"/>
      <c r="D947" s="8"/>
      <c r="E947" s="8"/>
      <c r="F947" s="8"/>
    </row>
    <row r="948" spans="1:6" x14ac:dyDescent="0.2">
      <c r="A948" s="8"/>
      <c r="B948" s="8"/>
      <c r="C948" s="8"/>
      <c r="D948" s="8"/>
      <c r="E948" s="8"/>
      <c r="F948" s="8"/>
    </row>
    <row r="949" spans="1:6" x14ac:dyDescent="0.2">
      <c r="A949" s="8"/>
      <c r="B949" s="8"/>
      <c r="C949" s="8"/>
      <c r="D949" s="8"/>
      <c r="E949" s="8"/>
      <c r="F949" s="8"/>
    </row>
    <row r="950" spans="1:6" x14ac:dyDescent="0.2">
      <c r="A950" s="8"/>
      <c r="B950" s="8"/>
      <c r="C950" s="8"/>
      <c r="D950" s="8"/>
      <c r="E950" s="8"/>
      <c r="F950" s="8"/>
    </row>
    <row r="951" spans="1:6" x14ac:dyDescent="0.2">
      <c r="A951" s="8"/>
      <c r="B951" s="8"/>
      <c r="C951" s="8"/>
      <c r="D951" s="8"/>
      <c r="E951" s="8"/>
      <c r="F951" s="8"/>
    </row>
    <row r="952" spans="1:6" x14ac:dyDescent="0.2">
      <c r="A952" s="8"/>
      <c r="B952" s="8"/>
      <c r="C952" s="8"/>
      <c r="D952" s="8"/>
      <c r="E952" s="8"/>
      <c r="F952" s="8"/>
    </row>
    <row r="953" spans="1:6" x14ac:dyDescent="0.2">
      <c r="A953" s="8"/>
      <c r="B953" s="8"/>
      <c r="C953" s="8"/>
      <c r="D953" s="8"/>
      <c r="E953" s="8"/>
      <c r="F953" s="8"/>
    </row>
    <row r="954" spans="1:6" x14ac:dyDescent="0.2">
      <c r="A954" s="8"/>
      <c r="B954" s="8"/>
      <c r="C954" s="8"/>
      <c r="D954" s="8"/>
      <c r="E954" s="8"/>
      <c r="F954" s="8"/>
    </row>
    <row r="955" spans="1:6" x14ac:dyDescent="0.2">
      <c r="A955" s="8"/>
      <c r="B955" s="8"/>
      <c r="C955" s="8"/>
      <c r="D955" s="8"/>
      <c r="E955" s="8"/>
      <c r="F955" s="8"/>
    </row>
    <row r="956" spans="1:6" x14ac:dyDescent="0.2">
      <c r="A956" s="8"/>
      <c r="B956" s="8"/>
      <c r="C956" s="8"/>
      <c r="D956" s="8"/>
      <c r="E956" s="8"/>
      <c r="F956" s="8"/>
    </row>
    <row r="957" spans="1:6" x14ac:dyDescent="0.2">
      <c r="A957" s="8"/>
      <c r="B957" s="8"/>
      <c r="C957" s="8"/>
      <c r="D957" s="8"/>
      <c r="E957" s="8"/>
      <c r="F957" s="8"/>
    </row>
    <row r="958" spans="1:6" x14ac:dyDescent="0.2">
      <c r="A958" s="8"/>
      <c r="B958" s="8"/>
      <c r="C958" s="8"/>
      <c r="D958" s="8"/>
      <c r="E958" s="8"/>
      <c r="F958" s="8"/>
    </row>
    <row r="959" spans="1:6" x14ac:dyDescent="0.2">
      <c r="A959" s="8"/>
      <c r="B959" s="8"/>
      <c r="C959" s="8"/>
      <c r="D959" s="8"/>
      <c r="E959" s="8"/>
      <c r="F959" s="8"/>
    </row>
    <row r="960" spans="1:6" x14ac:dyDescent="0.2">
      <c r="A960" s="8"/>
      <c r="B960" s="8"/>
      <c r="C960" s="8"/>
      <c r="D960" s="8"/>
      <c r="E960" s="8"/>
      <c r="F960" s="8"/>
    </row>
    <row r="961" spans="1:6" x14ac:dyDescent="0.2">
      <c r="A961" s="8"/>
      <c r="B961" s="8"/>
      <c r="C961" s="8"/>
      <c r="D961" s="8"/>
      <c r="E961" s="8"/>
      <c r="F961" s="8"/>
    </row>
    <row r="962" spans="1:6" x14ac:dyDescent="0.2">
      <c r="A962" s="8"/>
      <c r="B962" s="8"/>
      <c r="C962" s="8"/>
      <c r="D962" s="8"/>
      <c r="E962" s="8"/>
      <c r="F962" s="8"/>
    </row>
    <row r="963" spans="1:6" x14ac:dyDescent="0.2">
      <c r="A963" s="8"/>
      <c r="B963" s="8"/>
      <c r="C963" s="8"/>
      <c r="D963" s="8"/>
      <c r="E963" s="8"/>
      <c r="F963" s="8"/>
    </row>
    <row r="964" spans="1:6" x14ac:dyDescent="0.2">
      <c r="A964" s="8"/>
      <c r="B964" s="8"/>
      <c r="C964" s="8"/>
      <c r="D964" s="8"/>
      <c r="E964" s="8"/>
      <c r="F964" s="8"/>
    </row>
    <row r="965" spans="1:6" x14ac:dyDescent="0.2">
      <c r="A965" s="8"/>
      <c r="B965" s="8"/>
      <c r="C965" s="8"/>
      <c r="D965" s="8"/>
      <c r="E965" s="8"/>
      <c r="F965" s="8"/>
    </row>
    <row r="966" spans="1:6" x14ac:dyDescent="0.2">
      <c r="A966" s="8"/>
      <c r="B966" s="8"/>
      <c r="C966" s="8"/>
      <c r="D966" s="8"/>
      <c r="E966" s="8"/>
      <c r="F966" s="8"/>
    </row>
    <row r="967" spans="1:6" x14ac:dyDescent="0.2">
      <c r="A967" s="8"/>
      <c r="B967" s="8"/>
      <c r="C967" s="8"/>
      <c r="D967" s="8"/>
      <c r="E967" s="8"/>
      <c r="F967" s="8"/>
    </row>
    <row r="968" spans="1:6" x14ac:dyDescent="0.2">
      <c r="A968" s="8"/>
      <c r="B968" s="8"/>
      <c r="C968" s="8"/>
      <c r="D968" s="8"/>
      <c r="E968" s="8"/>
      <c r="F968" s="8"/>
    </row>
    <row r="969" spans="1:6" x14ac:dyDescent="0.2">
      <c r="A969" s="8"/>
      <c r="B969" s="8"/>
      <c r="C969" s="8"/>
      <c r="D969" s="8"/>
      <c r="E969" s="8"/>
      <c r="F969" s="8"/>
    </row>
    <row r="970" spans="1:6" x14ac:dyDescent="0.2">
      <c r="A970" s="8"/>
      <c r="B970" s="8"/>
      <c r="C970" s="8"/>
      <c r="D970" s="8"/>
      <c r="E970" s="8"/>
      <c r="F970" s="8"/>
    </row>
    <row r="971" spans="1:6" x14ac:dyDescent="0.2">
      <c r="A971" s="8"/>
      <c r="B971" s="8"/>
      <c r="C971" s="8"/>
      <c r="D971" s="8"/>
      <c r="E971" s="8"/>
      <c r="F971" s="8"/>
    </row>
    <row r="972" spans="1:6" x14ac:dyDescent="0.2">
      <c r="A972" s="8"/>
      <c r="B972" s="8"/>
      <c r="C972" s="8"/>
      <c r="D972" s="8"/>
      <c r="E972" s="8"/>
      <c r="F972" s="8"/>
    </row>
    <row r="973" spans="1:6" x14ac:dyDescent="0.2">
      <c r="A973" s="8"/>
      <c r="B973" s="8"/>
      <c r="C973" s="8"/>
      <c r="D973" s="8"/>
      <c r="E973" s="8"/>
      <c r="F973" s="8"/>
    </row>
    <row r="974" spans="1:6" x14ac:dyDescent="0.2">
      <c r="A974" s="8"/>
      <c r="B974" s="8"/>
      <c r="C974" s="8"/>
      <c r="D974" s="8"/>
      <c r="E974" s="8"/>
      <c r="F974" s="8"/>
    </row>
    <row r="975" spans="1:6" x14ac:dyDescent="0.2">
      <c r="A975" s="8"/>
      <c r="B975" s="8"/>
      <c r="C975" s="8"/>
      <c r="D975" s="8"/>
      <c r="E975" s="8"/>
      <c r="F975" s="8"/>
    </row>
    <row r="976" spans="1:6" x14ac:dyDescent="0.2">
      <c r="A976" s="8"/>
      <c r="B976" s="8"/>
      <c r="C976" s="8"/>
      <c r="D976" s="8"/>
      <c r="E976" s="8"/>
      <c r="F976" s="8"/>
    </row>
    <row r="977" spans="1:6" x14ac:dyDescent="0.2">
      <c r="A977" s="8"/>
      <c r="B977" s="8"/>
      <c r="C977" s="8"/>
      <c r="D977" s="8"/>
      <c r="E977" s="8"/>
      <c r="F977" s="8"/>
    </row>
    <row r="978" spans="1:6" x14ac:dyDescent="0.2">
      <c r="A978" s="8"/>
      <c r="B978" s="8"/>
      <c r="C978" s="8"/>
      <c r="D978" s="8"/>
      <c r="E978" s="8"/>
      <c r="F978" s="8"/>
    </row>
    <row r="979" spans="1:6" x14ac:dyDescent="0.2">
      <c r="A979" s="8"/>
      <c r="B979" s="8"/>
      <c r="C979" s="8"/>
      <c r="D979" s="8"/>
      <c r="E979" s="8"/>
      <c r="F979" s="8"/>
    </row>
    <row r="980" spans="1:6" x14ac:dyDescent="0.2">
      <c r="A980" s="8"/>
      <c r="B980" s="8"/>
      <c r="C980" s="8"/>
      <c r="D980" s="8"/>
      <c r="E980" s="8"/>
      <c r="F980" s="8"/>
    </row>
    <row r="981" spans="1:6" x14ac:dyDescent="0.2">
      <c r="A981" s="8"/>
      <c r="B981" s="8"/>
      <c r="C981" s="8"/>
      <c r="D981" s="8"/>
      <c r="E981" s="8"/>
      <c r="F981" s="8"/>
    </row>
    <row r="982" spans="1:6" x14ac:dyDescent="0.2">
      <c r="A982" s="8"/>
      <c r="B982" s="8"/>
      <c r="C982" s="8"/>
      <c r="D982" s="8"/>
      <c r="E982" s="8"/>
      <c r="F982" s="8"/>
    </row>
    <row r="983" spans="1:6" x14ac:dyDescent="0.2">
      <c r="A983" s="8"/>
      <c r="B983" s="8"/>
      <c r="C983" s="8"/>
      <c r="D983" s="8"/>
      <c r="E983" s="8"/>
      <c r="F983" s="8"/>
    </row>
    <row r="984" spans="1:6" x14ac:dyDescent="0.2">
      <c r="A984" s="8"/>
      <c r="B984" s="8"/>
      <c r="C984" s="8"/>
      <c r="D984" s="8"/>
      <c r="E984" s="8"/>
      <c r="F984" s="8"/>
    </row>
    <row r="985" spans="1:6" x14ac:dyDescent="0.2">
      <c r="A985" s="8"/>
      <c r="B985" s="8"/>
      <c r="C985" s="8"/>
      <c r="D985" s="8"/>
      <c r="E985" s="8"/>
      <c r="F985" s="8"/>
    </row>
    <row r="986" spans="1:6" x14ac:dyDescent="0.2">
      <c r="A986" s="8"/>
      <c r="B986" s="8"/>
      <c r="C986" s="8"/>
      <c r="D986" s="8"/>
      <c r="E986" s="8"/>
      <c r="F986" s="8"/>
    </row>
    <row r="987" spans="1:6" x14ac:dyDescent="0.2">
      <c r="A987" s="8"/>
      <c r="B987" s="8"/>
      <c r="C987" s="8"/>
      <c r="D987" s="8"/>
      <c r="E987" s="8"/>
      <c r="F987" s="8"/>
    </row>
    <row r="988" spans="1:6" x14ac:dyDescent="0.2">
      <c r="A988" s="8"/>
      <c r="B988" s="8"/>
      <c r="C988" s="8"/>
      <c r="D988" s="8"/>
      <c r="E988" s="8"/>
      <c r="F988" s="8"/>
    </row>
    <row r="989" spans="1:6" x14ac:dyDescent="0.2">
      <c r="A989" s="8"/>
      <c r="B989" s="8"/>
      <c r="C989" s="8"/>
      <c r="D989" s="8"/>
      <c r="E989" s="8"/>
      <c r="F989" s="8"/>
    </row>
    <row r="990" spans="1:6" x14ac:dyDescent="0.2">
      <c r="A990" s="8"/>
      <c r="B990" s="8"/>
      <c r="C990" s="8"/>
      <c r="D990" s="8"/>
      <c r="E990" s="8"/>
      <c r="F990" s="8"/>
    </row>
    <row r="991" spans="1:6" x14ac:dyDescent="0.2">
      <c r="A991" s="8"/>
      <c r="B991" s="8"/>
      <c r="C991" s="8"/>
      <c r="D991" s="8"/>
      <c r="E991" s="8"/>
      <c r="F991" s="8"/>
    </row>
    <row r="992" spans="1:6" x14ac:dyDescent="0.2">
      <c r="A992" s="8"/>
      <c r="B992" s="8"/>
      <c r="C992" s="8"/>
      <c r="D992" s="8"/>
      <c r="E992" s="8"/>
      <c r="F992" s="8"/>
    </row>
    <row r="993" spans="1:6" x14ac:dyDescent="0.2">
      <c r="A993" s="8"/>
      <c r="B993" s="8"/>
      <c r="C993" s="8"/>
      <c r="D993" s="8"/>
      <c r="E993" s="8"/>
      <c r="F993" s="8"/>
    </row>
    <row r="994" spans="1:6" x14ac:dyDescent="0.2">
      <c r="A994" s="8"/>
      <c r="B994" s="8"/>
      <c r="C994" s="8"/>
      <c r="D994" s="8"/>
      <c r="E994" s="8"/>
      <c r="F994" s="8"/>
    </row>
    <row r="995" spans="1:6" x14ac:dyDescent="0.2">
      <c r="A995" s="8"/>
      <c r="B995" s="8"/>
      <c r="C995" s="8"/>
      <c r="D995" s="8"/>
      <c r="E995" s="8"/>
      <c r="F995" s="8"/>
    </row>
    <row r="996" spans="1:6" x14ac:dyDescent="0.2">
      <c r="A996" s="8"/>
      <c r="B996" s="8"/>
      <c r="C996" s="8"/>
      <c r="D996" s="8"/>
      <c r="E996" s="8"/>
      <c r="F996" s="8"/>
    </row>
    <row r="997" spans="1:6" x14ac:dyDescent="0.2">
      <c r="A997" s="8"/>
      <c r="B997" s="8"/>
      <c r="C997" s="8"/>
      <c r="D997" s="8"/>
      <c r="E997" s="8"/>
      <c r="F997" s="8"/>
    </row>
    <row r="998" spans="1:6" x14ac:dyDescent="0.2">
      <c r="A998" s="8"/>
      <c r="B998" s="8"/>
      <c r="C998" s="8"/>
      <c r="D998" s="8"/>
      <c r="E998" s="8"/>
      <c r="F998" s="8"/>
    </row>
    <row r="999" spans="1:6" x14ac:dyDescent="0.2">
      <c r="A999" s="8"/>
      <c r="B999" s="8"/>
      <c r="C999" s="8"/>
      <c r="D999" s="8"/>
      <c r="E999" s="8"/>
      <c r="F99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Consolidado-old</vt:lpstr>
      <vt:lpstr>Proventos</vt:lpstr>
      <vt:lpstr>Cartão-Previsão</vt:lpstr>
      <vt:lpstr>Cartão-Detalhe</vt:lpstr>
      <vt:lpstr>Cartão-Forecast</vt:lpstr>
      <vt:lpstr>Ações-Carteira</vt:lpstr>
      <vt:lpstr>Renda-Projetiva</vt:lpstr>
      <vt:lpstr>Proventos-Recebidos</vt:lpstr>
      <vt:lpstr>Proventos-A-Receber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Alves Silva</cp:lastModifiedBy>
  <dcterms:modified xsi:type="dcterms:W3CDTF">2025-12-26T21:33:52Z</dcterms:modified>
</cp:coreProperties>
</file>