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  <sheet state="visible" name="Cartão-Forecast" sheetId="6" r:id="rId9"/>
    <sheet state="visible" name="Ações-Carteira" sheetId="7" r:id="rId10"/>
    <sheet state="visible" name="Renda-Projetiva" sheetId="8" r:id="rId11"/>
    <sheet state="visible" name="Proventos-Recebidos" sheetId="9" r:id="rId12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70" xfId="0" applyFont="1" applyNumberFormat="1"/>
    <xf borderId="0" fillId="0" fontId="2" numFmtId="9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IFERROR(__xludf.DUMMYFUNCTION("""COMPUTED_VALUE"""),1725.613142577502)</f>
        <v>1725.613143</v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IFERROR(__xludf.DUMMYFUNCTION("""COMPUTED_VALUE"""),12569.98)</f>
        <v>12569.98</v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1"/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IFERROR(__xludf.DUMMYFUNCTION("""COMPUTED_VALUE"""),60114.9831425775)</f>
        <v>60114.98314</v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IFERROR(__xludf.DUMMYFUNCTION("""COMPUTED_VALUE"""),58389.369999999995)</f>
        <v>58389.37</v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IFERROR(__xludf.DUMMYFUNCTION("""COMPUTED_VALUE"""),431.56)</f>
        <v>431.56</v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IFERROR(__xludf.DUMMYFUNCTION("""COMPUTED_VALUE"""),431.56)</f>
        <v>431.56</v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IFERROR(__xludf.DUMMYFUNCTION("""COMPUTED_VALUE"""),9000.0)</f>
        <v>9000</v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IFERROR(__xludf.DUMMYFUNCTION("""COMPUTED_VALUE"""),9000.0)</f>
        <v>9000</v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IFERROR(__xludf.DUMMYFUNCTION("""COMPUTED_VALUE"""),34171.79)</f>
        <v>34171.79</v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IFERROR(__xludf.DUMMYFUNCTION("""COMPUTED_VALUE"""),21601.81)</f>
        <v>21601.81</v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IFERROR(__xludf.DUMMYFUNCTION("""COMPUTED_VALUE"""),326942.41)</f>
        <v>326942.41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>
        <f>IFERROR(__xludf.DUMMYFUNCTION("""COMPUTED_VALUE"""),23327.82)</f>
        <v>23327.82</v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 t="str">
        <f>IFERROR(__xludf.DUMMYFUNCTION("""COMPUTED_VALUE"""),"")</f>
        <v/>
      </c>
      <c r="P30" s="1" t="str">
        <f>IFERROR(__xludf.DUMMYFUNCTION("""COMPUTED_VALUE"""),"")</f>
        <v/>
      </c>
      <c r="Q30" s="1" t="str">
        <f>IFERROR(__xludf.DUMMYFUNCTION("""COMPUTED_VALUE"""),"")</f>
        <v/>
      </c>
      <c r="R30" s="1" t="str">
        <f>IFERROR(__xludf.DUMMYFUNCTION("""COMPUTED_VALUE"""),"")</f>
        <v/>
      </c>
      <c r="S30" s="1" t="str">
        <f>IFERROR(__xludf.DUMMYFUNCTION("""COMPUTED_VALUE"""),"")</f>
        <v/>
      </c>
      <c r="T30" s="1" t="str">
        <f>IFERROR(__xludf.DUMMYFUNCTION("""COMPUTED_VALUE"""),"")</f>
        <v/>
      </c>
      <c r="U30" s="1" t="str">
        <f>IFERROR(__xludf.DUMMYFUNCTION("""COMPUTED_VALUE"""),"")</f>
        <v/>
      </c>
      <c r="V30" s="1" t="str">
        <f>IFERROR(__xludf.DUMMYFUNCTION("""COMPUTED_VALUE"""),"")</f>
        <v/>
      </c>
      <c r="W30" s="1" t="str">
        <f>IFERROR(__xludf.DUMMYFUNCTION("""COMPUTED_VALUE"""),"")</f>
        <v/>
      </c>
      <c r="X30" s="1" t="str">
        <f>IFERROR(__xludf.DUMMYFUNCTION("""COMPUTED_VALUE"""),"")</f>
        <v/>
      </c>
      <c r="Y30" s="1" t="str">
        <f>IFERROR(__xludf.DUMMYFUNCTION("""COMPUTED_VALUE"""),"")</f>
        <v/>
      </c>
      <c r="Z30" s="1" t="str">
        <f>IFERROR(__xludf.DUMMYFUNCTION("""COMPUTED_VALUE"""),"")</f>
        <v/>
      </c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IFERROR(__xludf.DUMMYFUNCTION("""COMPUTED_VALUE"""),8962.25)</f>
        <v>8962.25</v>
      </c>
      <c r="K31" s="1">
        <f>IFERROR(__xludf.DUMMYFUNCTION("""COMPUTED_VALUE"""),9697.44)</f>
        <v>9697.44</v>
      </c>
      <c r="L31" s="1">
        <f>IFERROR(__xludf.DUMMYFUNCTION("""COMPUTED_VALUE"""),7053.19)</f>
        <v>7053.19</v>
      </c>
      <c r="M31" s="1">
        <f>IFERROR(__xludf.DUMMYFUNCTION("""COMPUTED_VALUE"""),7053.19)</f>
        <v>7053.19</v>
      </c>
      <c r="N31" s="1">
        <f>IFERROR(__xludf.DUMMYFUNCTION("""COMPUTED_VALUE"""),6785.41)</f>
        <v>6785.41</v>
      </c>
      <c r="O31" s="1">
        <f>IFERROR(__xludf.DUMMYFUNCTION("""COMPUTED_VALUE"""),6785.41)</f>
        <v>6785.41</v>
      </c>
      <c r="P31" s="1">
        <f>IFERROR(__xludf.DUMMYFUNCTION("""COMPUTED_VALUE"""),6785.41)</f>
        <v>6785.41</v>
      </c>
      <c r="Q31" s="1">
        <f>IFERROR(__xludf.DUMMYFUNCTION("""COMPUTED_VALUE"""),5435.41)</f>
        <v>5435.41</v>
      </c>
      <c r="R31" s="1">
        <f>IFERROR(__xludf.DUMMYFUNCTION("""COMPUTED_VALUE"""),5213.351)</f>
        <v>5213.351</v>
      </c>
      <c r="S31" s="1">
        <f>IFERROR(__xludf.DUMMYFUNCTION("""COMPUTED_VALUE"""),5213.351)</f>
        <v>5213.351</v>
      </c>
      <c r="T31" s="1">
        <f>IFERROR(__xludf.DUMMYFUNCTION("""COMPUTED_VALUE"""),5213.351)</f>
        <v>5213.351</v>
      </c>
      <c r="U31" s="1">
        <f>IFERROR(__xludf.DUMMYFUNCTION("""COMPUTED_VALUE"""),5213.351)</f>
        <v>5213.351</v>
      </c>
      <c r="V31" s="1">
        <f>IFERROR(__xludf.DUMMYFUNCTION("""COMPUTED_VALUE"""),5213.351)</f>
        <v>5213.351</v>
      </c>
      <c r="W31" s="1">
        <f>IFERROR(__xludf.DUMMYFUNCTION("""COMPUTED_VALUE"""),5213.351)</f>
        <v>5213.351</v>
      </c>
      <c r="X31" s="1">
        <f>IFERROR(__xludf.DUMMYFUNCTION("""COMPUTED_VALUE"""),5213.351)</f>
        <v>5213.351</v>
      </c>
      <c r="Y31" s="1">
        <f>IFERROR(__xludf.DUMMYFUNCTION("""COMPUTED_VALUE"""),5213.351)</f>
        <v>5213.351</v>
      </c>
      <c r="Z31" s="1">
        <f>IFERROR(__xludf.DUMMYFUNCTION("""COMPUTED_VALUE"""),5213.351)</f>
        <v>5213.351</v>
      </c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IFERROR(__xludf.DUMMYFUNCTION("""COMPUTED_VALUE"""),-1401.3000000000065)</f>
        <v>-1401.3</v>
      </c>
      <c r="K33" s="1">
        <f>IFERROR(__xludf.DUMMYFUNCTION("""COMPUTED_VALUE"""),36787.56)</f>
        <v>36787.56</v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IFERROR(__xludf.DUMMYFUNCTION("IMPORTRANGE(""https://docs.google.com/spreadsheets/d/1iYr1ABX5E5xD5hdpo7T57xV80Bd6YZfcnip7j3Ia3No/edit?gid=153321439#gid=153321439"",""'Renda'!A1:L14"")"),"#REF!")</f>
        <v>#REF!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4">
        <f>IFERROR(__xludf.DUMMYFUNCTION("""COMPUTED_VALUE"""),45658.0)</f>
        <v>45658</v>
      </c>
      <c r="C1" s="4">
        <f>IFERROR(__xludf.DUMMYFUNCTION("""COMPUTED_VALUE"""),45689.0)</f>
        <v>45689</v>
      </c>
      <c r="D1" s="4">
        <f>IFERROR(__xludf.DUMMYFUNCTION("""COMPUTED_VALUE"""),45717.0)</f>
        <v>45717</v>
      </c>
      <c r="E1" s="4">
        <f>IFERROR(__xludf.DUMMYFUNCTION("""COMPUTED_VALUE"""),45748.0)</f>
        <v>45748</v>
      </c>
      <c r="F1" s="4">
        <f>IFERROR(__xludf.DUMMYFUNCTION("""COMPUTED_VALUE"""),45778.0)</f>
        <v>45778</v>
      </c>
      <c r="G1" s="4">
        <f>IFERROR(__xludf.DUMMYFUNCTION("""COMPUTED_VALUE"""),45809.0)</f>
        <v>45809</v>
      </c>
      <c r="H1" s="4">
        <f>IFERROR(__xludf.DUMMYFUNCTION("""COMPUTED_VALUE"""),45839.0)</f>
        <v>45839</v>
      </c>
      <c r="I1" s="4">
        <f>IFERROR(__xludf.DUMMYFUNCTION("""COMPUTED_VALUE"""),45870.0)</f>
        <v>45870</v>
      </c>
      <c r="J1" s="4">
        <f>IFERROR(__xludf.DUMMYFUNCTION("""COMPUTED_VALUE"""),45901.0)</f>
        <v>45901</v>
      </c>
      <c r="K1" s="4">
        <f>IFERROR(__xludf.DUMMYFUNCTION("""COMPUTED_VALUE"""),45931.0)</f>
        <v>45931</v>
      </c>
      <c r="L1" s="4">
        <f>IFERROR(__xludf.DUMMYFUNCTION("""COMPUTED_VALUE"""),45962.0)</f>
        <v>45962</v>
      </c>
      <c r="M1" s="4">
        <f>IFERROR(__xludf.DUMMYFUNCTION("""COMPUTED_VALUE"""),45992.0)</f>
        <v>45992</v>
      </c>
      <c r="N1" s="1" t="str">
        <f>IFERROR(__xludf.DUMMYFUNCTION("""COMPUTED_VALUE"""),"Total")</f>
        <v>Total</v>
      </c>
      <c r="O1" s="5" t="str">
        <f>IFERROR(__xludf.DUMMYFUNCTION("""COMPUTED_VALUE"""),"Média")</f>
        <v>Média</v>
      </c>
      <c r="P1" s="5" t="str">
        <f>IFERROR(__xludf.DUMMYFUNCTION("""COMPUTED_VALUE"""),"~ Mensal (Ano)")</f>
        <v>~ Mensal (Ano)</v>
      </c>
      <c r="Q1" s="6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5">
        <f>IFERROR(__xludf.DUMMYFUNCTION("""COMPUTED_VALUE"""),0.0)</f>
        <v>0</v>
      </c>
      <c r="C2" s="5">
        <f>IFERROR(__xludf.DUMMYFUNCTION("""COMPUTED_VALUE"""),0.0)</f>
        <v>0</v>
      </c>
      <c r="D2" s="5">
        <f>IFERROR(__xludf.DUMMYFUNCTION("""COMPUTED_VALUE"""),0.0)</f>
        <v>0</v>
      </c>
      <c r="E2" s="5">
        <f>IFERROR(__xludf.DUMMYFUNCTION("""COMPUTED_VALUE"""),0.0)</f>
        <v>0</v>
      </c>
      <c r="F2" s="5">
        <f>IFERROR(__xludf.DUMMYFUNCTION("""COMPUTED_VALUE"""),0.0)</f>
        <v>0</v>
      </c>
      <c r="G2" s="5">
        <f>IFERROR(__xludf.DUMMYFUNCTION("""COMPUTED_VALUE"""),0.0)</f>
        <v>0</v>
      </c>
      <c r="H2" s="5">
        <f>IFERROR(__xludf.DUMMYFUNCTION("""COMPUTED_VALUE"""),0.0)</f>
        <v>0</v>
      </c>
      <c r="I2" s="5">
        <f>IFERROR(__xludf.DUMMYFUNCTION("""COMPUTED_VALUE"""),0.0)</f>
        <v>0</v>
      </c>
      <c r="J2" s="5">
        <f>IFERROR(__xludf.DUMMYFUNCTION("""COMPUTED_VALUE"""),0.0)</f>
        <v>0</v>
      </c>
      <c r="K2" s="5">
        <f>IFERROR(__xludf.DUMMYFUNCTION("""COMPUTED_VALUE"""),0.0)</f>
        <v>0</v>
      </c>
      <c r="L2" s="5">
        <f>IFERROR(__xludf.DUMMYFUNCTION("""COMPUTED_VALUE"""),27.799999999999997)</f>
        <v>27.8</v>
      </c>
      <c r="M2" s="5">
        <f>IFERROR(__xludf.DUMMYFUNCTION("""COMPUTED_VALUE"""),88.28999999999999)</f>
        <v>88.29</v>
      </c>
      <c r="N2" s="5">
        <f>IFERROR(__xludf.DUMMYFUNCTION("""COMPUTED_VALUE"""),116.08999999999999)</f>
        <v>116.09</v>
      </c>
      <c r="O2" s="5">
        <f>IFERROR(__xludf.DUMMYFUNCTION("""COMPUTED_VALUE"""),9.674166666666666)</f>
        <v>9.674166667</v>
      </c>
      <c r="P2" s="5">
        <f>IFERROR(__xludf.DUMMYFUNCTION("""COMPUTED_VALUE"""),9.674166666666666)</f>
        <v>9.674166667</v>
      </c>
      <c r="Q2" s="6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5">
        <f>IFERROR(__xludf.DUMMYFUNCTION("""COMPUTED_VALUE"""),9.309999999999999)</f>
        <v>9.31</v>
      </c>
      <c r="C3" s="5">
        <f>IFERROR(__xludf.DUMMYFUNCTION("""COMPUTED_VALUE"""),55.22)</f>
        <v>55.22</v>
      </c>
      <c r="D3" s="5">
        <f>IFERROR(__xludf.DUMMYFUNCTION("""COMPUTED_VALUE"""),28.13)</f>
        <v>28.13</v>
      </c>
      <c r="E3" s="5">
        <f>IFERROR(__xludf.DUMMYFUNCTION("""COMPUTED_VALUE"""),18.85)</f>
        <v>18.85</v>
      </c>
      <c r="F3" s="5">
        <f>IFERROR(__xludf.DUMMYFUNCTION("""COMPUTED_VALUE"""),57.44)</f>
        <v>57.44</v>
      </c>
      <c r="G3" s="5">
        <f>IFERROR(__xludf.DUMMYFUNCTION("""COMPUTED_VALUE"""),5.550000000000001)</f>
        <v>5.55</v>
      </c>
      <c r="H3" s="5">
        <f>IFERROR(__xludf.DUMMYFUNCTION("""COMPUTED_VALUE"""),1.77)</f>
        <v>1.77</v>
      </c>
      <c r="I3" s="5">
        <f>IFERROR(__xludf.DUMMYFUNCTION("""COMPUTED_VALUE"""),145.48999999999998)</f>
        <v>145.49</v>
      </c>
      <c r="J3" s="5">
        <f>IFERROR(__xludf.DUMMYFUNCTION("""COMPUTED_VALUE"""),162.07)</f>
        <v>162.07</v>
      </c>
      <c r="K3" s="5">
        <f>IFERROR(__xludf.DUMMYFUNCTION("""COMPUTED_VALUE"""),97.23)</f>
        <v>97.23</v>
      </c>
      <c r="L3" s="5">
        <f>IFERROR(__xludf.DUMMYFUNCTION("""COMPUTED_VALUE"""),16.89)</f>
        <v>16.89</v>
      </c>
      <c r="M3" s="5">
        <f>IFERROR(__xludf.DUMMYFUNCTION("""COMPUTED_VALUE"""),14.840000000000002)</f>
        <v>14.84</v>
      </c>
      <c r="N3" s="5">
        <f>IFERROR(__xludf.DUMMYFUNCTION("""COMPUTED_VALUE"""),612.79)</f>
        <v>612.79</v>
      </c>
      <c r="O3" s="5">
        <f>IFERROR(__xludf.DUMMYFUNCTION("""COMPUTED_VALUE"""),51.06583333333333)</f>
        <v>51.06583333</v>
      </c>
      <c r="P3" s="5">
        <f>IFERROR(__xludf.DUMMYFUNCTION("""COMPUTED_VALUE"""),51.06583333333333)</f>
        <v>51.06583333</v>
      </c>
      <c r="Q3" s="6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5">
        <f>IFERROR(__xludf.DUMMYFUNCTION("""COMPUTED_VALUE"""),59.42)</f>
        <v>59.42</v>
      </c>
      <c r="C4" s="5">
        <f>IFERROR(__xludf.DUMMYFUNCTION("""COMPUTED_VALUE"""),163.05999999999997)</f>
        <v>163.06</v>
      </c>
      <c r="D4" s="5">
        <f>IFERROR(__xludf.DUMMYFUNCTION("""COMPUTED_VALUE"""),37.59)</f>
        <v>37.59</v>
      </c>
      <c r="E4" s="5">
        <f>IFERROR(__xludf.DUMMYFUNCTION("""COMPUTED_VALUE"""),91.96)</f>
        <v>91.96</v>
      </c>
      <c r="F4" s="5">
        <f>IFERROR(__xludf.DUMMYFUNCTION("""COMPUTED_VALUE"""),642.55)</f>
        <v>642.55</v>
      </c>
      <c r="G4" s="5">
        <f>IFERROR(__xludf.DUMMYFUNCTION("""COMPUTED_VALUE"""),414.90999999999997)</f>
        <v>414.91</v>
      </c>
      <c r="H4" s="5">
        <f>IFERROR(__xludf.DUMMYFUNCTION("""COMPUTED_VALUE"""),173.16000000000003)</f>
        <v>173.16</v>
      </c>
      <c r="I4" s="5">
        <f>IFERROR(__xludf.DUMMYFUNCTION("""COMPUTED_VALUE"""),157.78000000000003)</f>
        <v>157.78</v>
      </c>
      <c r="J4" s="5">
        <f>IFERROR(__xludf.DUMMYFUNCTION("""COMPUTED_VALUE"""),401.66)</f>
        <v>401.66</v>
      </c>
      <c r="K4" s="5">
        <f>IFERROR(__xludf.DUMMYFUNCTION("""COMPUTED_VALUE"""),181.54000000000002)</f>
        <v>181.54</v>
      </c>
      <c r="L4" s="5">
        <f>IFERROR(__xludf.DUMMYFUNCTION("""COMPUTED_VALUE"""),273.22)</f>
        <v>273.22</v>
      </c>
      <c r="M4" s="5">
        <f>IFERROR(__xludf.DUMMYFUNCTION("""COMPUTED_VALUE"""),270.01)</f>
        <v>270.01</v>
      </c>
      <c r="N4" s="5">
        <f>IFERROR(__xludf.DUMMYFUNCTION("""COMPUTED_VALUE"""),2866.8599999999997)</f>
        <v>2866.86</v>
      </c>
      <c r="O4" s="5">
        <f>IFERROR(__xludf.DUMMYFUNCTION("""COMPUTED_VALUE"""),238.90499999999997)</f>
        <v>238.905</v>
      </c>
      <c r="P4" s="5">
        <f>IFERROR(__xludf.DUMMYFUNCTION("""COMPUTED_VALUE"""),238.90499999999997)</f>
        <v>238.905</v>
      </c>
      <c r="Q4" s="6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5">
        <f>IFERROR(__xludf.DUMMYFUNCTION("""COMPUTED_VALUE"""),50.77)</f>
        <v>50.77</v>
      </c>
      <c r="C5" s="5">
        <f>IFERROR(__xludf.DUMMYFUNCTION("""COMPUTED_VALUE"""),275.5)</f>
        <v>275.5</v>
      </c>
      <c r="D5" s="5">
        <f>IFERROR(__xludf.DUMMYFUNCTION("""COMPUTED_VALUE"""),490.78)</f>
        <v>490.78</v>
      </c>
      <c r="E5" s="5">
        <f>IFERROR(__xludf.DUMMYFUNCTION("""COMPUTED_VALUE"""),40.42)</f>
        <v>40.42</v>
      </c>
      <c r="F5" s="5">
        <f>IFERROR(__xludf.DUMMYFUNCTION("""COMPUTED_VALUE"""),815.75)</f>
        <v>815.75</v>
      </c>
      <c r="G5" s="5">
        <f>IFERROR(__xludf.DUMMYFUNCTION("""COMPUTED_VALUE"""),540.4399999999999)</f>
        <v>540.44</v>
      </c>
      <c r="H5" s="5">
        <f>IFERROR(__xludf.DUMMYFUNCTION("""COMPUTED_VALUE"""),137.11)</f>
        <v>137.11</v>
      </c>
      <c r="I5" s="5">
        <f>IFERROR(__xludf.DUMMYFUNCTION("""COMPUTED_VALUE"""),869.3199999999999)</f>
        <v>869.32</v>
      </c>
      <c r="J5" s="5">
        <f>IFERROR(__xludf.DUMMYFUNCTION("""COMPUTED_VALUE"""),452.4)</f>
        <v>452.4</v>
      </c>
      <c r="K5" s="5">
        <f>IFERROR(__xludf.DUMMYFUNCTION("""COMPUTED_VALUE"""),303.34999999999997)</f>
        <v>303.35</v>
      </c>
      <c r="L5" s="5">
        <f>IFERROR(__xludf.DUMMYFUNCTION("""COMPUTED_VALUE"""),755.02)</f>
        <v>755.02</v>
      </c>
      <c r="M5" s="5">
        <f>IFERROR(__xludf.DUMMYFUNCTION("""COMPUTED_VALUE"""),779.6899999999999)</f>
        <v>779.69</v>
      </c>
      <c r="N5" s="5">
        <f>IFERROR(__xludf.DUMMYFUNCTION("""COMPUTED_VALUE"""),5510.55)</f>
        <v>5510.55</v>
      </c>
      <c r="O5" s="5">
        <f>IFERROR(__xludf.DUMMYFUNCTION("""COMPUTED_VALUE"""),459.21250000000003)</f>
        <v>459.2125</v>
      </c>
      <c r="P5" s="5">
        <f>IFERROR(__xludf.DUMMYFUNCTION("""COMPUTED_VALUE"""),459.21250000000003)</f>
        <v>459.2125</v>
      </c>
      <c r="Q5" s="6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5">
        <f>IFERROR(__xludf.DUMMYFUNCTION("""COMPUTED_VALUE"""),816.71)</f>
        <v>816.71</v>
      </c>
      <c r="C6" s="5">
        <f>IFERROR(__xludf.DUMMYFUNCTION("""COMPUTED_VALUE"""),9.89)</f>
        <v>9.89</v>
      </c>
      <c r="D6" s="5">
        <f>IFERROR(__xludf.DUMMYFUNCTION("""COMPUTED_VALUE"""),1368.77)</f>
        <v>1368.77</v>
      </c>
      <c r="E6" s="5">
        <f>IFERROR(__xludf.DUMMYFUNCTION("""COMPUTED_VALUE"""),718.3299999999999)</f>
        <v>718.33</v>
      </c>
      <c r="F6" s="5">
        <f>IFERROR(__xludf.DUMMYFUNCTION("""COMPUTED_VALUE"""),500.15000000000003)</f>
        <v>500.15</v>
      </c>
      <c r="G6" s="5">
        <f>IFERROR(__xludf.DUMMYFUNCTION("""COMPUTED_VALUE"""),1835.0099999999998)</f>
        <v>1835.01</v>
      </c>
      <c r="H6" s="5">
        <f>IFERROR(__xludf.DUMMYFUNCTION("""COMPUTED_VALUE"""),400.71999999999997)</f>
        <v>400.72</v>
      </c>
      <c r="I6" s="5">
        <f>IFERROR(__xludf.DUMMYFUNCTION("""COMPUTED_VALUE"""),1702.19)</f>
        <v>1702.19</v>
      </c>
      <c r="J6" s="5">
        <f>IFERROR(__xludf.DUMMYFUNCTION("""COMPUTED_VALUE"""),587.1)</f>
        <v>587.1</v>
      </c>
      <c r="K6" s="5">
        <f>IFERROR(__xludf.DUMMYFUNCTION("""COMPUTED_VALUE"""),60.39)</f>
        <v>60.39</v>
      </c>
      <c r="L6" s="5">
        <f>IFERROR(__xludf.DUMMYFUNCTION("""COMPUTED_VALUE"""),1112.5300000000002)</f>
        <v>1112.53</v>
      </c>
      <c r="M6" s="5">
        <f>IFERROR(__xludf.DUMMYFUNCTION("""COMPUTED_VALUE"""),928.53)</f>
        <v>928.53</v>
      </c>
      <c r="N6" s="5">
        <f>IFERROR(__xludf.DUMMYFUNCTION("""COMPUTED_VALUE"""),10040.320000000002)</f>
        <v>10040.32</v>
      </c>
      <c r="O6" s="5">
        <f>IFERROR(__xludf.DUMMYFUNCTION("""COMPUTED_VALUE"""),836.6933333333335)</f>
        <v>836.6933333</v>
      </c>
      <c r="P6" s="5">
        <f>IFERROR(__xludf.DUMMYFUNCTION("""COMPUTED_VALUE"""),836.6933333333335)</f>
        <v>836.6933333</v>
      </c>
      <c r="Q6" s="6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5">
        <f>IFERROR(__xludf.DUMMYFUNCTION("""COMPUTED_VALUE"""),643.5299999999999)</f>
        <v>643.53</v>
      </c>
      <c r="C7" s="5">
        <f>IFERROR(__xludf.DUMMYFUNCTION("""COMPUTED_VALUE"""),2324.4100000000003)</f>
        <v>2324.41</v>
      </c>
      <c r="D7" s="5">
        <f>IFERROR(__xludf.DUMMYFUNCTION("""COMPUTED_VALUE"""),544.74)</f>
        <v>544.74</v>
      </c>
      <c r="E7" s="5">
        <f>IFERROR(__xludf.DUMMYFUNCTION("""COMPUTED_VALUE"""),1343.2200000000003)</f>
        <v>1343.22</v>
      </c>
      <c r="F7" s="5">
        <f>IFERROR(__xludf.DUMMYFUNCTION("""COMPUTED_VALUE"""),1932.13)</f>
        <v>1932.13</v>
      </c>
      <c r="G7" s="5">
        <f>IFERROR(__xludf.DUMMYFUNCTION("""COMPUTED_VALUE"""),2713.7999999999997)</f>
        <v>2713.8</v>
      </c>
      <c r="H7" s="5">
        <f>IFERROR(__xludf.DUMMYFUNCTION("""COMPUTED_VALUE"""),111.49000000000001)</f>
        <v>111.49</v>
      </c>
      <c r="I7" s="5">
        <f>IFERROR(__xludf.DUMMYFUNCTION("""COMPUTED_VALUE"""),2656.72)</f>
        <v>2656.72</v>
      </c>
      <c r="J7" s="5">
        <f>IFERROR(__xludf.DUMMYFUNCTION("""COMPUTED_VALUE"""),516.5300000000001)</f>
        <v>516.53</v>
      </c>
      <c r="K7" s="5">
        <f>IFERROR(__xludf.DUMMYFUNCTION("""COMPUTED_VALUE"""),13.4)</f>
        <v>13.4</v>
      </c>
      <c r="L7" s="5">
        <f>IFERROR(__xludf.DUMMYFUNCTION("""COMPUTED_VALUE"""),703.9000000000001)</f>
        <v>703.9</v>
      </c>
      <c r="M7" s="5">
        <f>IFERROR(__xludf.DUMMYFUNCTION("""COMPUTED_VALUE"""),2277.8)</f>
        <v>2277.8</v>
      </c>
      <c r="N7" s="5">
        <f>IFERROR(__xludf.DUMMYFUNCTION("""COMPUTED_VALUE"""),15781.669999999998)</f>
        <v>15781.67</v>
      </c>
      <c r="O7" s="5">
        <f>IFERROR(__xludf.DUMMYFUNCTION("""COMPUTED_VALUE"""),1315.1391666666666)</f>
        <v>1315.139167</v>
      </c>
      <c r="P7" s="5">
        <f>IFERROR(__xludf.DUMMYFUNCTION("""COMPUTED_VALUE"""),1315.1391666666666)</f>
        <v>1315.139167</v>
      </c>
      <c r="Q7" s="6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5">
        <f>IFERROR(__xludf.DUMMYFUNCTION("""COMPUTED_VALUE"""),1659.7)</f>
        <v>1659.7</v>
      </c>
      <c r="C8" s="5">
        <f>IFERROR(__xludf.DUMMYFUNCTION("""COMPUTED_VALUE"""),599.5500000000001)</f>
        <v>599.55</v>
      </c>
      <c r="D8" s="5">
        <f>IFERROR(__xludf.DUMMYFUNCTION("""COMPUTED_VALUE"""),7358.46)</f>
        <v>7358.46</v>
      </c>
      <c r="E8" s="5">
        <f>IFERROR(__xludf.DUMMYFUNCTION("""COMPUTED_VALUE"""),2.35)</f>
        <v>2.35</v>
      </c>
      <c r="F8" s="5">
        <f>IFERROR(__xludf.DUMMYFUNCTION("""COMPUTED_VALUE"""),2734.14)</f>
        <v>2734.14</v>
      </c>
      <c r="G8" s="5">
        <f>IFERROR(__xludf.DUMMYFUNCTION("""COMPUTED_VALUE"""),2702.12)</f>
        <v>2702.12</v>
      </c>
      <c r="H8" s="5">
        <f>IFERROR(__xludf.DUMMYFUNCTION("""COMPUTED_VALUE"""),3.18)</f>
        <v>3.18</v>
      </c>
      <c r="I8" s="5">
        <f>IFERROR(__xludf.DUMMYFUNCTION("""COMPUTED_VALUE"""),6962.56)</f>
        <v>6962.56</v>
      </c>
      <c r="J8" s="5">
        <f>IFERROR(__xludf.DUMMYFUNCTION("""COMPUTED_VALUE"""),1607.29)</f>
        <v>1607.29</v>
      </c>
      <c r="K8" s="5">
        <f>IFERROR(__xludf.DUMMYFUNCTION("""COMPUTED_VALUE"""),2.46)</f>
        <v>2.46</v>
      </c>
      <c r="L8" s="5">
        <f>IFERROR(__xludf.DUMMYFUNCTION("""COMPUTED_VALUE"""),82.53)</f>
        <v>82.53</v>
      </c>
      <c r="M8" s="5">
        <f>IFERROR(__xludf.DUMMYFUNCTION("""COMPUTED_VALUE"""),91.23)</f>
        <v>91.23</v>
      </c>
      <c r="N8" s="5">
        <f>IFERROR(__xludf.DUMMYFUNCTION("""COMPUTED_VALUE"""),23805.57)</f>
        <v>23805.57</v>
      </c>
      <c r="O8" s="5">
        <f>IFERROR(__xludf.DUMMYFUNCTION("""COMPUTED_VALUE"""),2625.4833333333336)</f>
        <v>2625.483333</v>
      </c>
      <c r="P8" s="5">
        <f>IFERROR(__xludf.DUMMYFUNCTION("""COMPUTED_VALUE"""),1983.7975)</f>
        <v>1983.7975</v>
      </c>
      <c r="Q8" s="6">
        <f>IFERROR(__xludf.DUMMYFUNCTION("""COMPUTED_VALUE"""),0.5084316171862673)</f>
        <v>0.5084316172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7">
        <f>IFERROR(__xludf.DUMMYFUNCTION("""COMPUTED_VALUE"""),45778.0)</f>
        <v>45778</v>
      </c>
      <c r="C1" s="7">
        <f>IFERROR(__xludf.DUMMYFUNCTION("""COMPUTED_VALUE"""),45809.0)</f>
        <v>45809</v>
      </c>
      <c r="D1" s="7">
        <f>IFERROR(__xludf.DUMMYFUNCTION("""COMPUTED_VALUE"""),45839.0)</f>
        <v>45839</v>
      </c>
      <c r="E1" s="7">
        <f>IFERROR(__xludf.DUMMYFUNCTION("""COMPUTED_VALUE"""),45870.0)</f>
        <v>45870</v>
      </c>
      <c r="F1" s="7">
        <f>IFERROR(__xludf.DUMMYFUNCTION("""COMPUTED_VALUE"""),45901.0)</f>
        <v>45901</v>
      </c>
      <c r="G1" s="7">
        <f>IFERROR(__xludf.DUMMYFUNCTION("""COMPUTED_VALUE"""),45931.0)</f>
        <v>45931</v>
      </c>
      <c r="H1" s="7">
        <f>IFERROR(__xludf.DUMMYFUNCTION("""COMPUTED_VALUE"""),45962.0)</f>
        <v>45962</v>
      </c>
      <c r="I1" s="7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7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">
        <f>IFERROR(__xludf.DUMMYFUNCTION("""COMPUTED_VALUE"""),45778.0)</f>
        <v>45778</v>
      </c>
      <c r="B2" s="8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>
        <f>IFERROR(__xludf.DUMMYFUNCTION("""COMPUTED_VALUE"""),45778.0)</f>
        <v>45778</v>
      </c>
      <c r="B3" s="8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">
        <f>IFERROR(__xludf.DUMMYFUNCTION("""COMPUTED_VALUE"""),45778.0)</f>
        <v>45778</v>
      </c>
      <c r="B4" s="8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7">
        <f>IFERROR(__xludf.DUMMYFUNCTION("""COMPUTED_VALUE"""),45778.0)</f>
        <v>45778</v>
      </c>
      <c r="B5" s="8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">
        <f>IFERROR(__xludf.DUMMYFUNCTION("""COMPUTED_VALUE"""),45778.0)</f>
        <v>45778</v>
      </c>
      <c r="B6" s="8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7">
        <f>IFERROR(__xludf.DUMMYFUNCTION("""COMPUTED_VALUE"""),45778.0)</f>
        <v>45778</v>
      </c>
      <c r="B7" s="8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7">
        <f>IFERROR(__xludf.DUMMYFUNCTION("""COMPUTED_VALUE"""),45778.0)</f>
        <v>45778</v>
      </c>
      <c r="B8" s="8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7">
        <f>IFERROR(__xludf.DUMMYFUNCTION("""COMPUTED_VALUE"""),45778.0)</f>
        <v>45778</v>
      </c>
      <c r="B9" s="8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7">
        <f>IFERROR(__xludf.DUMMYFUNCTION("""COMPUTED_VALUE"""),45778.0)</f>
        <v>45778</v>
      </c>
      <c r="B10" s="8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7">
        <f>IFERROR(__xludf.DUMMYFUNCTION("""COMPUTED_VALUE"""),45778.0)</f>
        <v>45778</v>
      </c>
      <c r="B11" s="8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>
        <f>IFERROR(__xludf.DUMMYFUNCTION("""COMPUTED_VALUE"""),45778.0)</f>
        <v>45778</v>
      </c>
      <c r="B12" s="8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7">
        <f>IFERROR(__xludf.DUMMYFUNCTION("""COMPUTED_VALUE"""),45778.0)</f>
        <v>45778</v>
      </c>
      <c r="B13" s="8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7">
        <f>IFERROR(__xludf.DUMMYFUNCTION("""COMPUTED_VALUE"""),45778.0)</f>
        <v>45778</v>
      </c>
      <c r="B14" s="8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7">
        <f>IFERROR(__xludf.DUMMYFUNCTION("""COMPUTED_VALUE"""),45778.0)</f>
        <v>45778</v>
      </c>
      <c r="B15" s="8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7">
        <f>IFERROR(__xludf.DUMMYFUNCTION("""COMPUTED_VALUE"""),45778.0)</f>
        <v>45778</v>
      </c>
      <c r="B16" s="8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7">
        <f>IFERROR(__xludf.DUMMYFUNCTION("""COMPUTED_VALUE"""),45778.0)</f>
        <v>45778</v>
      </c>
      <c r="B17" s="8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>
        <f>IFERROR(__xludf.DUMMYFUNCTION("""COMPUTED_VALUE"""),45778.0)</f>
        <v>45778</v>
      </c>
      <c r="B18" s="8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7">
        <f>IFERROR(__xludf.DUMMYFUNCTION("""COMPUTED_VALUE"""),45778.0)</f>
        <v>45778</v>
      </c>
      <c r="B19" s="8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7">
        <f>IFERROR(__xludf.DUMMYFUNCTION("""COMPUTED_VALUE"""),45778.0)</f>
        <v>45778</v>
      </c>
      <c r="B20" s="8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7">
        <f>IFERROR(__xludf.DUMMYFUNCTION("""COMPUTED_VALUE"""),45778.0)</f>
        <v>45778</v>
      </c>
      <c r="B21" s="8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7">
        <f>IFERROR(__xludf.DUMMYFUNCTION("""COMPUTED_VALUE"""),45778.0)</f>
        <v>45778</v>
      </c>
      <c r="B22" s="8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7">
        <f>IFERROR(__xludf.DUMMYFUNCTION("""COMPUTED_VALUE"""),45778.0)</f>
        <v>45778</v>
      </c>
      <c r="B23" s="8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7">
        <f>IFERROR(__xludf.DUMMYFUNCTION("""COMPUTED_VALUE"""),45778.0)</f>
        <v>45778</v>
      </c>
      <c r="B24" s="8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7">
        <f>IFERROR(__xludf.DUMMYFUNCTION("""COMPUTED_VALUE"""),45778.0)</f>
        <v>45778</v>
      </c>
      <c r="B25" s="8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>
        <f>IFERROR(__xludf.DUMMYFUNCTION("""COMPUTED_VALUE"""),45778.0)</f>
        <v>45778</v>
      </c>
      <c r="B26" s="8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7">
        <f>IFERROR(__xludf.DUMMYFUNCTION("""COMPUTED_VALUE"""),45778.0)</f>
        <v>45778</v>
      </c>
      <c r="B27" s="8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7">
        <f>IFERROR(__xludf.DUMMYFUNCTION("""COMPUTED_VALUE"""),45778.0)</f>
        <v>45778</v>
      </c>
      <c r="B28" s="8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7">
        <f>IFERROR(__xludf.DUMMYFUNCTION("""COMPUTED_VALUE"""),45778.0)</f>
        <v>45778</v>
      </c>
      <c r="B29" s="8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7">
        <f>IFERROR(__xludf.DUMMYFUNCTION("""COMPUTED_VALUE"""),45778.0)</f>
        <v>45778</v>
      </c>
      <c r="B30" s="8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7">
        <f>IFERROR(__xludf.DUMMYFUNCTION("""COMPUTED_VALUE"""),45778.0)</f>
        <v>45778</v>
      </c>
      <c r="B31" s="8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>
        <f>IFERROR(__xludf.DUMMYFUNCTION("""COMPUTED_VALUE"""),45778.0)</f>
        <v>45778</v>
      </c>
      <c r="B32" s="8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7">
        <f>IFERROR(__xludf.DUMMYFUNCTION("""COMPUTED_VALUE"""),45778.0)</f>
        <v>45778</v>
      </c>
      <c r="B33" s="8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7">
        <f>IFERROR(__xludf.DUMMYFUNCTION("""COMPUTED_VALUE"""),45778.0)</f>
        <v>45778</v>
      </c>
      <c r="B34" s="8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7">
        <f>IFERROR(__xludf.DUMMYFUNCTION("""COMPUTED_VALUE"""),45778.0)</f>
        <v>45778</v>
      </c>
      <c r="B35" s="8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7">
        <f>IFERROR(__xludf.DUMMYFUNCTION("""COMPUTED_VALUE"""),45778.0)</f>
        <v>45778</v>
      </c>
      <c r="B36" s="8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7">
        <f>IFERROR(__xludf.DUMMYFUNCTION("""COMPUTED_VALUE"""),45778.0)</f>
        <v>45778</v>
      </c>
      <c r="B37" s="8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7">
        <f>IFERROR(__xludf.DUMMYFUNCTION("""COMPUTED_VALUE"""),45778.0)</f>
        <v>45778</v>
      </c>
      <c r="B38" s="8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>
        <f>IFERROR(__xludf.DUMMYFUNCTION("""COMPUTED_VALUE"""),45778.0)</f>
        <v>45778</v>
      </c>
      <c r="B39" s="8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7">
        <f>IFERROR(__xludf.DUMMYFUNCTION("""COMPUTED_VALUE"""),45778.0)</f>
        <v>45778</v>
      </c>
      <c r="B40" s="8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7">
        <f>IFERROR(__xludf.DUMMYFUNCTION("""COMPUTED_VALUE"""),45778.0)</f>
        <v>45778</v>
      </c>
      <c r="B41" s="8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7">
        <f>IFERROR(__xludf.DUMMYFUNCTION("""COMPUTED_VALUE"""),45778.0)</f>
        <v>45778</v>
      </c>
      <c r="B42" s="8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7">
        <f>IFERROR(__xludf.DUMMYFUNCTION("""COMPUTED_VALUE"""),45778.0)</f>
        <v>45778</v>
      </c>
      <c r="B43" s="8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7">
        <f>IFERROR(__xludf.DUMMYFUNCTION("""COMPUTED_VALUE"""),45778.0)</f>
        <v>45778</v>
      </c>
      <c r="B44" s="8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>
        <f>IFERROR(__xludf.DUMMYFUNCTION("""COMPUTED_VALUE"""),45778.0)</f>
        <v>45778</v>
      </c>
      <c r="B45" s="8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7">
        <f>IFERROR(__xludf.DUMMYFUNCTION("""COMPUTED_VALUE"""),45778.0)</f>
        <v>45778</v>
      </c>
      <c r="B46" s="8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7">
        <f>IFERROR(__xludf.DUMMYFUNCTION("""COMPUTED_VALUE"""),45778.0)</f>
        <v>45778</v>
      </c>
      <c r="B47" s="8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7">
        <f>IFERROR(__xludf.DUMMYFUNCTION("""COMPUTED_VALUE"""),45778.0)</f>
        <v>45778</v>
      </c>
      <c r="B48" s="8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7">
        <f>IFERROR(__xludf.DUMMYFUNCTION("""COMPUTED_VALUE"""),45778.0)</f>
        <v>45778</v>
      </c>
      <c r="B49" s="8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>
        <f>IFERROR(__xludf.DUMMYFUNCTION("""COMPUTED_VALUE"""),45778.0)</f>
        <v>45778</v>
      </c>
      <c r="B50" s="8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7">
        <f>IFERROR(__xludf.DUMMYFUNCTION("""COMPUTED_VALUE"""),45778.0)</f>
        <v>45778</v>
      </c>
      <c r="B51" s="8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7">
        <f>IFERROR(__xludf.DUMMYFUNCTION("""COMPUTED_VALUE"""),45778.0)</f>
        <v>45778</v>
      </c>
      <c r="B52" s="8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7">
        <f>IFERROR(__xludf.DUMMYFUNCTION("""COMPUTED_VALUE"""),45778.0)</f>
        <v>45778</v>
      </c>
      <c r="B53" s="8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7">
        <f>IFERROR(__xludf.DUMMYFUNCTION("""COMPUTED_VALUE"""),45778.0)</f>
        <v>45778</v>
      </c>
      <c r="B54" s="8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7">
        <f>IFERROR(__xludf.DUMMYFUNCTION("""COMPUTED_VALUE"""),45778.0)</f>
        <v>45778</v>
      </c>
      <c r="B55" s="8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>
        <f>IFERROR(__xludf.DUMMYFUNCTION("""COMPUTED_VALUE"""),45778.0)</f>
        <v>45778</v>
      </c>
      <c r="B56" s="8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7">
        <f>IFERROR(__xludf.DUMMYFUNCTION("""COMPUTED_VALUE"""),45778.0)</f>
        <v>45778</v>
      </c>
      <c r="B57" s="8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">
        <f>IFERROR(__xludf.DUMMYFUNCTION("""COMPUTED_VALUE"""),45778.0)</f>
        <v>45778</v>
      </c>
      <c r="B58" s="8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">
        <f>IFERROR(__xludf.DUMMYFUNCTION("""COMPUTED_VALUE"""),45778.0)</f>
        <v>45778</v>
      </c>
      <c r="B59" s="8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">
        <f>IFERROR(__xludf.DUMMYFUNCTION("""COMPUTED_VALUE"""),45778.0)</f>
        <v>45778</v>
      </c>
      <c r="B60" s="8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">
        <f>IFERROR(__xludf.DUMMYFUNCTION("""COMPUTED_VALUE"""),45778.0)</f>
        <v>45778</v>
      </c>
      <c r="B61" s="8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>
        <f>IFERROR(__xludf.DUMMYFUNCTION("""COMPUTED_VALUE"""),45778.0)</f>
        <v>45778</v>
      </c>
      <c r="B62" s="8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7">
        <f>IFERROR(__xludf.DUMMYFUNCTION("""COMPUTED_VALUE"""),45778.0)</f>
        <v>45778</v>
      </c>
      <c r="B63" s="8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7">
        <f>IFERROR(__xludf.DUMMYFUNCTION("""COMPUTED_VALUE"""),45809.0)</f>
        <v>45809</v>
      </c>
      <c r="B64" s="8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7">
        <f>IFERROR(__xludf.DUMMYFUNCTION("""COMPUTED_VALUE"""),45809.0)</f>
        <v>45809</v>
      </c>
      <c r="B65" s="8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7">
        <f>IFERROR(__xludf.DUMMYFUNCTION("""COMPUTED_VALUE"""),45809.0)</f>
        <v>45809</v>
      </c>
      <c r="B66" s="8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7">
        <f>IFERROR(__xludf.DUMMYFUNCTION("""COMPUTED_VALUE"""),45809.0)</f>
        <v>45809</v>
      </c>
      <c r="B67" s="8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>
        <f>IFERROR(__xludf.DUMMYFUNCTION("""COMPUTED_VALUE"""),45809.0)</f>
        <v>45809</v>
      </c>
      <c r="B68" s="8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7">
        <f>IFERROR(__xludf.DUMMYFUNCTION("""COMPUTED_VALUE"""),45809.0)</f>
        <v>45809</v>
      </c>
      <c r="B69" s="8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7">
        <f>IFERROR(__xludf.DUMMYFUNCTION("""COMPUTED_VALUE"""),45809.0)</f>
        <v>45809</v>
      </c>
      <c r="B70" s="8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7">
        <f>IFERROR(__xludf.DUMMYFUNCTION("""COMPUTED_VALUE"""),45809.0)</f>
        <v>45809</v>
      </c>
      <c r="B71" s="8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7">
        <f>IFERROR(__xludf.DUMMYFUNCTION("""COMPUTED_VALUE"""),45809.0)</f>
        <v>45809</v>
      </c>
      <c r="B72" s="8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7">
        <f>IFERROR(__xludf.DUMMYFUNCTION("""COMPUTED_VALUE"""),45809.0)</f>
        <v>45809</v>
      </c>
      <c r="B73" s="8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7">
        <f>IFERROR(__xludf.DUMMYFUNCTION("""COMPUTED_VALUE"""),45809.0)</f>
        <v>45809</v>
      </c>
      <c r="B74" s="8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7">
        <f>IFERROR(__xludf.DUMMYFUNCTION("""COMPUTED_VALUE"""),45809.0)</f>
        <v>45809</v>
      </c>
      <c r="B75" s="8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7">
        <f>IFERROR(__xludf.DUMMYFUNCTION("""COMPUTED_VALUE"""),45809.0)</f>
        <v>45809</v>
      </c>
      <c r="B76" s="8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7">
        <f>IFERROR(__xludf.DUMMYFUNCTION("""COMPUTED_VALUE"""),45809.0)</f>
        <v>45809</v>
      </c>
      <c r="B77" s="8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7">
        <f>IFERROR(__xludf.DUMMYFUNCTION("""COMPUTED_VALUE"""),45809.0)</f>
        <v>45809</v>
      </c>
      <c r="B78" s="8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7">
        <f>IFERROR(__xludf.DUMMYFUNCTION("""COMPUTED_VALUE"""),45809.0)</f>
        <v>45809</v>
      </c>
      <c r="B79" s="8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>
        <f>IFERROR(__xludf.DUMMYFUNCTION("""COMPUTED_VALUE"""),45809.0)</f>
        <v>45809</v>
      </c>
      <c r="B80" s="8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7">
        <f>IFERROR(__xludf.DUMMYFUNCTION("""COMPUTED_VALUE"""),45809.0)</f>
        <v>45809</v>
      </c>
      <c r="B81" s="8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7">
        <f>IFERROR(__xludf.DUMMYFUNCTION("""COMPUTED_VALUE"""),45809.0)</f>
        <v>45809</v>
      </c>
      <c r="B82" s="8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7">
        <f>IFERROR(__xludf.DUMMYFUNCTION("""COMPUTED_VALUE"""),45809.0)</f>
        <v>45809</v>
      </c>
      <c r="B83" s="8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7">
        <f>IFERROR(__xludf.DUMMYFUNCTION("""COMPUTED_VALUE"""),45809.0)</f>
        <v>45809</v>
      </c>
      <c r="B84" s="8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7">
        <f>IFERROR(__xludf.DUMMYFUNCTION("""COMPUTED_VALUE"""),45809.0)</f>
        <v>45809</v>
      </c>
      <c r="B85" s="8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>
        <f>IFERROR(__xludf.DUMMYFUNCTION("""COMPUTED_VALUE"""),45809.0)</f>
        <v>45809</v>
      </c>
      <c r="B86" s="8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7">
        <f>IFERROR(__xludf.DUMMYFUNCTION("""COMPUTED_VALUE"""),45809.0)</f>
        <v>45809</v>
      </c>
      <c r="B87" s="8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7">
        <f>IFERROR(__xludf.DUMMYFUNCTION("""COMPUTED_VALUE"""),45809.0)</f>
        <v>45809</v>
      </c>
      <c r="B88" s="8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7">
        <f>IFERROR(__xludf.DUMMYFUNCTION("""COMPUTED_VALUE"""),45809.0)</f>
        <v>45809</v>
      </c>
      <c r="B89" s="8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7">
        <f>IFERROR(__xludf.DUMMYFUNCTION("""COMPUTED_VALUE"""),45809.0)</f>
        <v>45809</v>
      </c>
      <c r="B90" s="8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">
        <f>IFERROR(__xludf.DUMMYFUNCTION("""COMPUTED_VALUE"""),45809.0)</f>
        <v>45809</v>
      </c>
      <c r="B91" s="8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7">
        <f>IFERROR(__xludf.DUMMYFUNCTION("""COMPUTED_VALUE"""),45809.0)</f>
        <v>45809</v>
      </c>
      <c r="B92" s="8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">
        <f>IFERROR(__xludf.DUMMYFUNCTION("""COMPUTED_VALUE"""),45809.0)</f>
        <v>45809</v>
      </c>
      <c r="B93" s="8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7">
        <f>IFERROR(__xludf.DUMMYFUNCTION("""COMPUTED_VALUE"""),45809.0)</f>
        <v>45809</v>
      </c>
      <c r="B94" s="8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>
        <f>IFERROR(__xludf.DUMMYFUNCTION("""COMPUTED_VALUE"""),45809.0)</f>
        <v>45809</v>
      </c>
      <c r="B95" s="8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7">
        <f>IFERROR(__xludf.DUMMYFUNCTION("""COMPUTED_VALUE"""),45809.0)</f>
        <v>45809</v>
      </c>
      <c r="B96" s="8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7">
        <f>IFERROR(__xludf.DUMMYFUNCTION("""COMPUTED_VALUE"""),45809.0)</f>
        <v>45809</v>
      </c>
      <c r="B97" s="8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7">
        <f>IFERROR(__xludf.DUMMYFUNCTION("""COMPUTED_VALUE"""),45809.0)</f>
        <v>45809</v>
      </c>
      <c r="B98" s="8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7">
        <f>IFERROR(__xludf.DUMMYFUNCTION("""COMPUTED_VALUE"""),45809.0)</f>
        <v>45809</v>
      </c>
      <c r="B99" s="8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7">
        <f>IFERROR(__xludf.DUMMYFUNCTION("""COMPUTED_VALUE"""),45809.0)</f>
        <v>45809</v>
      </c>
      <c r="B100" s="8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>
        <f>IFERROR(__xludf.DUMMYFUNCTION("""COMPUTED_VALUE"""),45809.0)</f>
        <v>45809</v>
      </c>
      <c r="B101" s="8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7">
        <f>IFERROR(__xludf.DUMMYFUNCTION("""COMPUTED_VALUE"""),45809.0)</f>
        <v>45809</v>
      </c>
      <c r="B102" s="8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7">
        <f>IFERROR(__xludf.DUMMYFUNCTION("""COMPUTED_VALUE"""),45809.0)</f>
        <v>45809</v>
      </c>
      <c r="B103" s="8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7">
        <f>IFERROR(__xludf.DUMMYFUNCTION("""COMPUTED_VALUE"""),45809.0)</f>
        <v>45809</v>
      </c>
      <c r="B104" s="8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7">
        <f>IFERROR(__xludf.DUMMYFUNCTION("""COMPUTED_VALUE"""),45809.0)</f>
        <v>45809</v>
      </c>
      <c r="B105" s="8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7">
        <f>IFERROR(__xludf.DUMMYFUNCTION("""COMPUTED_VALUE"""),45809.0)</f>
        <v>45809</v>
      </c>
      <c r="B106" s="8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7">
        <f>IFERROR(__xludf.DUMMYFUNCTION("""COMPUTED_VALUE"""),45809.0)</f>
        <v>45809</v>
      </c>
      <c r="B107" s="8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7">
        <f>IFERROR(__xludf.DUMMYFUNCTION("""COMPUTED_VALUE"""),45809.0)</f>
        <v>45809</v>
      </c>
      <c r="B108" s="8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7">
        <f>IFERROR(__xludf.DUMMYFUNCTION("""COMPUTED_VALUE"""),45809.0)</f>
        <v>45809</v>
      </c>
      <c r="B109" s="8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7">
        <f>IFERROR(__xludf.DUMMYFUNCTION("""COMPUTED_VALUE"""),45809.0)</f>
        <v>45809</v>
      </c>
      <c r="B110" s="8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7">
        <f>IFERROR(__xludf.DUMMYFUNCTION("""COMPUTED_VALUE"""),45809.0)</f>
        <v>45809</v>
      </c>
      <c r="B111" s="8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7">
        <f>IFERROR(__xludf.DUMMYFUNCTION("""COMPUTED_VALUE"""),45809.0)</f>
        <v>45809</v>
      </c>
      <c r="B112" s="8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7">
        <f>IFERROR(__xludf.DUMMYFUNCTION("""COMPUTED_VALUE"""),45809.0)</f>
        <v>45809</v>
      </c>
      <c r="B113" s="8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7">
        <f>IFERROR(__xludf.DUMMYFUNCTION("""COMPUTED_VALUE"""),45809.0)</f>
        <v>45809</v>
      </c>
      <c r="B114" s="8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7">
        <f>IFERROR(__xludf.DUMMYFUNCTION("""COMPUTED_VALUE"""),45809.0)</f>
        <v>45809</v>
      </c>
      <c r="B115" s="8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7">
        <f>IFERROR(__xludf.DUMMYFUNCTION("""COMPUTED_VALUE"""),45809.0)</f>
        <v>45809</v>
      </c>
      <c r="B116" s="8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7">
        <f>IFERROR(__xludf.DUMMYFUNCTION("""COMPUTED_VALUE"""),45809.0)</f>
        <v>45809</v>
      </c>
      <c r="B117" s="8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7">
        <f>IFERROR(__xludf.DUMMYFUNCTION("""COMPUTED_VALUE"""),45809.0)</f>
        <v>45809</v>
      </c>
      <c r="B118" s="8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7">
        <f>IFERROR(__xludf.DUMMYFUNCTION("""COMPUTED_VALUE"""),45809.0)</f>
        <v>45809</v>
      </c>
      <c r="B119" s="8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7">
        <f>IFERROR(__xludf.DUMMYFUNCTION("""COMPUTED_VALUE"""),45809.0)</f>
        <v>45809</v>
      </c>
      <c r="B120" s="8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7">
        <f>IFERROR(__xludf.DUMMYFUNCTION("""COMPUTED_VALUE"""),45809.0)</f>
        <v>45809</v>
      </c>
      <c r="B121" s="8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7">
        <f>IFERROR(__xludf.DUMMYFUNCTION("""COMPUTED_VALUE"""),45809.0)</f>
        <v>45809</v>
      </c>
      <c r="B122" s="8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7">
        <f>IFERROR(__xludf.DUMMYFUNCTION("""COMPUTED_VALUE"""),45809.0)</f>
        <v>45809</v>
      </c>
      <c r="B123" s="8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7">
        <f>IFERROR(__xludf.DUMMYFUNCTION("""COMPUTED_VALUE"""),45809.0)</f>
        <v>45809</v>
      </c>
      <c r="B124" s="8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7">
        <f>IFERROR(__xludf.DUMMYFUNCTION("""COMPUTED_VALUE"""),45809.0)</f>
        <v>45809</v>
      </c>
      <c r="B125" s="8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7">
        <f>IFERROR(__xludf.DUMMYFUNCTION("""COMPUTED_VALUE"""),45809.0)</f>
        <v>45809</v>
      </c>
      <c r="B126" s="8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7">
        <f>IFERROR(__xludf.DUMMYFUNCTION("""COMPUTED_VALUE"""),45809.0)</f>
        <v>45809</v>
      </c>
      <c r="B127" s="8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7">
        <f>IFERROR(__xludf.DUMMYFUNCTION("""COMPUTED_VALUE"""),45809.0)</f>
        <v>45809</v>
      </c>
      <c r="B128" s="8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7">
        <f>IFERROR(__xludf.DUMMYFUNCTION("""COMPUTED_VALUE"""),45809.0)</f>
        <v>45809</v>
      </c>
      <c r="B129" s="8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7">
        <f>IFERROR(__xludf.DUMMYFUNCTION("""COMPUTED_VALUE"""),45809.0)</f>
        <v>45809</v>
      </c>
      <c r="B130" s="8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7">
        <f>IFERROR(__xludf.DUMMYFUNCTION("""COMPUTED_VALUE"""),45809.0)</f>
        <v>45809</v>
      </c>
      <c r="B131" s="8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7">
        <f>IFERROR(__xludf.DUMMYFUNCTION("""COMPUTED_VALUE"""),45809.0)</f>
        <v>45809</v>
      </c>
      <c r="B132" s="8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7">
        <f>IFERROR(__xludf.DUMMYFUNCTION("""COMPUTED_VALUE"""),45809.0)</f>
        <v>45809</v>
      </c>
      <c r="B133" s="8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7">
        <f>IFERROR(__xludf.DUMMYFUNCTION("""COMPUTED_VALUE"""),45809.0)</f>
        <v>45809</v>
      </c>
      <c r="B134" s="8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7">
        <f>IFERROR(__xludf.DUMMYFUNCTION("""COMPUTED_VALUE"""),45809.0)</f>
        <v>45809</v>
      </c>
      <c r="B135" s="8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7">
        <f>IFERROR(__xludf.DUMMYFUNCTION("""COMPUTED_VALUE"""),45809.0)</f>
        <v>45809</v>
      </c>
      <c r="B136" s="8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7">
        <f>IFERROR(__xludf.DUMMYFUNCTION("""COMPUTED_VALUE"""),45809.0)</f>
        <v>45809</v>
      </c>
      <c r="B137" s="8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7">
        <f>IFERROR(__xludf.DUMMYFUNCTION("""COMPUTED_VALUE"""),45809.0)</f>
        <v>45809</v>
      </c>
      <c r="B138" s="8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7">
        <f>IFERROR(__xludf.DUMMYFUNCTION("""COMPUTED_VALUE"""),45809.0)</f>
        <v>45809</v>
      </c>
      <c r="B139" s="8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7">
        <f>IFERROR(__xludf.DUMMYFUNCTION("""COMPUTED_VALUE"""),45809.0)</f>
        <v>45809</v>
      </c>
      <c r="B140" s="8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7">
        <f>IFERROR(__xludf.DUMMYFUNCTION("""COMPUTED_VALUE"""),45809.0)</f>
        <v>45809</v>
      </c>
      <c r="B141" s="8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7">
        <f>IFERROR(__xludf.DUMMYFUNCTION("""COMPUTED_VALUE"""),45809.0)</f>
        <v>45809</v>
      </c>
      <c r="B142" s="8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7">
        <f>IFERROR(__xludf.DUMMYFUNCTION("""COMPUTED_VALUE"""),45809.0)</f>
        <v>45809</v>
      </c>
      <c r="B143" s="8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7">
        <f>IFERROR(__xludf.DUMMYFUNCTION("""COMPUTED_VALUE"""),45809.0)</f>
        <v>45809</v>
      </c>
      <c r="B144" s="8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7">
        <f>IFERROR(__xludf.DUMMYFUNCTION("""COMPUTED_VALUE"""),45809.0)</f>
        <v>45809</v>
      </c>
      <c r="B145" s="8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7">
        <f>IFERROR(__xludf.DUMMYFUNCTION("""COMPUTED_VALUE"""),45809.0)</f>
        <v>45809</v>
      </c>
      <c r="B146" s="8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7">
        <f>IFERROR(__xludf.DUMMYFUNCTION("""COMPUTED_VALUE"""),45809.0)</f>
        <v>45809</v>
      </c>
      <c r="B147" s="8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7">
        <f>IFERROR(__xludf.DUMMYFUNCTION("""COMPUTED_VALUE"""),45809.0)</f>
        <v>45809</v>
      </c>
      <c r="B148" s="8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7">
        <f>IFERROR(__xludf.DUMMYFUNCTION("""COMPUTED_VALUE"""),45809.0)</f>
        <v>45809</v>
      </c>
      <c r="B149" s="8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7">
        <f>IFERROR(__xludf.DUMMYFUNCTION("""COMPUTED_VALUE"""),45809.0)</f>
        <v>45809</v>
      </c>
      <c r="B150" s="8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7">
        <f>IFERROR(__xludf.DUMMYFUNCTION("""COMPUTED_VALUE"""),45809.0)</f>
        <v>45809</v>
      </c>
      <c r="B151" s="8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7">
        <f>IFERROR(__xludf.DUMMYFUNCTION("""COMPUTED_VALUE"""),45809.0)</f>
        <v>45809</v>
      </c>
      <c r="B152" s="8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7">
        <f>IFERROR(__xludf.DUMMYFUNCTION("""COMPUTED_VALUE"""),45809.0)</f>
        <v>45809</v>
      </c>
      <c r="B153" s="8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7">
        <f>IFERROR(__xludf.DUMMYFUNCTION("""COMPUTED_VALUE"""),45809.0)</f>
        <v>45809</v>
      </c>
      <c r="B154" s="8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7">
        <f>IFERROR(__xludf.DUMMYFUNCTION("""COMPUTED_VALUE"""),45809.0)</f>
        <v>45809</v>
      </c>
      <c r="B155" s="8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7">
        <f>IFERROR(__xludf.DUMMYFUNCTION("""COMPUTED_VALUE"""),45809.0)</f>
        <v>45809</v>
      </c>
      <c r="B156" s="8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7">
        <f>IFERROR(__xludf.DUMMYFUNCTION("""COMPUTED_VALUE"""),45809.0)</f>
        <v>45809</v>
      </c>
      <c r="B157" s="8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7">
        <f>IFERROR(__xludf.DUMMYFUNCTION("""COMPUTED_VALUE"""),45809.0)</f>
        <v>45809</v>
      </c>
      <c r="B158" s="8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7">
        <f>IFERROR(__xludf.DUMMYFUNCTION("""COMPUTED_VALUE"""),45809.0)</f>
        <v>45809</v>
      </c>
      <c r="B159" s="8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7">
        <f>IFERROR(__xludf.DUMMYFUNCTION("""COMPUTED_VALUE"""),45809.0)</f>
        <v>45809</v>
      </c>
      <c r="B160" s="8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7">
        <f>IFERROR(__xludf.DUMMYFUNCTION("""COMPUTED_VALUE"""),45809.0)</f>
        <v>45809</v>
      </c>
      <c r="B161" s="8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7">
        <f>IFERROR(__xludf.DUMMYFUNCTION("""COMPUTED_VALUE"""),45809.0)</f>
        <v>45809</v>
      </c>
      <c r="B162" s="8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7">
        <f>IFERROR(__xludf.DUMMYFUNCTION("""COMPUTED_VALUE"""),45809.0)</f>
        <v>45809</v>
      </c>
      <c r="B163" s="8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7">
        <f>IFERROR(__xludf.DUMMYFUNCTION("""COMPUTED_VALUE"""),45809.0)</f>
        <v>45809</v>
      </c>
      <c r="B164" s="8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7">
        <f>IFERROR(__xludf.DUMMYFUNCTION("""COMPUTED_VALUE"""),45809.0)</f>
        <v>45809</v>
      </c>
      <c r="B165" s="8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7">
        <f>IFERROR(__xludf.DUMMYFUNCTION("""COMPUTED_VALUE"""),45809.0)</f>
        <v>45809</v>
      </c>
      <c r="B166" s="8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7">
        <f>IFERROR(__xludf.DUMMYFUNCTION("""COMPUTED_VALUE"""),45809.0)</f>
        <v>45809</v>
      </c>
      <c r="B167" s="8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7">
        <f>IFERROR(__xludf.DUMMYFUNCTION("""COMPUTED_VALUE"""),45809.0)</f>
        <v>45809</v>
      </c>
      <c r="B168" s="8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7">
        <f>IFERROR(__xludf.DUMMYFUNCTION("""COMPUTED_VALUE"""),45809.0)</f>
        <v>45809</v>
      </c>
      <c r="B169" s="8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7">
        <f>IFERROR(__xludf.DUMMYFUNCTION("""COMPUTED_VALUE"""),45809.0)</f>
        <v>45809</v>
      </c>
      <c r="B170" s="8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7">
        <f>IFERROR(__xludf.DUMMYFUNCTION("""COMPUTED_VALUE"""),45809.0)</f>
        <v>45809</v>
      </c>
      <c r="B171" s="8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7">
        <f>IFERROR(__xludf.DUMMYFUNCTION("""COMPUTED_VALUE"""),45809.0)</f>
        <v>45809</v>
      </c>
      <c r="B172" s="8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7">
        <f>IFERROR(__xludf.DUMMYFUNCTION("""COMPUTED_VALUE"""),45809.0)</f>
        <v>45809</v>
      </c>
      <c r="B173" s="8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7">
        <f>IFERROR(__xludf.DUMMYFUNCTION("""COMPUTED_VALUE"""),45809.0)</f>
        <v>45809</v>
      </c>
      <c r="B174" s="8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7">
        <f>IFERROR(__xludf.DUMMYFUNCTION("""COMPUTED_VALUE"""),45809.0)</f>
        <v>45809</v>
      </c>
      <c r="B175" s="8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7">
        <f>IFERROR(__xludf.DUMMYFUNCTION("""COMPUTED_VALUE"""),45809.0)</f>
        <v>45809</v>
      </c>
      <c r="B176" s="8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7">
        <f>IFERROR(__xludf.DUMMYFUNCTION("""COMPUTED_VALUE"""),45809.0)</f>
        <v>45809</v>
      </c>
      <c r="B177" s="8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7">
        <f>IFERROR(__xludf.DUMMYFUNCTION("""COMPUTED_VALUE"""),45809.0)</f>
        <v>45809</v>
      </c>
      <c r="B178" s="8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7">
        <f>IFERROR(__xludf.DUMMYFUNCTION("""COMPUTED_VALUE"""),45809.0)</f>
        <v>45809</v>
      </c>
      <c r="B179" s="8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7">
        <f>IFERROR(__xludf.DUMMYFUNCTION("""COMPUTED_VALUE"""),45809.0)</f>
        <v>45809</v>
      </c>
      <c r="B180" s="8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7">
        <f>IFERROR(__xludf.DUMMYFUNCTION("""COMPUTED_VALUE"""),45809.0)</f>
        <v>45809</v>
      </c>
      <c r="B181" s="8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7">
        <f>IFERROR(__xludf.DUMMYFUNCTION("""COMPUTED_VALUE"""),45809.0)</f>
        <v>45809</v>
      </c>
      <c r="B182" s="8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7">
        <f>IFERROR(__xludf.DUMMYFUNCTION("""COMPUTED_VALUE"""),45809.0)</f>
        <v>45809</v>
      </c>
      <c r="B183" s="8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7">
        <f>IFERROR(__xludf.DUMMYFUNCTION("""COMPUTED_VALUE"""),45809.0)</f>
        <v>45809</v>
      </c>
      <c r="B184" s="8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7">
        <f>IFERROR(__xludf.DUMMYFUNCTION("""COMPUTED_VALUE"""),45809.0)</f>
        <v>45809</v>
      </c>
      <c r="B185" s="8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7">
        <f>IFERROR(__xludf.DUMMYFUNCTION("""COMPUTED_VALUE"""),45809.0)</f>
        <v>45809</v>
      </c>
      <c r="B186" s="8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7">
        <f>IFERROR(__xludf.DUMMYFUNCTION("""COMPUTED_VALUE"""),45809.0)</f>
        <v>45809</v>
      </c>
      <c r="B187" s="8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7">
        <f>IFERROR(__xludf.DUMMYFUNCTION("""COMPUTED_VALUE"""),45809.0)</f>
        <v>45809</v>
      </c>
      <c r="B188" s="8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7">
        <f>IFERROR(__xludf.DUMMYFUNCTION("""COMPUTED_VALUE"""),45809.0)</f>
        <v>45809</v>
      </c>
      <c r="B189" s="8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7">
        <f>IFERROR(__xludf.DUMMYFUNCTION("""COMPUTED_VALUE"""),45809.0)</f>
        <v>45809</v>
      </c>
      <c r="B190" s="8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7">
        <f>IFERROR(__xludf.DUMMYFUNCTION("""COMPUTED_VALUE"""),45809.0)</f>
        <v>45809</v>
      </c>
      <c r="B191" s="8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7">
        <f>IFERROR(__xludf.DUMMYFUNCTION("""COMPUTED_VALUE"""),45809.0)</f>
        <v>45809</v>
      </c>
      <c r="B192" s="8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7">
        <f>IFERROR(__xludf.DUMMYFUNCTION("""COMPUTED_VALUE"""),45809.0)</f>
        <v>45809</v>
      </c>
      <c r="B193" s="8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7">
        <f>IFERROR(__xludf.DUMMYFUNCTION("""COMPUTED_VALUE"""),45809.0)</f>
        <v>45809</v>
      </c>
      <c r="B194" s="8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7">
        <f>IFERROR(__xludf.DUMMYFUNCTION("""COMPUTED_VALUE"""),45809.0)</f>
        <v>45809</v>
      </c>
      <c r="B195" s="8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7">
        <f>IFERROR(__xludf.DUMMYFUNCTION("""COMPUTED_VALUE"""),45809.0)</f>
        <v>45809</v>
      </c>
      <c r="B196" s="8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7">
        <f>IFERROR(__xludf.DUMMYFUNCTION("""COMPUTED_VALUE"""),45809.0)</f>
        <v>45809</v>
      </c>
      <c r="B197" s="8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7">
        <f>IFERROR(__xludf.DUMMYFUNCTION("""COMPUTED_VALUE"""),45809.0)</f>
        <v>45809</v>
      </c>
      <c r="B198" s="8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7">
        <f>IFERROR(__xludf.DUMMYFUNCTION("""COMPUTED_VALUE"""),45809.0)</f>
        <v>45809</v>
      </c>
      <c r="B199" s="8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7">
        <f>IFERROR(__xludf.DUMMYFUNCTION("""COMPUTED_VALUE"""),45809.0)</f>
        <v>45809</v>
      </c>
      <c r="B200" s="8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7">
        <f>IFERROR(__xludf.DUMMYFUNCTION("""COMPUTED_VALUE"""),45809.0)</f>
        <v>45809</v>
      </c>
      <c r="B201" s="8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7">
        <f>IFERROR(__xludf.DUMMYFUNCTION("""COMPUTED_VALUE"""),45809.0)</f>
        <v>45809</v>
      </c>
      <c r="B202" s="8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7">
        <f>IFERROR(__xludf.DUMMYFUNCTION("""COMPUTED_VALUE"""),45809.0)</f>
        <v>45809</v>
      </c>
      <c r="B203" s="8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7">
        <f>IFERROR(__xludf.DUMMYFUNCTION("""COMPUTED_VALUE"""),45809.0)</f>
        <v>45809</v>
      </c>
      <c r="B204" s="8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7">
        <f>IFERROR(__xludf.DUMMYFUNCTION("""COMPUTED_VALUE"""),45809.0)</f>
        <v>45809</v>
      </c>
      <c r="B205" s="8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7">
        <f>IFERROR(__xludf.DUMMYFUNCTION("""COMPUTED_VALUE"""),45809.0)</f>
        <v>45809</v>
      </c>
      <c r="B206" s="8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7">
        <f>IFERROR(__xludf.DUMMYFUNCTION("""COMPUTED_VALUE"""),45809.0)</f>
        <v>45809</v>
      </c>
      <c r="B207" s="8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7">
        <f>IFERROR(__xludf.DUMMYFUNCTION("""COMPUTED_VALUE"""),45809.0)</f>
        <v>45809</v>
      </c>
      <c r="B208" s="8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7">
        <f>IFERROR(__xludf.DUMMYFUNCTION("""COMPUTED_VALUE"""),45809.0)</f>
        <v>45809</v>
      </c>
      <c r="B209" s="8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7">
        <f>IFERROR(__xludf.DUMMYFUNCTION("""COMPUTED_VALUE"""),45839.0)</f>
        <v>45839</v>
      </c>
      <c r="B210" s="8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7">
        <f>IFERROR(__xludf.DUMMYFUNCTION("""COMPUTED_VALUE"""),45839.0)</f>
        <v>45839</v>
      </c>
      <c r="B211" s="8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7">
        <f>IFERROR(__xludf.DUMMYFUNCTION("""COMPUTED_VALUE"""),45839.0)</f>
        <v>45839</v>
      </c>
      <c r="B212" s="8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7">
        <f>IFERROR(__xludf.DUMMYFUNCTION("""COMPUTED_VALUE"""),45839.0)</f>
        <v>45839</v>
      </c>
      <c r="B213" s="8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7">
        <f>IFERROR(__xludf.DUMMYFUNCTION("""COMPUTED_VALUE"""),45839.0)</f>
        <v>45839</v>
      </c>
      <c r="B214" s="8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7">
        <f>IFERROR(__xludf.DUMMYFUNCTION("""COMPUTED_VALUE"""),45839.0)</f>
        <v>45839</v>
      </c>
      <c r="B215" s="8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7">
        <f>IFERROR(__xludf.DUMMYFUNCTION("""COMPUTED_VALUE"""),45839.0)</f>
        <v>45839</v>
      </c>
      <c r="B216" s="8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7">
        <f>IFERROR(__xludf.DUMMYFUNCTION("""COMPUTED_VALUE"""),45839.0)</f>
        <v>45839</v>
      </c>
      <c r="B217" s="8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7">
        <f>IFERROR(__xludf.DUMMYFUNCTION("""COMPUTED_VALUE"""),45839.0)</f>
        <v>45839</v>
      </c>
      <c r="B218" s="8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7">
        <f>IFERROR(__xludf.DUMMYFUNCTION("""COMPUTED_VALUE"""),45839.0)</f>
        <v>45839</v>
      </c>
      <c r="B219" s="8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7">
        <f>IFERROR(__xludf.DUMMYFUNCTION("""COMPUTED_VALUE"""),45839.0)</f>
        <v>45839</v>
      </c>
      <c r="B220" s="8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7">
        <f>IFERROR(__xludf.DUMMYFUNCTION("""COMPUTED_VALUE"""),45839.0)</f>
        <v>45839</v>
      </c>
      <c r="B221" s="8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7">
        <f>IFERROR(__xludf.DUMMYFUNCTION("""COMPUTED_VALUE"""),45839.0)</f>
        <v>45839</v>
      </c>
      <c r="B222" s="8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7">
        <f>IFERROR(__xludf.DUMMYFUNCTION("""COMPUTED_VALUE"""),45839.0)</f>
        <v>45839</v>
      </c>
      <c r="B223" s="8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7">
        <f>IFERROR(__xludf.DUMMYFUNCTION("""COMPUTED_VALUE"""),45839.0)</f>
        <v>45839</v>
      </c>
      <c r="B224" s="8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7">
        <f>IFERROR(__xludf.DUMMYFUNCTION("""COMPUTED_VALUE"""),45839.0)</f>
        <v>45839</v>
      </c>
      <c r="B225" s="8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7">
        <f>IFERROR(__xludf.DUMMYFUNCTION("""COMPUTED_VALUE"""),45839.0)</f>
        <v>45839</v>
      </c>
      <c r="B226" s="8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7">
        <f>IFERROR(__xludf.DUMMYFUNCTION("""COMPUTED_VALUE"""),45839.0)</f>
        <v>45839</v>
      </c>
      <c r="B227" s="8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7">
        <f>IFERROR(__xludf.DUMMYFUNCTION("""COMPUTED_VALUE"""),45839.0)</f>
        <v>45839</v>
      </c>
      <c r="B228" s="8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7">
        <f>IFERROR(__xludf.DUMMYFUNCTION("""COMPUTED_VALUE"""),45839.0)</f>
        <v>45839</v>
      </c>
      <c r="B229" s="8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7">
        <f>IFERROR(__xludf.DUMMYFUNCTION("""COMPUTED_VALUE"""),45839.0)</f>
        <v>45839</v>
      </c>
      <c r="B230" s="8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7">
        <f>IFERROR(__xludf.DUMMYFUNCTION("""COMPUTED_VALUE"""),45839.0)</f>
        <v>45839</v>
      </c>
      <c r="B231" s="8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7">
        <f>IFERROR(__xludf.DUMMYFUNCTION("""COMPUTED_VALUE"""),45839.0)</f>
        <v>45839</v>
      </c>
      <c r="B232" s="8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7">
        <f>IFERROR(__xludf.DUMMYFUNCTION("""COMPUTED_VALUE"""),45839.0)</f>
        <v>45839</v>
      </c>
      <c r="B233" s="8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7">
        <f>IFERROR(__xludf.DUMMYFUNCTION("""COMPUTED_VALUE"""),45839.0)</f>
        <v>45839</v>
      </c>
      <c r="B234" s="8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7">
        <f>IFERROR(__xludf.DUMMYFUNCTION("""COMPUTED_VALUE"""),45839.0)</f>
        <v>45839</v>
      </c>
      <c r="B235" s="8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7">
        <f>IFERROR(__xludf.DUMMYFUNCTION("""COMPUTED_VALUE"""),45839.0)</f>
        <v>45839</v>
      </c>
      <c r="B236" s="8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7">
        <f>IFERROR(__xludf.DUMMYFUNCTION("""COMPUTED_VALUE"""),45839.0)</f>
        <v>45839</v>
      </c>
      <c r="B237" s="8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7">
        <f>IFERROR(__xludf.DUMMYFUNCTION("""COMPUTED_VALUE"""),45839.0)</f>
        <v>45839</v>
      </c>
      <c r="B238" s="8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7">
        <f>IFERROR(__xludf.DUMMYFUNCTION("""COMPUTED_VALUE"""),45839.0)</f>
        <v>45839</v>
      </c>
      <c r="B239" s="8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7">
        <f>IFERROR(__xludf.DUMMYFUNCTION("""COMPUTED_VALUE"""),45839.0)</f>
        <v>45839</v>
      </c>
      <c r="B240" s="8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7">
        <f>IFERROR(__xludf.DUMMYFUNCTION("""COMPUTED_VALUE"""),45839.0)</f>
        <v>45839</v>
      </c>
      <c r="B241" s="8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7">
        <f>IFERROR(__xludf.DUMMYFUNCTION("""COMPUTED_VALUE"""),45839.0)</f>
        <v>45839</v>
      </c>
      <c r="B242" s="8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7">
        <f>IFERROR(__xludf.DUMMYFUNCTION("""COMPUTED_VALUE"""),45839.0)</f>
        <v>45839</v>
      </c>
      <c r="B243" s="8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7">
        <f>IFERROR(__xludf.DUMMYFUNCTION("""COMPUTED_VALUE"""),45839.0)</f>
        <v>45839</v>
      </c>
      <c r="B244" s="8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7">
        <f>IFERROR(__xludf.DUMMYFUNCTION("""COMPUTED_VALUE"""),45839.0)</f>
        <v>45839</v>
      </c>
      <c r="B245" s="8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7">
        <f>IFERROR(__xludf.DUMMYFUNCTION("""COMPUTED_VALUE"""),45839.0)</f>
        <v>45839</v>
      </c>
      <c r="B246" s="8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7">
        <f>IFERROR(__xludf.DUMMYFUNCTION("""COMPUTED_VALUE"""),45839.0)</f>
        <v>45839</v>
      </c>
      <c r="B247" s="8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7">
        <f>IFERROR(__xludf.DUMMYFUNCTION("""COMPUTED_VALUE"""),45839.0)</f>
        <v>45839</v>
      </c>
      <c r="B248" s="8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7">
        <f>IFERROR(__xludf.DUMMYFUNCTION("""COMPUTED_VALUE"""),45839.0)</f>
        <v>45839</v>
      </c>
      <c r="B249" s="8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7">
        <f>IFERROR(__xludf.DUMMYFUNCTION("""COMPUTED_VALUE"""),45839.0)</f>
        <v>45839</v>
      </c>
      <c r="B250" s="8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7">
        <f>IFERROR(__xludf.DUMMYFUNCTION("""COMPUTED_VALUE"""),45839.0)</f>
        <v>45839</v>
      </c>
      <c r="B251" s="8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7">
        <f>IFERROR(__xludf.DUMMYFUNCTION("""COMPUTED_VALUE"""),45839.0)</f>
        <v>45839</v>
      </c>
      <c r="B252" s="8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7">
        <f>IFERROR(__xludf.DUMMYFUNCTION("""COMPUTED_VALUE"""),45839.0)</f>
        <v>45839</v>
      </c>
      <c r="B253" s="8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7">
        <f>IFERROR(__xludf.DUMMYFUNCTION("""COMPUTED_VALUE"""),45839.0)</f>
        <v>45839</v>
      </c>
      <c r="B254" s="8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7">
        <f>IFERROR(__xludf.DUMMYFUNCTION("""COMPUTED_VALUE"""),45839.0)</f>
        <v>45839</v>
      </c>
      <c r="B255" s="8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7">
        <f>IFERROR(__xludf.DUMMYFUNCTION("""COMPUTED_VALUE"""),45839.0)</f>
        <v>45839</v>
      </c>
      <c r="B256" s="8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7">
        <f>IFERROR(__xludf.DUMMYFUNCTION("""COMPUTED_VALUE"""),45839.0)</f>
        <v>45839</v>
      </c>
      <c r="B257" s="8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7">
        <f>IFERROR(__xludf.DUMMYFUNCTION("""COMPUTED_VALUE"""),45839.0)</f>
        <v>45839</v>
      </c>
      <c r="B258" s="8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7">
        <f>IFERROR(__xludf.DUMMYFUNCTION("""COMPUTED_VALUE"""),45839.0)</f>
        <v>45839</v>
      </c>
      <c r="B259" s="8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7">
        <f>IFERROR(__xludf.DUMMYFUNCTION("""COMPUTED_VALUE"""),45839.0)</f>
        <v>45839</v>
      </c>
      <c r="B260" s="8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7">
        <f>IFERROR(__xludf.DUMMYFUNCTION("""COMPUTED_VALUE"""),45839.0)</f>
        <v>45839</v>
      </c>
      <c r="B261" s="8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7">
        <f>IFERROR(__xludf.DUMMYFUNCTION("""COMPUTED_VALUE"""),45839.0)</f>
        <v>45839</v>
      </c>
      <c r="B262" s="8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7">
        <f>IFERROR(__xludf.DUMMYFUNCTION("""COMPUTED_VALUE"""),45839.0)</f>
        <v>45839</v>
      </c>
      <c r="B263" s="8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7">
        <f>IFERROR(__xludf.DUMMYFUNCTION("""COMPUTED_VALUE"""),45839.0)</f>
        <v>45839</v>
      </c>
      <c r="B264" s="8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7">
        <f>IFERROR(__xludf.DUMMYFUNCTION("""COMPUTED_VALUE"""),45839.0)</f>
        <v>45839</v>
      </c>
      <c r="B265" s="8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7">
        <f>IFERROR(__xludf.DUMMYFUNCTION("""COMPUTED_VALUE"""),45839.0)</f>
        <v>45839</v>
      </c>
      <c r="B266" s="8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7">
        <f>IFERROR(__xludf.DUMMYFUNCTION("""COMPUTED_VALUE"""),45839.0)</f>
        <v>45839</v>
      </c>
      <c r="B267" s="8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7">
        <f>IFERROR(__xludf.DUMMYFUNCTION("""COMPUTED_VALUE"""),45839.0)</f>
        <v>45839</v>
      </c>
      <c r="B268" s="8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7">
        <f>IFERROR(__xludf.DUMMYFUNCTION("""COMPUTED_VALUE"""),45839.0)</f>
        <v>45839</v>
      </c>
      <c r="B269" s="8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7">
        <f>IFERROR(__xludf.DUMMYFUNCTION("""COMPUTED_VALUE"""),45839.0)</f>
        <v>45839</v>
      </c>
      <c r="B270" s="8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7">
        <f>IFERROR(__xludf.DUMMYFUNCTION("""COMPUTED_VALUE"""),45839.0)</f>
        <v>45839</v>
      </c>
      <c r="B271" s="8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7">
        <f>IFERROR(__xludf.DUMMYFUNCTION("""COMPUTED_VALUE"""),45839.0)</f>
        <v>45839</v>
      </c>
      <c r="B272" s="8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7">
        <f>IFERROR(__xludf.DUMMYFUNCTION("""COMPUTED_VALUE"""),45839.0)</f>
        <v>45839</v>
      </c>
      <c r="B273" s="8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7">
        <f>IFERROR(__xludf.DUMMYFUNCTION("""COMPUTED_VALUE"""),45839.0)</f>
        <v>45839</v>
      </c>
      <c r="B274" s="8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7">
        <f>IFERROR(__xludf.DUMMYFUNCTION("""COMPUTED_VALUE"""),45839.0)</f>
        <v>45839</v>
      </c>
      <c r="B275" s="8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7">
        <f>IFERROR(__xludf.DUMMYFUNCTION("""COMPUTED_VALUE"""),45839.0)</f>
        <v>45839</v>
      </c>
      <c r="B276" s="8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7">
        <f>IFERROR(__xludf.DUMMYFUNCTION("""COMPUTED_VALUE"""),45839.0)</f>
        <v>45839</v>
      </c>
      <c r="B277" s="8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7">
        <f>IFERROR(__xludf.DUMMYFUNCTION("""COMPUTED_VALUE"""),45839.0)</f>
        <v>45839</v>
      </c>
      <c r="B278" s="8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7">
        <f>IFERROR(__xludf.DUMMYFUNCTION("""COMPUTED_VALUE"""),45839.0)</f>
        <v>45839</v>
      </c>
      <c r="B279" s="8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7">
        <f>IFERROR(__xludf.DUMMYFUNCTION("""COMPUTED_VALUE"""),45839.0)</f>
        <v>45839</v>
      </c>
      <c r="B280" s="8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7">
        <f>IFERROR(__xludf.DUMMYFUNCTION("""COMPUTED_VALUE"""),45839.0)</f>
        <v>45839</v>
      </c>
      <c r="B281" s="8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7">
        <f>IFERROR(__xludf.DUMMYFUNCTION("""COMPUTED_VALUE"""),45839.0)</f>
        <v>45839</v>
      </c>
      <c r="B282" s="8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7">
        <f>IFERROR(__xludf.DUMMYFUNCTION("""COMPUTED_VALUE"""),45839.0)</f>
        <v>45839</v>
      </c>
      <c r="B283" s="8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7">
        <f>IFERROR(__xludf.DUMMYFUNCTION("""COMPUTED_VALUE"""),45839.0)</f>
        <v>45839</v>
      </c>
      <c r="B284" s="8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7">
        <f>IFERROR(__xludf.DUMMYFUNCTION("""COMPUTED_VALUE"""),45839.0)</f>
        <v>45839</v>
      </c>
      <c r="B285" s="8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7">
        <f>IFERROR(__xludf.DUMMYFUNCTION("""COMPUTED_VALUE"""),45839.0)</f>
        <v>45839</v>
      </c>
      <c r="B286" s="8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7">
        <f>IFERROR(__xludf.DUMMYFUNCTION("""COMPUTED_VALUE"""),45839.0)</f>
        <v>45839</v>
      </c>
      <c r="B287" s="8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7">
        <f>IFERROR(__xludf.DUMMYFUNCTION("""COMPUTED_VALUE"""),45839.0)</f>
        <v>45839</v>
      </c>
      <c r="B288" s="8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7">
        <f>IFERROR(__xludf.DUMMYFUNCTION("""COMPUTED_VALUE"""),45839.0)</f>
        <v>45839</v>
      </c>
      <c r="B289" s="8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7">
        <f>IFERROR(__xludf.DUMMYFUNCTION("""COMPUTED_VALUE"""),45839.0)</f>
        <v>45839</v>
      </c>
      <c r="B290" s="8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7">
        <f>IFERROR(__xludf.DUMMYFUNCTION("""COMPUTED_VALUE"""),45839.0)</f>
        <v>45839</v>
      </c>
      <c r="B291" s="8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7">
        <f>IFERROR(__xludf.DUMMYFUNCTION("""COMPUTED_VALUE"""),45839.0)</f>
        <v>45839</v>
      </c>
      <c r="B292" s="8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7">
        <f>IFERROR(__xludf.DUMMYFUNCTION("""COMPUTED_VALUE"""),45839.0)</f>
        <v>45839</v>
      </c>
      <c r="B293" s="8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7">
        <f>IFERROR(__xludf.DUMMYFUNCTION("""COMPUTED_VALUE"""),45839.0)</f>
        <v>45839</v>
      </c>
      <c r="B294" s="8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7">
        <f>IFERROR(__xludf.DUMMYFUNCTION("""COMPUTED_VALUE"""),45839.0)</f>
        <v>45839</v>
      </c>
      <c r="B295" s="8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7">
        <f>IFERROR(__xludf.DUMMYFUNCTION("""COMPUTED_VALUE"""),45839.0)</f>
        <v>45839</v>
      </c>
      <c r="B296" s="8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7">
        <f>IFERROR(__xludf.DUMMYFUNCTION("""COMPUTED_VALUE"""),45839.0)</f>
        <v>45839</v>
      </c>
      <c r="B297" s="8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7">
        <f>IFERROR(__xludf.DUMMYFUNCTION("""COMPUTED_VALUE"""),45839.0)</f>
        <v>45839</v>
      </c>
      <c r="B298" s="8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7">
        <f>IFERROR(__xludf.DUMMYFUNCTION("""COMPUTED_VALUE"""),45839.0)</f>
        <v>45839</v>
      </c>
      <c r="B299" s="8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7">
        <f>IFERROR(__xludf.DUMMYFUNCTION("""COMPUTED_VALUE"""),45839.0)</f>
        <v>45839</v>
      </c>
      <c r="B300" s="8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7">
        <f>IFERROR(__xludf.DUMMYFUNCTION("""COMPUTED_VALUE"""),45839.0)</f>
        <v>45839</v>
      </c>
      <c r="B301" s="8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7">
        <f>IFERROR(__xludf.DUMMYFUNCTION("""COMPUTED_VALUE"""),45839.0)</f>
        <v>45839</v>
      </c>
      <c r="B302" s="8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7">
        <f>IFERROR(__xludf.DUMMYFUNCTION("""COMPUTED_VALUE"""),45839.0)</f>
        <v>45839</v>
      </c>
      <c r="B303" s="8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7">
        <f>IFERROR(__xludf.DUMMYFUNCTION("""COMPUTED_VALUE"""),45839.0)</f>
        <v>45839</v>
      </c>
      <c r="B304" s="8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7">
        <f>IFERROR(__xludf.DUMMYFUNCTION("""COMPUTED_VALUE"""),45839.0)</f>
        <v>45839</v>
      </c>
      <c r="B305" s="8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7">
        <f>IFERROR(__xludf.DUMMYFUNCTION("""COMPUTED_VALUE"""),45839.0)</f>
        <v>45839</v>
      </c>
      <c r="B306" s="8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7">
        <f>IFERROR(__xludf.DUMMYFUNCTION("""COMPUTED_VALUE"""),45839.0)</f>
        <v>45839</v>
      </c>
      <c r="B307" s="8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7">
        <f>IFERROR(__xludf.DUMMYFUNCTION("""COMPUTED_VALUE"""),45839.0)</f>
        <v>45839</v>
      </c>
      <c r="B308" s="8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7">
        <f>IFERROR(__xludf.DUMMYFUNCTION("""COMPUTED_VALUE"""),45839.0)</f>
        <v>45839</v>
      </c>
      <c r="B309" s="8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7">
        <f>IFERROR(__xludf.DUMMYFUNCTION("""COMPUTED_VALUE"""),45839.0)</f>
        <v>45839</v>
      </c>
      <c r="B310" s="8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7">
        <f>IFERROR(__xludf.DUMMYFUNCTION("""COMPUTED_VALUE"""),45839.0)</f>
        <v>45839</v>
      </c>
      <c r="B311" s="8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7">
        <f>IFERROR(__xludf.DUMMYFUNCTION("""COMPUTED_VALUE"""),45839.0)</f>
        <v>45839</v>
      </c>
      <c r="B312" s="8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7">
        <f>IFERROR(__xludf.DUMMYFUNCTION("""COMPUTED_VALUE"""),45839.0)</f>
        <v>45839</v>
      </c>
      <c r="B313" s="8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7">
        <f>IFERROR(__xludf.DUMMYFUNCTION("""COMPUTED_VALUE"""),45839.0)</f>
        <v>45839</v>
      </c>
      <c r="B314" s="8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7">
        <f>IFERROR(__xludf.DUMMYFUNCTION("""COMPUTED_VALUE"""),45839.0)</f>
        <v>45839</v>
      </c>
      <c r="B315" s="8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7">
        <f>IFERROR(__xludf.DUMMYFUNCTION("""COMPUTED_VALUE"""),45839.0)</f>
        <v>45839</v>
      </c>
      <c r="B316" s="8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7">
        <f>IFERROR(__xludf.DUMMYFUNCTION("""COMPUTED_VALUE"""),45839.0)</f>
        <v>45839</v>
      </c>
      <c r="B317" s="8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7">
        <f>IFERROR(__xludf.DUMMYFUNCTION("""COMPUTED_VALUE"""),45839.0)</f>
        <v>45839</v>
      </c>
      <c r="B318" s="8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7">
        <f>IFERROR(__xludf.DUMMYFUNCTION("""COMPUTED_VALUE"""),45839.0)</f>
        <v>45839</v>
      </c>
      <c r="B319" s="8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7">
        <f>IFERROR(__xludf.DUMMYFUNCTION("""COMPUTED_VALUE"""),45839.0)</f>
        <v>45839</v>
      </c>
      <c r="B320" s="8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7">
        <f>IFERROR(__xludf.DUMMYFUNCTION("""COMPUTED_VALUE"""),45839.0)</f>
        <v>45839</v>
      </c>
      <c r="B321" s="8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7">
        <f>IFERROR(__xludf.DUMMYFUNCTION("""COMPUTED_VALUE"""),45839.0)</f>
        <v>45839</v>
      </c>
      <c r="B322" s="8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7">
        <f>IFERROR(__xludf.DUMMYFUNCTION("""COMPUTED_VALUE"""),45839.0)</f>
        <v>45839</v>
      </c>
      <c r="B323" s="8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7">
        <f>IFERROR(__xludf.DUMMYFUNCTION("""COMPUTED_VALUE"""),45839.0)</f>
        <v>45839</v>
      </c>
      <c r="B324" s="8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7">
        <f>IFERROR(__xludf.DUMMYFUNCTION("""COMPUTED_VALUE"""),45839.0)</f>
        <v>45839</v>
      </c>
      <c r="B325" s="8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7">
        <f>IFERROR(__xludf.DUMMYFUNCTION("""COMPUTED_VALUE"""),45839.0)</f>
        <v>45839</v>
      </c>
      <c r="B326" s="8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7">
        <f>IFERROR(__xludf.DUMMYFUNCTION("""COMPUTED_VALUE"""),45839.0)</f>
        <v>45839</v>
      </c>
      <c r="B327" s="8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7">
        <f>IFERROR(__xludf.DUMMYFUNCTION("""COMPUTED_VALUE"""),45839.0)</f>
        <v>45839</v>
      </c>
      <c r="B328" s="8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7">
        <f>IFERROR(__xludf.DUMMYFUNCTION("""COMPUTED_VALUE"""),45839.0)</f>
        <v>45839</v>
      </c>
      <c r="B329" s="8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7">
        <f>IFERROR(__xludf.DUMMYFUNCTION("""COMPUTED_VALUE"""),45839.0)</f>
        <v>45839</v>
      </c>
      <c r="B330" s="8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7">
        <f>IFERROR(__xludf.DUMMYFUNCTION("""COMPUTED_VALUE"""),45839.0)</f>
        <v>45839</v>
      </c>
      <c r="B331" s="8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7">
        <f>IFERROR(__xludf.DUMMYFUNCTION("""COMPUTED_VALUE"""),45839.0)</f>
        <v>45839</v>
      </c>
      <c r="B332" s="8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7">
        <f>IFERROR(__xludf.DUMMYFUNCTION("""COMPUTED_VALUE"""),45839.0)</f>
        <v>45839</v>
      </c>
      <c r="B333" s="8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7">
        <f>IFERROR(__xludf.DUMMYFUNCTION("""COMPUTED_VALUE"""),45839.0)</f>
        <v>45839</v>
      </c>
      <c r="B334" s="8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7">
        <f>IFERROR(__xludf.DUMMYFUNCTION("""COMPUTED_VALUE"""),45839.0)</f>
        <v>45839</v>
      </c>
      <c r="B335" s="8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7">
        <f>IFERROR(__xludf.DUMMYFUNCTION("""COMPUTED_VALUE"""),45839.0)</f>
        <v>45839</v>
      </c>
      <c r="B336" s="8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7">
        <f>IFERROR(__xludf.DUMMYFUNCTION("""COMPUTED_VALUE"""),45839.0)</f>
        <v>45839</v>
      </c>
      <c r="B337" s="8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7">
        <f>IFERROR(__xludf.DUMMYFUNCTION("""COMPUTED_VALUE"""),45839.0)</f>
        <v>45839</v>
      </c>
      <c r="B338" s="8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7">
        <f>IFERROR(__xludf.DUMMYFUNCTION("""COMPUTED_VALUE"""),45839.0)</f>
        <v>45839</v>
      </c>
      <c r="B339" s="8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7">
        <f>IFERROR(__xludf.DUMMYFUNCTION("""COMPUTED_VALUE"""),45839.0)</f>
        <v>45839</v>
      </c>
      <c r="B340" s="8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7">
        <f>IFERROR(__xludf.DUMMYFUNCTION("""COMPUTED_VALUE"""),45839.0)</f>
        <v>45839</v>
      </c>
      <c r="B341" s="8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7">
        <f>IFERROR(__xludf.DUMMYFUNCTION("""COMPUTED_VALUE"""),45839.0)</f>
        <v>45839</v>
      </c>
      <c r="B342" s="8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7">
        <f>IFERROR(__xludf.DUMMYFUNCTION("""COMPUTED_VALUE"""),45839.0)</f>
        <v>45839</v>
      </c>
      <c r="B343" s="8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7">
        <f>IFERROR(__xludf.DUMMYFUNCTION("""COMPUTED_VALUE"""),45839.0)</f>
        <v>45839</v>
      </c>
      <c r="B344" s="8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7">
        <f>IFERROR(__xludf.DUMMYFUNCTION("""COMPUTED_VALUE"""),45839.0)</f>
        <v>45839</v>
      </c>
      <c r="B345" s="8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7">
        <f>IFERROR(__xludf.DUMMYFUNCTION("""COMPUTED_VALUE"""),45839.0)</f>
        <v>45839</v>
      </c>
      <c r="B346" s="8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7">
        <f>IFERROR(__xludf.DUMMYFUNCTION("""COMPUTED_VALUE"""),45839.0)</f>
        <v>45839</v>
      </c>
      <c r="B347" s="8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7">
        <f>IFERROR(__xludf.DUMMYFUNCTION("""COMPUTED_VALUE"""),45839.0)</f>
        <v>45839</v>
      </c>
      <c r="B348" s="8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7">
        <f>IFERROR(__xludf.DUMMYFUNCTION("""COMPUTED_VALUE"""),45839.0)</f>
        <v>45839</v>
      </c>
      <c r="B349" s="8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7">
        <f>IFERROR(__xludf.DUMMYFUNCTION("""COMPUTED_VALUE"""),45839.0)</f>
        <v>45839</v>
      </c>
      <c r="B350" s="8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7">
        <f>IFERROR(__xludf.DUMMYFUNCTION("""COMPUTED_VALUE"""),45839.0)</f>
        <v>45839</v>
      </c>
      <c r="B351" s="8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7">
        <f>IFERROR(__xludf.DUMMYFUNCTION("""COMPUTED_VALUE"""),45839.0)</f>
        <v>45839</v>
      </c>
      <c r="B352" s="8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7">
        <f>IFERROR(__xludf.DUMMYFUNCTION("""COMPUTED_VALUE"""),45839.0)</f>
        <v>45839</v>
      </c>
      <c r="B353" s="8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7">
        <f>IFERROR(__xludf.DUMMYFUNCTION("""COMPUTED_VALUE"""),45839.0)</f>
        <v>45839</v>
      </c>
      <c r="B354" s="8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7">
        <f>IFERROR(__xludf.DUMMYFUNCTION("""COMPUTED_VALUE"""),45839.0)</f>
        <v>45839</v>
      </c>
      <c r="B355" s="8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7">
        <f>IFERROR(__xludf.DUMMYFUNCTION("""COMPUTED_VALUE"""),45839.0)</f>
        <v>45839</v>
      </c>
      <c r="B356" s="8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7">
        <f>IFERROR(__xludf.DUMMYFUNCTION("""COMPUTED_VALUE"""),45839.0)</f>
        <v>45839</v>
      </c>
      <c r="B357" s="8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7">
        <f>IFERROR(__xludf.DUMMYFUNCTION("""COMPUTED_VALUE"""),45839.0)</f>
        <v>45839</v>
      </c>
      <c r="B358" s="8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7">
        <f>IFERROR(__xludf.DUMMYFUNCTION("""COMPUTED_VALUE"""),45839.0)</f>
        <v>45839</v>
      </c>
      <c r="B359" s="8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7">
        <f>IFERROR(__xludf.DUMMYFUNCTION("""COMPUTED_VALUE"""),45839.0)</f>
        <v>45839</v>
      </c>
      <c r="B360" s="8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7">
        <f>IFERROR(__xludf.DUMMYFUNCTION("""COMPUTED_VALUE"""),45839.0)</f>
        <v>45839</v>
      </c>
      <c r="B361" s="8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7">
        <f>IFERROR(__xludf.DUMMYFUNCTION("""COMPUTED_VALUE"""),45839.0)</f>
        <v>45839</v>
      </c>
      <c r="B362" s="8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7">
        <f>IFERROR(__xludf.DUMMYFUNCTION("""COMPUTED_VALUE"""),45839.0)</f>
        <v>45839</v>
      </c>
      <c r="B363" s="8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7">
        <f>IFERROR(__xludf.DUMMYFUNCTION("""COMPUTED_VALUE"""),45839.0)</f>
        <v>45839</v>
      </c>
      <c r="B364" s="8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7">
        <f>IFERROR(__xludf.DUMMYFUNCTION("""COMPUTED_VALUE"""),45839.0)</f>
        <v>45839</v>
      </c>
      <c r="B365" s="8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7">
        <f>IFERROR(__xludf.DUMMYFUNCTION("""COMPUTED_VALUE"""),45839.0)</f>
        <v>45839</v>
      </c>
      <c r="B366" s="8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7">
        <f>IFERROR(__xludf.DUMMYFUNCTION("""COMPUTED_VALUE"""),45839.0)</f>
        <v>45839</v>
      </c>
      <c r="B367" s="8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7">
        <f>IFERROR(__xludf.DUMMYFUNCTION("""COMPUTED_VALUE"""),45839.0)</f>
        <v>45839</v>
      </c>
      <c r="B368" s="8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7">
        <f>IFERROR(__xludf.DUMMYFUNCTION("""COMPUTED_VALUE"""),45839.0)</f>
        <v>45839</v>
      </c>
      <c r="B369" s="8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7">
        <f>IFERROR(__xludf.DUMMYFUNCTION("""COMPUTED_VALUE"""),45839.0)</f>
        <v>45839</v>
      </c>
      <c r="B370" s="8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7">
        <f>IFERROR(__xludf.DUMMYFUNCTION("""COMPUTED_VALUE"""),45839.0)</f>
        <v>45839</v>
      </c>
      <c r="B371" s="8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7">
        <f>IFERROR(__xludf.DUMMYFUNCTION("""COMPUTED_VALUE"""),45839.0)</f>
        <v>45839</v>
      </c>
      <c r="B372" s="8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7">
        <f>IFERROR(__xludf.DUMMYFUNCTION("""COMPUTED_VALUE"""),45839.0)</f>
        <v>45839</v>
      </c>
      <c r="B373" s="8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7">
        <f>IFERROR(__xludf.DUMMYFUNCTION("""COMPUTED_VALUE"""),45839.0)</f>
        <v>45839</v>
      </c>
      <c r="B374" s="8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7">
        <f>IFERROR(__xludf.DUMMYFUNCTION("""COMPUTED_VALUE"""),45839.0)</f>
        <v>45839</v>
      </c>
      <c r="B375" s="8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7">
        <f>IFERROR(__xludf.DUMMYFUNCTION("""COMPUTED_VALUE"""),45839.0)</f>
        <v>45839</v>
      </c>
      <c r="B376" s="8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7">
        <f>IFERROR(__xludf.DUMMYFUNCTION("""COMPUTED_VALUE"""),45839.0)</f>
        <v>45839</v>
      </c>
      <c r="B377" s="8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7">
        <f>IFERROR(__xludf.DUMMYFUNCTION("""COMPUTED_VALUE"""),45839.0)</f>
        <v>45839</v>
      </c>
      <c r="B378" s="8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7">
        <f>IFERROR(__xludf.DUMMYFUNCTION("""COMPUTED_VALUE"""),45839.0)</f>
        <v>45839</v>
      </c>
      <c r="B379" s="8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7">
        <f>IFERROR(__xludf.DUMMYFUNCTION("""COMPUTED_VALUE"""),45839.0)</f>
        <v>45839</v>
      </c>
      <c r="B380" s="8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7">
        <f>IFERROR(__xludf.DUMMYFUNCTION("""COMPUTED_VALUE"""),45839.0)</f>
        <v>45839</v>
      </c>
      <c r="B381" s="8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7">
        <f>IFERROR(__xludf.DUMMYFUNCTION("""COMPUTED_VALUE"""),45839.0)</f>
        <v>45839</v>
      </c>
      <c r="B382" s="8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7">
        <f>IFERROR(__xludf.DUMMYFUNCTION("""COMPUTED_VALUE"""),45839.0)</f>
        <v>45839</v>
      </c>
      <c r="B383" s="8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7">
        <f>IFERROR(__xludf.DUMMYFUNCTION("""COMPUTED_VALUE"""),45839.0)</f>
        <v>45839</v>
      </c>
      <c r="B384" s="8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7">
        <f>IFERROR(__xludf.DUMMYFUNCTION("""COMPUTED_VALUE"""),45839.0)</f>
        <v>45839</v>
      </c>
      <c r="B385" s="8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7">
        <f>IFERROR(__xludf.DUMMYFUNCTION("""COMPUTED_VALUE"""),45839.0)</f>
        <v>45839</v>
      </c>
      <c r="B386" s="8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7">
        <f>IFERROR(__xludf.DUMMYFUNCTION("""COMPUTED_VALUE"""),45839.0)</f>
        <v>45839</v>
      </c>
      <c r="B387" s="8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7">
        <f>IFERROR(__xludf.DUMMYFUNCTION("""COMPUTED_VALUE"""),45839.0)</f>
        <v>45839</v>
      </c>
      <c r="B388" s="8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7">
        <f>IFERROR(__xludf.DUMMYFUNCTION("""COMPUTED_VALUE"""),45839.0)</f>
        <v>45839</v>
      </c>
      <c r="B389" s="8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7">
        <f>IFERROR(__xludf.DUMMYFUNCTION("""COMPUTED_VALUE"""),45839.0)</f>
        <v>45839</v>
      </c>
      <c r="B390" s="8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7">
        <f>IFERROR(__xludf.DUMMYFUNCTION("""COMPUTED_VALUE"""),45839.0)</f>
        <v>45839</v>
      </c>
      <c r="B391" s="8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7">
        <f>IFERROR(__xludf.DUMMYFUNCTION("""COMPUTED_VALUE"""),45839.0)</f>
        <v>45839</v>
      </c>
      <c r="B392" s="8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7">
        <f>IFERROR(__xludf.DUMMYFUNCTION("""COMPUTED_VALUE"""),45839.0)</f>
        <v>45839</v>
      </c>
      <c r="B393" s="8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7">
        <f>IFERROR(__xludf.DUMMYFUNCTION("""COMPUTED_VALUE"""),45839.0)</f>
        <v>45839</v>
      </c>
      <c r="B394" s="8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7">
        <f>IFERROR(__xludf.DUMMYFUNCTION("""COMPUTED_VALUE"""),45839.0)</f>
        <v>45839</v>
      </c>
      <c r="B395" s="8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7">
        <f>IFERROR(__xludf.DUMMYFUNCTION("""COMPUTED_VALUE"""),45839.0)</f>
        <v>45839</v>
      </c>
      <c r="B396" s="8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7">
        <f>IFERROR(__xludf.DUMMYFUNCTION("""COMPUTED_VALUE"""),45839.0)</f>
        <v>45839</v>
      </c>
      <c r="B397" s="8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7">
        <f>IFERROR(__xludf.DUMMYFUNCTION("""COMPUTED_VALUE"""),45839.0)</f>
        <v>45839</v>
      </c>
      <c r="B398" s="8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7">
        <f>IFERROR(__xludf.DUMMYFUNCTION("""COMPUTED_VALUE"""),45839.0)</f>
        <v>45839</v>
      </c>
      <c r="B399" s="8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7">
        <f>IFERROR(__xludf.DUMMYFUNCTION("""COMPUTED_VALUE"""),45839.0)</f>
        <v>45839</v>
      </c>
      <c r="B400" s="8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7">
        <f>IFERROR(__xludf.DUMMYFUNCTION("""COMPUTED_VALUE"""),45839.0)</f>
        <v>45839</v>
      </c>
      <c r="B401" s="8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7">
        <f>IFERROR(__xludf.DUMMYFUNCTION("""COMPUTED_VALUE"""),45839.0)</f>
        <v>45839</v>
      </c>
      <c r="B402" s="8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7">
        <f>IFERROR(__xludf.DUMMYFUNCTION("""COMPUTED_VALUE"""),45839.0)</f>
        <v>45839</v>
      </c>
      <c r="B403" s="8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7">
        <f>IFERROR(__xludf.DUMMYFUNCTION("""COMPUTED_VALUE"""),45839.0)</f>
        <v>45839</v>
      </c>
      <c r="B404" s="8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7">
        <f>IFERROR(__xludf.DUMMYFUNCTION("""COMPUTED_VALUE"""),45839.0)</f>
        <v>45839</v>
      </c>
      <c r="B405" s="8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7">
        <f>IFERROR(__xludf.DUMMYFUNCTION("""COMPUTED_VALUE"""),45839.0)</f>
        <v>45839</v>
      </c>
      <c r="B406" s="8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7">
        <f>IFERROR(__xludf.DUMMYFUNCTION("""COMPUTED_VALUE"""),45839.0)</f>
        <v>45839</v>
      </c>
      <c r="B407" s="8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7">
        <f>IFERROR(__xludf.DUMMYFUNCTION("""COMPUTED_VALUE"""),45839.0)</f>
        <v>45839</v>
      </c>
      <c r="B408" s="8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7">
        <f>IFERROR(__xludf.DUMMYFUNCTION("""COMPUTED_VALUE"""),45839.0)</f>
        <v>45839</v>
      </c>
      <c r="B409" s="8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7">
        <f>IFERROR(__xludf.DUMMYFUNCTION("""COMPUTED_VALUE"""),45839.0)</f>
        <v>45839</v>
      </c>
      <c r="B410" s="8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7">
        <f>IFERROR(__xludf.DUMMYFUNCTION("""COMPUTED_VALUE"""),45839.0)</f>
        <v>45839</v>
      </c>
      <c r="B411" s="8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7">
        <f>IFERROR(__xludf.DUMMYFUNCTION("""COMPUTED_VALUE"""),45839.0)</f>
        <v>45839</v>
      </c>
      <c r="B412" s="8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7">
        <f>IFERROR(__xludf.DUMMYFUNCTION("""COMPUTED_VALUE"""),45839.0)</f>
        <v>45839</v>
      </c>
      <c r="B413" s="8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7">
        <f>IFERROR(__xludf.DUMMYFUNCTION("""COMPUTED_VALUE"""),45839.0)</f>
        <v>45839</v>
      </c>
      <c r="B414" s="8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7">
        <f>IFERROR(__xludf.DUMMYFUNCTION("""COMPUTED_VALUE"""),45839.0)</f>
        <v>45839</v>
      </c>
      <c r="B415" s="8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7">
        <f>IFERROR(__xludf.DUMMYFUNCTION("""COMPUTED_VALUE"""),45839.0)</f>
        <v>45839</v>
      </c>
      <c r="B416" s="8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7">
        <f>IFERROR(__xludf.DUMMYFUNCTION("""COMPUTED_VALUE"""),45839.0)</f>
        <v>45839</v>
      </c>
      <c r="B417" s="8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7">
        <f>IFERROR(__xludf.DUMMYFUNCTION("""COMPUTED_VALUE"""),45839.0)</f>
        <v>45839</v>
      </c>
      <c r="B418" s="8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7">
        <f>IFERROR(__xludf.DUMMYFUNCTION("""COMPUTED_VALUE"""),45839.0)</f>
        <v>45839</v>
      </c>
      <c r="B419" s="8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7">
        <f>IFERROR(__xludf.DUMMYFUNCTION("""COMPUTED_VALUE"""),45839.0)</f>
        <v>45839</v>
      </c>
      <c r="B420" s="8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7">
        <f>IFERROR(__xludf.DUMMYFUNCTION("""COMPUTED_VALUE"""),45839.0)</f>
        <v>45839</v>
      </c>
      <c r="B421" s="8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7">
        <f>IFERROR(__xludf.DUMMYFUNCTION("""COMPUTED_VALUE"""),45839.0)</f>
        <v>45839</v>
      </c>
      <c r="B422" s="8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7">
        <f>IFERROR(__xludf.DUMMYFUNCTION("""COMPUTED_VALUE"""),45839.0)</f>
        <v>45839</v>
      </c>
      <c r="B423" s="8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7">
        <f>IFERROR(__xludf.DUMMYFUNCTION("""COMPUTED_VALUE"""),45839.0)</f>
        <v>45839</v>
      </c>
      <c r="B424" s="8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7">
        <f>IFERROR(__xludf.DUMMYFUNCTION("""COMPUTED_VALUE"""),45839.0)</f>
        <v>45839</v>
      </c>
      <c r="B425" s="8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7">
        <f>IFERROR(__xludf.DUMMYFUNCTION("""COMPUTED_VALUE"""),45839.0)</f>
        <v>45839</v>
      </c>
      <c r="B426" s="8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7">
        <f>IFERROR(__xludf.DUMMYFUNCTION("""COMPUTED_VALUE"""),45839.0)</f>
        <v>45839</v>
      </c>
      <c r="B427" s="8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7">
        <f>IFERROR(__xludf.DUMMYFUNCTION("""COMPUTED_VALUE"""),45839.0)</f>
        <v>45839</v>
      </c>
      <c r="B428" s="8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7">
        <f>IFERROR(__xludf.DUMMYFUNCTION("""COMPUTED_VALUE"""),45839.0)</f>
        <v>45839</v>
      </c>
      <c r="B429" s="8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7">
        <f>IFERROR(__xludf.DUMMYFUNCTION("""COMPUTED_VALUE"""),45839.0)</f>
        <v>45839</v>
      </c>
      <c r="B430" s="8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7">
        <f>IFERROR(__xludf.DUMMYFUNCTION("""COMPUTED_VALUE"""),45839.0)</f>
        <v>45839</v>
      </c>
      <c r="B431" s="8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7">
        <f>IFERROR(__xludf.DUMMYFUNCTION("""COMPUTED_VALUE"""),45839.0)</f>
        <v>45839</v>
      </c>
      <c r="B432" s="8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7">
        <f>IFERROR(__xludf.DUMMYFUNCTION("""COMPUTED_VALUE"""),45839.0)</f>
        <v>45839</v>
      </c>
      <c r="B433" s="8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7">
        <f>IFERROR(__xludf.DUMMYFUNCTION("""COMPUTED_VALUE"""),45839.0)</f>
        <v>45839</v>
      </c>
      <c r="B434" s="8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7">
        <f>IFERROR(__xludf.DUMMYFUNCTION("""COMPUTED_VALUE"""),45839.0)</f>
        <v>45839</v>
      </c>
      <c r="B435" s="8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7">
        <f>IFERROR(__xludf.DUMMYFUNCTION("""COMPUTED_VALUE"""),45839.0)</f>
        <v>45839</v>
      </c>
      <c r="B436" s="8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7">
        <f>IFERROR(__xludf.DUMMYFUNCTION("""COMPUTED_VALUE"""),45839.0)</f>
        <v>45839</v>
      </c>
      <c r="B437" s="8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7">
        <f>IFERROR(__xludf.DUMMYFUNCTION("""COMPUTED_VALUE"""),45870.0)</f>
        <v>45870</v>
      </c>
      <c r="B438" s="8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7">
        <f>IFERROR(__xludf.DUMMYFUNCTION("""COMPUTED_VALUE"""),45870.0)</f>
        <v>45870</v>
      </c>
      <c r="B439" s="8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7">
        <f>IFERROR(__xludf.DUMMYFUNCTION("""COMPUTED_VALUE"""),45870.0)</f>
        <v>45870</v>
      </c>
      <c r="B440" s="8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7">
        <f>IFERROR(__xludf.DUMMYFUNCTION("""COMPUTED_VALUE"""),45870.0)</f>
        <v>45870</v>
      </c>
      <c r="B441" s="8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7">
        <f>IFERROR(__xludf.DUMMYFUNCTION("""COMPUTED_VALUE"""),45870.0)</f>
        <v>45870</v>
      </c>
      <c r="B442" s="8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7">
        <f>IFERROR(__xludf.DUMMYFUNCTION("""COMPUTED_VALUE"""),45870.0)</f>
        <v>45870</v>
      </c>
      <c r="B443" s="8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7">
        <f>IFERROR(__xludf.DUMMYFUNCTION("""COMPUTED_VALUE"""),45870.0)</f>
        <v>45870</v>
      </c>
      <c r="B444" s="8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7">
        <f>IFERROR(__xludf.DUMMYFUNCTION("""COMPUTED_VALUE"""),45870.0)</f>
        <v>45870</v>
      </c>
      <c r="B445" s="8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7">
        <f>IFERROR(__xludf.DUMMYFUNCTION("""COMPUTED_VALUE"""),45870.0)</f>
        <v>45870</v>
      </c>
      <c r="B446" s="8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7">
        <f>IFERROR(__xludf.DUMMYFUNCTION("""COMPUTED_VALUE"""),45870.0)</f>
        <v>45870</v>
      </c>
      <c r="B447" s="8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7">
        <f>IFERROR(__xludf.DUMMYFUNCTION("""COMPUTED_VALUE"""),45870.0)</f>
        <v>45870</v>
      </c>
      <c r="B448" s="8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7">
        <f>IFERROR(__xludf.DUMMYFUNCTION("""COMPUTED_VALUE"""),45870.0)</f>
        <v>45870</v>
      </c>
      <c r="B449" s="8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7">
        <f>IFERROR(__xludf.DUMMYFUNCTION("""COMPUTED_VALUE"""),45870.0)</f>
        <v>45870</v>
      </c>
      <c r="B450" s="8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7">
        <f>IFERROR(__xludf.DUMMYFUNCTION("""COMPUTED_VALUE"""),45870.0)</f>
        <v>45870</v>
      </c>
      <c r="B451" s="8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7">
        <f>IFERROR(__xludf.DUMMYFUNCTION("""COMPUTED_VALUE"""),45870.0)</f>
        <v>45870</v>
      </c>
      <c r="B452" s="8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7">
        <f>IFERROR(__xludf.DUMMYFUNCTION("""COMPUTED_VALUE"""),45870.0)</f>
        <v>45870</v>
      </c>
      <c r="B453" s="8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7">
        <f>IFERROR(__xludf.DUMMYFUNCTION("""COMPUTED_VALUE"""),45870.0)</f>
        <v>45870</v>
      </c>
      <c r="B454" s="8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7">
        <f>IFERROR(__xludf.DUMMYFUNCTION("""COMPUTED_VALUE"""),45870.0)</f>
        <v>45870</v>
      </c>
      <c r="B455" s="8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7">
        <f>IFERROR(__xludf.DUMMYFUNCTION("""COMPUTED_VALUE"""),45870.0)</f>
        <v>45870</v>
      </c>
      <c r="B456" s="8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7">
        <f>IFERROR(__xludf.DUMMYFUNCTION("""COMPUTED_VALUE"""),45870.0)</f>
        <v>45870</v>
      </c>
      <c r="B457" s="8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7">
        <f>IFERROR(__xludf.DUMMYFUNCTION("""COMPUTED_VALUE"""),45870.0)</f>
        <v>45870</v>
      </c>
      <c r="B458" s="8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7">
        <f>IFERROR(__xludf.DUMMYFUNCTION("""COMPUTED_VALUE"""),45870.0)</f>
        <v>45870</v>
      </c>
      <c r="B459" s="8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7">
        <f>IFERROR(__xludf.DUMMYFUNCTION("""COMPUTED_VALUE"""),45870.0)</f>
        <v>45870</v>
      </c>
      <c r="B460" s="8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7">
        <f>IFERROR(__xludf.DUMMYFUNCTION("""COMPUTED_VALUE"""),45870.0)</f>
        <v>45870</v>
      </c>
      <c r="B461" s="8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7">
        <f>IFERROR(__xludf.DUMMYFUNCTION("""COMPUTED_VALUE"""),45870.0)</f>
        <v>45870</v>
      </c>
      <c r="B462" s="8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7">
        <f>IFERROR(__xludf.DUMMYFUNCTION("""COMPUTED_VALUE"""),45870.0)</f>
        <v>45870</v>
      </c>
      <c r="B463" s="8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7">
        <f>IFERROR(__xludf.DUMMYFUNCTION("""COMPUTED_VALUE"""),45870.0)</f>
        <v>45870</v>
      </c>
      <c r="B464" s="8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7">
        <f>IFERROR(__xludf.DUMMYFUNCTION("""COMPUTED_VALUE"""),45870.0)</f>
        <v>45870</v>
      </c>
      <c r="B465" s="8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7">
        <f>IFERROR(__xludf.DUMMYFUNCTION("""COMPUTED_VALUE"""),45870.0)</f>
        <v>45870</v>
      </c>
      <c r="B466" s="8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7">
        <f>IFERROR(__xludf.DUMMYFUNCTION("""COMPUTED_VALUE"""),45870.0)</f>
        <v>45870</v>
      </c>
      <c r="B467" s="8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7">
        <f>IFERROR(__xludf.DUMMYFUNCTION("""COMPUTED_VALUE"""),45870.0)</f>
        <v>45870</v>
      </c>
      <c r="B468" s="8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7">
        <f>IFERROR(__xludf.DUMMYFUNCTION("""COMPUTED_VALUE"""),45870.0)</f>
        <v>45870</v>
      </c>
      <c r="B469" s="8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7">
        <f>IFERROR(__xludf.DUMMYFUNCTION("""COMPUTED_VALUE"""),45870.0)</f>
        <v>45870</v>
      </c>
      <c r="B470" s="8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7">
        <f>IFERROR(__xludf.DUMMYFUNCTION("""COMPUTED_VALUE"""),45870.0)</f>
        <v>45870</v>
      </c>
      <c r="B471" s="8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7">
        <f>IFERROR(__xludf.DUMMYFUNCTION("""COMPUTED_VALUE"""),45870.0)</f>
        <v>45870</v>
      </c>
      <c r="B472" s="8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7">
        <f>IFERROR(__xludf.DUMMYFUNCTION("""COMPUTED_VALUE"""),45870.0)</f>
        <v>45870</v>
      </c>
      <c r="B473" s="8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7">
        <f>IFERROR(__xludf.DUMMYFUNCTION("""COMPUTED_VALUE"""),45870.0)</f>
        <v>45870</v>
      </c>
      <c r="B474" s="8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7">
        <f>IFERROR(__xludf.DUMMYFUNCTION("""COMPUTED_VALUE"""),45870.0)</f>
        <v>45870</v>
      </c>
      <c r="B475" s="8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7">
        <f>IFERROR(__xludf.DUMMYFUNCTION("""COMPUTED_VALUE"""),45870.0)</f>
        <v>45870</v>
      </c>
      <c r="B476" s="8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7">
        <f>IFERROR(__xludf.DUMMYFUNCTION("""COMPUTED_VALUE"""),45870.0)</f>
        <v>45870</v>
      </c>
      <c r="B477" s="8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7">
        <f>IFERROR(__xludf.DUMMYFUNCTION("""COMPUTED_VALUE"""),45870.0)</f>
        <v>45870</v>
      </c>
      <c r="B478" s="8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7">
        <f>IFERROR(__xludf.DUMMYFUNCTION("""COMPUTED_VALUE"""),45870.0)</f>
        <v>45870</v>
      </c>
      <c r="B479" s="8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7">
        <f>IFERROR(__xludf.DUMMYFUNCTION("""COMPUTED_VALUE"""),45870.0)</f>
        <v>45870</v>
      </c>
      <c r="B480" s="8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7">
        <f>IFERROR(__xludf.DUMMYFUNCTION("""COMPUTED_VALUE"""),45870.0)</f>
        <v>45870</v>
      </c>
      <c r="B481" s="8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7">
        <f>IFERROR(__xludf.DUMMYFUNCTION("""COMPUTED_VALUE"""),45870.0)</f>
        <v>45870</v>
      </c>
      <c r="B482" s="8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7">
        <f>IFERROR(__xludf.DUMMYFUNCTION("""COMPUTED_VALUE"""),45870.0)</f>
        <v>45870</v>
      </c>
      <c r="B483" s="8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7">
        <f>IFERROR(__xludf.DUMMYFUNCTION("""COMPUTED_VALUE"""),45870.0)</f>
        <v>45870</v>
      </c>
      <c r="B484" s="8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7">
        <f>IFERROR(__xludf.DUMMYFUNCTION("""COMPUTED_VALUE"""),45870.0)</f>
        <v>45870</v>
      </c>
      <c r="B485" s="8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7">
        <f>IFERROR(__xludf.DUMMYFUNCTION("""COMPUTED_VALUE"""),45870.0)</f>
        <v>45870</v>
      </c>
      <c r="B486" s="8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7">
        <f>IFERROR(__xludf.DUMMYFUNCTION("""COMPUTED_VALUE"""),45870.0)</f>
        <v>45870</v>
      </c>
      <c r="B487" s="8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7">
        <f>IFERROR(__xludf.DUMMYFUNCTION("""COMPUTED_VALUE"""),45870.0)</f>
        <v>45870</v>
      </c>
      <c r="B488" s="8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7">
        <f>IFERROR(__xludf.DUMMYFUNCTION("""COMPUTED_VALUE"""),45870.0)</f>
        <v>45870</v>
      </c>
      <c r="B489" s="8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7">
        <f>IFERROR(__xludf.DUMMYFUNCTION("""COMPUTED_VALUE"""),45870.0)</f>
        <v>45870</v>
      </c>
      <c r="B490" s="8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7">
        <f>IFERROR(__xludf.DUMMYFUNCTION("""COMPUTED_VALUE"""),45870.0)</f>
        <v>45870</v>
      </c>
      <c r="B491" s="8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7">
        <f>IFERROR(__xludf.DUMMYFUNCTION("""COMPUTED_VALUE"""),45870.0)</f>
        <v>45870</v>
      </c>
      <c r="B492" s="8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7">
        <f>IFERROR(__xludf.DUMMYFUNCTION("""COMPUTED_VALUE"""),45870.0)</f>
        <v>45870</v>
      </c>
      <c r="B493" s="8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7">
        <f>IFERROR(__xludf.DUMMYFUNCTION("""COMPUTED_VALUE"""),45870.0)</f>
        <v>45870</v>
      </c>
      <c r="B494" s="8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7">
        <f>IFERROR(__xludf.DUMMYFUNCTION("""COMPUTED_VALUE"""),45870.0)</f>
        <v>45870</v>
      </c>
      <c r="B495" s="8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7">
        <f>IFERROR(__xludf.DUMMYFUNCTION("""COMPUTED_VALUE"""),45870.0)</f>
        <v>45870</v>
      </c>
      <c r="B496" s="8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7">
        <f>IFERROR(__xludf.DUMMYFUNCTION("""COMPUTED_VALUE"""),45870.0)</f>
        <v>45870</v>
      </c>
      <c r="B497" s="8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7">
        <f>IFERROR(__xludf.DUMMYFUNCTION("""COMPUTED_VALUE"""),45870.0)</f>
        <v>45870</v>
      </c>
      <c r="B498" s="8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7">
        <f>IFERROR(__xludf.DUMMYFUNCTION("""COMPUTED_VALUE"""),45870.0)</f>
        <v>45870</v>
      </c>
      <c r="B499" s="8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7">
        <f>IFERROR(__xludf.DUMMYFUNCTION("""COMPUTED_VALUE"""),45870.0)</f>
        <v>45870</v>
      </c>
      <c r="B500" s="8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7">
        <f>IFERROR(__xludf.DUMMYFUNCTION("""COMPUTED_VALUE"""),45870.0)</f>
        <v>45870</v>
      </c>
      <c r="B501" s="8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7">
        <f>IFERROR(__xludf.DUMMYFUNCTION("""COMPUTED_VALUE"""),45870.0)</f>
        <v>45870</v>
      </c>
      <c r="B502" s="8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7">
        <f>IFERROR(__xludf.DUMMYFUNCTION("""COMPUTED_VALUE"""),45870.0)</f>
        <v>45870</v>
      </c>
      <c r="B503" s="8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7">
        <f>IFERROR(__xludf.DUMMYFUNCTION("""COMPUTED_VALUE"""),45870.0)</f>
        <v>45870</v>
      </c>
      <c r="B504" s="8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7">
        <f>IFERROR(__xludf.DUMMYFUNCTION("""COMPUTED_VALUE"""),45870.0)</f>
        <v>45870</v>
      </c>
      <c r="B505" s="8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7">
        <f>IFERROR(__xludf.DUMMYFUNCTION("""COMPUTED_VALUE"""),45870.0)</f>
        <v>45870</v>
      </c>
      <c r="B506" s="8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7">
        <f>IFERROR(__xludf.DUMMYFUNCTION("""COMPUTED_VALUE"""),45870.0)</f>
        <v>45870</v>
      </c>
      <c r="B507" s="8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7">
        <f>IFERROR(__xludf.DUMMYFUNCTION("""COMPUTED_VALUE"""),45870.0)</f>
        <v>45870</v>
      </c>
      <c r="B508" s="8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7">
        <f>IFERROR(__xludf.DUMMYFUNCTION("""COMPUTED_VALUE"""),45870.0)</f>
        <v>45870</v>
      </c>
      <c r="B509" s="8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7">
        <f>IFERROR(__xludf.DUMMYFUNCTION("""COMPUTED_VALUE"""),45870.0)</f>
        <v>45870</v>
      </c>
      <c r="B510" s="8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7">
        <f>IFERROR(__xludf.DUMMYFUNCTION("""COMPUTED_VALUE"""),45870.0)</f>
        <v>45870</v>
      </c>
      <c r="B511" s="8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7">
        <f>IFERROR(__xludf.DUMMYFUNCTION("""COMPUTED_VALUE"""),45870.0)</f>
        <v>45870</v>
      </c>
      <c r="B512" s="8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7">
        <f>IFERROR(__xludf.DUMMYFUNCTION("""COMPUTED_VALUE"""),45870.0)</f>
        <v>45870</v>
      </c>
      <c r="B513" s="8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7">
        <f>IFERROR(__xludf.DUMMYFUNCTION("""COMPUTED_VALUE"""),45870.0)</f>
        <v>45870</v>
      </c>
      <c r="B514" s="8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7">
        <f>IFERROR(__xludf.DUMMYFUNCTION("""COMPUTED_VALUE"""),45870.0)</f>
        <v>45870</v>
      </c>
      <c r="B515" s="8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7">
        <f>IFERROR(__xludf.DUMMYFUNCTION("""COMPUTED_VALUE"""),45870.0)</f>
        <v>45870</v>
      </c>
      <c r="B516" s="8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7">
        <f>IFERROR(__xludf.DUMMYFUNCTION("""COMPUTED_VALUE"""),45870.0)</f>
        <v>45870</v>
      </c>
      <c r="B517" s="8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7">
        <f>IFERROR(__xludf.DUMMYFUNCTION("""COMPUTED_VALUE"""),45870.0)</f>
        <v>45870</v>
      </c>
      <c r="B518" s="8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7">
        <f>IFERROR(__xludf.DUMMYFUNCTION("""COMPUTED_VALUE"""),45870.0)</f>
        <v>45870</v>
      </c>
      <c r="B519" s="8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7">
        <f>IFERROR(__xludf.DUMMYFUNCTION("""COMPUTED_VALUE"""),45870.0)</f>
        <v>45870</v>
      </c>
      <c r="B520" s="8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7">
        <f>IFERROR(__xludf.DUMMYFUNCTION("""COMPUTED_VALUE"""),45870.0)</f>
        <v>45870</v>
      </c>
      <c r="B521" s="8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7">
        <f>IFERROR(__xludf.DUMMYFUNCTION("""COMPUTED_VALUE"""),45870.0)</f>
        <v>45870</v>
      </c>
      <c r="B522" s="8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7">
        <f>IFERROR(__xludf.DUMMYFUNCTION("""COMPUTED_VALUE"""),45870.0)</f>
        <v>45870</v>
      </c>
      <c r="B523" s="8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7">
        <f>IFERROR(__xludf.DUMMYFUNCTION("""COMPUTED_VALUE"""),45870.0)</f>
        <v>45870</v>
      </c>
      <c r="B524" s="8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7">
        <f>IFERROR(__xludf.DUMMYFUNCTION("""COMPUTED_VALUE"""),45870.0)</f>
        <v>45870</v>
      </c>
      <c r="B525" s="8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7">
        <f>IFERROR(__xludf.DUMMYFUNCTION("""COMPUTED_VALUE"""),45870.0)</f>
        <v>45870</v>
      </c>
      <c r="B526" s="8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7">
        <f>IFERROR(__xludf.DUMMYFUNCTION("""COMPUTED_VALUE"""),45870.0)</f>
        <v>45870</v>
      </c>
      <c r="B527" s="8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7">
        <f>IFERROR(__xludf.DUMMYFUNCTION("""COMPUTED_VALUE"""),45870.0)</f>
        <v>45870</v>
      </c>
      <c r="B528" s="8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7">
        <f>IFERROR(__xludf.DUMMYFUNCTION("""COMPUTED_VALUE"""),45870.0)</f>
        <v>45870</v>
      </c>
      <c r="B529" s="8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7">
        <f>IFERROR(__xludf.DUMMYFUNCTION("""COMPUTED_VALUE"""),45870.0)</f>
        <v>45870</v>
      </c>
      <c r="B530" s="8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7">
        <f>IFERROR(__xludf.DUMMYFUNCTION("""COMPUTED_VALUE"""),45870.0)</f>
        <v>45870</v>
      </c>
      <c r="B531" s="8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7">
        <f>IFERROR(__xludf.DUMMYFUNCTION("""COMPUTED_VALUE"""),45870.0)</f>
        <v>45870</v>
      </c>
      <c r="B532" s="8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7">
        <f>IFERROR(__xludf.DUMMYFUNCTION("""COMPUTED_VALUE"""),45870.0)</f>
        <v>45870</v>
      </c>
      <c r="B533" s="8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7">
        <f>IFERROR(__xludf.DUMMYFUNCTION("""COMPUTED_VALUE"""),45870.0)</f>
        <v>45870</v>
      </c>
      <c r="B534" s="8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7">
        <f>IFERROR(__xludf.DUMMYFUNCTION("""COMPUTED_VALUE"""),45870.0)</f>
        <v>45870</v>
      </c>
      <c r="B535" s="8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7">
        <f>IFERROR(__xludf.DUMMYFUNCTION("""COMPUTED_VALUE"""),45870.0)</f>
        <v>45870</v>
      </c>
      <c r="B536" s="8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7">
        <f>IFERROR(__xludf.DUMMYFUNCTION("""COMPUTED_VALUE"""),45870.0)</f>
        <v>45870</v>
      </c>
      <c r="B537" s="8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7">
        <f>IFERROR(__xludf.DUMMYFUNCTION("""COMPUTED_VALUE"""),45870.0)</f>
        <v>45870</v>
      </c>
      <c r="B538" s="8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7">
        <f>IFERROR(__xludf.DUMMYFUNCTION("""COMPUTED_VALUE"""),45870.0)</f>
        <v>45870</v>
      </c>
      <c r="B539" s="8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7">
        <f>IFERROR(__xludf.DUMMYFUNCTION("""COMPUTED_VALUE"""),45870.0)</f>
        <v>45870</v>
      </c>
      <c r="B540" s="8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7">
        <f>IFERROR(__xludf.DUMMYFUNCTION("""COMPUTED_VALUE"""),45870.0)</f>
        <v>45870</v>
      </c>
      <c r="B541" s="8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7">
        <f>IFERROR(__xludf.DUMMYFUNCTION("""COMPUTED_VALUE"""),45870.0)</f>
        <v>45870</v>
      </c>
      <c r="B542" s="8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7">
        <f>IFERROR(__xludf.DUMMYFUNCTION("""COMPUTED_VALUE"""),45870.0)</f>
        <v>45870</v>
      </c>
      <c r="B543" s="8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7">
        <f>IFERROR(__xludf.DUMMYFUNCTION("""COMPUTED_VALUE"""),45870.0)</f>
        <v>45870</v>
      </c>
      <c r="B544" s="8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7">
        <f>IFERROR(__xludf.DUMMYFUNCTION("""COMPUTED_VALUE"""),45870.0)</f>
        <v>45870</v>
      </c>
      <c r="B545" s="8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7">
        <f>IFERROR(__xludf.DUMMYFUNCTION("""COMPUTED_VALUE"""),45870.0)</f>
        <v>45870</v>
      </c>
      <c r="B546" s="8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7">
        <f>IFERROR(__xludf.DUMMYFUNCTION("""COMPUTED_VALUE"""),45870.0)</f>
        <v>45870</v>
      </c>
      <c r="B547" s="8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7">
        <f>IFERROR(__xludf.DUMMYFUNCTION("""COMPUTED_VALUE"""),45870.0)</f>
        <v>45870</v>
      </c>
      <c r="B548" s="8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7">
        <f>IFERROR(__xludf.DUMMYFUNCTION("""COMPUTED_VALUE"""),45870.0)</f>
        <v>45870</v>
      </c>
      <c r="B549" s="8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7">
        <f>IFERROR(__xludf.DUMMYFUNCTION("""COMPUTED_VALUE"""),45870.0)</f>
        <v>45870</v>
      </c>
      <c r="B550" s="8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7">
        <f>IFERROR(__xludf.DUMMYFUNCTION("""COMPUTED_VALUE"""),45870.0)</f>
        <v>45870</v>
      </c>
      <c r="B551" s="8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7">
        <f>IFERROR(__xludf.DUMMYFUNCTION("""COMPUTED_VALUE"""),45870.0)</f>
        <v>45870</v>
      </c>
      <c r="B552" s="8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7">
        <f>IFERROR(__xludf.DUMMYFUNCTION("""COMPUTED_VALUE"""),45870.0)</f>
        <v>45870</v>
      </c>
      <c r="B553" s="8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7">
        <f>IFERROR(__xludf.DUMMYFUNCTION("""COMPUTED_VALUE"""),45870.0)</f>
        <v>45870</v>
      </c>
      <c r="B554" s="8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7">
        <f>IFERROR(__xludf.DUMMYFUNCTION("""COMPUTED_VALUE"""),45870.0)</f>
        <v>45870</v>
      </c>
      <c r="B555" s="8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7">
        <f>IFERROR(__xludf.DUMMYFUNCTION("""COMPUTED_VALUE"""),45870.0)</f>
        <v>45870</v>
      </c>
      <c r="B556" s="8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7">
        <f>IFERROR(__xludf.DUMMYFUNCTION("""COMPUTED_VALUE"""),45870.0)</f>
        <v>45870</v>
      </c>
      <c r="B557" s="8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7">
        <f>IFERROR(__xludf.DUMMYFUNCTION("""COMPUTED_VALUE"""),45870.0)</f>
        <v>45870</v>
      </c>
      <c r="B558" s="8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7">
        <f>IFERROR(__xludf.DUMMYFUNCTION("""COMPUTED_VALUE"""),45870.0)</f>
        <v>45870</v>
      </c>
      <c r="B559" s="8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7">
        <f>IFERROR(__xludf.DUMMYFUNCTION("""COMPUTED_VALUE"""),45870.0)</f>
        <v>45870</v>
      </c>
      <c r="B560" s="8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7">
        <f>IFERROR(__xludf.DUMMYFUNCTION("""COMPUTED_VALUE"""),45870.0)</f>
        <v>45870</v>
      </c>
      <c r="B561" s="8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7">
        <f>IFERROR(__xludf.DUMMYFUNCTION("""COMPUTED_VALUE"""),45870.0)</f>
        <v>45870</v>
      </c>
      <c r="B562" s="8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7">
        <f>IFERROR(__xludf.DUMMYFUNCTION("""COMPUTED_VALUE"""),45870.0)</f>
        <v>45870</v>
      </c>
      <c r="B563" s="8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7">
        <f>IFERROR(__xludf.DUMMYFUNCTION("""COMPUTED_VALUE"""),45870.0)</f>
        <v>45870</v>
      </c>
      <c r="B564" s="8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7">
        <f>IFERROR(__xludf.DUMMYFUNCTION("""COMPUTED_VALUE"""),45870.0)</f>
        <v>45870</v>
      </c>
      <c r="B565" s="8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7">
        <f>IFERROR(__xludf.DUMMYFUNCTION("""COMPUTED_VALUE"""),45870.0)</f>
        <v>45870</v>
      </c>
      <c r="B566" s="8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7">
        <f>IFERROR(__xludf.DUMMYFUNCTION("""COMPUTED_VALUE"""),45870.0)</f>
        <v>45870</v>
      </c>
      <c r="B567" s="8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7">
        <f>IFERROR(__xludf.DUMMYFUNCTION("""COMPUTED_VALUE"""),45870.0)</f>
        <v>45870</v>
      </c>
      <c r="B568" s="8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7">
        <f>IFERROR(__xludf.DUMMYFUNCTION("""COMPUTED_VALUE"""),45870.0)</f>
        <v>45870</v>
      </c>
      <c r="B569" s="8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7">
        <f>IFERROR(__xludf.DUMMYFUNCTION("""COMPUTED_VALUE"""),45870.0)</f>
        <v>45870</v>
      </c>
      <c r="B570" s="8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7">
        <f>IFERROR(__xludf.DUMMYFUNCTION("""COMPUTED_VALUE"""),45870.0)</f>
        <v>45870</v>
      </c>
      <c r="B571" s="8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7">
        <f>IFERROR(__xludf.DUMMYFUNCTION("""COMPUTED_VALUE"""),45870.0)</f>
        <v>45870</v>
      </c>
      <c r="B572" s="8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7">
        <f>IFERROR(__xludf.DUMMYFUNCTION("""COMPUTED_VALUE"""),45870.0)</f>
        <v>45870</v>
      </c>
      <c r="B573" s="8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7">
        <f>IFERROR(__xludf.DUMMYFUNCTION("""COMPUTED_VALUE"""),45870.0)</f>
        <v>45870</v>
      </c>
      <c r="B574" s="8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7">
        <f>IFERROR(__xludf.DUMMYFUNCTION("""COMPUTED_VALUE"""),45870.0)</f>
        <v>45870</v>
      </c>
      <c r="B575" s="8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7">
        <f>IFERROR(__xludf.DUMMYFUNCTION("""COMPUTED_VALUE"""),45870.0)</f>
        <v>45870</v>
      </c>
      <c r="B576" s="8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7">
        <f>IFERROR(__xludf.DUMMYFUNCTION("""COMPUTED_VALUE"""),45870.0)</f>
        <v>45870</v>
      </c>
      <c r="B577" s="8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7">
        <f>IFERROR(__xludf.DUMMYFUNCTION("""COMPUTED_VALUE"""),45870.0)</f>
        <v>45870</v>
      </c>
      <c r="B578" s="8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7">
        <f>IFERROR(__xludf.DUMMYFUNCTION("""COMPUTED_VALUE"""),45870.0)</f>
        <v>45870</v>
      </c>
      <c r="B579" s="8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7">
        <f>IFERROR(__xludf.DUMMYFUNCTION("""COMPUTED_VALUE"""),45870.0)</f>
        <v>45870</v>
      </c>
      <c r="B580" s="8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7">
        <f>IFERROR(__xludf.DUMMYFUNCTION("""COMPUTED_VALUE"""),45870.0)</f>
        <v>45870</v>
      </c>
      <c r="B581" s="8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7">
        <f>IFERROR(__xludf.DUMMYFUNCTION("""COMPUTED_VALUE"""),45870.0)</f>
        <v>45870</v>
      </c>
      <c r="B582" s="8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7">
        <f>IFERROR(__xludf.DUMMYFUNCTION("""COMPUTED_VALUE"""),45901.0)</f>
        <v>45901</v>
      </c>
      <c r="B583" s="8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7">
        <f>IFERROR(__xludf.DUMMYFUNCTION("""COMPUTED_VALUE"""),45901.0)</f>
        <v>45901</v>
      </c>
      <c r="B584" s="8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7">
        <f>IFERROR(__xludf.DUMMYFUNCTION("""COMPUTED_VALUE"""),45901.0)</f>
        <v>45901</v>
      </c>
      <c r="B585" s="8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7">
        <f>IFERROR(__xludf.DUMMYFUNCTION("""COMPUTED_VALUE"""),45901.0)</f>
        <v>45901</v>
      </c>
      <c r="B586" s="8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7">
        <f>IFERROR(__xludf.DUMMYFUNCTION("""COMPUTED_VALUE"""),45901.0)</f>
        <v>45901</v>
      </c>
      <c r="B587" s="8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7">
        <f>IFERROR(__xludf.DUMMYFUNCTION("""COMPUTED_VALUE"""),45901.0)</f>
        <v>45901</v>
      </c>
      <c r="B588" s="8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7">
        <f>IFERROR(__xludf.DUMMYFUNCTION("""COMPUTED_VALUE"""),45901.0)</f>
        <v>45901</v>
      </c>
      <c r="B589" s="8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7">
        <f>IFERROR(__xludf.DUMMYFUNCTION("""COMPUTED_VALUE"""),45901.0)</f>
        <v>45901</v>
      </c>
      <c r="B590" s="8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7">
        <f>IFERROR(__xludf.DUMMYFUNCTION("""COMPUTED_VALUE"""),45901.0)</f>
        <v>45901</v>
      </c>
      <c r="B591" s="8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7">
        <f>IFERROR(__xludf.DUMMYFUNCTION("""COMPUTED_VALUE"""),45901.0)</f>
        <v>45901</v>
      </c>
      <c r="B592" s="8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7">
        <f>IFERROR(__xludf.DUMMYFUNCTION("""COMPUTED_VALUE"""),45901.0)</f>
        <v>45901</v>
      </c>
      <c r="B593" s="8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7">
        <f>IFERROR(__xludf.DUMMYFUNCTION("""COMPUTED_VALUE"""),45901.0)</f>
        <v>45901</v>
      </c>
      <c r="B594" s="8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7">
        <f>IFERROR(__xludf.DUMMYFUNCTION("""COMPUTED_VALUE"""),45901.0)</f>
        <v>45901</v>
      </c>
      <c r="B595" s="8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7">
        <f>IFERROR(__xludf.DUMMYFUNCTION("""COMPUTED_VALUE"""),45901.0)</f>
        <v>45901</v>
      </c>
      <c r="B596" s="8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7">
        <f>IFERROR(__xludf.DUMMYFUNCTION("""COMPUTED_VALUE"""),45901.0)</f>
        <v>45901</v>
      </c>
      <c r="B597" s="8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7">
        <f>IFERROR(__xludf.DUMMYFUNCTION("""COMPUTED_VALUE"""),45901.0)</f>
        <v>45901</v>
      </c>
      <c r="B598" s="8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7">
        <f>IFERROR(__xludf.DUMMYFUNCTION("""COMPUTED_VALUE"""),45901.0)</f>
        <v>45901</v>
      </c>
      <c r="B599" s="8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7">
        <f>IFERROR(__xludf.DUMMYFUNCTION("""COMPUTED_VALUE"""),45901.0)</f>
        <v>45901</v>
      </c>
      <c r="B600" s="8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7">
        <f>IFERROR(__xludf.DUMMYFUNCTION("""COMPUTED_VALUE"""),45901.0)</f>
        <v>45901</v>
      </c>
      <c r="B601" s="8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7">
        <f>IFERROR(__xludf.DUMMYFUNCTION("""COMPUTED_VALUE"""),45901.0)</f>
        <v>45901</v>
      </c>
      <c r="B602" s="8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7">
        <f>IFERROR(__xludf.DUMMYFUNCTION("""COMPUTED_VALUE"""),45901.0)</f>
        <v>45901</v>
      </c>
      <c r="B603" s="8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7">
        <f>IFERROR(__xludf.DUMMYFUNCTION("""COMPUTED_VALUE"""),45901.0)</f>
        <v>45901</v>
      </c>
      <c r="B604" s="8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7">
        <f>IFERROR(__xludf.DUMMYFUNCTION("""COMPUTED_VALUE"""),45901.0)</f>
        <v>45901</v>
      </c>
      <c r="B605" s="8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7">
        <f>IFERROR(__xludf.DUMMYFUNCTION("""COMPUTED_VALUE"""),45901.0)</f>
        <v>45901</v>
      </c>
      <c r="B606" s="8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7">
        <f>IFERROR(__xludf.DUMMYFUNCTION("""COMPUTED_VALUE"""),45901.0)</f>
        <v>45901</v>
      </c>
      <c r="B607" s="8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7">
        <f>IFERROR(__xludf.DUMMYFUNCTION("""COMPUTED_VALUE"""),45901.0)</f>
        <v>45901</v>
      </c>
      <c r="B608" s="8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7">
        <f>IFERROR(__xludf.DUMMYFUNCTION("""COMPUTED_VALUE"""),45901.0)</f>
        <v>45901</v>
      </c>
      <c r="B609" s="8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7">
        <f>IFERROR(__xludf.DUMMYFUNCTION("""COMPUTED_VALUE"""),45901.0)</f>
        <v>45901</v>
      </c>
      <c r="B610" s="8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7">
        <f>IFERROR(__xludf.DUMMYFUNCTION("""COMPUTED_VALUE"""),45901.0)</f>
        <v>45901</v>
      </c>
      <c r="B611" s="8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7">
        <f>IFERROR(__xludf.DUMMYFUNCTION("""COMPUTED_VALUE"""),45901.0)</f>
        <v>45901</v>
      </c>
      <c r="B612" s="8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7">
        <f>IFERROR(__xludf.DUMMYFUNCTION("""COMPUTED_VALUE"""),45901.0)</f>
        <v>45901</v>
      </c>
      <c r="B613" s="8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7">
        <f>IFERROR(__xludf.DUMMYFUNCTION("""COMPUTED_VALUE"""),45901.0)</f>
        <v>45901</v>
      </c>
      <c r="B614" s="8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7">
        <f>IFERROR(__xludf.DUMMYFUNCTION("""COMPUTED_VALUE"""),45901.0)</f>
        <v>45901</v>
      </c>
      <c r="B615" s="8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7">
        <f>IFERROR(__xludf.DUMMYFUNCTION("""COMPUTED_VALUE"""),45901.0)</f>
        <v>45901</v>
      </c>
      <c r="B616" s="8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7">
        <f>IFERROR(__xludf.DUMMYFUNCTION("""COMPUTED_VALUE"""),45901.0)</f>
        <v>45901</v>
      </c>
      <c r="B617" s="8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7">
        <f>IFERROR(__xludf.DUMMYFUNCTION("""COMPUTED_VALUE"""),45901.0)</f>
        <v>45901</v>
      </c>
      <c r="B618" s="8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7">
        <f>IFERROR(__xludf.DUMMYFUNCTION("""COMPUTED_VALUE"""),45901.0)</f>
        <v>45901</v>
      </c>
      <c r="B619" s="8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7">
        <f>IFERROR(__xludf.DUMMYFUNCTION("""COMPUTED_VALUE"""),45901.0)</f>
        <v>45901</v>
      </c>
      <c r="B620" s="8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7">
        <f>IFERROR(__xludf.DUMMYFUNCTION("""COMPUTED_VALUE"""),45901.0)</f>
        <v>45901</v>
      </c>
      <c r="B621" s="8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7">
        <f>IFERROR(__xludf.DUMMYFUNCTION("""COMPUTED_VALUE"""),45901.0)</f>
        <v>45901</v>
      </c>
      <c r="B622" s="8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7">
        <f>IFERROR(__xludf.DUMMYFUNCTION("""COMPUTED_VALUE"""),45901.0)</f>
        <v>45901</v>
      </c>
      <c r="B623" s="8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7">
        <f>IFERROR(__xludf.DUMMYFUNCTION("""COMPUTED_VALUE"""),45901.0)</f>
        <v>45901</v>
      </c>
      <c r="B624" s="8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7">
        <f>IFERROR(__xludf.DUMMYFUNCTION("""COMPUTED_VALUE"""),45901.0)</f>
        <v>45901</v>
      </c>
      <c r="B625" s="8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7">
        <f>IFERROR(__xludf.DUMMYFUNCTION("""COMPUTED_VALUE"""),45901.0)</f>
        <v>45901</v>
      </c>
      <c r="B626" s="8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7">
        <f>IFERROR(__xludf.DUMMYFUNCTION("""COMPUTED_VALUE"""),45901.0)</f>
        <v>45901</v>
      </c>
      <c r="B627" s="8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7">
        <f>IFERROR(__xludf.DUMMYFUNCTION("""COMPUTED_VALUE"""),45901.0)</f>
        <v>45901</v>
      </c>
      <c r="B628" s="8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7">
        <f>IFERROR(__xludf.DUMMYFUNCTION("""COMPUTED_VALUE"""),45901.0)</f>
        <v>45901</v>
      </c>
      <c r="B629" s="8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7">
        <f>IFERROR(__xludf.DUMMYFUNCTION("""COMPUTED_VALUE"""),45901.0)</f>
        <v>45901</v>
      </c>
      <c r="B630" s="8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7">
        <f>IFERROR(__xludf.DUMMYFUNCTION("""COMPUTED_VALUE"""),45901.0)</f>
        <v>45901</v>
      </c>
      <c r="B631" s="8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7">
        <f>IFERROR(__xludf.DUMMYFUNCTION("""COMPUTED_VALUE"""),45901.0)</f>
        <v>45901</v>
      </c>
      <c r="B632" s="8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7">
        <f>IFERROR(__xludf.DUMMYFUNCTION("""COMPUTED_VALUE"""),45901.0)</f>
        <v>45901</v>
      </c>
      <c r="B633" s="8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7">
        <f>IFERROR(__xludf.DUMMYFUNCTION("""COMPUTED_VALUE"""),45901.0)</f>
        <v>45901</v>
      </c>
      <c r="B634" s="8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7">
        <f>IFERROR(__xludf.DUMMYFUNCTION("""COMPUTED_VALUE"""),45901.0)</f>
        <v>45901</v>
      </c>
      <c r="B635" s="8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7">
        <f>IFERROR(__xludf.DUMMYFUNCTION("""COMPUTED_VALUE"""),45901.0)</f>
        <v>45901</v>
      </c>
      <c r="B636" s="8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7">
        <f>IFERROR(__xludf.DUMMYFUNCTION("""COMPUTED_VALUE"""),45901.0)</f>
        <v>45901</v>
      </c>
      <c r="B637" s="8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7">
        <f>IFERROR(__xludf.DUMMYFUNCTION("""COMPUTED_VALUE"""),45901.0)</f>
        <v>45901</v>
      </c>
      <c r="B638" s="8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7">
        <f>IFERROR(__xludf.DUMMYFUNCTION("""COMPUTED_VALUE"""),45901.0)</f>
        <v>45901</v>
      </c>
      <c r="B639" s="8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7">
        <f>IFERROR(__xludf.DUMMYFUNCTION("""COMPUTED_VALUE"""),45901.0)</f>
        <v>45901</v>
      </c>
      <c r="B640" s="8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7">
        <f>IFERROR(__xludf.DUMMYFUNCTION("""COMPUTED_VALUE"""),45901.0)</f>
        <v>45901</v>
      </c>
      <c r="B641" s="8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7">
        <f>IFERROR(__xludf.DUMMYFUNCTION("""COMPUTED_VALUE"""),45901.0)</f>
        <v>45901</v>
      </c>
      <c r="B642" s="8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7">
        <f>IFERROR(__xludf.DUMMYFUNCTION("""COMPUTED_VALUE"""),45901.0)</f>
        <v>45901</v>
      </c>
      <c r="B643" s="8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7">
        <f>IFERROR(__xludf.DUMMYFUNCTION("""COMPUTED_VALUE"""),45901.0)</f>
        <v>45901</v>
      </c>
      <c r="B644" s="8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7">
        <f>IFERROR(__xludf.DUMMYFUNCTION("""COMPUTED_VALUE"""),45901.0)</f>
        <v>45901</v>
      </c>
      <c r="B645" s="8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7">
        <f>IFERROR(__xludf.DUMMYFUNCTION("""COMPUTED_VALUE"""),45901.0)</f>
        <v>45901</v>
      </c>
      <c r="B646" s="8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7">
        <f>IFERROR(__xludf.DUMMYFUNCTION("""COMPUTED_VALUE"""),45901.0)</f>
        <v>45901</v>
      </c>
      <c r="B647" s="8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7">
        <f>IFERROR(__xludf.DUMMYFUNCTION("""COMPUTED_VALUE"""),45901.0)</f>
        <v>45901</v>
      </c>
      <c r="B648" s="8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7">
        <f>IFERROR(__xludf.DUMMYFUNCTION("""COMPUTED_VALUE"""),45901.0)</f>
        <v>45901</v>
      </c>
      <c r="B649" s="8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7">
        <f>IFERROR(__xludf.DUMMYFUNCTION("""COMPUTED_VALUE"""),45901.0)</f>
        <v>45901</v>
      </c>
      <c r="B650" s="8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7">
        <f>IFERROR(__xludf.DUMMYFUNCTION("""COMPUTED_VALUE"""),45901.0)</f>
        <v>45901</v>
      </c>
      <c r="B651" s="8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7">
        <f>IFERROR(__xludf.DUMMYFUNCTION("""COMPUTED_VALUE"""),45901.0)</f>
        <v>45901</v>
      </c>
      <c r="B652" s="8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7">
        <f>IFERROR(__xludf.DUMMYFUNCTION("""COMPUTED_VALUE"""),45901.0)</f>
        <v>45901</v>
      </c>
      <c r="B653" s="8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7">
        <f>IFERROR(__xludf.DUMMYFUNCTION("""COMPUTED_VALUE"""),45901.0)</f>
        <v>45901</v>
      </c>
      <c r="B654" s="8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7">
        <f>IFERROR(__xludf.DUMMYFUNCTION("""COMPUTED_VALUE"""),45901.0)</f>
        <v>45901</v>
      </c>
      <c r="B655" s="8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7">
        <f>IFERROR(__xludf.DUMMYFUNCTION("""COMPUTED_VALUE"""),45901.0)</f>
        <v>45901</v>
      </c>
      <c r="B656" s="8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7">
        <f>IFERROR(__xludf.DUMMYFUNCTION("""COMPUTED_VALUE"""),45901.0)</f>
        <v>45901</v>
      </c>
      <c r="B657" s="8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7">
        <f>IFERROR(__xludf.DUMMYFUNCTION("""COMPUTED_VALUE"""),45901.0)</f>
        <v>45901</v>
      </c>
      <c r="B658" s="8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7">
        <f>IFERROR(__xludf.DUMMYFUNCTION("""COMPUTED_VALUE"""),45901.0)</f>
        <v>45901</v>
      </c>
      <c r="B659" s="8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7">
        <f>IFERROR(__xludf.DUMMYFUNCTION("""COMPUTED_VALUE"""),45901.0)</f>
        <v>45901</v>
      </c>
      <c r="B660" s="8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7">
        <f>IFERROR(__xludf.DUMMYFUNCTION("""COMPUTED_VALUE"""),45901.0)</f>
        <v>45901</v>
      </c>
      <c r="B661" s="8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7">
        <f>IFERROR(__xludf.DUMMYFUNCTION("""COMPUTED_VALUE"""),45901.0)</f>
        <v>45901</v>
      </c>
      <c r="B662" s="8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7">
        <f>IFERROR(__xludf.DUMMYFUNCTION("""COMPUTED_VALUE"""),45901.0)</f>
        <v>45901</v>
      </c>
      <c r="B663" s="8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7">
        <f>IFERROR(__xludf.DUMMYFUNCTION("""COMPUTED_VALUE"""),45901.0)</f>
        <v>45901</v>
      </c>
      <c r="B664" s="8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7">
        <f>IFERROR(__xludf.DUMMYFUNCTION("""COMPUTED_VALUE"""),45901.0)</f>
        <v>45901</v>
      </c>
      <c r="B665" s="8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7">
        <f>IFERROR(__xludf.DUMMYFUNCTION("""COMPUTED_VALUE"""),45901.0)</f>
        <v>45901</v>
      </c>
      <c r="B666" s="8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7">
        <f>IFERROR(__xludf.DUMMYFUNCTION("""COMPUTED_VALUE"""),45901.0)</f>
        <v>45901</v>
      </c>
      <c r="B667" s="8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7">
        <f>IFERROR(__xludf.DUMMYFUNCTION("""COMPUTED_VALUE"""),45901.0)</f>
        <v>45901</v>
      </c>
      <c r="B668" s="8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7">
        <f>IFERROR(__xludf.DUMMYFUNCTION("""COMPUTED_VALUE"""),45901.0)</f>
        <v>45901</v>
      </c>
      <c r="B669" s="8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7">
        <f>IFERROR(__xludf.DUMMYFUNCTION("""COMPUTED_VALUE"""),45901.0)</f>
        <v>45901</v>
      </c>
      <c r="B670" s="8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7">
        <f>IFERROR(__xludf.DUMMYFUNCTION("""COMPUTED_VALUE"""),45901.0)</f>
        <v>45901</v>
      </c>
      <c r="B671" s="8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7">
        <f>IFERROR(__xludf.DUMMYFUNCTION("""COMPUTED_VALUE"""),45901.0)</f>
        <v>45901</v>
      </c>
      <c r="B672" s="8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7">
        <f>IFERROR(__xludf.DUMMYFUNCTION("""COMPUTED_VALUE"""),45901.0)</f>
        <v>45901</v>
      </c>
      <c r="B673" s="8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7">
        <f>IFERROR(__xludf.DUMMYFUNCTION("""COMPUTED_VALUE"""),45901.0)</f>
        <v>45901</v>
      </c>
      <c r="B674" s="8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7">
        <f>IFERROR(__xludf.DUMMYFUNCTION("""COMPUTED_VALUE"""),45901.0)</f>
        <v>45901</v>
      </c>
      <c r="B675" s="8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7">
        <f>IFERROR(__xludf.DUMMYFUNCTION("""COMPUTED_VALUE"""),45901.0)</f>
        <v>45901</v>
      </c>
      <c r="B676" s="8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7">
        <f>IFERROR(__xludf.DUMMYFUNCTION("""COMPUTED_VALUE"""),45901.0)</f>
        <v>45901</v>
      </c>
      <c r="B677" s="8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7">
        <f>IFERROR(__xludf.DUMMYFUNCTION("""COMPUTED_VALUE"""),45901.0)</f>
        <v>45901</v>
      </c>
      <c r="B678" s="8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7">
        <f>IFERROR(__xludf.DUMMYFUNCTION("""COMPUTED_VALUE"""),45901.0)</f>
        <v>45901</v>
      </c>
      <c r="B679" s="8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7">
        <f>IFERROR(__xludf.DUMMYFUNCTION("""COMPUTED_VALUE"""),45901.0)</f>
        <v>45901</v>
      </c>
      <c r="B680" s="8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7">
        <f>IFERROR(__xludf.DUMMYFUNCTION("""COMPUTED_VALUE"""),45901.0)</f>
        <v>45901</v>
      </c>
      <c r="B681" s="8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7">
        <f>IFERROR(__xludf.DUMMYFUNCTION("""COMPUTED_VALUE"""),45901.0)</f>
        <v>45901</v>
      </c>
      <c r="B682" s="8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7">
        <f>IFERROR(__xludf.DUMMYFUNCTION("""COMPUTED_VALUE"""),45901.0)</f>
        <v>45901</v>
      </c>
      <c r="B683" s="8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7">
        <f>IFERROR(__xludf.DUMMYFUNCTION("""COMPUTED_VALUE"""),45901.0)</f>
        <v>45901</v>
      </c>
      <c r="B684" s="8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7">
        <f>IFERROR(__xludf.DUMMYFUNCTION("""COMPUTED_VALUE"""),45901.0)</f>
        <v>45901</v>
      </c>
      <c r="B685" s="8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7">
        <f>IFERROR(__xludf.DUMMYFUNCTION("""COMPUTED_VALUE"""),45901.0)</f>
        <v>45901</v>
      </c>
      <c r="B686" s="8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7">
        <f>IFERROR(__xludf.DUMMYFUNCTION("""COMPUTED_VALUE"""),45901.0)</f>
        <v>45901</v>
      </c>
      <c r="B687" s="8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7">
        <f>IFERROR(__xludf.DUMMYFUNCTION("""COMPUTED_VALUE"""),45901.0)</f>
        <v>45901</v>
      </c>
      <c r="B688" s="8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7">
        <f>IFERROR(__xludf.DUMMYFUNCTION("""COMPUTED_VALUE"""),45901.0)</f>
        <v>45901</v>
      </c>
      <c r="B689" s="8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7">
        <f>IFERROR(__xludf.DUMMYFUNCTION("""COMPUTED_VALUE"""),45901.0)</f>
        <v>45901</v>
      </c>
      <c r="B690" s="8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7">
        <f>IFERROR(__xludf.DUMMYFUNCTION("""COMPUTED_VALUE"""),45901.0)</f>
        <v>45901</v>
      </c>
      <c r="B691" s="8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7">
        <f>IFERROR(__xludf.DUMMYFUNCTION("""COMPUTED_VALUE"""),45901.0)</f>
        <v>45901</v>
      </c>
      <c r="B692" s="8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7">
        <f>IFERROR(__xludf.DUMMYFUNCTION("""COMPUTED_VALUE"""),45901.0)</f>
        <v>45901</v>
      </c>
      <c r="B693" s="8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7">
        <f>IFERROR(__xludf.DUMMYFUNCTION("""COMPUTED_VALUE"""),45901.0)</f>
        <v>45901</v>
      </c>
      <c r="B694" s="8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7">
        <f>IFERROR(__xludf.DUMMYFUNCTION("""COMPUTED_VALUE"""),45901.0)</f>
        <v>45901</v>
      </c>
      <c r="B695" s="8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7">
        <f>IFERROR(__xludf.DUMMYFUNCTION("""COMPUTED_VALUE"""),45901.0)</f>
        <v>45901</v>
      </c>
      <c r="B696" s="8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7">
        <f>IFERROR(__xludf.DUMMYFUNCTION("""COMPUTED_VALUE"""),45901.0)</f>
        <v>45901</v>
      </c>
      <c r="B697" s="8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7">
        <f>IFERROR(__xludf.DUMMYFUNCTION("""COMPUTED_VALUE"""),45901.0)</f>
        <v>45901</v>
      </c>
      <c r="B698" s="8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7">
        <f>IFERROR(__xludf.DUMMYFUNCTION("""COMPUTED_VALUE"""),45901.0)</f>
        <v>45901</v>
      </c>
      <c r="B699" s="8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7">
        <f>IFERROR(__xludf.DUMMYFUNCTION("""COMPUTED_VALUE"""),45901.0)</f>
        <v>45901</v>
      </c>
      <c r="B700" s="8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7">
        <f>IFERROR(__xludf.DUMMYFUNCTION("""COMPUTED_VALUE"""),45901.0)</f>
        <v>45901</v>
      </c>
      <c r="B701" s="8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7">
        <f>IFERROR(__xludf.DUMMYFUNCTION("""COMPUTED_VALUE"""),45901.0)</f>
        <v>45901</v>
      </c>
      <c r="B702" s="8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7">
        <f>IFERROR(__xludf.DUMMYFUNCTION("""COMPUTED_VALUE"""),45901.0)</f>
        <v>45901</v>
      </c>
      <c r="B703" s="8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7">
        <f>IFERROR(__xludf.DUMMYFUNCTION("""COMPUTED_VALUE"""),45901.0)</f>
        <v>45901</v>
      </c>
      <c r="B704" s="8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7">
        <f>IFERROR(__xludf.DUMMYFUNCTION("""COMPUTED_VALUE"""),45901.0)</f>
        <v>45901</v>
      </c>
      <c r="B705" s="8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7">
        <f>IFERROR(__xludf.DUMMYFUNCTION("""COMPUTED_VALUE"""),45901.0)</f>
        <v>45901</v>
      </c>
      <c r="B706" s="8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7">
        <f>IFERROR(__xludf.DUMMYFUNCTION("""COMPUTED_VALUE"""),45901.0)</f>
        <v>45901</v>
      </c>
      <c r="B707" s="8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7">
        <f>IFERROR(__xludf.DUMMYFUNCTION("""COMPUTED_VALUE"""),45901.0)</f>
        <v>45901</v>
      </c>
      <c r="B708" s="8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7">
        <f>IFERROR(__xludf.DUMMYFUNCTION("""COMPUTED_VALUE"""),45901.0)</f>
        <v>45901</v>
      </c>
      <c r="B709" s="8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7">
        <f>IFERROR(__xludf.DUMMYFUNCTION("""COMPUTED_VALUE"""),45901.0)</f>
        <v>45901</v>
      </c>
      <c r="B710" s="8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2">
        <f>IFERROR(__xludf.DUMMYFUNCTION("""COMPUTED_VALUE"""),267.78)</f>
        <v>267.78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2">
        <f>IFERROR(__xludf.DUMMYFUNCTION("""COMPUTED_VALUE"""),696.0)</f>
        <v>696</v>
      </c>
      <c r="M17" s="2">
        <f>IFERROR(__xludf.DUMMYFUNCTION("""COMPUTED_VALUE"""),696.0)</f>
        <v>696</v>
      </c>
      <c r="N17" s="2">
        <f>IFERROR(__xludf.DUMMYFUNCTION("""COMPUTED_VALUE"""),696.0)</f>
        <v>696</v>
      </c>
      <c r="O17" s="2">
        <f>IFERROR(__xludf.DUMMYFUNCTION("""COMPUTED_VALUE"""),696.0)</f>
        <v>696</v>
      </c>
      <c r="P17" s="2">
        <f>IFERROR(__xludf.DUMMYFUNCTION("""COMPUTED_VALUE"""),696.0)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2">
        <f>IFERROR(__xludf.DUMMYFUNCTION("""COMPUTED_VALUE"""),1350.0)</f>
        <v>1350</v>
      </c>
      <c r="M18" s="2">
        <f>IFERROR(__xludf.DUMMYFUNCTION("""COMPUTED_VALUE"""),1350.0)</f>
        <v>1350</v>
      </c>
      <c r="N18" s="2">
        <f>IFERROR(__xludf.DUMMYFUNCTION("""COMPUTED_VALUE"""),1350.0)</f>
        <v>1350</v>
      </c>
      <c r="O18" s="2">
        <f>IFERROR(__xludf.DUMMYFUNCTION("""COMPUTED_VALUE"""),1350.0)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IFERROR(__xludf.DUMMYFUNCTION("""COMPUTED_VALUE"""),7053.19)</f>
        <v>7053.19</v>
      </c>
      <c r="M31" s="2">
        <f>IFERROR(__xludf.DUMMYFUNCTION("""COMPUTED_VALUE"""),6785.41)</f>
        <v>6785.41</v>
      </c>
      <c r="N31" s="2">
        <f>IFERROR(__xludf.DUMMYFUNCTION("""COMPUTED_VALUE"""),6785.41)</f>
        <v>6785.41</v>
      </c>
      <c r="O31" s="2">
        <f>IFERROR(__xludf.DUMMYFUNCTION("""COMPUTED_VALUE"""),6785.41)</f>
        <v>6785.41</v>
      </c>
      <c r="P31" s="2">
        <f>IFERROR(__xludf.DUMMYFUNCTION("""COMPUTED_VALUE"""),5435.41)</f>
        <v>5435.41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IFERROR(__xludf.DUMMYFUNCTION("IMPORTRANGE(""https://docs.google.com/spreadsheets/d/1iYr1ABX5E5xD5hdpo7T57xV80Bd6YZfcnip7j3Ia3No/edit?gid=1176541019#gid=1176541019"",""'Current'!A1:L11"")"),"Ticker")</f>
        <v>Ticker</v>
      </c>
      <c r="B1" s="10" t="str">
        <f>IFERROR(__xludf.DUMMYFUNCTION("""COMPUTED_VALUE"""),"Amount")</f>
        <v>Amount</v>
      </c>
      <c r="C1" s="10" t="str">
        <f>IFERROR(__xludf.DUMMYFUNCTION("""COMPUTED_VALUE"""),"Average Price")</f>
        <v>Average Price</v>
      </c>
      <c r="D1" s="9" t="str">
        <f>IFERROR(__xludf.DUMMYFUNCTION("""COMPUTED_VALUE"""),"Nota
0-7")</f>
        <v>Nota
0-7</v>
      </c>
      <c r="E1" s="10" t="str">
        <f>IFERROR(__xludf.DUMMYFUNCTION("""COMPUTED_VALUE"""),"R$ Alvo")</f>
        <v>R$ Alvo</v>
      </c>
      <c r="F1" s="9" t="str">
        <f>IFERROR(__xludf.DUMMYFUNCTION("""COMPUTED_VALUE"""),"R$ Base
p/ PT")</f>
        <v>R$ Base
p/ PT</v>
      </c>
      <c r="G1" s="9" t="str">
        <f>IFERROR(__xludf.DUMMYFUNCTION("""COMPUTED_VALUE"""),"Última Atual.")</f>
        <v>Última Atual.</v>
      </c>
      <c r="H1" s="9" t="str">
        <f>IFERROR(__xludf.DUMMYFUNCTION("""COMPUTED_VALUE"""),"Desvio PL Proj.")</f>
        <v>Desvio PL Proj.</v>
      </c>
      <c r="I1" s="9" t="str">
        <f>IFERROR(__xludf.DUMMYFUNCTION("""COMPUTED_VALUE"""),"CAGR LCR (5A)")</f>
        <v>CAGR LCR (5A)</v>
      </c>
      <c r="J1" s="9" t="str">
        <f>IFERROR(__xludf.DUMMYFUNCTION("""COMPUTED_VALUE"""),"Div. L/
EBITDA")</f>
        <v>Div. L/
EBITDA</v>
      </c>
      <c r="K1" s="9" t="str">
        <f>IFERROR(__xludf.DUMMYFUNCTION("""COMPUTED_VALUE"""),"Div. Proj.")</f>
        <v>Div. Proj.</v>
      </c>
      <c r="L1" s="9" t="str">
        <f>IFERROR(__xludf.DUMMYFUNCTION("""COMPUTED_VALUE"""),"% Div. Proj.")</f>
        <v>% Div. Proj.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IFERROR(__xludf.DUMMYFUNCTION("""COMPUTED_VALUE"""),22.45)</f>
        <v>22.45</v>
      </c>
      <c r="D2" s="9">
        <f>IFERROR(__xludf.DUMMYFUNCTION("""COMPUTED_VALUE"""),3.0)</f>
        <v>3</v>
      </c>
      <c r="E2" s="10">
        <f>IFERROR(__xludf.DUMMYFUNCTION("""COMPUTED_VALUE"""),18.81)</f>
        <v>18.81</v>
      </c>
      <c r="F2" s="10">
        <f>IFERROR(__xludf.DUMMYFUNCTION("""COMPUTED_VALUE"""),21.5)</f>
        <v>21.5</v>
      </c>
      <c r="G2" s="11">
        <f>IFERROR(__xludf.DUMMYFUNCTION("""COMPUTED_VALUE"""),45901.0)</f>
        <v>45901</v>
      </c>
      <c r="H2" s="12">
        <f>IFERROR(__xludf.DUMMYFUNCTION("""COMPUTED_VALUE"""),-0.0609195133881697)</f>
        <v>-0.06091951339</v>
      </c>
      <c r="I2" s="12">
        <f>IFERROR(__xludf.DUMMYFUNCTION("""COMPUTED_VALUE"""),0.132)</f>
        <v>0.132</v>
      </c>
      <c r="J2" s="9">
        <f>IFERROR(__xludf.DUMMYFUNCTION("""COMPUTED_VALUE"""),0.0)</f>
        <v>0</v>
      </c>
      <c r="K2" s="10">
        <f>IFERROR(__xludf.DUMMYFUNCTION("""COMPUTED_VALUE"""),1.1036394268390324)</f>
        <v>1.103639427</v>
      </c>
      <c r="L2" s="12">
        <f>IFERROR(__xludf.DUMMYFUNCTION("""COMPUTED_VALUE"""),0.04991584924645104)</f>
        <v>0.04991584925</v>
      </c>
    </row>
    <row r="3">
      <c r="A3" s="9" t="str">
        <f>IFERROR(__xludf.DUMMYFUNCTION("""COMPUTED_VALUE"""),"BBSE3")</f>
        <v>BBSE3</v>
      </c>
      <c r="B3" s="9">
        <f>IFERROR(__xludf.DUMMYFUNCTION("""COMPUTED_VALUE"""),3503.0)</f>
        <v>3503</v>
      </c>
      <c r="C3" s="10">
        <f>IFERROR(__xludf.DUMMYFUNCTION("""COMPUTED_VALUE"""),34.18)</f>
        <v>34.18</v>
      </c>
      <c r="D3" s="9">
        <f>IFERROR(__xludf.DUMMYFUNCTION("""COMPUTED_VALUE"""),5.0)</f>
        <v>5</v>
      </c>
      <c r="E3" s="10">
        <f>IFERROR(__xludf.DUMMYFUNCTION("""COMPUTED_VALUE"""),32.05)</f>
        <v>32.05</v>
      </c>
      <c r="F3" s="10">
        <f>IFERROR(__xludf.DUMMYFUNCTION("""COMPUTED_VALUE"""),43.271870420195704)</f>
        <v>43.27187042</v>
      </c>
      <c r="G3" s="11">
        <f>IFERROR(__xludf.DUMMYFUNCTION("""COMPUTED_VALUE"""),45901.0)</f>
        <v>45901</v>
      </c>
      <c r="H3" s="12">
        <f>IFERROR(__xludf.DUMMYFUNCTION("""COMPUTED_VALUE"""),-0.3802398288365799)</f>
        <v>-0.3802398288</v>
      </c>
      <c r="I3" s="12">
        <f>IFERROR(__xludf.DUMMYFUNCTION("""COMPUTED_VALUE"""),0.183)</f>
        <v>0.183</v>
      </c>
      <c r="J3" s="9">
        <f>IFERROR(__xludf.DUMMYFUNCTION("""COMPUTED_VALUE"""),0.0)</f>
        <v>0</v>
      </c>
      <c r="K3" s="10">
        <f>IFERROR(__xludf.DUMMYFUNCTION("""COMPUTED_VALUE"""),3.8079245969772217)</f>
        <v>3.807924597</v>
      </c>
      <c r="L3" s="12">
        <f>IFERROR(__xludf.DUMMYFUNCTION("""COMPUTED_VALUE"""),0.11734744520731037)</f>
        <v>0.1173474452</v>
      </c>
    </row>
    <row r="4">
      <c r="A4" s="9" t="str">
        <f>IFERROR(__xludf.DUMMYFUNCTION("""COMPUTED_VALUE"""),"BRSR6")</f>
        <v>BRSR6</v>
      </c>
      <c r="B4" s="9">
        <f>IFERROR(__xludf.DUMMYFUNCTION("""COMPUTED_VALUE"""),1314.0)</f>
        <v>1314</v>
      </c>
      <c r="C4" s="10">
        <f>IFERROR(__xludf.DUMMYFUNCTION("""COMPUTED_VALUE"""),10.71)</f>
        <v>10.71</v>
      </c>
      <c r="D4" s="9">
        <f>IFERROR(__xludf.DUMMYFUNCTION("""COMPUTED_VALUE"""),4.0)</f>
        <v>4</v>
      </c>
      <c r="E4" s="9"/>
      <c r="F4" s="10">
        <f>IFERROR(__xludf.DUMMYFUNCTION("""COMPUTED_VALUE"""),13.0)</f>
        <v>13</v>
      </c>
      <c r="G4" s="11">
        <f>IFERROR(__xludf.DUMMYFUNCTION("""COMPUTED_VALUE"""),45901.0)</f>
        <v>45901</v>
      </c>
      <c r="H4" s="12">
        <f>IFERROR(__xludf.DUMMYFUNCTION("""COMPUTED_VALUE"""),-0.26195922769230784)</f>
        <v>-0.2619592277</v>
      </c>
      <c r="I4" s="12">
        <f>IFERROR(__xludf.DUMMYFUNCTION("""COMPUTED_VALUE"""),0.011)</f>
        <v>0.011</v>
      </c>
      <c r="J4" s="9">
        <f>IFERROR(__xludf.DUMMYFUNCTION("""COMPUTED_VALUE"""),0.0)</f>
        <v>0</v>
      </c>
      <c r="K4" s="10">
        <f>IFERROR(__xludf.DUMMYFUNCTION("""COMPUTED_VALUE"""),1.1003144454170681)</f>
        <v>1.100314445</v>
      </c>
      <c r="L4" s="12">
        <f>IFERROR(__xludf.DUMMYFUNCTION("""COMPUTED_VALUE"""),0.09380344803214562)</f>
        <v>0.09380344803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IFERROR(__xludf.DUMMYFUNCTION("""COMPUTED_VALUE"""),19.99)</f>
        <v>19.99</v>
      </c>
      <c r="D5" s="9">
        <f>IFERROR(__xludf.DUMMYFUNCTION("""COMPUTED_VALUE"""),3.0)</f>
        <v>3</v>
      </c>
      <c r="E5" s="10">
        <f>IFERROR(__xludf.DUMMYFUNCTION("""COMPUTED_VALUE"""),19.83)</f>
        <v>19.83</v>
      </c>
      <c r="F5" s="10">
        <f>IFERROR(__xludf.DUMMYFUNCTION("""COMPUTED_VALUE"""),24.97156016758691)</f>
        <v>24.97156017</v>
      </c>
      <c r="G5" s="11">
        <f>IFERROR(__xludf.DUMMYFUNCTION("""COMPUTED_VALUE"""),45901.0)</f>
        <v>45901</v>
      </c>
      <c r="H5" s="12">
        <f>IFERROR(__xludf.DUMMYFUNCTION("""COMPUTED_VALUE"""),0.24062259154929588)</f>
        <v>0.2406225915</v>
      </c>
      <c r="I5" s="12">
        <f>IFERROR(__xludf.DUMMYFUNCTION("""COMPUTED_VALUE"""),0.073)</f>
        <v>0.073</v>
      </c>
      <c r="J5" s="9">
        <f>IFERROR(__xludf.DUMMYFUNCTION("""COMPUTED_VALUE"""),-3.17)</f>
        <v>-3.17</v>
      </c>
      <c r="K5" s="10">
        <f>IFERROR(__xludf.DUMMYFUNCTION("""COMPUTED_VALUE"""),2.2890596820288005)</f>
        <v>2.289059682</v>
      </c>
      <c r="L5" s="12">
        <f>IFERROR(__xludf.DUMMYFUNCTION("""COMPUTED_VALUE"""),0.09366037978841245)</f>
        <v>0.09366037979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IFERROR(__xludf.DUMMYFUNCTION("""COMPUTED_VALUE"""),12.72)</f>
        <v>12.72</v>
      </c>
      <c r="D6" s="9">
        <f>IFERROR(__xludf.DUMMYFUNCTION("""COMPUTED_VALUE"""),5.0)</f>
        <v>5</v>
      </c>
      <c r="E6" s="10">
        <f>IFERROR(__xludf.DUMMYFUNCTION("""COMPUTED_VALUE"""),14.8)</f>
        <v>14.8</v>
      </c>
      <c r="F6" s="10">
        <f>IFERROR(__xludf.DUMMYFUNCTION("""COMPUTED_VALUE"""),16.133333333333333)</f>
        <v>16.13333333</v>
      </c>
      <c r="G6" s="11">
        <f>IFERROR(__xludf.DUMMYFUNCTION("""COMPUTED_VALUE"""),45901.0)</f>
        <v>45901</v>
      </c>
      <c r="H6" s="12">
        <f>IFERROR(__xludf.DUMMYFUNCTION("""COMPUTED_VALUE"""),-0.1928152492668621)</f>
        <v>-0.1928152493</v>
      </c>
      <c r="I6" s="12">
        <f>IFERROR(__xludf.DUMMYFUNCTION("""COMPUTED_VALUE"""),0.197)</f>
        <v>0.197</v>
      </c>
      <c r="J6" s="9">
        <f>IFERROR(__xludf.DUMMYFUNCTION("""COMPUTED_VALUE"""),0.0)</f>
        <v>0</v>
      </c>
      <c r="K6" s="10">
        <f>IFERROR(__xludf.DUMMYFUNCTION("""COMPUTED_VALUE"""),1.3199999999999998)</f>
        <v>1.32</v>
      </c>
      <c r="L6" s="12">
        <f>IFERROR(__xludf.DUMMYFUNCTION("""COMPUTED_VALUE"""),0.08991825613079019)</f>
        <v>0.08991825613</v>
      </c>
    </row>
    <row r="7">
      <c r="A7" s="9" t="str">
        <f>IFERROR(__xludf.DUMMYFUNCTION("""COMPUTED_VALUE"""),"LEVE3")</f>
        <v>LEVE3</v>
      </c>
      <c r="B7" s="9">
        <f>IFERROR(__xludf.DUMMYFUNCTION("""COMPUTED_VALUE"""),634.0)</f>
        <v>634</v>
      </c>
      <c r="C7" s="10">
        <f>IFERROR(__xludf.DUMMYFUNCTION("""COMPUTED_VALUE"""),31.26)</f>
        <v>31.26</v>
      </c>
      <c r="D7" s="9">
        <f>IFERROR(__xludf.DUMMYFUNCTION("""COMPUTED_VALUE"""),6.0)</f>
        <v>6</v>
      </c>
      <c r="E7" s="10">
        <f>IFERROR(__xludf.DUMMYFUNCTION("""COMPUTED_VALUE"""),30.0)</f>
        <v>30</v>
      </c>
      <c r="F7" s="10">
        <f>IFERROR(__xludf.DUMMYFUNCTION("""COMPUTED_VALUE"""),34.0)</f>
        <v>34</v>
      </c>
      <c r="G7" s="11">
        <f>IFERROR(__xludf.DUMMYFUNCTION("""COMPUTED_VALUE"""),45901.0)</f>
        <v>45901</v>
      </c>
      <c r="H7" s="12">
        <f>IFERROR(__xludf.DUMMYFUNCTION("""COMPUTED_VALUE"""),-0.3816718126684636)</f>
        <v>-0.3816718127</v>
      </c>
      <c r="I7" s="12">
        <f>IFERROR(__xludf.DUMMYFUNCTION("""COMPUTED_VALUE"""),0.345)</f>
        <v>0.345</v>
      </c>
      <c r="J7" s="9">
        <f>IFERROR(__xludf.DUMMYFUNCTION("""COMPUTED_VALUE"""),1.17)</f>
        <v>1.17</v>
      </c>
      <c r="K7" s="10">
        <f>IFERROR(__xludf.DUMMYFUNCTION("""COMPUTED_VALUE"""),2.737219545665823)</f>
        <v>2.737219546</v>
      </c>
      <c r="L7" s="12">
        <f>IFERROR(__xludf.DUMMYFUNCTION("""COMPUTED_VALUE"""),0.10107900833330218)</f>
        <v>0.1010790083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IFERROR(__xludf.DUMMYFUNCTION("""COMPUTED_VALUE"""),31.1)</f>
        <v>31.1</v>
      </c>
      <c r="D8" s="9">
        <f>IFERROR(__xludf.DUMMYFUNCTION("""COMPUTED_VALUE"""),4.0)</f>
        <v>4</v>
      </c>
      <c r="E8" s="10">
        <f>IFERROR(__xludf.DUMMYFUNCTION("""COMPUTED_VALUE"""),25.0)</f>
        <v>25</v>
      </c>
      <c r="F8" s="10">
        <f>IFERROR(__xludf.DUMMYFUNCTION("""COMPUTED_VALUE"""),38.0)</f>
        <v>38</v>
      </c>
      <c r="G8" s="11">
        <f>IFERROR(__xludf.DUMMYFUNCTION("""COMPUTED_VALUE"""),45901.0)</f>
        <v>45901</v>
      </c>
      <c r="H8" s="12">
        <f>IFERROR(__xludf.DUMMYFUNCTION("""COMPUTED_VALUE"""),-0.211268251342979)</f>
        <v>-0.2112682513</v>
      </c>
      <c r="I8" s="12">
        <f>IFERROR(__xludf.DUMMYFUNCTION("""COMPUTED_VALUE"""),0.656)</f>
        <v>0.656</v>
      </c>
      <c r="J8" s="9">
        <f>IFERROR(__xludf.DUMMYFUNCTION("""COMPUTED_VALUE"""),1.53)</f>
        <v>1.53</v>
      </c>
      <c r="K8" s="10">
        <f>IFERROR(__xludf.DUMMYFUNCTION("""COMPUTED_VALUE"""),2.9677083627446)</f>
        <v>2.967708363</v>
      </c>
      <c r="L8" s="12">
        <f>IFERROR(__xludf.DUMMYFUNCTION("""COMPUTED_VALUE"""),0.09202196473626667)</f>
        <v>0.09202196474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IFERROR(__xludf.DUMMYFUNCTION("""COMPUTED_VALUE"""),7.09)</f>
        <v>7.09</v>
      </c>
      <c r="D9" s="9">
        <f>IFERROR(__xludf.DUMMYFUNCTION("""COMPUTED_VALUE"""),3.0)</f>
        <v>3</v>
      </c>
      <c r="E9" s="10">
        <f>IFERROR(__xludf.DUMMYFUNCTION("""COMPUTED_VALUE"""),7.0)</f>
        <v>7</v>
      </c>
      <c r="F9" s="10">
        <f>IFERROR(__xludf.DUMMYFUNCTION("""COMPUTED_VALUE"""),8.5)</f>
        <v>8.5</v>
      </c>
      <c r="G9" s="11">
        <f>IFERROR(__xludf.DUMMYFUNCTION("""COMPUTED_VALUE"""),45901.0)</f>
        <v>45901</v>
      </c>
      <c r="H9" s="12">
        <f>IFERROR(__xludf.DUMMYFUNCTION("""COMPUTED_VALUE"""),-0.2430055539795114)</f>
        <v>-0.243005554</v>
      </c>
      <c r="I9" s="12">
        <f>IFERROR(__xludf.DUMMYFUNCTION("""COMPUTED_VALUE"""),0.33)</f>
        <v>0.33</v>
      </c>
      <c r="J9" s="9">
        <f>IFERROR(__xludf.DUMMYFUNCTION("""COMPUTED_VALUE"""),2.3)</f>
        <v>2.3</v>
      </c>
      <c r="K9" s="10">
        <f>IFERROR(__xludf.DUMMYFUNCTION("""COMPUTED_VALUE"""),0.7600044517639681)</f>
        <v>0.7600044518</v>
      </c>
      <c r="L9" s="12">
        <f>IFERROR(__xludf.DUMMYFUNCTION("""COMPUTED_VALUE"""),0.09134668891393848)</f>
        <v>0.09134668891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IFERROR(__xludf.DUMMYFUNCTION("""COMPUTED_VALUE"""),19.55)</f>
        <v>19.55</v>
      </c>
      <c r="D10" s="9">
        <f>IFERROR(__xludf.DUMMYFUNCTION("""COMPUTED_VALUE"""),5.0)</f>
        <v>5</v>
      </c>
      <c r="E10" s="9"/>
      <c r="F10" s="10">
        <f>IFERROR(__xludf.DUMMYFUNCTION("""COMPUTED_VALUE"""),23.516504894760768)</f>
        <v>23.51650489</v>
      </c>
      <c r="G10" s="11">
        <f>IFERROR(__xludf.DUMMYFUNCTION("""COMPUTED_VALUE"""),45901.0)</f>
        <v>45901</v>
      </c>
      <c r="H10" s="12">
        <f>IFERROR(__xludf.DUMMYFUNCTION("""COMPUTED_VALUE"""),-0.051879916338983145)</f>
        <v>-0.05187991634</v>
      </c>
      <c r="I10" s="12">
        <f>IFERROR(__xludf.DUMMYFUNCTION("""COMPUTED_VALUE"""),0.795)</f>
        <v>0.795</v>
      </c>
      <c r="J10" s="9">
        <f>IFERROR(__xludf.DUMMYFUNCTION("""COMPUTED_VALUE"""),0.02)</f>
        <v>0.02</v>
      </c>
      <c r="K10" s="10">
        <f>IFERROR(__xludf.DUMMYFUNCTION("""COMPUTED_VALUE"""),1.9989029160546654)</f>
        <v>1.998902916</v>
      </c>
      <c r="L10" s="12">
        <f>IFERROR(__xludf.DUMMYFUNCTION("""COMPUTED_VALUE"""),0.10214118119850105)</f>
        <v>0.1021411812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IFERROR(__xludf.DUMMYFUNCTION("""COMPUTED_VALUE"""),126.72)</f>
        <v>126.72</v>
      </c>
      <c r="D11" s="9">
        <f>IFERROR(__xludf.DUMMYFUNCTION("""COMPUTED_VALUE"""),3.0)</f>
        <v>3</v>
      </c>
      <c r="E11" s="10">
        <f>IFERROR(__xludf.DUMMYFUNCTION("""COMPUTED_VALUE"""),126.0)</f>
        <v>126</v>
      </c>
      <c r="F11" s="10">
        <f>IFERROR(__xludf.DUMMYFUNCTION("""COMPUTED_VALUE"""),132.0545422989564)</f>
        <v>132.0545423</v>
      </c>
      <c r="G11" s="11">
        <f>IFERROR(__xludf.DUMMYFUNCTION("""COMPUTED_VALUE"""),45901.0)</f>
        <v>45901</v>
      </c>
      <c r="H11" s="12">
        <f>IFERROR(__xludf.DUMMYFUNCTION("""COMPUTED_VALUE"""),0.0694677192982458)</f>
        <v>0.0694677193</v>
      </c>
      <c r="I11" s="12">
        <f>IFERROR(__xludf.DUMMYFUNCTION("""COMPUTED_VALUE"""),0.0684)</f>
        <v>0.0684</v>
      </c>
      <c r="J11" s="9">
        <f>IFERROR(__xludf.DUMMYFUNCTION("""COMPUTED_VALUE"""),1.8)</f>
        <v>1.8</v>
      </c>
      <c r="K11" s="10">
        <f>IFERROR(__xludf.DUMMYFUNCTION("""COMPUTED_VALUE"""),10.564363383916511)</f>
        <v>10.56436338</v>
      </c>
      <c r="L11" s="12">
        <f>IFERROR(__xludf.DUMMYFUNCTION("""COMPUTED_VALUE"""),0.08202145484407228)</f>
        <v>0.08202145484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IFERROR(__xludf.DUMMYFUNCTION("IMPORTRANGE(""https://docs.google.com/spreadsheets/d/1iYr1ABX5E5xD5hdpo7T57xV80Bd6YZfcnip7j3Ia3No/edit?gid=1176541019#gid=1176541019"",""'Renda-Proj.'!A1:K12"")"),"Ticker")</f>
        <v>Ticker</v>
      </c>
      <c r="B1" s="9" t="str">
        <f>IFERROR(__xludf.DUMMYFUNCTION("""COMPUTED_VALUE"""),"Qtd. de ações")</f>
        <v>Qtd. de ações</v>
      </c>
      <c r="C1" s="9" t="str">
        <f>IFERROR(__xludf.DUMMYFUNCTION("""COMPUTED_VALUE"""),"Dividendo por ação")</f>
        <v>Dividendo por ação</v>
      </c>
      <c r="D1" s="9" t="str">
        <f>IFERROR(__xludf.DUMMYFUNCTION("""COMPUTED_VALUE"""),"Renda anual esperada")</f>
        <v>Renda anual esperada</v>
      </c>
      <c r="E1" s="9" t="str">
        <f>IFERROR(__xludf.DUMMYFUNCTION("""COMPUTED_VALUE"""),"Capital alocado")</f>
        <v>Capital alocado</v>
      </c>
      <c r="F1" s="9" t="str">
        <f>IFERROR(__xludf.DUMMYFUNCTION("""COMPUTED_VALUE"""),"Dividend Yield")</f>
        <v>Dividend Yield</v>
      </c>
      <c r="G1" s="9"/>
      <c r="H1" s="9" t="str">
        <f>IFERROR(__xludf.DUMMYFUNCTION("""COMPUTED_VALUE"""),"Ano")</f>
        <v>Ano</v>
      </c>
      <c r="I1" s="9" t="str">
        <f>IFERROR(__xludf.DUMMYFUNCTION("""COMPUTED_VALUE"""),"Renda Anual")</f>
        <v>Renda Anual</v>
      </c>
      <c r="J1" s="9" t="str">
        <f>IFERROR(__xludf.DUMMYFUNCTION("""COMPUTED_VALUE"""),"Renda Mensal")</f>
        <v>Renda Mensal</v>
      </c>
      <c r="K1" s="9" t="str">
        <f>IFERROR(__xludf.DUMMYFUNCTION("""COMPUTED_VALUE"""),"Taxa de crescimento (vs ano anterior)")</f>
        <v>Taxa de crescimento (vs ano anterior)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IFERROR(__xludf.DUMMYFUNCTION("""COMPUTED_VALUE"""),1.1036394268390324)</f>
        <v>1.103639427</v>
      </c>
      <c r="D2" s="13">
        <f>IFERROR(__xludf.DUMMYFUNCTION("""COMPUTED_VALUE"""),5559.031792988206)</f>
        <v>5559.031793</v>
      </c>
      <c r="E2" s="10">
        <f>IFERROR(__xludf.DUMMYFUNCTION("""COMPUTED_VALUE"""),111368.06999999999)</f>
        <v>111368.07</v>
      </c>
      <c r="F2" s="14">
        <f>IFERROR(__xludf.DUMMYFUNCTION("""COMPUTED_VALUE"""),0.04991584924645104)</f>
        <v>0.04991584925</v>
      </c>
      <c r="G2" s="9"/>
      <c r="H2" s="9">
        <f>IFERROR(__xludf.DUMMYFUNCTION("""COMPUTED_VALUE"""),2026.0)</f>
        <v>2026</v>
      </c>
      <c r="I2" s="15">
        <f>IFERROR(__xludf.DUMMYFUNCTION("""COMPUTED_VALUE"""),28439.565150919792)</f>
        <v>28439.56515</v>
      </c>
      <c r="J2" s="15">
        <f>IFERROR(__xludf.DUMMYFUNCTION("""COMPUTED_VALUE"""),2369.9637625766495)</f>
        <v>2369.963763</v>
      </c>
      <c r="K2" s="9"/>
    </row>
    <row r="3">
      <c r="A3" s="9" t="str">
        <f>IFERROR(__xludf.DUMMYFUNCTION("""COMPUTED_VALUE"""),"BBSE3")</f>
        <v>BBSE3</v>
      </c>
      <c r="B3" s="9">
        <f>IFERROR(__xludf.DUMMYFUNCTION("""COMPUTED_VALUE"""),3503.0)</f>
        <v>3503</v>
      </c>
      <c r="C3" s="10">
        <f>IFERROR(__xludf.DUMMYFUNCTION("""COMPUTED_VALUE"""),3.8079245969772217)</f>
        <v>3.807924597</v>
      </c>
      <c r="D3" s="13">
        <f>IFERROR(__xludf.DUMMYFUNCTION("""COMPUTED_VALUE"""),13339.159863211207)</f>
        <v>13339.15986</v>
      </c>
      <c r="E3" s="10">
        <f>IFERROR(__xludf.DUMMYFUNCTION("""COMPUTED_VALUE"""),113672.35)</f>
        <v>113672.35</v>
      </c>
      <c r="F3" s="14">
        <f>IFERROR(__xludf.DUMMYFUNCTION("""COMPUTED_VALUE"""),0.11734744520731037)</f>
        <v>0.1173474452</v>
      </c>
      <c r="G3" s="9"/>
      <c r="H3" s="9">
        <f>IFERROR(__xludf.DUMMYFUNCTION("""COMPUTED_VALUE"""),2027.0)</f>
        <v>2027</v>
      </c>
      <c r="I3" s="15">
        <f>IFERROR(__xludf.DUMMYFUNCTION("""COMPUTED_VALUE"""),39815.39121128771)</f>
        <v>39815.39121</v>
      </c>
      <c r="J3" s="15">
        <f>IFERROR(__xludf.DUMMYFUNCTION("""COMPUTED_VALUE"""),3317.949267607309)</f>
        <v>3317.949268</v>
      </c>
      <c r="K3" s="16">
        <f>IFERROR(__xludf.DUMMYFUNCTION("""COMPUTED_VALUE"""),0.4)</f>
        <v>0.4</v>
      </c>
    </row>
    <row r="4">
      <c r="A4" s="9" t="str">
        <f>IFERROR(__xludf.DUMMYFUNCTION("""COMPUTED_VALUE"""),"BRSR6")</f>
        <v>BRSR6</v>
      </c>
      <c r="B4" s="9">
        <f>IFERROR(__xludf.DUMMYFUNCTION("""COMPUTED_VALUE"""),1314.0)</f>
        <v>1314</v>
      </c>
      <c r="C4" s="10">
        <f>IFERROR(__xludf.DUMMYFUNCTION("""COMPUTED_VALUE"""),1.1003144454170681)</f>
        <v>1.100314445</v>
      </c>
      <c r="D4" s="13">
        <f>IFERROR(__xludf.DUMMYFUNCTION("""COMPUTED_VALUE"""),1445.8131812780275)</f>
        <v>1445.813181</v>
      </c>
      <c r="E4" s="10">
        <f>IFERROR(__xludf.DUMMYFUNCTION("""COMPUTED_VALUE"""),15413.220000000001)</f>
        <v>15413.22</v>
      </c>
      <c r="F4" s="14">
        <f>IFERROR(__xludf.DUMMYFUNCTION("""COMPUTED_VALUE"""),0.09380344803214562)</f>
        <v>0.09380344803</v>
      </c>
      <c r="G4" s="9"/>
      <c r="H4" s="9">
        <f>IFERROR(__xludf.DUMMYFUNCTION("""COMPUTED_VALUE"""),2028.0)</f>
        <v>2028</v>
      </c>
      <c r="I4" s="15">
        <f>IFERROR(__xludf.DUMMYFUNCTION("""COMPUTED_VALUE"""),55741.54769580279)</f>
        <v>55741.5477</v>
      </c>
      <c r="J4" s="15">
        <f>IFERROR(__xludf.DUMMYFUNCTION("""COMPUTED_VALUE"""),4645.1289746502325)</f>
        <v>4645.128975</v>
      </c>
      <c r="K4" s="16">
        <f>IFERROR(__xludf.DUMMYFUNCTION("""COMPUTED_VALUE"""),0.4)</f>
        <v>0.4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IFERROR(__xludf.DUMMYFUNCTION("""COMPUTED_VALUE"""),2.2890596820288005)</f>
        <v>2.289059682</v>
      </c>
      <c r="D5" s="13">
        <f>IFERROR(__xludf.DUMMYFUNCTION("""COMPUTED_VALUE"""),1476.4434949085762)</f>
        <v>1476.443495</v>
      </c>
      <c r="E5" s="10">
        <f>IFERROR(__xludf.DUMMYFUNCTION("""COMPUTED_VALUE"""),15763.800000000001)</f>
        <v>15763.8</v>
      </c>
      <c r="F5" s="14">
        <f>IFERROR(__xludf.DUMMYFUNCTION("""COMPUTED_VALUE"""),0.09366037978841245)</f>
        <v>0.09366037979</v>
      </c>
      <c r="G5" s="9"/>
      <c r="H5" s="9">
        <f>IFERROR(__xludf.DUMMYFUNCTION("""COMPUTED_VALUE"""),2029.0)</f>
        <v>2029</v>
      </c>
      <c r="I5" s="15">
        <f>IFERROR(__xludf.DUMMYFUNCTION("""COMPUTED_VALUE"""),78038.16677412389)</f>
        <v>78038.16677</v>
      </c>
      <c r="J5" s="15">
        <f>IFERROR(__xludf.DUMMYFUNCTION("""COMPUTED_VALUE"""),6503.180564510324)</f>
        <v>6503.180565</v>
      </c>
      <c r="K5" s="16">
        <f>IFERROR(__xludf.DUMMYFUNCTION("""COMPUTED_VALUE"""),0.4)</f>
        <v>0.4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IFERROR(__xludf.DUMMYFUNCTION("""COMPUTED_VALUE"""),1.3199999999999998)</f>
        <v>1.32</v>
      </c>
      <c r="D6" s="13">
        <f>IFERROR(__xludf.DUMMYFUNCTION("""COMPUTED_VALUE"""),1894.1999999999998)</f>
        <v>1894.2</v>
      </c>
      <c r="E6" s="10">
        <f>IFERROR(__xludf.DUMMYFUNCTION("""COMPUTED_VALUE"""),21065.8)</f>
        <v>21065.8</v>
      </c>
      <c r="F6" s="14">
        <f>IFERROR(__xludf.DUMMYFUNCTION("""COMPUTED_VALUE"""),0.08991825613079019)</f>
        <v>0.08991825613</v>
      </c>
      <c r="G6" s="9"/>
      <c r="H6" s="9">
        <f>IFERROR(__xludf.DUMMYFUNCTION("""COMPUTED_VALUE"""),2030.0)</f>
        <v>2030</v>
      </c>
      <c r="I6" s="15">
        <f>IFERROR(__xludf.DUMMYFUNCTION("""COMPUTED_VALUE"""),101449.61680636107)</f>
        <v>101449.6168</v>
      </c>
      <c r="J6" s="15">
        <f>IFERROR(__xludf.DUMMYFUNCTION("""COMPUTED_VALUE"""),8454.134733863422)</f>
        <v>8454.134734</v>
      </c>
      <c r="K6" s="16">
        <f>IFERROR(__xludf.DUMMYFUNCTION("""COMPUTED_VALUE"""),0.3)</f>
        <v>0.3</v>
      </c>
    </row>
    <row r="7">
      <c r="A7" s="9" t="str">
        <f>IFERROR(__xludf.DUMMYFUNCTION("""COMPUTED_VALUE"""),"LEVE3")</f>
        <v>LEVE3</v>
      </c>
      <c r="B7" s="9">
        <f>IFERROR(__xludf.DUMMYFUNCTION("""COMPUTED_VALUE"""),634.0)</f>
        <v>634</v>
      </c>
      <c r="C7" s="10">
        <f>IFERROR(__xludf.DUMMYFUNCTION("""COMPUTED_VALUE"""),2.737219545665823)</f>
        <v>2.737219546</v>
      </c>
      <c r="D7" s="13">
        <f>IFERROR(__xludf.DUMMYFUNCTION("""COMPUTED_VALUE"""),1735.3971919521316)</f>
        <v>1735.397192</v>
      </c>
      <c r="E7" s="10">
        <f>IFERROR(__xludf.DUMMYFUNCTION("""COMPUTED_VALUE"""),17168.719999999998)</f>
        <v>17168.72</v>
      </c>
      <c r="F7" s="14">
        <f>IFERROR(__xludf.DUMMYFUNCTION("""COMPUTED_VALUE"""),0.10107900833330219)</f>
        <v>0.1010790083</v>
      </c>
      <c r="G7" s="9"/>
      <c r="H7" s="9">
        <f>IFERROR(__xludf.DUMMYFUNCTION("""COMPUTED_VALUE"""),2031.0)</f>
        <v>2031</v>
      </c>
      <c r="I7" s="15">
        <f>IFERROR(__xludf.DUMMYFUNCTION("""COMPUTED_VALUE"""),131884.5018482694)</f>
        <v>131884.5018</v>
      </c>
      <c r="J7" s="15">
        <f>IFERROR(__xludf.DUMMYFUNCTION("""COMPUTED_VALUE"""),10990.37515402245)</f>
        <v>10990.37515</v>
      </c>
      <c r="K7" s="16">
        <f>IFERROR(__xludf.DUMMYFUNCTION("""COMPUTED_VALUE"""),0.3)</f>
        <v>0.3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IFERROR(__xludf.DUMMYFUNCTION("""COMPUTED_VALUE"""),2.9677083627446)</f>
        <v>2.967708363</v>
      </c>
      <c r="D8" s="13">
        <f>IFERROR(__xludf.DUMMYFUNCTION("""COMPUTED_VALUE"""),857.6677168331894)</f>
        <v>857.6677168</v>
      </c>
      <c r="E8" s="10">
        <f>IFERROR(__xludf.DUMMYFUNCTION("""COMPUTED_VALUE"""),9320.25)</f>
        <v>9320.25</v>
      </c>
      <c r="F8" s="14">
        <f>IFERROR(__xludf.DUMMYFUNCTION("""COMPUTED_VALUE"""),0.09202196473626667)</f>
        <v>0.09202196474</v>
      </c>
      <c r="G8" s="9"/>
      <c r="H8" s="9">
        <f>IFERROR(__xludf.DUMMYFUNCTION("""COMPUTED_VALUE"""),2032.0)</f>
        <v>2032</v>
      </c>
      <c r="I8" s="15">
        <f>IFERROR(__xludf.DUMMYFUNCTION("""COMPUTED_VALUE"""),171449.85240275023)</f>
        <v>171449.8524</v>
      </c>
      <c r="J8" s="15">
        <f>IFERROR(__xludf.DUMMYFUNCTION("""COMPUTED_VALUE"""),14287.487700229185)</f>
        <v>14287.4877</v>
      </c>
      <c r="K8" s="16">
        <f>IFERROR(__xludf.DUMMYFUNCTION("""COMPUTED_VALUE"""),0.3)</f>
        <v>0.3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IFERROR(__xludf.DUMMYFUNCTION("""COMPUTED_VALUE"""),0.7600044517639681)</f>
        <v>0.7600044518</v>
      </c>
      <c r="D9" s="13">
        <f>IFERROR(__xludf.DUMMYFUNCTION("""COMPUTED_VALUE"""),1109.6064995753934)</f>
        <v>1109.6065</v>
      </c>
      <c r="E9" s="10">
        <f>IFERROR(__xludf.DUMMYFUNCTION("""COMPUTED_VALUE"""),12147.2)</f>
        <v>12147.2</v>
      </c>
      <c r="F9" s="14">
        <f>IFERROR(__xludf.DUMMYFUNCTION("""COMPUTED_VALUE"""),0.09134668891393846)</f>
        <v>0.09134668891</v>
      </c>
      <c r="G9" s="9"/>
      <c r="H9" s="9">
        <f>IFERROR(__xludf.DUMMYFUNCTION("""COMPUTED_VALUE"""),2033.0)</f>
        <v>2033</v>
      </c>
      <c r="I9" s="15">
        <f>IFERROR(__xludf.DUMMYFUNCTION("""COMPUTED_VALUE"""),205739.82288330028)</f>
        <v>205739.8229</v>
      </c>
      <c r="J9" s="15">
        <f>IFERROR(__xludf.DUMMYFUNCTION("""COMPUTED_VALUE"""),17144.985240275022)</f>
        <v>17144.98524</v>
      </c>
      <c r="K9" s="16">
        <f>IFERROR(__xludf.DUMMYFUNCTION("""COMPUTED_VALUE"""),0.2)</f>
        <v>0.2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IFERROR(__xludf.DUMMYFUNCTION("""COMPUTED_VALUE"""),1.9989029160546654)</f>
        <v>1.998902916</v>
      </c>
      <c r="D10" s="13">
        <f>IFERROR(__xludf.DUMMYFUNCTION("""COMPUTED_VALUE"""),599.6708748163996)</f>
        <v>599.6708748</v>
      </c>
      <c r="E10" s="10">
        <f>IFERROR(__xludf.DUMMYFUNCTION("""COMPUTED_VALUE"""),5871.0)</f>
        <v>5871</v>
      </c>
      <c r="F10" s="14">
        <f>IFERROR(__xludf.DUMMYFUNCTION("""COMPUTED_VALUE"""),0.10214118119850105)</f>
        <v>0.1021411812</v>
      </c>
      <c r="G10" s="9"/>
      <c r="H10" s="9">
        <f>IFERROR(__xludf.DUMMYFUNCTION("""COMPUTED_VALUE"""),2034.0)</f>
        <v>2034</v>
      </c>
      <c r="I10" s="15">
        <f>IFERROR(__xludf.DUMMYFUNCTION("""COMPUTED_VALUE"""),246887.78745996032)</f>
        <v>246887.7875</v>
      </c>
      <c r="J10" s="15">
        <f>IFERROR(__xludf.DUMMYFUNCTION("""COMPUTED_VALUE"""),20573.982288330026)</f>
        <v>20573.98229</v>
      </c>
      <c r="K10" s="16">
        <f>IFERROR(__xludf.DUMMYFUNCTION("""COMPUTED_VALUE"""),0.2)</f>
        <v>0.2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IFERROR(__xludf.DUMMYFUNCTION("""COMPUTED_VALUE"""),10.564363383916511)</f>
        <v>10.56436338</v>
      </c>
      <c r="D11" s="13">
        <f>IFERROR(__xludf.DUMMYFUNCTION("""COMPUTED_VALUE"""),422.5745353566605)</f>
        <v>422.5745354</v>
      </c>
      <c r="E11" s="10">
        <f>IFERROR(__xludf.DUMMYFUNCTION("""COMPUTED_VALUE"""),5152.0)</f>
        <v>5152</v>
      </c>
      <c r="F11" s="14">
        <f>IFERROR(__xludf.DUMMYFUNCTION("""COMPUTED_VALUE"""),0.08202145484407229)</f>
        <v>0.08202145484</v>
      </c>
      <c r="G11" s="9"/>
      <c r="H11" s="9">
        <f>IFERROR(__xludf.DUMMYFUNCTION("""COMPUTED_VALUE"""),2035.0)</f>
        <v>2035</v>
      </c>
      <c r="I11" s="15">
        <f>IFERROR(__xludf.DUMMYFUNCTION("""COMPUTED_VALUE"""),283920.95557895437)</f>
        <v>283920.9556</v>
      </c>
      <c r="J11" s="15">
        <f>IFERROR(__xludf.DUMMYFUNCTION("""COMPUTED_VALUE"""),23660.07963157953)</f>
        <v>23660.07963</v>
      </c>
      <c r="K11" s="16">
        <f>IFERROR(__xludf.DUMMYFUNCTION("""COMPUTED_VALUE"""),0.15)</f>
        <v>0.15</v>
      </c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IFERROR(__xludf.DUMMYFUNCTION("""COMPUTED_VALUE"""),"IBFF11")</f>
        <v>IBFF11</v>
      </c>
      <c r="B2" s="17">
        <f>IFERROR(__xludf.DUMMYFUNCTION("""COMPUTED_VALUE"""),43788.0)</f>
        <v>43788</v>
      </c>
      <c r="C2" s="9">
        <f>IFERROR(__xludf.DUMMYFUNCTION("""COMPUTED_VALUE"""),11.0)</f>
        <v>11</v>
      </c>
      <c r="D2" s="9">
        <f>IFERROR(__xludf.DUMMYFUNCTION("""COMPUTED_VALUE"""),2019.0)</f>
        <v>2019</v>
      </c>
      <c r="E2" s="9">
        <f>IFERROR(__xludf.DUMMYFUNCTION("""COMPUTED_VALUE"""),0.0)</f>
        <v>0</v>
      </c>
      <c r="F2" s="9">
        <f>IFERROR(__xludf.DUMMYFUNCTION("""COMPUTED_VALUE"""),5.42)</f>
        <v>5.42</v>
      </c>
    </row>
    <row r="3">
      <c r="A3" s="9" t="str">
        <f>IFERROR(__xludf.DUMMYFUNCTION("""COMPUTED_VALUE"""),"AGRO3")</f>
        <v>AGRO3</v>
      </c>
      <c r="B3" s="17">
        <f>IFERROR(__xludf.DUMMYFUNCTION("""COMPUTED_VALUE"""),43783.0)</f>
        <v>43783</v>
      </c>
      <c r="C3" s="9">
        <f>IFERROR(__xludf.DUMMYFUNCTION("""COMPUTED_VALUE"""),11.0)</f>
        <v>11</v>
      </c>
      <c r="D3" s="9">
        <f>IFERROR(__xludf.DUMMYFUNCTION("""COMPUTED_VALUE"""),2019.0)</f>
        <v>2019</v>
      </c>
      <c r="E3" s="9">
        <f>IFERROR(__xludf.DUMMYFUNCTION("""COMPUTED_VALUE"""),0.93)</f>
        <v>0.93</v>
      </c>
      <c r="F3" s="9">
        <f>IFERROR(__xludf.DUMMYFUNCTION("""COMPUTED_VALUE"""),7.43)</f>
        <v>7.43</v>
      </c>
    </row>
    <row r="4">
      <c r="A4" s="9" t="str">
        <f>IFERROR(__xludf.DUMMYFUNCTION("""COMPUTED_VALUE"""),"BTCR11")</f>
        <v>BTCR11</v>
      </c>
      <c r="B4" s="17">
        <f>IFERROR(__xludf.DUMMYFUNCTION("""COMPUTED_VALUE"""),43783.0)</f>
        <v>43783</v>
      </c>
      <c r="C4" s="9">
        <f>IFERROR(__xludf.DUMMYFUNCTION("""COMPUTED_VALUE"""),11.0)</f>
        <v>11</v>
      </c>
      <c r="D4" s="9">
        <f>IFERROR(__xludf.DUMMYFUNCTION("""COMPUTED_VALUE"""),2019.0)</f>
        <v>2019</v>
      </c>
      <c r="E4" s="9">
        <f>IFERROR(__xludf.DUMMYFUNCTION("""COMPUTED_VALUE"""),0.0)</f>
        <v>0</v>
      </c>
      <c r="F4" s="9">
        <f>IFERROR(__xludf.DUMMYFUNCTION("""COMPUTED_VALUE"""),11.52)</f>
        <v>11.52</v>
      </c>
    </row>
    <row r="5">
      <c r="A5" s="9" t="str">
        <f>IFERROR(__xludf.DUMMYFUNCTION("""COMPUTED_VALUE"""),"OUJP11")</f>
        <v>OUJP11</v>
      </c>
      <c r="B5" s="17">
        <f>IFERROR(__xludf.DUMMYFUNCTION("""COMPUTED_VALUE"""),43783.0)</f>
        <v>43783</v>
      </c>
      <c r="C5" s="9">
        <f>IFERROR(__xludf.DUMMYFUNCTION("""COMPUTED_VALUE"""),11.0)</f>
        <v>11</v>
      </c>
      <c r="D5" s="9">
        <f>IFERROR(__xludf.DUMMYFUNCTION("""COMPUTED_VALUE"""),2019.0)</f>
        <v>2019</v>
      </c>
      <c r="E5" s="9">
        <f>IFERROR(__xludf.DUMMYFUNCTION("""COMPUTED_VALUE"""),0.0)</f>
        <v>0</v>
      </c>
      <c r="F5" s="9">
        <f>IFERROR(__xludf.DUMMYFUNCTION("""COMPUTED_VALUE"""),3.25)</f>
        <v>3.25</v>
      </c>
    </row>
    <row r="6">
      <c r="A6" s="9" t="str">
        <f>IFERROR(__xludf.DUMMYFUNCTION("""COMPUTED_VALUE"""),"ITUB4")</f>
        <v>ITUB4</v>
      </c>
      <c r="B6" s="17">
        <f>IFERROR(__xludf.DUMMYFUNCTION("""COMPUTED_VALUE"""),43770.0)</f>
        <v>43770</v>
      </c>
      <c r="C6" s="9">
        <f>IFERROR(__xludf.DUMMYFUNCTION("""COMPUTED_VALUE"""),11.0)</f>
        <v>11</v>
      </c>
      <c r="D6" s="9">
        <f>IFERROR(__xludf.DUMMYFUNCTION("""COMPUTED_VALUE"""),2019.0)</f>
        <v>2019</v>
      </c>
      <c r="E6" s="9">
        <f>IFERROR(__xludf.DUMMYFUNCTION("""COMPUTED_VALUE"""),0.02)</f>
        <v>0.02</v>
      </c>
      <c r="F6" s="9">
        <f>IFERROR(__xludf.DUMMYFUNCTION("""COMPUTED_VALUE"""),0.18)</f>
        <v>0.18</v>
      </c>
    </row>
    <row r="7">
      <c r="A7" s="9" t="str">
        <f>IFERROR(__xludf.DUMMYFUNCTION("""COMPUTED_VALUE"""),"BBDC4")</f>
        <v>BBDC4</v>
      </c>
      <c r="B7" s="17">
        <f>IFERROR(__xludf.DUMMYFUNCTION("""COMPUTED_VALUE"""),43829.0)</f>
        <v>43829</v>
      </c>
      <c r="C7" s="9">
        <f>IFERROR(__xludf.DUMMYFUNCTION("""COMPUTED_VALUE"""),12.0)</f>
        <v>12</v>
      </c>
      <c r="D7" s="9">
        <f>IFERROR(__xludf.DUMMYFUNCTION("""COMPUTED_VALUE"""),2019.0)</f>
        <v>2019</v>
      </c>
      <c r="E7" s="9">
        <f>IFERROR(__xludf.DUMMYFUNCTION("""COMPUTED_VALUE"""),0.55)</f>
        <v>0.55</v>
      </c>
      <c r="F7" s="9">
        <f>IFERROR(__xludf.DUMMYFUNCTION("""COMPUTED_VALUE"""),3.76)</f>
        <v>3.76</v>
      </c>
    </row>
    <row r="8">
      <c r="A8" s="9" t="str">
        <f>IFERROR(__xludf.DUMMYFUNCTION("""COMPUTED_VALUE"""),"CYRE3")</f>
        <v>CYRE3</v>
      </c>
      <c r="B8" s="17">
        <f>IFERROR(__xludf.DUMMYFUNCTION("""COMPUTED_VALUE"""),43819.0)</f>
        <v>43819</v>
      </c>
      <c r="C8" s="9">
        <f>IFERROR(__xludf.DUMMYFUNCTION("""COMPUTED_VALUE"""),12.0)</f>
        <v>12</v>
      </c>
      <c r="D8" s="9">
        <f>IFERROR(__xludf.DUMMYFUNCTION("""COMPUTED_VALUE"""),2019.0)</f>
        <v>2019</v>
      </c>
      <c r="E8" s="9">
        <f>IFERROR(__xludf.DUMMYFUNCTION("""COMPUTED_VALUE"""),1.04)</f>
        <v>1.04</v>
      </c>
      <c r="F8" s="9">
        <f>IFERROR(__xludf.DUMMYFUNCTION("""COMPUTED_VALUE"""),42.66)</f>
        <v>42.66</v>
      </c>
    </row>
    <row r="9">
      <c r="A9" s="9" t="str">
        <f>IFERROR(__xludf.DUMMYFUNCTION("""COMPUTED_VALUE"""),"IBFF11")</f>
        <v>IBFF11</v>
      </c>
      <c r="B9" s="17">
        <f>IFERROR(__xludf.DUMMYFUNCTION("""COMPUTED_VALUE"""),43816.0)</f>
        <v>43816</v>
      </c>
      <c r="C9" s="9">
        <f>IFERROR(__xludf.DUMMYFUNCTION("""COMPUTED_VALUE"""),12.0)</f>
        <v>12</v>
      </c>
      <c r="D9" s="9">
        <f>IFERROR(__xludf.DUMMYFUNCTION("""COMPUTED_VALUE"""),2019.0)</f>
        <v>2019</v>
      </c>
      <c r="E9" s="9">
        <f>IFERROR(__xludf.DUMMYFUNCTION("""COMPUTED_VALUE"""),0.0)</f>
        <v>0</v>
      </c>
      <c r="F9" s="9">
        <f>IFERROR(__xludf.DUMMYFUNCTION("""COMPUTED_VALUE"""),6.95)</f>
        <v>6.95</v>
      </c>
    </row>
    <row r="10">
      <c r="A10" s="9" t="str">
        <f>IFERROR(__xludf.DUMMYFUNCTION("""COMPUTED_VALUE"""),"BTCR11")</f>
        <v>BTCR11</v>
      </c>
      <c r="B10" s="17">
        <f>IFERROR(__xludf.DUMMYFUNCTION("""COMPUTED_VALUE"""),43812.0)</f>
        <v>43812</v>
      </c>
      <c r="C10" s="9">
        <f>IFERROR(__xludf.DUMMYFUNCTION("""COMPUTED_VALUE"""),12.0)</f>
        <v>12</v>
      </c>
      <c r="D10" s="9">
        <f>IFERROR(__xludf.DUMMYFUNCTION("""COMPUTED_VALUE"""),2019.0)</f>
        <v>2019</v>
      </c>
      <c r="E10" s="9">
        <f>IFERROR(__xludf.DUMMYFUNCTION("""COMPUTED_VALUE"""),0.0)</f>
        <v>0</v>
      </c>
      <c r="F10" s="9">
        <f>IFERROR(__xludf.DUMMYFUNCTION("""COMPUTED_VALUE"""),10.68)</f>
        <v>10.68</v>
      </c>
    </row>
    <row r="11">
      <c r="A11" s="9" t="str">
        <f>IFERROR(__xludf.DUMMYFUNCTION("""COMPUTED_VALUE"""),"OUJP11")</f>
        <v>OUJP11</v>
      </c>
      <c r="B11" s="17">
        <f>IFERROR(__xludf.DUMMYFUNCTION("""COMPUTED_VALUE"""),43812.0)</f>
        <v>43812</v>
      </c>
      <c r="C11" s="9">
        <f>IFERROR(__xludf.DUMMYFUNCTION("""COMPUTED_VALUE"""),12.0)</f>
        <v>12</v>
      </c>
      <c r="D11" s="9">
        <f>IFERROR(__xludf.DUMMYFUNCTION("""COMPUTED_VALUE"""),2019.0)</f>
        <v>2019</v>
      </c>
      <c r="E11" s="9">
        <f>IFERROR(__xludf.DUMMYFUNCTION("""COMPUTED_VALUE"""),0.0)</f>
        <v>0</v>
      </c>
      <c r="F11" s="9">
        <f>IFERROR(__xludf.DUMMYFUNCTION("""COMPUTED_VALUE"""),3.25)</f>
        <v>3.25</v>
      </c>
    </row>
    <row r="12">
      <c r="A12" s="9" t="str">
        <f>IFERROR(__xludf.DUMMYFUNCTION("""COMPUTED_VALUE"""),"ODPV3")</f>
        <v>ODPV3</v>
      </c>
      <c r="B12" s="17">
        <f>IFERROR(__xludf.DUMMYFUNCTION("""COMPUTED_VALUE"""),43805.0)</f>
        <v>43805</v>
      </c>
      <c r="C12" s="9">
        <f>IFERROR(__xludf.DUMMYFUNCTION("""COMPUTED_VALUE"""),12.0)</f>
        <v>12</v>
      </c>
      <c r="D12" s="9">
        <f>IFERROR(__xludf.DUMMYFUNCTION("""COMPUTED_VALUE"""),2019.0)</f>
        <v>2019</v>
      </c>
      <c r="E12" s="9">
        <f>IFERROR(__xludf.DUMMYFUNCTION("""COMPUTED_VALUE"""),0.04)</f>
        <v>0.04</v>
      </c>
      <c r="F12" s="9">
        <f>IFERROR(__xludf.DUMMYFUNCTION("""COMPUTED_VALUE"""),0.5)</f>
        <v>0.5</v>
      </c>
    </row>
    <row r="13">
      <c r="A13" s="9" t="str">
        <f>IFERROR(__xludf.DUMMYFUNCTION("""COMPUTED_VALUE"""),"IRBR3")</f>
        <v>IRBR3</v>
      </c>
      <c r="B13" s="17">
        <f>IFERROR(__xludf.DUMMYFUNCTION("""COMPUTED_VALUE"""),43804.0)</f>
        <v>43804</v>
      </c>
      <c r="C13" s="9">
        <f>IFERROR(__xludf.DUMMYFUNCTION("""COMPUTED_VALUE"""),12.0)</f>
        <v>12</v>
      </c>
      <c r="D13" s="9">
        <f>IFERROR(__xludf.DUMMYFUNCTION("""COMPUTED_VALUE"""),2019.0)</f>
        <v>2019</v>
      </c>
      <c r="E13" s="9">
        <f>IFERROR(__xludf.DUMMYFUNCTION("""COMPUTED_VALUE"""),0.21)</f>
        <v>0.21</v>
      </c>
      <c r="F13" s="9">
        <f>IFERROR(__xludf.DUMMYFUNCTION("""COMPUTED_VALUE"""),6.52)</f>
        <v>6.52</v>
      </c>
    </row>
    <row r="14">
      <c r="A14" s="9" t="str">
        <f>IFERROR(__xludf.DUMMYFUNCTION("""COMPUTED_VALUE"""),"TEND3")</f>
        <v>TEND3</v>
      </c>
      <c r="B14" s="17">
        <f>IFERROR(__xludf.DUMMYFUNCTION("""COMPUTED_VALUE"""),43803.0)</f>
        <v>43803</v>
      </c>
      <c r="C14" s="9">
        <f>IFERROR(__xludf.DUMMYFUNCTION("""COMPUTED_VALUE"""),12.0)</f>
        <v>12</v>
      </c>
      <c r="D14" s="9">
        <f>IFERROR(__xludf.DUMMYFUNCTION("""COMPUTED_VALUE"""),2019.0)</f>
        <v>2019</v>
      </c>
      <c r="E14" s="9">
        <f>IFERROR(__xludf.DUMMYFUNCTION("""COMPUTED_VALUE"""),0.16)</f>
        <v>0.16</v>
      </c>
      <c r="F14" s="9">
        <f>IFERROR(__xludf.DUMMYFUNCTION("""COMPUTED_VALUE"""),3.47)</f>
        <v>3.47</v>
      </c>
    </row>
    <row r="15">
      <c r="A15" s="9" t="str">
        <f>IFERROR(__xludf.DUMMYFUNCTION("""COMPUTED_VALUE"""),"TRPL4")</f>
        <v>TRPL4</v>
      </c>
      <c r="B15" s="17">
        <f>IFERROR(__xludf.DUMMYFUNCTION("""COMPUTED_VALUE"""),43802.0)</f>
        <v>43802</v>
      </c>
      <c r="C15" s="9">
        <f>IFERROR(__xludf.DUMMYFUNCTION("""COMPUTED_VALUE"""),12.0)</f>
        <v>12</v>
      </c>
      <c r="D15" s="9">
        <f>IFERROR(__xludf.DUMMYFUNCTION("""COMPUTED_VALUE"""),2019.0)</f>
        <v>2019</v>
      </c>
      <c r="E15" s="9">
        <f>IFERROR(__xludf.DUMMYFUNCTION("""COMPUTED_VALUE"""),0.45)</f>
        <v>0.45</v>
      </c>
      <c r="F15" s="9">
        <f>IFERROR(__xludf.DUMMYFUNCTION("""COMPUTED_VALUE"""),6.23)</f>
        <v>6.23</v>
      </c>
    </row>
    <row r="16">
      <c r="A16" s="9" t="str">
        <f>IFERROR(__xludf.DUMMYFUNCTION("""COMPUTED_VALUE"""),"TRPL4")</f>
        <v>TRPL4</v>
      </c>
      <c r="B16" s="17">
        <f>IFERROR(__xludf.DUMMYFUNCTION("""COMPUTED_VALUE"""),43802.0)</f>
        <v>43802</v>
      </c>
      <c r="C16" s="9">
        <f>IFERROR(__xludf.DUMMYFUNCTION("""COMPUTED_VALUE"""),12.0)</f>
        <v>12</v>
      </c>
      <c r="D16" s="9">
        <f>IFERROR(__xludf.DUMMYFUNCTION("""COMPUTED_VALUE"""),2019.0)</f>
        <v>2019</v>
      </c>
      <c r="E16" s="9">
        <f>IFERROR(__xludf.DUMMYFUNCTION("""COMPUTED_VALUE"""),0.34)</f>
        <v>0.34</v>
      </c>
      <c r="F16" s="9">
        <f>IFERROR(__xludf.DUMMYFUNCTION("""COMPUTED_VALUE"""),4.03)</f>
        <v>4.03</v>
      </c>
    </row>
    <row r="17">
      <c r="A17" s="9" t="str">
        <f>IFERROR(__xludf.DUMMYFUNCTION("""COMPUTED_VALUE"""),"ITUB4")</f>
        <v>ITUB4</v>
      </c>
      <c r="B17" s="17">
        <f>IFERROR(__xludf.DUMMYFUNCTION("""COMPUTED_VALUE"""),43801.0)</f>
        <v>43801</v>
      </c>
      <c r="C17" s="9">
        <f>IFERROR(__xludf.DUMMYFUNCTION("""COMPUTED_VALUE"""),12.0)</f>
        <v>12</v>
      </c>
      <c r="D17" s="9">
        <f>IFERROR(__xludf.DUMMYFUNCTION("""COMPUTED_VALUE"""),2019.0)</f>
        <v>2019</v>
      </c>
      <c r="E17" s="9">
        <f>IFERROR(__xludf.DUMMYFUNCTION("""COMPUTED_VALUE"""),0.02)</f>
        <v>0.02</v>
      </c>
      <c r="F17" s="9">
        <f>IFERROR(__xludf.DUMMYFUNCTION("""COMPUTED_VALUE"""),0.24)</f>
        <v>0.24</v>
      </c>
    </row>
    <row r="18">
      <c r="A18" s="9" t="str">
        <f>IFERROR(__xludf.DUMMYFUNCTION("""COMPUTED_VALUE"""),"BBAS3")</f>
        <v>BBAS3</v>
      </c>
      <c r="B18" s="17">
        <f>IFERROR(__xludf.DUMMYFUNCTION("""COMPUTED_VALUE"""),44195.0)</f>
        <v>44195</v>
      </c>
      <c r="C18" s="9">
        <f>IFERROR(__xludf.DUMMYFUNCTION("""COMPUTED_VALUE"""),12.0)</f>
        <v>12</v>
      </c>
      <c r="D18" s="9">
        <f>IFERROR(__xludf.DUMMYFUNCTION("""COMPUTED_VALUE"""),2020.0)</f>
        <v>2020</v>
      </c>
      <c r="E18" s="9">
        <f>IFERROR(__xludf.DUMMYFUNCTION("""COMPUTED_VALUE"""),0.12)</f>
        <v>0.12</v>
      </c>
      <c r="F18" s="9">
        <f>IFERROR(__xludf.DUMMYFUNCTION("""COMPUTED_VALUE"""),10.15)</f>
        <v>10.15</v>
      </c>
    </row>
    <row r="19">
      <c r="A19" s="9" t="str">
        <f>IFERROR(__xludf.DUMMYFUNCTION("""COMPUTED_VALUE"""),"CMIG4")</f>
        <v>CMIG4</v>
      </c>
      <c r="B19" s="17">
        <f>IFERROR(__xludf.DUMMYFUNCTION("""COMPUTED_VALUE"""),44195.0)</f>
        <v>44195</v>
      </c>
      <c r="C19" s="9">
        <f>IFERROR(__xludf.DUMMYFUNCTION("""COMPUTED_VALUE"""),12.0)</f>
        <v>12</v>
      </c>
      <c r="D19" s="9">
        <f>IFERROR(__xludf.DUMMYFUNCTION("""COMPUTED_VALUE"""),2020.0)</f>
        <v>2020</v>
      </c>
      <c r="E19" s="9">
        <f>IFERROR(__xludf.DUMMYFUNCTION("""COMPUTED_VALUE"""),0.14)</f>
        <v>0.14</v>
      </c>
      <c r="F19" s="9">
        <f>IFERROR(__xludf.DUMMYFUNCTION("""COMPUTED_VALUE"""),1.4)</f>
        <v>1.4</v>
      </c>
    </row>
    <row r="20">
      <c r="A20" s="9" t="str">
        <f>IFERROR(__xludf.DUMMYFUNCTION("""COMPUTED_VALUE"""),"CMIG4")</f>
        <v>CMIG4</v>
      </c>
      <c r="B20" s="17">
        <f>IFERROR(__xludf.DUMMYFUNCTION("""COMPUTED_VALUE"""),44195.0)</f>
        <v>44195</v>
      </c>
      <c r="C20" s="9">
        <f>IFERROR(__xludf.DUMMYFUNCTION("""COMPUTED_VALUE"""),12.0)</f>
        <v>12</v>
      </c>
      <c r="D20" s="9">
        <f>IFERROR(__xludf.DUMMYFUNCTION("""COMPUTED_VALUE"""),2020.0)</f>
        <v>2020</v>
      </c>
      <c r="E20" s="9">
        <f>IFERROR(__xludf.DUMMYFUNCTION("""COMPUTED_VALUE"""),0.14)</f>
        <v>0.14</v>
      </c>
      <c r="F20" s="9">
        <f>IFERROR(__xludf.DUMMYFUNCTION("""COMPUTED_VALUE"""),1.4)</f>
        <v>1.4</v>
      </c>
    </row>
    <row r="21">
      <c r="A21" s="9" t="str">
        <f>IFERROR(__xludf.DUMMYFUNCTION("""COMPUTED_VALUE"""),"PETR4")</f>
        <v>PETR4</v>
      </c>
      <c r="B21" s="17">
        <f>IFERROR(__xludf.DUMMYFUNCTION("""COMPUTED_VALUE"""),44180.0)</f>
        <v>44180</v>
      </c>
      <c r="C21" s="9">
        <f>IFERROR(__xludf.DUMMYFUNCTION("""COMPUTED_VALUE"""),12.0)</f>
        <v>12</v>
      </c>
      <c r="D21" s="9">
        <f>IFERROR(__xludf.DUMMYFUNCTION("""COMPUTED_VALUE"""),2020.0)</f>
        <v>2020</v>
      </c>
      <c r="E21" s="9">
        <f>IFERROR(__xludf.DUMMYFUNCTION("""COMPUTED_VALUE"""),0.0)</f>
        <v>0</v>
      </c>
      <c r="F21" s="9">
        <f>IFERROR(__xludf.DUMMYFUNCTION("""COMPUTED_VALUE"""),0.07)</f>
        <v>0.07</v>
      </c>
    </row>
    <row r="22">
      <c r="A22" s="9" t="str">
        <f>IFERROR(__xludf.DUMMYFUNCTION("""COMPUTED_VALUE"""),"RADL3")</f>
        <v>RADL3</v>
      </c>
      <c r="B22" s="17">
        <f>IFERROR(__xludf.DUMMYFUNCTION("""COMPUTED_VALUE"""),44168.0)</f>
        <v>44168</v>
      </c>
      <c r="C22" s="9">
        <f>IFERROR(__xludf.DUMMYFUNCTION("""COMPUTED_VALUE"""),12.0)</f>
        <v>12</v>
      </c>
      <c r="D22" s="9">
        <f>IFERROR(__xludf.DUMMYFUNCTION("""COMPUTED_VALUE"""),2020.0)</f>
        <v>2020</v>
      </c>
      <c r="E22" s="9">
        <f>IFERROR(__xludf.DUMMYFUNCTION("""COMPUTED_VALUE"""),0.14)</f>
        <v>0.14</v>
      </c>
      <c r="F22" s="9">
        <f>IFERROR(__xludf.DUMMYFUNCTION("""COMPUTED_VALUE"""),1.82)</f>
        <v>1.82</v>
      </c>
    </row>
    <row r="23">
      <c r="A23" s="9" t="str">
        <f>IFERROR(__xludf.DUMMYFUNCTION("""COMPUTED_VALUE"""),"BBAS3")</f>
        <v>BBAS3</v>
      </c>
      <c r="B23" s="17">
        <f>IFERROR(__xludf.DUMMYFUNCTION("""COMPUTED_VALUE"""),44162.0)</f>
        <v>44162</v>
      </c>
      <c r="C23" s="9">
        <f>IFERROR(__xludf.DUMMYFUNCTION("""COMPUTED_VALUE"""),11.0)</f>
        <v>11</v>
      </c>
      <c r="D23" s="9">
        <f>IFERROR(__xludf.DUMMYFUNCTION("""COMPUTED_VALUE"""),2020.0)</f>
        <v>2020</v>
      </c>
      <c r="E23" s="9">
        <f>IFERROR(__xludf.DUMMYFUNCTION("""COMPUTED_VALUE"""),0.19)</f>
        <v>0.19</v>
      </c>
      <c r="F23" s="9">
        <f>IFERROR(__xludf.DUMMYFUNCTION("""COMPUTED_VALUE"""),16.89)</f>
        <v>16.89</v>
      </c>
    </row>
    <row r="24">
      <c r="A24" s="9" t="str">
        <f>IFERROR(__xludf.DUMMYFUNCTION("""COMPUTED_VALUE"""),"MULT3")</f>
        <v>MULT3</v>
      </c>
      <c r="B24" s="17">
        <f>IFERROR(__xludf.DUMMYFUNCTION("""COMPUTED_VALUE"""),44127.0)</f>
        <v>44127</v>
      </c>
      <c r="C24" s="9">
        <f>IFERROR(__xludf.DUMMYFUNCTION("""COMPUTED_VALUE"""),10.0)</f>
        <v>10</v>
      </c>
      <c r="D24" s="9">
        <f>IFERROR(__xludf.DUMMYFUNCTION("""COMPUTED_VALUE"""),2020.0)</f>
        <v>2020</v>
      </c>
      <c r="E24" s="9">
        <f>IFERROR(__xludf.DUMMYFUNCTION("""COMPUTED_VALUE"""),0.13)</f>
        <v>0.13</v>
      </c>
      <c r="F24" s="9">
        <f>IFERROR(__xludf.DUMMYFUNCTION("""COMPUTED_VALUE"""),0.68)</f>
        <v>0.68</v>
      </c>
    </row>
    <row r="25">
      <c r="A25" s="9" t="str">
        <f>IFERROR(__xludf.DUMMYFUNCTION("""COMPUTED_VALUE"""),"TOTS3")</f>
        <v>TOTS3</v>
      </c>
      <c r="B25" s="17">
        <f>IFERROR(__xludf.DUMMYFUNCTION("""COMPUTED_VALUE"""),44126.0)</f>
        <v>44126</v>
      </c>
      <c r="C25" s="9">
        <f>IFERROR(__xludf.DUMMYFUNCTION("""COMPUTED_VALUE"""),10.0)</f>
        <v>10</v>
      </c>
      <c r="D25" s="9">
        <f>IFERROR(__xludf.DUMMYFUNCTION("""COMPUTED_VALUE"""),2020.0)</f>
        <v>2020</v>
      </c>
      <c r="E25" s="9">
        <f>IFERROR(__xludf.DUMMYFUNCTION("""COMPUTED_VALUE"""),0.07)</f>
        <v>0.07</v>
      </c>
      <c r="F25" s="9">
        <f>IFERROR(__xludf.DUMMYFUNCTION("""COMPUTED_VALUE"""),9.05)</f>
        <v>9.05</v>
      </c>
    </row>
    <row r="26">
      <c r="A26" s="9" t="str">
        <f>IFERROR(__xludf.DUMMYFUNCTION("""COMPUTED_VALUE"""),"B3SA3")</f>
        <v>B3SA3</v>
      </c>
      <c r="B26" s="17">
        <f>IFERROR(__xludf.DUMMYFUNCTION("""COMPUTED_VALUE"""),44111.0)</f>
        <v>44111</v>
      </c>
      <c r="C26" s="9">
        <f>IFERROR(__xludf.DUMMYFUNCTION("""COMPUTED_VALUE"""),10.0)</f>
        <v>10</v>
      </c>
      <c r="D26" s="9">
        <f>IFERROR(__xludf.DUMMYFUNCTION("""COMPUTED_VALUE"""),2020.0)</f>
        <v>2020</v>
      </c>
      <c r="E26" s="9">
        <f>IFERROR(__xludf.DUMMYFUNCTION("""COMPUTED_VALUE"""),0.65)</f>
        <v>0.65</v>
      </c>
      <c r="F26" s="9">
        <f>IFERROR(__xludf.DUMMYFUNCTION("""COMPUTED_VALUE"""),73.3)</f>
        <v>73.3</v>
      </c>
    </row>
    <row r="27">
      <c r="A27" s="9" t="str">
        <f>IFERROR(__xludf.DUMMYFUNCTION("""COMPUTED_VALUE"""),"B3SA3")</f>
        <v>B3SA3</v>
      </c>
      <c r="B27" s="17">
        <f>IFERROR(__xludf.DUMMYFUNCTION("""COMPUTED_VALUE"""),44111.0)</f>
        <v>44111</v>
      </c>
      <c r="C27" s="9">
        <f>IFERROR(__xludf.DUMMYFUNCTION("""COMPUTED_VALUE"""),10.0)</f>
        <v>10</v>
      </c>
      <c r="D27" s="9">
        <f>IFERROR(__xludf.DUMMYFUNCTION("""COMPUTED_VALUE"""),2020.0)</f>
        <v>2020</v>
      </c>
      <c r="E27" s="9">
        <f>IFERROR(__xludf.DUMMYFUNCTION("""COMPUTED_VALUE"""),0.15)</f>
        <v>0.15</v>
      </c>
      <c r="F27" s="9">
        <f>IFERROR(__xludf.DUMMYFUNCTION("""COMPUTED_VALUE"""),14.2)</f>
        <v>14.2</v>
      </c>
    </row>
    <row r="28">
      <c r="A28" s="9" t="str">
        <f>IFERROR(__xludf.DUMMYFUNCTION("""COMPUTED_VALUE"""),"BBAS3")</f>
        <v>BBAS3</v>
      </c>
      <c r="B28" s="17">
        <f>IFERROR(__xludf.DUMMYFUNCTION("""COMPUTED_VALUE"""),44104.0)</f>
        <v>44104</v>
      </c>
      <c r="C28" s="9">
        <f>IFERROR(__xludf.DUMMYFUNCTION("""COMPUTED_VALUE"""),9.0)</f>
        <v>9</v>
      </c>
      <c r="D28" s="9">
        <f>IFERROR(__xludf.DUMMYFUNCTION("""COMPUTED_VALUE"""),2020.0)</f>
        <v>2020</v>
      </c>
      <c r="E28" s="9">
        <f>IFERROR(__xludf.DUMMYFUNCTION("""COMPUTED_VALUE"""),0.1)</f>
        <v>0.1</v>
      </c>
      <c r="F28" s="9">
        <f>IFERROR(__xludf.DUMMYFUNCTION("""COMPUTED_VALUE"""),11.11)</f>
        <v>11.11</v>
      </c>
    </row>
    <row r="29">
      <c r="A29" s="9" t="str">
        <f>IFERROR(__xludf.DUMMYFUNCTION("""COMPUTED_VALUE"""),"CPLE6")</f>
        <v>CPLE6</v>
      </c>
      <c r="B29" s="17">
        <f>IFERROR(__xludf.DUMMYFUNCTION("""COMPUTED_VALUE"""),44104.0)</f>
        <v>44104</v>
      </c>
      <c r="C29" s="9">
        <f>IFERROR(__xludf.DUMMYFUNCTION("""COMPUTED_VALUE"""),9.0)</f>
        <v>9</v>
      </c>
      <c r="D29" s="9">
        <f>IFERROR(__xludf.DUMMYFUNCTION("""COMPUTED_VALUE"""),2020.0)</f>
        <v>2020</v>
      </c>
      <c r="E29" s="9">
        <f>IFERROR(__xludf.DUMMYFUNCTION("""COMPUTED_VALUE"""),1.23)</f>
        <v>1.23</v>
      </c>
      <c r="F29" s="9">
        <f>IFERROR(__xludf.DUMMYFUNCTION("""COMPUTED_VALUE"""),4.2)</f>
        <v>4.2</v>
      </c>
    </row>
    <row r="30">
      <c r="A30" s="9" t="str">
        <f>IFERROR(__xludf.DUMMYFUNCTION("""COMPUTED_VALUE"""),"VALE3")</f>
        <v>VALE3</v>
      </c>
      <c r="B30" s="17">
        <f>IFERROR(__xludf.DUMMYFUNCTION("""COMPUTED_VALUE"""),44104.0)</f>
        <v>44104</v>
      </c>
      <c r="C30" s="9">
        <f>IFERROR(__xludf.DUMMYFUNCTION("""COMPUTED_VALUE"""),9.0)</f>
        <v>9</v>
      </c>
      <c r="D30" s="9">
        <f>IFERROR(__xludf.DUMMYFUNCTION("""COMPUTED_VALUE"""),2020.0)</f>
        <v>2020</v>
      </c>
      <c r="E30" s="9">
        <f>IFERROR(__xludf.DUMMYFUNCTION("""COMPUTED_VALUE"""),1.41)</f>
        <v>1.41</v>
      </c>
      <c r="F30" s="9">
        <f>IFERROR(__xludf.DUMMYFUNCTION("""COMPUTED_VALUE"""),91.66)</f>
        <v>91.66</v>
      </c>
    </row>
    <row r="31">
      <c r="A31" s="9" t="str">
        <f>IFERROR(__xludf.DUMMYFUNCTION("""COMPUTED_VALUE"""),"VALE3")</f>
        <v>VALE3</v>
      </c>
      <c r="B31" s="17">
        <f>IFERROR(__xludf.DUMMYFUNCTION("""COMPUTED_VALUE"""),44104.0)</f>
        <v>44104</v>
      </c>
      <c r="C31" s="9">
        <f>IFERROR(__xludf.DUMMYFUNCTION("""COMPUTED_VALUE"""),9.0)</f>
        <v>9</v>
      </c>
      <c r="D31" s="9">
        <f>IFERROR(__xludf.DUMMYFUNCTION("""COMPUTED_VALUE"""),2020.0)</f>
        <v>2020</v>
      </c>
      <c r="E31" s="9">
        <f>IFERROR(__xludf.DUMMYFUNCTION("""COMPUTED_VALUE"""),1.0)</f>
        <v>1</v>
      </c>
      <c r="F31" s="9">
        <f>IFERROR(__xludf.DUMMYFUNCTION("""COMPUTED_VALUE"""),55.1)</f>
        <v>55.1</v>
      </c>
    </row>
    <row r="32">
      <c r="A32" s="9" t="str">
        <f>IFERROR(__xludf.DUMMYFUNCTION("""COMPUTED_VALUE"""),"BBAS3")</f>
        <v>BBAS3</v>
      </c>
      <c r="B32" s="17">
        <f>IFERROR(__xludf.DUMMYFUNCTION("""COMPUTED_VALUE"""),44074.0)</f>
        <v>44074</v>
      </c>
      <c r="C32" s="9">
        <f>IFERROR(__xludf.DUMMYFUNCTION("""COMPUTED_VALUE"""),8.0)</f>
        <v>8</v>
      </c>
      <c r="D32" s="9">
        <f>IFERROR(__xludf.DUMMYFUNCTION("""COMPUTED_VALUE"""),2020.0)</f>
        <v>2020</v>
      </c>
      <c r="E32" s="9">
        <f>IFERROR(__xludf.DUMMYFUNCTION("""COMPUTED_VALUE"""),0.44)</f>
        <v>0.44</v>
      </c>
      <c r="F32" s="9">
        <f>IFERROR(__xludf.DUMMYFUNCTION("""COMPUTED_VALUE"""),44.57)</f>
        <v>44.57</v>
      </c>
    </row>
    <row r="33">
      <c r="A33" s="9" t="str">
        <f>IFERROR(__xludf.DUMMYFUNCTION("""COMPUTED_VALUE"""),"BBAS3")</f>
        <v>BBAS3</v>
      </c>
      <c r="B33" s="17">
        <f>IFERROR(__xludf.DUMMYFUNCTION("""COMPUTED_VALUE"""),44074.0)</f>
        <v>44074</v>
      </c>
      <c r="C33" s="9">
        <f>IFERROR(__xludf.DUMMYFUNCTION("""COMPUTED_VALUE"""),8.0)</f>
        <v>8</v>
      </c>
      <c r="D33" s="9">
        <f>IFERROR(__xludf.DUMMYFUNCTION("""COMPUTED_VALUE"""),2020.0)</f>
        <v>2020</v>
      </c>
      <c r="E33" s="9">
        <f>IFERROR(__xludf.DUMMYFUNCTION("""COMPUTED_VALUE"""),0.0)</f>
        <v>0</v>
      </c>
      <c r="F33" s="9">
        <f>IFERROR(__xludf.DUMMYFUNCTION("""COMPUTED_VALUE"""),0.14)</f>
        <v>0.14</v>
      </c>
    </row>
    <row r="34">
      <c r="A34" s="9" t="str">
        <f>IFERROR(__xludf.DUMMYFUNCTION("""COMPUTED_VALUE"""),"PSSA3")</f>
        <v>PSSA3</v>
      </c>
      <c r="B34" s="17">
        <f>IFERROR(__xludf.DUMMYFUNCTION("""COMPUTED_VALUE"""),44071.0)</f>
        <v>44071</v>
      </c>
      <c r="C34" s="9">
        <f>IFERROR(__xludf.DUMMYFUNCTION("""COMPUTED_VALUE"""),8.0)</f>
        <v>8</v>
      </c>
      <c r="D34" s="9">
        <f>IFERROR(__xludf.DUMMYFUNCTION("""COMPUTED_VALUE"""),2020.0)</f>
        <v>2020</v>
      </c>
      <c r="E34" s="9">
        <f>IFERROR(__xludf.DUMMYFUNCTION("""COMPUTED_VALUE"""),0.98)</f>
        <v>0.98</v>
      </c>
      <c r="F34" s="9">
        <f>IFERROR(__xludf.DUMMYFUNCTION("""COMPUTED_VALUE"""),33.48)</f>
        <v>33.48</v>
      </c>
    </row>
    <row r="35">
      <c r="A35" s="9" t="str">
        <f>IFERROR(__xludf.DUMMYFUNCTION("""COMPUTED_VALUE"""),"MGLU3")</f>
        <v>MGLU3</v>
      </c>
      <c r="B35" s="17">
        <f>IFERROR(__xludf.DUMMYFUNCTION("""COMPUTED_VALUE"""),44062.0)</f>
        <v>44062</v>
      </c>
      <c r="C35" s="9">
        <f>IFERROR(__xludf.DUMMYFUNCTION("""COMPUTED_VALUE"""),8.0)</f>
        <v>8</v>
      </c>
      <c r="D35" s="9">
        <f>IFERROR(__xludf.DUMMYFUNCTION("""COMPUTED_VALUE"""),2020.0)</f>
        <v>2020</v>
      </c>
      <c r="E35" s="9">
        <f>IFERROR(__xludf.DUMMYFUNCTION("""COMPUTED_VALUE"""),0.04)</f>
        <v>0.04</v>
      </c>
      <c r="F35" s="9">
        <f>IFERROR(__xludf.DUMMYFUNCTION("""COMPUTED_VALUE"""),0.76)</f>
        <v>0.76</v>
      </c>
    </row>
    <row r="36">
      <c r="A36" s="9" t="str">
        <f>IFERROR(__xludf.DUMMYFUNCTION("""COMPUTED_VALUE"""),"MGLU3")</f>
        <v>MGLU3</v>
      </c>
      <c r="B36" s="17">
        <f>IFERROR(__xludf.DUMMYFUNCTION("""COMPUTED_VALUE"""),44062.0)</f>
        <v>44062</v>
      </c>
      <c r="C36" s="9">
        <f>IFERROR(__xludf.DUMMYFUNCTION("""COMPUTED_VALUE"""),8.0)</f>
        <v>8</v>
      </c>
      <c r="D36" s="9">
        <f>IFERROR(__xludf.DUMMYFUNCTION("""COMPUTED_VALUE"""),2020.0)</f>
        <v>2020</v>
      </c>
      <c r="E36" s="9">
        <f>IFERROR(__xludf.DUMMYFUNCTION("""COMPUTED_VALUE"""),0.07)</f>
        <v>0.07</v>
      </c>
      <c r="F36" s="9">
        <f>IFERROR(__xludf.DUMMYFUNCTION("""COMPUTED_VALUE"""),4.13)</f>
        <v>4.13</v>
      </c>
    </row>
    <row r="37">
      <c r="A37" s="9" t="str">
        <f>IFERROR(__xludf.DUMMYFUNCTION("""COMPUTED_VALUE"""),"WEGE3")</f>
        <v>WEGE3</v>
      </c>
      <c r="B37" s="17">
        <f>IFERROR(__xludf.DUMMYFUNCTION("""COMPUTED_VALUE"""),44055.0)</f>
        <v>44055</v>
      </c>
      <c r="C37" s="9">
        <f>IFERROR(__xludf.DUMMYFUNCTION("""COMPUTED_VALUE"""),8.0)</f>
        <v>8</v>
      </c>
      <c r="D37" s="9">
        <f>IFERROR(__xludf.DUMMYFUNCTION("""COMPUTED_VALUE"""),2020.0)</f>
        <v>2020</v>
      </c>
      <c r="E37" s="9">
        <f>IFERROR(__xludf.DUMMYFUNCTION("""COMPUTED_VALUE"""),0.13)</f>
        <v>0.13</v>
      </c>
      <c r="F37" s="9">
        <f>IFERROR(__xludf.DUMMYFUNCTION("""COMPUTED_VALUE"""),12.04)</f>
        <v>12.04</v>
      </c>
    </row>
    <row r="38">
      <c r="A38" s="9" t="str">
        <f>IFERROR(__xludf.DUMMYFUNCTION("""COMPUTED_VALUE"""),"WEGE3")</f>
        <v>WEGE3</v>
      </c>
      <c r="B38" s="17">
        <f>IFERROR(__xludf.DUMMYFUNCTION("""COMPUTED_VALUE"""),44055.0)</f>
        <v>44055</v>
      </c>
      <c r="C38" s="9">
        <f>IFERROR(__xludf.DUMMYFUNCTION("""COMPUTED_VALUE"""),8.0)</f>
        <v>8</v>
      </c>
      <c r="D38" s="9">
        <f>IFERROR(__xludf.DUMMYFUNCTION("""COMPUTED_VALUE"""),2020.0)</f>
        <v>2020</v>
      </c>
      <c r="E38" s="9">
        <f>IFERROR(__xludf.DUMMYFUNCTION("""COMPUTED_VALUE"""),0.04)</f>
        <v>0.04</v>
      </c>
      <c r="F38" s="9">
        <f>IFERROR(__xludf.DUMMYFUNCTION("""COMPUTED_VALUE"""),2.24)</f>
        <v>2.24</v>
      </c>
    </row>
    <row r="39">
      <c r="A39" s="9" t="str">
        <f>IFERROR(__xludf.DUMMYFUNCTION("""COMPUTED_VALUE"""),"WEGE3")</f>
        <v>WEGE3</v>
      </c>
      <c r="B39" s="17">
        <f>IFERROR(__xludf.DUMMYFUNCTION("""COMPUTED_VALUE"""),44055.0)</f>
        <v>44055</v>
      </c>
      <c r="C39" s="9">
        <f>IFERROR(__xludf.DUMMYFUNCTION("""COMPUTED_VALUE"""),8.0)</f>
        <v>8</v>
      </c>
      <c r="D39" s="9">
        <f>IFERROR(__xludf.DUMMYFUNCTION("""COMPUTED_VALUE"""),2020.0)</f>
        <v>2020</v>
      </c>
      <c r="E39" s="9">
        <f>IFERROR(__xludf.DUMMYFUNCTION("""COMPUTED_VALUE"""),0.03)</f>
        <v>0.03</v>
      </c>
      <c r="F39" s="9">
        <f>IFERROR(__xludf.DUMMYFUNCTION("""COMPUTED_VALUE"""),1.21)</f>
        <v>1.21</v>
      </c>
    </row>
    <row r="40">
      <c r="A40" s="9" t="str">
        <f>IFERROR(__xludf.DUMMYFUNCTION("""COMPUTED_VALUE"""),"B3SA3")</f>
        <v>B3SA3</v>
      </c>
      <c r="B40" s="17">
        <f>IFERROR(__xludf.DUMMYFUNCTION("""COMPUTED_VALUE"""),44050.0)</f>
        <v>44050</v>
      </c>
      <c r="C40" s="9">
        <f>IFERROR(__xludf.DUMMYFUNCTION("""COMPUTED_VALUE"""),8.0)</f>
        <v>8</v>
      </c>
      <c r="D40" s="9">
        <f>IFERROR(__xludf.DUMMYFUNCTION("""COMPUTED_VALUE"""),2020.0)</f>
        <v>2020</v>
      </c>
      <c r="E40" s="9">
        <f>IFERROR(__xludf.DUMMYFUNCTION("""COMPUTED_VALUE"""),0.15)</f>
        <v>0.15</v>
      </c>
      <c r="F40" s="9">
        <f>IFERROR(__xludf.DUMMYFUNCTION("""COMPUTED_VALUE"""),2.25)</f>
        <v>2.25</v>
      </c>
    </row>
    <row r="41">
      <c r="A41" s="9" t="str">
        <f>IFERROR(__xludf.DUMMYFUNCTION("""COMPUTED_VALUE"""),"B3SA3")</f>
        <v>B3SA3</v>
      </c>
      <c r="B41" s="17">
        <f>IFERROR(__xludf.DUMMYFUNCTION("""COMPUTED_VALUE"""),44050.0)</f>
        <v>44050</v>
      </c>
      <c r="C41" s="9">
        <f>IFERROR(__xludf.DUMMYFUNCTION("""COMPUTED_VALUE"""),8.0)</f>
        <v>8</v>
      </c>
      <c r="D41" s="9">
        <f>IFERROR(__xludf.DUMMYFUNCTION("""COMPUTED_VALUE"""),2020.0)</f>
        <v>2020</v>
      </c>
      <c r="E41" s="9">
        <f>IFERROR(__xludf.DUMMYFUNCTION("""COMPUTED_VALUE"""),0.15)</f>
        <v>0.15</v>
      </c>
      <c r="F41" s="9">
        <f>IFERROR(__xludf.DUMMYFUNCTION("""COMPUTED_VALUE"""),9.24)</f>
        <v>9.24</v>
      </c>
    </row>
    <row r="42">
      <c r="A42" s="9" t="str">
        <f>IFERROR(__xludf.DUMMYFUNCTION("""COMPUTED_VALUE"""),"VALE3")</f>
        <v>VALE3</v>
      </c>
      <c r="B42" s="17">
        <f>IFERROR(__xludf.DUMMYFUNCTION("""COMPUTED_VALUE"""),44050.0)</f>
        <v>44050</v>
      </c>
      <c r="C42" s="9">
        <f>IFERROR(__xludf.DUMMYFUNCTION("""COMPUTED_VALUE"""),8.0)</f>
        <v>8</v>
      </c>
      <c r="D42" s="9">
        <f>IFERROR(__xludf.DUMMYFUNCTION("""COMPUTED_VALUE"""),2020.0)</f>
        <v>2020</v>
      </c>
      <c r="E42" s="9">
        <f>IFERROR(__xludf.DUMMYFUNCTION("""COMPUTED_VALUE"""),1.41)</f>
        <v>1.41</v>
      </c>
      <c r="F42" s="9">
        <f>IFERROR(__xludf.DUMMYFUNCTION("""COMPUTED_VALUE"""),33.66)</f>
        <v>33.66</v>
      </c>
    </row>
    <row r="43">
      <c r="A43" s="9" t="str">
        <f>IFERROR(__xludf.DUMMYFUNCTION("""COMPUTED_VALUE"""),"ITUB4")</f>
        <v>ITUB4</v>
      </c>
      <c r="B43" s="17">
        <f>IFERROR(__xludf.DUMMYFUNCTION("""COMPUTED_VALUE"""),44046.0)</f>
        <v>44046</v>
      </c>
      <c r="C43" s="9">
        <f>IFERROR(__xludf.DUMMYFUNCTION("""COMPUTED_VALUE"""),8.0)</f>
        <v>8</v>
      </c>
      <c r="D43" s="9">
        <f>IFERROR(__xludf.DUMMYFUNCTION("""COMPUTED_VALUE"""),2020.0)</f>
        <v>2020</v>
      </c>
      <c r="E43" s="9">
        <f>IFERROR(__xludf.DUMMYFUNCTION("""COMPUTED_VALUE"""),0.02)</f>
        <v>0.02</v>
      </c>
      <c r="F43" s="9">
        <f>IFERROR(__xludf.DUMMYFUNCTION("""COMPUTED_VALUE"""),1.77)</f>
        <v>1.77</v>
      </c>
    </row>
    <row r="44">
      <c r="A44" s="9" t="str">
        <f>IFERROR(__xludf.DUMMYFUNCTION("""COMPUTED_VALUE"""),"ITUB4")</f>
        <v>ITUB4</v>
      </c>
      <c r="B44" s="17">
        <f>IFERROR(__xludf.DUMMYFUNCTION("""COMPUTED_VALUE"""),44013.0)</f>
        <v>44013</v>
      </c>
      <c r="C44" s="9">
        <f>IFERROR(__xludf.DUMMYFUNCTION("""COMPUTED_VALUE"""),7.0)</f>
        <v>7</v>
      </c>
      <c r="D44" s="9">
        <f>IFERROR(__xludf.DUMMYFUNCTION("""COMPUTED_VALUE"""),2020.0)</f>
        <v>2020</v>
      </c>
      <c r="E44" s="9">
        <f>IFERROR(__xludf.DUMMYFUNCTION("""COMPUTED_VALUE"""),0.02)</f>
        <v>0.02</v>
      </c>
      <c r="F44" s="9">
        <f>IFERROR(__xludf.DUMMYFUNCTION("""COMPUTED_VALUE"""),1.77)</f>
        <v>1.77</v>
      </c>
    </row>
    <row r="45">
      <c r="A45" s="9" t="str">
        <f>IFERROR(__xludf.DUMMYFUNCTION("""COMPUTED_VALUE"""),"CPLE6")</f>
        <v>CPLE6</v>
      </c>
      <c r="B45" s="17">
        <f>IFERROR(__xludf.DUMMYFUNCTION("""COMPUTED_VALUE"""),44011.0)</f>
        <v>44011</v>
      </c>
      <c r="C45" s="9">
        <f>IFERROR(__xludf.DUMMYFUNCTION("""COMPUTED_VALUE"""),6.0)</f>
        <v>6</v>
      </c>
      <c r="D45" s="9">
        <f>IFERROR(__xludf.DUMMYFUNCTION("""COMPUTED_VALUE"""),2020.0)</f>
        <v>2020</v>
      </c>
      <c r="E45" s="9">
        <f>IFERROR(__xludf.DUMMYFUNCTION("""COMPUTED_VALUE"""),1.23)</f>
        <v>1.23</v>
      </c>
      <c r="F45" s="9">
        <f>IFERROR(__xludf.DUMMYFUNCTION("""COMPUTED_VALUE"""),4.2)</f>
        <v>4.2</v>
      </c>
    </row>
    <row r="46">
      <c r="A46" s="9" t="str">
        <f>IFERROR(__xludf.DUMMYFUNCTION("""COMPUTED_VALUE"""),"ITUB4")</f>
        <v>ITUB4</v>
      </c>
      <c r="B46" s="17">
        <f>IFERROR(__xludf.DUMMYFUNCTION("""COMPUTED_VALUE"""),43983.0)</f>
        <v>43983</v>
      </c>
      <c r="C46" s="9">
        <f>IFERROR(__xludf.DUMMYFUNCTION("""COMPUTED_VALUE"""),6.0)</f>
        <v>6</v>
      </c>
      <c r="D46" s="9">
        <f>IFERROR(__xludf.DUMMYFUNCTION("""COMPUTED_VALUE"""),2020.0)</f>
        <v>2020</v>
      </c>
      <c r="E46" s="9">
        <f>IFERROR(__xludf.DUMMYFUNCTION("""COMPUTED_VALUE"""),0.02)</f>
        <v>0.02</v>
      </c>
      <c r="F46" s="9">
        <f>IFERROR(__xludf.DUMMYFUNCTION("""COMPUTED_VALUE"""),1.35)</f>
        <v>1.35</v>
      </c>
    </row>
    <row r="47">
      <c r="A47" s="9" t="str">
        <f>IFERROR(__xludf.DUMMYFUNCTION("""COMPUTED_VALUE"""),"RADL3")</f>
        <v>RADL3</v>
      </c>
      <c r="B47" s="17">
        <f>IFERROR(__xludf.DUMMYFUNCTION("""COMPUTED_VALUE"""),43980.0)</f>
        <v>43980</v>
      </c>
      <c r="C47" s="9">
        <f>IFERROR(__xludf.DUMMYFUNCTION("""COMPUTED_VALUE"""),5.0)</f>
        <v>5</v>
      </c>
      <c r="D47" s="9">
        <f>IFERROR(__xludf.DUMMYFUNCTION("""COMPUTED_VALUE"""),2020.0)</f>
        <v>2020</v>
      </c>
      <c r="E47" s="9">
        <f>IFERROR(__xludf.DUMMYFUNCTION("""COMPUTED_VALUE"""),0.06)</f>
        <v>0.06</v>
      </c>
      <c r="F47" s="9">
        <f>IFERROR(__xludf.DUMMYFUNCTION("""COMPUTED_VALUE"""),0.97)</f>
        <v>0.97</v>
      </c>
    </row>
    <row r="48">
      <c r="A48" s="9" t="str">
        <f>IFERROR(__xludf.DUMMYFUNCTION("""COMPUTED_VALUE"""),"HGCR11")</f>
        <v>HGCR11</v>
      </c>
      <c r="B48" s="17">
        <f>IFERROR(__xludf.DUMMYFUNCTION("""COMPUTED_VALUE"""),43966.0)</f>
        <v>43966</v>
      </c>
      <c r="C48" s="9">
        <f>IFERROR(__xludf.DUMMYFUNCTION("""COMPUTED_VALUE"""),5.0)</f>
        <v>5</v>
      </c>
      <c r="D48" s="9">
        <f>IFERROR(__xludf.DUMMYFUNCTION("""COMPUTED_VALUE"""),2020.0)</f>
        <v>2020</v>
      </c>
      <c r="E48" s="9">
        <f>IFERROR(__xludf.DUMMYFUNCTION("""COMPUTED_VALUE"""),0.0)</f>
        <v>0</v>
      </c>
      <c r="F48" s="9">
        <f>IFERROR(__xludf.DUMMYFUNCTION("""COMPUTED_VALUE"""),1.8)</f>
        <v>1.8</v>
      </c>
    </row>
    <row r="49">
      <c r="A49" s="9" t="str">
        <f>IFERROR(__xludf.DUMMYFUNCTION("""COMPUTED_VALUE"""),"KNRI11")</f>
        <v>KNRI11</v>
      </c>
      <c r="B49" s="17">
        <f>IFERROR(__xludf.DUMMYFUNCTION("""COMPUTED_VALUE"""),43966.0)</f>
        <v>43966</v>
      </c>
      <c r="C49" s="9">
        <f>IFERROR(__xludf.DUMMYFUNCTION("""COMPUTED_VALUE"""),5.0)</f>
        <v>5</v>
      </c>
      <c r="D49" s="9">
        <f>IFERROR(__xludf.DUMMYFUNCTION("""COMPUTED_VALUE"""),2020.0)</f>
        <v>2020</v>
      </c>
      <c r="E49" s="9">
        <f>IFERROR(__xludf.DUMMYFUNCTION("""COMPUTED_VALUE"""),0.0)</f>
        <v>0</v>
      </c>
      <c r="F49" s="9">
        <f>IFERROR(__xludf.DUMMYFUNCTION("""COMPUTED_VALUE"""),0.65)</f>
        <v>0.65</v>
      </c>
    </row>
    <row r="50">
      <c r="A50" s="9" t="str">
        <f>IFERROR(__xludf.DUMMYFUNCTION("""COMPUTED_VALUE"""),"KNCR11")</f>
        <v>KNCR11</v>
      </c>
      <c r="B50" s="17">
        <f>IFERROR(__xludf.DUMMYFUNCTION("""COMPUTED_VALUE"""),43965.0)</f>
        <v>43965</v>
      </c>
      <c r="C50" s="9">
        <f>IFERROR(__xludf.DUMMYFUNCTION("""COMPUTED_VALUE"""),5.0)</f>
        <v>5</v>
      </c>
      <c r="D50" s="9">
        <f>IFERROR(__xludf.DUMMYFUNCTION("""COMPUTED_VALUE"""),2020.0)</f>
        <v>2020</v>
      </c>
      <c r="E50" s="9">
        <f>IFERROR(__xludf.DUMMYFUNCTION("""COMPUTED_VALUE"""),0.0)</f>
        <v>0</v>
      </c>
      <c r="F50" s="9">
        <f>IFERROR(__xludf.DUMMYFUNCTION("""COMPUTED_VALUE"""),1.4)</f>
        <v>1.4</v>
      </c>
    </row>
    <row r="51">
      <c r="A51" s="9" t="str">
        <f>IFERROR(__xludf.DUMMYFUNCTION("""COMPUTED_VALUE"""),"LREN3")</f>
        <v>LREN3</v>
      </c>
      <c r="B51" s="17">
        <f>IFERROR(__xludf.DUMMYFUNCTION("""COMPUTED_VALUE"""),43959.0)</f>
        <v>43959</v>
      </c>
      <c r="C51" s="9">
        <f>IFERROR(__xludf.DUMMYFUNCTION("""COMPUTED_VALUE"""),5.0)</f>
        <v>5</v>
      </c>
      <c r="D51" s="9">
        <f>IFERROR(__xludf.DUMMYFUNCTION("""COMPUTED_VALUE"""),2020.0)</f>
        <v>2020</v>
      </c>
      <c r="E51" s="9">
        <f>IFERROR(__xludf.DUMMYFUNCTION("""COMPUTED_VALUE"""),0.08)</f>
        <v>0.08</v>
      </c>
      <c r="F51" s="9">
        <f>IFERROR(__xludf.DUMMYFUNCTION("""COMPUTED_VALUE"""),0.4)</f>
        <v>0.4</v>
      </c>
    </row>
    <row r="52">
      <c r="A52" s="9" t="str">
        <f>IFERROR(__xludf.DUMMYFUNCTION("""COMPUTED_VALUE"""),"LREN3")</f>
        <v>LREN3</v>
      </c>
      <c r="B52" s="17">
        <f>IFERROR(__xludf.DUMMYFUNCTION("""COMPUTED_VALUE"""),43959.0)</f>
        <v>43959</v>
      </c>
      <c r="C52" s="9">
        <f>IFERROR(__xludf.DUMMYFUNCTION("""COMPUTED_VALUE"""),5.0)</f>
        <v>5</v>
      </c>
      <c r="D52" s="9">
        <f>IFERROR(__xludf.DUMMYFUNCTION("""COMPUTED_VALUE"""),2020.0)</f>
        <v>2020</v>
      </c>
      <c r="E52" s="9">
        <f>IFERROR(__xludf.DUMMYFUNCTION("""COMPUTED_VALUE"""),0.08)</f>
        <v>0.08</v>
      </c>
      <c r="F52" s="9">
        <f>IFERROR(__xludf.DUMMYFUNCTION("""COMPUTED_VALUE"""),0.33)</f>
        <v>0.33</v>
      </c>
    </row>
    <row r="53">
      <c r="A53" s="9" t="str">
        <f>IFERROR(__xludf.DUMMYFUNCTION("""COMPUTED_VALUE"""),"JBSS3")</f>
        <v>JBSS3</v>
      </c>
      <c r="B53" s="17">
        <f>IFERROR(__xludf.DUMMYFUNCTION("""COMPUTED_VALUE"""),43958.0)</f>
        <v>43958</v>
      </c>
      <c r="C53" s="9">
        <f>IFERROR(__xludf.DUMMYFUNCTION("""COMPUTED_VALUE"""),5.0)</f>
        <v>5</v>
      </c>
      <c r="D53" s="9">
        <f>IFERROR(__xludf.DUMMYFUNCTION("""COMPUTED_VALUE"""),2020.0)</f>
        <v>2020</v>
      </c>
      <c r="E53" s="9">
        <f>IFERROR(__xludf.DUMMYFUNCTION("""COMPUTED_VALUE"""),0.54)</f>
        <v>0.54</v>
      </c>
      <c r="F53" s="9">
        <f>IFERROR(__xludf.DUMMYFUNCTION("""COMPUTED_VALUE"""),50.81)</f>
        <v>50.81</v>
      </c>
    </row>
    <row r="54">
      <c r="A54" s="9" t="str">
        <f>IFERROR(__xludf.DUMMYFUNCTION("""COMPUTED_VALUE"""),"ITUB4")</f>
        <v>ITUB4</v>
      </c>
      <c r="B54" s="17">
        <f>IFERROR(__xludf.DUMMYFUNCTION("""COMPUTED_VALUE"""),43955.0)</f>
        <v>43955</v>
      </c>
      <c r="C54" s="9">
        <f>IFERROR(__xludf.DUMMYFUNCTION("""COMPUTED_VALUE"""),5.0)</f>
        <v>5</v>
      </c>
      <c r="D54" s="9">
        <f>IFERROR(__xludf.DUMMYFUNCTION("""COMPUTED_VALUE"""),2020.0)</f>
        <v>2020</v>
      </c>
      <c r="E54" s="9">
        <f>IFERROR(__xludf.DUMMYFUNCTION("""COMPUTED_VALUE"""),0.02)</f>
        <v>0.02</v>
      </c>
      <c r="F54" s="9">
        <f>IFERROR(__xludf.DUMMYFUNCTION("""COMPUTED_VALUE"""),1.08)</f>
        <v>1.08</v>
      </c>
    </row>
    <row r="55">
      <c r="A55" s="9" t="str">
        <f>IFERROR(__xludf.DUMMYFUNCTION("""COMPUTED_VALUE"""),"BCFF11")</f>
        <v>BCFF11</v>
      </c>
      <c r="B55" s="17">
        <f>IFERROR(__xludf.DUMMYFUNCTION("""COMPUTED_VALUE"""),43936.0)</f>
        <v>43936</v>
      </c>
      <c r="C55" s="9">
        <f>IFERROR(__xludf.DUMMYFUNCTION("""COMPUTED_VALUE"""),4.0)</f>
        <v>4</v>
      </c>
      <c r="D55" s="9">
        <f>IFERROR(__xludf.DUMMYFUNCTION("""COMPUTED_VALUE"""),2020.0)</f>
        <v>2020</v>
      </c>
      <c r="E55" s="9">
        <f>IFERROR(__xludf.DUMMYFUNCTION("""COMPUTED_VALUE"""),0.0)</f>
        <v>0</v>
      </c>
      <c r="F55" s="9">
        <f>IFERROR(__xludf.DUMMYFUNCTION("""COMPUTED_VALUE"""),4.0)</f>
        <v>4</v>
      </c>
    </row>
    <row r="56">
      <c r="A56" s="9" t="str">
        <f>IFERROR(__xludf.DUMMYFUNCTION("""COMPUTED_VALUE"""),"HGCR11")</f>
        <v>HGCR11</v>
      </c>
      <c r="B56" s="17">
        <f>IFERROR(__xludf.DUMMYFUNCTION("""COMPUTED_VALUE"""),43936.0)</f>
        <v>43936</v>
      </c>
      <c r="C56" s="9">
        <f>IFERROR(__xludf.DUMMYFUNCTION("""COMPUTED_VALUE"""),4.0)</f>
        <v>4</v>
      </c>
      <c r="D56" s="9">
        <f>IFERROR(__xludf.DUMMYFUNCTION("""COMPUTED_VALUE"""),2020.0)</f>
        <v>2020</v>
      </c>
      <c r="E56" s="9">
        <f>IFERROR(__xludf.DUMMYFUNCTION("""COMPUTED_VALUE"""),0.0)</f>
        <v>0</v>
      </c>
      <c r="F56" s="9">
        <f>IFERROR(__xludf.DUMMYFUNCTION("""COMPUTED_VALUE"""),6.0)</f>
        <v>6</v>
      </c>
    </row>
    <row r="57">
      <c r="A57" s="9" t="str">
        <f>IFERROR(__xludf.DUMMYFUNCTION("""COMPUTED_VALUE"""),"KNRI11")</f>
        <v>KNRI11</v>
      </c>
      <c r="B57" s="17">
        <f>IFERROR(__xludf.DUMMYFUNCTION("""COMPUTED_VALUE"""),43936.0)</f>
        <v>43936</v>
      </c>
      <c r="C57" s="9">
        <f>IFERROR(__xludf.DUMMYFUNCTION("""COMPUTED_VALUE"""),4.0)</f>
        <v>4</v>
      </c>
      <c r="D57" s="9">
        <f>IFERROR(__xludf.DUMMYFUNCTION("""COMPUTED_VALUE"""),2020.0)</f>
        <v>2020</v>
      </c>
      <c r="E57" s="9">
        <f>IFERROR(__xludf.DUMMYFUNCTION("""COMPUTED_VALUE"""),0.0)</f>
        <v>0</v>
      </c>
      <c r="F57" s="9">
        <f>IFERROR(__xludf.DUMMYFUNCTION("""COMPUTED_VALUE"""),3.9)</f>
        <v>3.9</v>
      </c>
    </row>
    <row r="58">
      <c r="A58" s="9" t="str">
        <f>IFERROR(__xludf.DUMMYFUNCTION("""COMPUTED_VALUE"""),"KNCR11")</f>
        <v>KNCR11</v>
      </c>
      <c r="B58" s="17">
        <f>IFERROR(__xludf.DUMMYFUNCTION("""COMPUTED_VALUE"""),43935.0)</f>
        <v>43935</v>
      </c>
      <c r="C58" s="9">
        <f>IFERROR(__xludf.DUMMYFUNCTION("""COMPUTED_VALUE"""),4.0)</f>
        <v>4</v>
      </c>
      <c r="D58" s="9">
        <f>IFERROR(__xludf.DUMMYFUNCTION("""COMPUTED_VALUE"""),2020.0)</f>
        <v>2020</v>
      </c>
      <c r="E58" s="9">
        <f>IFERROR(__xludf.DUMMYFUNCTION("""COMPUTED_VALUE"""),0.0)</f>
        <v>0</v>
      </c>
      <c r="F58" s="9">
        <f>IFERROR(__xludf.DUMMYFUNCTION("""COMPUTED_VALUE"""),4.95)</f>
        <v>4.95</v>
      </c>
    </row>
    <row r="59">
      <c r="A59" s="9" t="str">
        <f>IFERROR(__xludf.DUMMYFUNCTION("""COMPUTED_VALUE"""),"BCFF11")</f>
        <v>BCFF11</v>
      </c>
      <c r="B59" s="17">
        <f>IFERROR(__xludf.DUMMYFUNCTION("""COMPUTED_VALUE"""),43903.0)</f>
        <v>43903</v>
      </c>
      <c r="C59" s="9">
        <f>IFERROR(__xludf.DUMMYFUNCTION("""COMPUTED_VALUE"""),3.0)</f>
        <v>3</v>
      </c>
      <c r="D59" s="9">
        <f>IFERROR(__xludf.DUMMYFUNCTION("""COMPUTED_VALUE"""),2020.0)</f>
        <v>2020</v>
      </c>
      <c r="E59" s="9">
        <f>IFERROR(__xludf.DUMMYFUNCTION("""COMPUTED_VALUE"""),0.0)</f>
        <v>0</v>
      </c>
      <c r="F59" s="9">
        <f>IFERROR(__xludf.DUMMYFUNCTION("""COMPUTED_VALUE"""),5.3)</f>
        <v>5.3</v>
      </c>
    </row>
    <row r="60">
      <c r="A60" s="9" t="str">
        <f>IFERROR(__xludf.DUMMYFUNCTION("""COMPUTED_VALUE"""),"HGCR11")</f>
        <v>HGCR11</v>
      </c>
      <c r="B60" s="17">
        <f>IFERROR(__xludf.DUMMYFUNCTION("""COMPUTED_VALUE"""),43903.0)</f>
        <v>43903</v>
      </c>
      <c r="C60" s="9">
        <f>IFERROR(__xludf.DUMMYFUNCTION("""COMPUTED_VALUE"""),3.0)</f>
        <v>3</v>
      </c>
      <c r="D60" s="9">
        <f>IFERROR(__xludf.DUMMYFUNCTION("""COMPUTED_VALUE"""),2020.0)</f>
        <v>2020</v>
      </c>
      <c r="E60" s="9">
        <f>IFERROR(__xludf.DUMMYFUNCTION("""COMPUTED_VALUE"""),0.0)</f>
        <v>0</v>
      </c>
      <c r="F60" s="9">
        <f>IFERROR(__xludf.DUMMYFUNCTION("""COMPUTED_VALUE"""),6.0)</f>
        <v>6</v>
      </c>
    </row>
    <row r="61">
      <c r="A61" s="9" t="str">
        <f>IFERROR(__xludf.DUMMYFUNCTION("""COMPUTED_VALUE"""),"KNRI11")</f>
        <v>KNRI11</v>
      </c>
      <c r="B61" s="17">
        <f>IFERROR(__xludf.DUMMYFUNCTION("""COMPUTED_VALUE"""),43903.0)</f>
        <v>43903</v>
      </c>
      <c r="C61" s="9">
        <f>IFERROR(__xludf.DUMMYFUNCTION("""COMPUTED_VALUE"""),3.0)</f>
        <v>3</v>
      </c>
      <c r="D61" s="9">
        <f>IFERROR(__xludf.DUMMYFUNCTION("""COMPUTED_VALUE"""),2020.0)</f>
        <v>2020</v>
      </c>
      <c r="E61" s="9">
        <f>IFERROR(__xludf.DUMMYFUNCTION("""COMPUTED_VALUE"""),0.0)</f>
        <v>0</v>
      </c>
      <c r="F61" s="9">
        <f>IFERROR(__xludf.DUMMYFUNCTION("""COMPUTED_VALUE"""),4.44)</f>
        <v>4.44</v>
      </c>
    </row>
    <row r="62">
      <c r="A62" s="9" t="str">
        <f>IFERROR(__xludf.DUMMYFUNCTION("""COMPUTED_VALUE"""),"KNCR11")</f>
        <v>KNCR11</v>
      </c>
      <c r="B62" s="17">
        <f>IFERROR(__xludf.DUMMYFUNCTION("""COMPUTED_VALUE"""),43902.0)</f>
        <v>43902</v>
      </c>
      <c r="C62" s="9">
        <f>IFERROR(__xludf.DUMMYFUNCTION("""COMPUTED_VALUE"""),3.0)</f>
        <v>3</v>
      </c>
      <c r="D62" s="9">
        <f>IFERROR(__xludf.DUMMYFUNCTION("""COMPUTED_VALUE"""),2020.0)</f>
        <v>2020</v>
      </c>
      <c r="E62" s="9">
        <f>IFERROR(__xludf.DUMMYFUNCTION("""COMPUTED_VALUE"""),0.0)</f>
        <v>0</v>
      </c>
      <c r="F62" s="9">
        <f>IFERROR(__xludf.DUMMYFUNCTION("""COMPUTED_VALUE"""),4.51)</f>
        <v>4.51</v>
      </c>
    </row>
    <row r="63">
      <c r="A63" s="9" t="str">
        <f>IFERROR(__xludf.DUMMYFUNCTION("""COMPUTED_VALUE"""),"WEGE3")</f>
        <v>WEGE3</v>
      </c>
      <c r="B63" s="17">
        <f>IFERROR(__xludf.DUMMYFUNCTION("""COMPUTED_VALUE"""),43901.0)</f>
        <v>43901</v>
      </c>
      <c r="C63" s="9">
        <f>IFERROR(__xludf.DUMMYFUNCTION("""COMPUTED_VALUE"""),3.0)</f>
        <v>3</v>
      </c>
      <c r="D63" s="9">
        <f>IFERROR(__xludf.DUMMYFUNCTION("""COMPUTED_VALUE"""),2020.0)</f>
        <v>2020</v>
      </c>
      <c r="E63" s="9">
        <f>IFERROR(__xludf.DUMMYFUNCTION("""COMPUTED_VALUE"""),0.17)</f>
        <v>0.17</v>
      </c>
      <c r="F63" s="9">
        <f>IFERROR(__xludf.DUMMYFUNCTION("""COMPUTED_VALUE"""),7.88)</f>
        <v>7.88</v>
      </c>
    </row>
    <row r="64">
      <c r="A64" s="9" t="str">
        <f>IFERROR(__xludf.DUMMYFUNCTION("""COMPUTED_VALUE"""),"KLBN11")</f>
        <v>KLBN11</v>
      </c>
      <c r="B64" s="17">
        <f>IFERROR(__xludf.DUMMYFUNCTION("""COMPUTED_VALUE"""),43881.0)</f>
        <v>43881</v>
      </c>
      <c r="C64" s="9">
        <f>IFERROR(__xludf.DUMMYFUNCTION("""COMPUTED_VALUE"""),2.0)</f>
        <v>2</v>
      </c>
      <c r="D64" s="9">
        <f>IFERROR(__xludf.DUMMYFUNCTION("""COMPUTED_VALUE"""),2020.0)</f>
        <v>2020</v>
      </c>
      <c r="E64" s="9">
        <f>IFERROR(__xludf.DUMMYFUNCTION("""COMPUTED_VALUE"""),0.02)</f>
        <v>0.02</v>
      </c>
      <c r="F64" s="9">
        <f>IFERROR(__xludf.DUMMYFUNCTION("""COMPUTED_VALUE"""),2.0)</f>
        <v>2</v>
      </c>
    </row>
    <row r="65">
      <c r="A65" s="9" t="str">
        <f>IFERROR(__xludf.DUMMYFUNCTION("""COMPUTED_VALUE"""),"KLBN11")</f>
        <v>KLBN11</v>
      </c>
      <c r="B65" s="17">
        <f>IFERROR(__xludf.DUMMYFUNCTION("""COMPUTED_VALUE"""),43881.0)</f>
        <v>43881</v>
      </c>
      <c r="C65" s="9">
        <f>IFERROR(__xludf.DUMMYFUNCTION("""COMPUTED_VALUE"""),2.0)</f>
        <v>2</v>
      </c>
      <c r="D65" s="9">
        <f>IFERROR(__xludf.DUMMYFUNCTION("""COMPUTED_VALUE"""),2020.0)</f>
        <v>2020</v>
      </c>
      <c r="E65" s="9">
        <f>IFERROR(__xludf.DUMMYFUNCTION("""COMPUTED_VALUE"""),0.19)</f>
        <v>0.19</v>
      </c>
      <c r="F65" s="9">
        <f>IFERROR(__xludf.DUMMYFUNCTION("""COMPUTED_VALUE"""),10.32)</f>
        <v>10.32</v>
      </c>
    </row>
    <row r="66">
      <c r="A66" s="9" t="str">
        <f>IFERROR(__xludf.DUMMYFUNCTION("""COMPUTED_VALUE"""),"BCFF11")</f>
        <v>BCFF11</v>
      </c>
      <c r="B66" s="17">
        <f>IFERROR(__xludf.DUMMYFUNCTION("""COMPUTED_VALUE"""),43875.0)</f>
        <v>43875</v>
      </c>
      <c r="C66" s="9">
        <f>IFERROR(__xludf.DUMMYFUNCTION("""COMPUTED_VALUE"""),2.0)</f>
        <v>2</v>
      </c>
      <c r="D66" s="9">
        <f>IFERROR(__xludf.DUMMYFUNCTION("""COMPUTED_VALUE"""),2020.0)</f>
        <v>2020</v>
      </c>
      <c r="E66" s="9">
        <f>IFERROR(__xludf.DUMMYFUNCTION("""COMPUTED_VALUE"""),0.0)</f>
        <v>0</v>
      </c>
      <c r="F66" s="9">
        <f>IFERROR(__xludf.DUMMYFUNCTION("""COMPUTED_VALUE"""),5.7)</f>
        <v>5.7</v>
      </c>
    </row>
    <row r="67">
      <c r="A67" s="9" t="str">
        <f>IFERROR(__xludf.DUMMYFUNCTION("""COMPUTED_VALUE"""),"HGCR11")</f>
        <v>HGCR11</v>
      </c>
      <c r="B67" s="17">
        <f>IFERROR(__xludf.DUMMYFUNCTION("""COMPUTED_VALUE"""),43875.0)</f>
        <v>43875</v>
      </c>
      <c r="C67" s="9">
        <f>IFERROR(__xludf.DUMMYFUNCTION("""COMPUTED_VALUE"""),2.0)</f>
        <v>2</v>
      </c>
      <c r="D67" s="9">
        <f>IFERROR(__xludf.DUMMYFUNCTION("""COMPUTED_VALUE"""),2020.0)</f>
        <v>2020</v>
      </c>
      <c r="E67" s="9">
        <f>IFERROR(__xludf.DUMMYFUNCTION("""COMPUTED_VALUE"""),0.0)</f>
        <v>0</v>
      </c>
      <c r="F67" s="9">
        <f>IFERROR(__xludf.DUMMYFUNCTION("""COMPUTED_VALUE"""),6.0)</f>
        <v>6</v>
      </c>
    </row>
    <row r="68">
      <c r="A68" s="9" t="str">
        <f>IFERROR(__xludf.DUMMYFUNCTION("""COMPUTED_VALUE"""),"KNRI11")</f>
        <v>KNRI11</v>
      </c>
      <c r="B68" s="17">
        <f>IFERROR(__xludf.DUMMYFUNCTION("""COMPUTED_VALUE"""),43875.0)</f>
        <v>43875</v>
      </c>
      <c r="C68" s="9">
        <f>IFERROR(__xludf.DUMMYFUNCTION("""COMPUTED_VALUE"""),2.0)</f>
        <v>2</v>
      </c>
      <c r="D68" s="9">
        <f>IFERROR(__xludf.DUMMYFUNCTION("""COMPUTED_VALUE"""),2020.0)</f>
        <v>2020</v>
      </c>
      <c r="E68" s="9">
        <f>IFERROR(__xludf.DUMMYFUNCTION("""COMPUTED_VALUE"""),0.0)</f>
        <v>0</v>
      </c>
      <c r="F68" s="9">
        <f>IFERROR(__xludf.DUMMYFUNCTION("""COMPUTED_VALUE"""),4.44)</f>
        <v>4.44</v>
      </c>
    </row>
    <row r="69">
      <c r="A69" s="9" t="str">
        <f>IFERROR(__xludf.DUMMYFUNCTION("""COMPUTED_VALUE"""),"RENT3")</f>
        <v>RENT3</v>
      </c>
      <c r="B69" s="17">
        <f>IFERROR(__xludf.DUMMYFUNCTION("""COMPUTED_VALUE"""),43875.0)</f>
        <v>43875</v>
      </c>
      <c r="C69" s="9">
        <f>IFERROR(__xludf.DUMMYFUNCTION("""COMPUTED_VALUE"""),2.0)</f>
        <v>2</v>
      </c>
      <c r="D69" s="9">
        <f>IFERROR(__xludf.DUMMYFUNCTION("""COMPUTED_VALUE"""),2020.0)</f>
        <v>2020</v>
      </c>
      <c r="E69" s="9">
        <f>IFERROR(__xludf.DUMMYFUNCTION("""COMPUTED_VALUE"""),0.1)</f>
        <v>0.1</v>
      </c>
      <c r="F69" s="9">
        <f>IFERROR(__xludf.DUMMYFUNCTION("""COMPUTED_VALUE"""),0.51)</f>
        <v>0.51</v>
      </c>
    </row>
    <row r="70">
      <c r="A70" s="9" t="str">
        <f>IFERROR(__xludf.DUMMYFUNCTION("""COMPUTED_VALUE"""),"KNCR11")</f>
        <v>KNCR11</v>
      </c>
      <c r="B70" s="17">
        <f>IFERROR(__xludf.DUMMYFUNCTION("""COMPUTED_VALUE"""),43874.0)</f>
        <v>43874</v>
      </c>
      <c r="C70" s="9">
        <f>IFERROR(__xludf.DUMMYFUNCTION("""COMPUTED_VALUE"""),2.0)</f>
        <v>2</v>
      </c>
      <c r="D70" s="9">
        <f>IFERROR(__xludf.DUMMYFUNCTION("""COMPUTED_VALUE"""),2020.0)</f>
        <v>2020</v>
      </c>
      <c r="E70" s="9">
        <f>IFERROR(__xludf.DUMMYFUNCTION("""COMPUTED_VALUE"""),0.0)</f>
        <v>0</v>
      </c>
      <c r="F70" s="9">
        <f>IFERROR(__xludf.DUMMYFUNCTION("""COMPUTED_VALUE"""),5.5)</f>
        <v>5.5</v>
      </c>
    </row>
    <row r="71">
      <c r="A71" s="9" t="str">
        <f>IFERROR(__xludf.DUMMYFUNCTION("""COMPUTED_VALUE"""),"PETR4")</f>
        <v>PETR4</v>
      </c>
      <c r="B71" s="17">
        <f>IFERROR(__xludf.DUMMYFUNCTION("""COMPUTED_VALUE"""),43868.0)</f>
        <v>43868</v>
      </c>
      <c r="C71" s="9">
        <f>IFERROR(__xludf.DUMMYFUNCTION("""COMPUTED_VALUE"""),2.0)</f>
        <v>2</v>
      </c>
      <c r="D71" s="9">
        <f>IFERROR(__xludf.DUMMYFUNCTION("""COMPUTED_VALUE"""),2020.0)</f>
        <v>2020</v>
      </c>
      <c r="E71" s="9">
        <f>IFERROR(__xludf.DUMMYFUNCTION("""COMPUTED_VALUE"""),0.2)</f>
        <v>0.2</v>
      </c>
      <c r="F71" s="9">
        <f>IFERROR(__xludf.DUMMYFUNCTION("""COMPUTED_VALUE"""),3.4)</f>
        <v>3.4</v>
      </c>
    </row>
    <row r="72">
      <c r="A72" s="9" t="str">
        <f>IFERROR(__xludf.DUMMYFUNCTION("""COMPUTED_VALUE"""),"PETR4")</f>
        <v>PETR4</v>
      </c>
      <c r="B72" s="17">
        <f>IFERROR(__xludf.DUMMYFUNCTION("""COMPUTED_VALUE"""),43868.0)</f>
        <v>43868</v>
      </c>
      <c r="C72" s="9">
        <f>IFERROR(__xludf.DUMMYFUNCTION("""COMPUTED_VALUE"""),2.0)</f>
        <v>2</v>
      </c>
      <c r="D72" s="9">
        <f>IFERROR(__xludf.DUMMYFUNCTION("""COMPUTED_VALUE"""),2020.0)</f>
        <v>2020</v>
      </c>
      <c r="E72" s="9">
        <f>IFERROR(__xludf.DUMMYFUNCTION("""COMPUTED_VALUE"""),0.42)</f>
        <v>0.42</v>
      </c>
      <c r="F72" s="9">
        <f>IFERROR(__xludf.DUMMYFUNCTION("""COMPUTED_VALUE"""),17.14)</f>
        <v>17.14</v>
      </c>
    </row>
    <row r="73">
      <c r="A73" s="9" t="str">
        <f>IFERROR(__xludf.DUMMYFUNCTION("""COMPUTED_VALUE"""),"PETR4")</f>
        <v>PETR4</v>
      </c>
      <c r="B73" s="17">
        <f>IFERROR(__xludf.DUMMYFUNCTION("""COMPUTED_VALUE"""),43868.0)</f>
        <v>43868</v>
      </c>
      <c r="C73" s="9">
        <f>IFERROR(__xludf.DUMMYFUNCTION("""COMPUTED_VALUE"""),2.0)</f>
        <v>2</v>
      </c>
      <c r="D73" s="9">
        <f>IFERROR(__xludf.DUMMYFUNCTION("""COMPUTED_VALUE"""),2020.0)</f>
        <v>2020</v>
      </c>
      <c r="E73" s="9">
        <f>IFERROR(__xludf.DUMMYFUNCTION("""COMPUTED_VALUE"""),0.0)</f>
        <v>0</v>
      </c>
      <c r="F73" s="9">
        <f>IFERROR(__xludf.DUMMYFUNCTION("""COMPUTED_VALUE"""),0.07)</f>
        <v>0.07</v>
      </c>
    </row>
    <row r="74">
      <c r="A74" s="9" t="str">
        <f>IFERROR(__xludf.DUMMYFUNCTION("""COMPUTED_VALUE"""),"PETR4")</f>
        <v>PETR4</v>
      </c>
      <c r="B74" s="17">
        <f>IFERROR(__xludf.DUMMYFUNCTION("""COMPUTED_VALUE"""),43868.0)</f>
        <v>43868</v>
      </c>
      <c r="C74" s="9">
        <f>IFERROR(__xludf.DUMMYFUNCTION("""COMPUTED_VALUE"""),2.0)</f>
        <v>2</v>
      </c>
      <c r="D74" s="9">
        <f>IFERROR(__xludf.DUMMYFUNCTION("""COMPUTED_VALUE"""),2020.0)</f>
        <v>2020</v>
      </c>
      <c r="E74" s="9">
        <f>IFERROR(__xludf.DUMMYFUNCTION("""COMPUTED_VALUE"""),0.0)</f>
        <v>0</v>
      </c>
      <c r="F74" s="9">
        <f>IFERROR(__xludf.DUMMYFUNCTION("""COMPUTED_VALUE"""),0.01)</f>
        <v>0.01</v>
      </c>
    </row>
    <row r="75">
      <c r="A75" s="9" t="str">
        <f>IFERROR(__xludf.DUMMYFUNCTION("""COMPUTED_VALUE"""),"BBDC4")</f>
        <v>BBDC4</v>
      </c>
      <c r="B75" s="17">
        <f>IFERROR(__xludf.DUMMYFUNCTION("""COMPUTED_VALUE"""),43864.0)</f>
        <v>43864</v>
      </c>
      <c r="C75" s="9">
        <f>IFERROR(__xludf.DUMMYFUNCTION("""COMPUTED_VALUE"""),2.0)</f>
        <v>2</v>
      </c>
      <c r="D75" s="9">
        <f>IFERROR(__xludf.DUMMYFUNCTION("""COMPUTED_VALUE"""),2020.0)</f>
        <v>2020</v>
      </c>
      <c r="E75" s="9">
        <f>IFERROR(__xludf.DUMMYFUNCTION("""COMPUTED_VALUE"""),0.02)</f>
        <v>0.02</v>
      </c>
      <c r="F75" s="9">
        <f>IFERROR(__xludf.DUMMYFUNCTION("""COMPUTED_VALUE"""),0.13)</f>
        <v>0.13</v>
      </c>
    </row>
    <row r="76">
      <c r="A76" s="9" t="str">
        <f>IFERROR(__xludf.DUMMYFUNCTION("""COMPUTED_VALUE"""),"TIMP3")</f>
        <v>TIMP3</v>
      </c>
      <c r="B76" s="17">
        <f>IFERROR(__xludf.DUMMYFUNCTION("""COMPUTED_VALUE"""),43854.0)</f>
        <v>43854</v>
      </c>
      <c r="C76" s="9">
        <f>IFERROR(__xludf.DUMMYFUNCTION("""COMPUTED_VALUE"""),1.0)</f>
        <v>1</v>
      </c>
      <c r="D76" s="9">
        <f>IFERROR(__xludf.DUMMYFUNCTION("""COMPUTED_VALUE"""),2020.0)</f>
        <v>2020</v>
      </c>
      <c r="E76" s="9">
        <f>IFERROR(__xludf.DUMMYFUNCTION("""COMPUTED_VALUE"""),0.16)</f>
        <v>0.16</v>
      </c>
      <c r="F76" s="9">
        <f>IFERROR(__xludf.DUMMYFUNCTION("""COMPUTED_VALUE"""),0.8)</f>
        <v>0.8</v>
      </c>
    </row>
    <row r="77">
      <c r="A77" s="9" t="str">
        <f>IFERROR(__xludf.DUMMYFUNCTION("""COMPUTED_VALUE"""),"OUJP11")</f>
        <v>OUJP11</v>
      </c>
      <c r="B77" s="17">
        <f>IFERROR(__xludf.DUMMYFUNCTION("""COMPUTED_VALUE"""),43845.0)</f>
        <v>43845</v>
      </c>
      <c r="C77" s="9">
        <f>IFERROR(__xludf.DUMMYFUNCTION("""COMPUTED_VALUE"""),1.0)</f>
        <v>1</v>
      </c>
      <c r="D77" s="9">
        <f>IFERROR(__xludf.DUMMYFUNCTION("""COMPUTED_VALUE"""),2020.0)</f>
        <v>2020</v>
      </c>
      <c r="E77" s="9">
        <f>IFERROR(__xludf.DUMMYFUNCTION("""COMPUTED_VALUE"""),0.0)</f>
        <v>0</v>
      </c>
      <c r="F77" s="9">
        <f>IFERROR(__xludf.DUMMYFUNCTION("""COMPUTED_VALUE"""),3.6)</f>
        <v>3.6</v>
      </c>
    </row>
    <row r="78">
      <c r="A78" s="9" t="str">
        <f>IFERROR(__xludf.DUMMYFUNCTION("""COMPUTED_VALUE"""),"LCAM3")</f>
        <v>LCAM3</v>
      </c>
      <c r="B78" s="17">
        <f>IFERROR(__xludf.DUMMYFUNCTION("""COMPUTED_VALUE"""),43840.0)</f>
        <v>43840</v>
      </c>
      <c r="C78" s="9">
        <f>IFERROR(__xludf.DUMMYFUNCTION("""COMPUTED_VALUE"""),1.0)</f>
        <v>1</v>
      </c>
      <c r="D78" s="9">
        <f>IFERROR(__xludf.DUMMYFUNCTION("""COMPUTED_VALUE"""),2020.0)</f>
        <v>2020</v>
      </c>
      <c r="E78" s="9">
        <f>IFERROR(__xludf.DUMMYFUNCTION("""COMPUTED_VALUE"""),0.08)</f>
        <v>0.08</v>
      </c>
      <c r="F78" s="9">
        <f>IFERROR(__xludf.DUMMYFUNCTION("""COMPUTED_VALUE"""),4.39)</f>
        <v>4.39</v>
      </c>
    </row>
    <row r="79">
      <c r="A79" s="9" t="str">
        <f>IFERROR(__xludf.DUMMYFUNCTION("""COMPUTED_VALUE"""),"ITSA4")</f>
        <v>ITSA4</v>
      </c>
      <c r="B79" s="17">
        <f>IFERROR(__xludf.DUMMYFUNCTION("""COMPUTED_VALUE"""),43832.0)</f>
        <v>43832</v>
      </c>
      <c r="C79" s="9">
        <f>IFERROR(__xludf.DUMMYFUNCTION("""COMPUTED_VALUE"""),1.0)</f>
        <v>1</v>
      </c>
      <c r="D79" s="9">
        <f>IFERROR(__xludf.DUMMYFUNCTION("""COMPUTED_VALUE"""),2020.0)</f>
        <v>2020</v>
      </c>
      <c r="E79" s="9">
        <f>IFERROR(__xludf.DUMMYFUNCTION("""COMPUTED_VALUE"""),0.02)</f>
        <v>0.02</v>
      </c>
      <c r="F79" s="9">
        <f>IFERROR(__xludf.DUMMYFUNCTION("""COMPUTED_VALUE"""),0.28)</f>
        <v>0.28</v>
      </c>
    </row>
    <row r="80">
      <c r="A80" s="9" t="str">
        <f>IFERROR(__xludf.DUMMYFUNCTION("""COMPUTED_VALUE"""),"ITUB4")</f>
        <v>ITUB4</v>
      </c>
      <c r="B80" s="17">
        <f>IFERROR(__xludf.DUMMYFUNCTION("""COMPUTED_VALUE"""),43832.0)</f>
        <v>43832</v>
      </c>
      <c r="C80" s="9">
        <f>IFERROR(__xludf.DUMMYFUNCTION("""COMPUTED_VALUE"""),1.0)</f>
        <v>1</v>
      </c>
      <c r="D80" s="9">
        <f>IFERROR(__xludf.DUMMYFUNCTION("""COMPUTED_VALUE"""),2020.0)</f>
        <v>2020</v>
      </c>
      <c r="E80" s="9">
        <f>IFERROR(__xludf.DUMMYFUNCTION("""COMPUTED_VALUE"""),0.02)</f>
        <v>0.02</v>
      </c>
      <c r="F80" s="9">
        <f>IFERROR(__xludf.DUMMYFUNCTION("""COMPUTED_VALUE"""),0.24)</f>
        <v>0.24</v>
      </c>
    </row>
    <row r="81">
      <c r="A81" s="9" t="str">
        <f>IFERROR(__xludf.DUMMYFUNCTION("""COMPUTED_VALUE"""),"B3SA3")</f>
        <v>B3SA3</v>
      </c>
      <c r="B81" s="17">
        <f>IFERROR(__xludf.DUMMYFUNCTION("""COMPUTED_VALUE"""),44560.0)</f>
        <v>44560</v>
      </c>
      <c r="C81" s="9">
        <f>IFERROR(__xludf.DUMMYFUNCTION("""COMPUTED_VALUE"""),12.0)</f>
        <v>12</v>
      </c>
      <c r="D81" s="9">
        <f>IFERROR(__xludf.DUMMYFUNCTION("""COMPUTED_VALUE"""),2021.0)</f>
        <v>2021</v>
      </c>
      <c r="E81" s="9">
        <f>IFERROR(__xludf.DUMMYFUNCTION("""COMPUTED_VALUE"""),0.14)</f>
        <v>0.14</v>
      </c>
      <c r="F81" s="9">
        <f>IFERROR(__xludf.DUMMYFUNCTION("""COMPUTED_VALUE"""),59.78)</f>
        <v>59.78</v>
      </c>
    </row>
    <row r="82">
      <c r="A82" s="9" t="str">
        <f>IFERROR(__xludf.DUMMYFUNCTION("""COMPUTED_VALUE"""),"TAEE11")</f>
        <v>TAEE11</v>
      </c>
      <c r="B82" s="17">
        <f>IFERROR(__xludf.DUMMYFUNCTION("""COMPUTED_VALUE"""),44559.0)</f>
        <v>44559</v>
      </c>
      <c r="C82" s="9">
        <f>IFERROR(__xludf.DUMMYFUNCTION("""COMPUTED_VALUE"""),12.0)</f>
        <v>12</v>
      </c>
      <c r="D82" s="9">
        <f>IFERROR(__xludf.DUMMYFUNCTION("""COMPUTED_VALUE"""),2021.0)</f>
        <v>2021</v>
      </c>
      <c r="E82" s="9">
        <f>IFERROR(__xludf.DUMMYFUNCTION("""COMPUTED_VALUE"""),0.93)</f>
        <v>0.93</v>
      </c>
      <c r="F82" s="9">
        <f>IFERROR(__xludf.DUMMYFUNCTION("""COMPUTED_VALUE"""),136.96)</f>
        <v>136.96</v>
      </c>
    </row>
    <row r="83">
      <c r="A83" s="9" t="str">
        <f>IFERROR(__xludf.DUMMYFUNCTION("""COMPUTED_VALUE"""),"TAEE11")</f>
        <v>TAEE11</v>
      </c>
      <c r="B83" s="17">
        <f>IFERROR(__xludf.DUMMYFUNCTION("""COMPUTED_VALUE"""),44559.0)</f>
        <v>44559</v>
      </c>
      <c r="C83" s="9">
        <f>IFERROR(__xludf.DUMMYFUNCTION("""COMPUTED_VALUE"""),12.0)</f>
        <v>12</v>
      </c>
      <c r="D83" s="9">
        <f>IFERROR(__xludf.DUMMYFUNCTION("""COMPUTED_VALUE"""),2021.0)</f>
        <v>2021</v>
      </c>
      <c r="E83" s="9">
        <f>IFERROR(__xludf.DUMMYFUNCTION("""COMPUTED_VALUE"""),0.58)</f>
        <v>0.58</v>
      </c>
      <c r="F83" s="9">
        <f>IFERROR(__xludf.DUMMYFUNCTION("""COMPUTED_VALUE"""),73.27)</f>
        <v>73.27</v>
      </c>
    </row>
    <row r="84">
      <c r="A84" s="9" t="str">
        <f>IFERROR(__xludf.DUMMYFUNCTION("""COMPUTED_VALUE"""),"TRPL4")</f>
        <v>TRPL4</v>
      </c>
      <c r="B84" s="17">
        <f>IFERROR(__xludf.DUMMYFUNCTION("""COMPUTED_VALUE"""),44517.0)</f>
        <v>44517</v>
      </c>
      <c r="C84" s="9">
        <f>IFERROR(__xludf.DUMMYFUNCTION("""COMPUTED_VALUE"""),11.0)</f>
        <v>11</v>
      </c>
      <c r="D84" s="9">
        <f>IFERROR(__xludf.DUMMYFUNCTION("""COMPUTED_VALUE"""),2021.0)</f>
        <v>2021</v>
      </c>
      <c r="E84" s="9">
        <f>IFERROR(__xludf.DUMMYFUNCTION("""COMPUTED_VALUE"""),0.78)</f>
        <v>0.78</v>
      </c>
      <c r="F84" s="9">
        <f>IFERROR(__xludf.DUMMYFUNCTION("""COMPUTED_VALUE"""),152.0)</f>
        <v>152</v>
      </c>
    </row>
    <row r="85">
      <c r="A85" s="9" t="str">
        <f>IFERROR(__xludf.DUMMYFUNCTION("""COMPUTED_VALUE"""),"TRPL4")</f>
        <v>TRPL4</v>
      </c>
      <c r="B85" s="17">
        <f>IFERROR(__xludf.DUMMYFUNCTION("""COMPUTED_VALUE"""),44517.0)</f>
        <v>44517</v>
      </c>
      <c r="C85" s="9">
        <f>IFERROR(__xludf.DUMMYFUNCTION("""COMPUTED_VALUE"""),11.0)</f>
        <v>11</v>
      </c>
      <c r="D85" s="9">
        <f>IFERROR(__xludf.DUMMYFUNCTION("""COMPUTED_VALUE"""),2021.0)</f>
        <v>2021</v>
      </c>
      <c r="E85" s="9">
        <f>IFERROR(__xludf.DUMMYFUNCTION("""COMPUTED_VALUE"""),0.52)</f>
        <v>0.52</v>
      </c>
      <c r="F85" s="9">
        <f>IFERROR(__xludf.DUMMYFUNCTION("""COMPUTED_VALUE"""),121.22)</f>
        <v>121.22</v>
      </c>
    </row>
    <row r="86">
      <c r="A86" s="9" t="str">
        <f>IFERROR(__xludf.DUMMYFUNCTION("""COMPUTED_VALUE"""),"EUCA4")</f>
        <v>EUCA4</v>
      </c>
      <c r="B86" s="17">
        <f>IFERROR(__xludf.DUMMYFUNCTION("""COMPUTED_VALUE"""),44498.0)</f>
        <v>44498</v>
      </c>
      <c r="C86" s="9">
        <f>IFERROR(__xludf.DUMMYFUNCTION("""COMPUTED_VALUE"""),10.0)</f>
        <v>10</v>
      </c>
      <c r="D86" s="9">
        <f>IFERROR(__xludf.DUMMYFUNCTION("""COMPUTED_VALUE"""),2021.0)</f>
        <v>2021</v>
      </c>
      <c r="E86" s="9">
        <f>IFERROR(__xludf.DUMMYFUNCTION("""COMPUTED_VALUE"""),0.18)</f>
        <v>0.18</v>
      </c>
      <c r="F86" s="9">
        <f>IFERROR(__xludf.DUMMYFUNCTION("""COMPUTED_VALUE"""),112.18)</f>
        <v>112.18</v>
      </c>
    </row>
    <row r="87">
      <c r="A87" s="9" t="str">
        <f>IFERROR(__xludf.DUMMYFUNCTION("""COMPUTED_VALUE"""),"B3SA3")</f>
        <v>B3SA3</v>
      </c>
      <c r="B87" s="17">
        <f>IFERROR(__xludf.DUMMYFUNCTION("""COMPUTED_VALUE"""),44476.0)</f>
        <v>44476</v>
      </c>
      <c r="C87" s="9">
        <f>IFERROR(__xludf.DUMMYFUNCTION("""COMPUTED_VALUE"""),10.0)</f>
        <v>10</v>
      </c>
      <c r="D87" s="9">
        <f>IFERROR(__xludf.DUMMYFUNCTION("""COMPUTED_VALUE"""),2021.0)</f>
        <v>2021</v>
      </c>
      <c r="E87" s="9">
        <f>IFERROR(__xludf.DUMMYFUNCTION("""COMPUTED_VALUE"""),0.15)</f>
        <v>0.15</v>
      </c>
      <c r="F87" s="9">
        <f>IFERROR(__xludf.DUMMYFUNCTION("""COMPUTED_VALUE"""),55.49)</f>
        <v>55.49</v>
      </c>
    </row>
    <row r="88">
      <c r="A88" s="9" t="str">
        <f>IFERROR(__xludf.DUMMYFUNCTION("""COMPUTED_VALUE"""),"B3SA3")</f>
        <v>B3SA3</v>
      </c>
      <c r="B88" s="17">
        <f>IFERROR(__xludf.DUMMYFUNCTION("""COMPUTED_VALUE"""),44476.0)</f>
        <v>44476</v>
      </c>
      <c r="C88" s="9">
        <f>IFERROR(__xludf.DUMMYFUNCTION("""COMPUTED_VALUE"""),10.0)</f>
        <v>10</v>
      </c>
      <c r="D88" s="9">
        <f>IFERROR(__xludf.DUMMYFUNCTION("""COMPUTED_VALUE"""),2021.0)</f>
        <v>2021</v>
      </c>
      <c r="E88" s="9">
        <f>IFERROR(__xludf.DUMMYFUNCTION("""COMPUTED_VALUE"""),0.04)</f>
        <v>0.04</v>
      </c>
      <c r="F88" s="9">
        <f>IFERROR(__xludf.DUMMYFUNCTION("""COMPUTED_VALUE"""),13.87)</f>
        <v>13.87</v>
      </c>
    </row>
    <row r="89">
      <c r="A89" s="9" t="str">
        <f>IFERROR(__xludf.DUMMYFUNCTION("""COMPUTED_VALUE"""),"VALE3")</f>
        <v>VALE3</v>
      </c>
      <c r="B89" s="17">
        <f>IFERROR(__xludf.DUMMYFUNCTION("""COMPUTED_VALUE"""),44469.0)</f>
        <v>44469</v>
      </c>
      <c r="C89" s="9">
        <f>IFERROR(__xludf.DUMMYFUNCTION("""COMPUTED_VALUE"""),9.0)</f>
        <v>9</v>
      </c>
      <c r="D89" s="9">
        <f>IFERROR(__xludf.DUMMYFUNCTION("""COMPUTED_VALUE"""),2021.0)</f>
        <v>2021</v>
      </c>
      <c r="E89" s="9">
        <f>IFERROR(__xludf.DUMMYFUNCTION("""COMPUTED_VALUE"""),8.19)</f>
        <v>8.19</v>
      </c>
      <c r="F89" s="9">
        <f>IFERROR(__xludf.DUMMYFUNCTION("""COMPUTED_VALUE"""),401.66)</f>
        <v>401.66</v>
      </c>
    </row>
    <row r="90">
      <c r="A90" s="9" t="str">
        <f>IFERROR(__xludf.DUMMYFUNCTION("""COMPUTED_VALUE"""),"BBSE3")</f>
        <v>BBSE3</v>
      </c>
      <c r="B90" s="17">
        <f>IFERROR(__xludf.DUMMYFUNCTION("""COMPUTED_VALUE"""),44431.0)</f>
        <v>44431</v>
      </c>
      <c r="C90" s="9">
        <f>IFERROR(__xludf.DUMMYFUNCTION("""COMPUTED_VALUE"""),8.0)</f>
        <v>8</v>
      </c>
      <c r="D90" s="9">
        <f>IFERROR(__xludf.DUMMYFUNCTION("""COMPUTED_VALUE"""),2021.0)</f>
        <v>2021</v>
      </c>
      <c r="E90" s="9">
        <f>IFERROR(__xludf.DUMMYFUNCTION("""COMPUTED_VALUE"""),0.52)</f>
        <v>0.52</v>
      </c>
      <c r="F90" s="9">
        <f>IFERROR(__xludf.DUMMYFUNCTION("""COMPUTED_VALUE"""),130.21)</f>
        <v>130.21</v>
      </c>
    </row>
    <row r="91">
      <c r="A91" s="9" t="str">
        <f>IFERROR(__xludf.DUMMYFUNCTION("""COMPUTED_VALUE"""),"WEGE3")</f>
        <v>WEGE3</v>
      </c>
      <c r="B91" s="17">
        <f>IFERROR(__xludf.DUMMYFUNCTION("""COMPUTED_VALUE"""),44419.0)</f>
        <v>44419</v>
      </c>
      <c r="C91" s="9">
        <f>IFERROR(__xludf.DUMMYFUNCTION("""COMPUTED_VALUE"""),8.0)</f>
        <v>8</v>
      </c>
      <c r="D91" s="9">
        <f>IFERROR(__xludf.DUMMYFUNCTION("""COMPUTED_VALUE"""),2021.0)</f>
        <v>2021</v>
      </c>
      <c r="E91" s="9">
        <f>IFERROR(__xludf.DUMMYFUNCTION("""COMPUTED_VALUE"""),0.15)</f>
        <v>0.15</v>
      </c>
      <c r="F91" s="9">
        <f>IFERROR(__xludf.DUMMYFUNCTION("""COMPUTED_VALUE"""),24.83)</f>
        <v>24.83</v>
      </c>
    </row>
    <row r="92">
      <c r="A92" s="9" t="str">
        <f>IFERROR(__xludf.DUMMYFUNCTION("""COMPUTED_VALUE"""),"WEGE3")</f>
        <v>WEGE3</v>
      </c>
      <c r="B92" s="17">
        <f>IFERROR(__xludf.DUMMYFUNCTION("""COMPUTED_VALUE"""),44419.0)</f>
        <v>44419</v>
      </c>
      <c r="C92" s="9">
        <f>IFERROR(__xludf.DUMMYFUNCTION("""COMPUTED_VALUE"""),8.0)</f>
        <v>8</v>
      </c>
      <c r="D92" s="9">
        <f>IFERROR(__xludf.DUMMYFUNCTION("""COMPUTED_VALUE"""),2021.0)</f>
        <v>2021</v>
      </c>
      <c r="E92" s="9">
        <f>IFERROR(__xludf.DUMMYFUNCTION("""COMPUTED_VALUE"""),0.02)</f>
        <v>0.02</v>
      </c>
      <c r="F92" s="9">
        <f>IFERROR(__xludf.DUMMYFUNCTION("""COMPUTED_VALUE"""),2.74)</f>
        <v>2.74</v>
      </c>
    </row>
    <row r="93">
      <c r="A93" s="9" t="str">
        <f>IFERROR(__xludf.DUMMYFUNCTION("""COMPUTED_VALUE"""),"TRPL4")</f>
        <v>TRPL4</v>
      </c>
      <c r="B93" s="17">
        <f>IFERROR(__xludf.DUMMYFUNCTION("""COMPUTED_VALUE"""),44392.0)</f>
        <v>44392</v>
      </c>
      <c r="C93" s="9">
        <f>IFERROR(__xludf.DUMMYFUNCTION("""COMPUTED_VALUE"""),7.0)</f>
        <v>7</v>
      </c>
      <c r="D93" s="9">
        <f>IFERROR(__xludf.DUMMYFUNCTION("""COMPUTED_VALUE"""),2021.0)</f>
        <v>2021</v>
      </c>
      <c r="E93" s="9">
        <f>IFERROR(__xludf.DUMMYFUNCTION("""COMPUTED_VALUE"""),0.5)</f>
        <v>0.5</v>
      </c>
      <c r="F93" s="9">
        <f>IFERROR(__xludf.DUMMYFUNCTION("""COMPUTED_VALUE"""),100.5)</f>
        <v>100.5</v>
      </c>
    </row>
    <row r="94">
      <c r="A94" s="9" t="str">
        <f>IFERROR(__xludf.DUMMYFUNCTION("""COMPUTED_VALUE"""),"VIVT4")</f>
        <v>VIVT4</v>
      </c>
      <c r="B94" s="17">
        <f>IFERROR(__xludf.DUMMYFUNCTION("""COMPUTED_VALUE"""),44390.0)</f>
        <v>44390</v>
      </c>
      <c r="C94" s="9">
        <f>IFERROR(__xludf.DUMMYFUNCTION("""COMPUTED_VALUE"""),7.0)</f>
        <v>7</v>
      </c>
      <c r="D94" s="9">
        <f>IFERROR(__xludf.DUMMYFUNCTION("""COMPUTED_VALUE"""),2021.0)</f>
        <v>2021</v>
      </c>
      <c r="E94" s="9">
        <f>IFERROR(__xludf.DUMMYFUNCTION("""COMPUTED_VALUE"""),0.16)</f>
        <v>0.16</v>
      </c>
      <c r="F94" s="9">
        <f>IFERROR(__xludf.DUMMYFUNCTION("""COMPUTED_VALUE"""),4.48)</f>
        <v>4.48</v>
      </c>
    </row>
    <row r="95">
      <c r="A95" s="9" t="str">
        <f>IFERROR(__xludf.DUMMYFUNCTION("""COMPUTED_VALUE"""),"VIVT4")</f>
        <v>VIVT4</v>
      </c>
      <c r="B95" s="17">
        <f>IFERROR(__xludf.DUMMYFUNCTION("""COMPUTED_VALUE"""),44390.0)</f>
        <v>44390</v>
      </c>
      <c r="C95" s="9">
        <f>IFERROR(__xludf.DUMMYFUNCTION("""COMPUTED_VALUE"""),7.0)</f>
        <v>7</v>
      </c>
      <c r="D95" s="9">
        <f>IFERROR(__xludf.DUMMYFUNCTION("""COMPUTED_VALUE"""),2021.0)</f>
        <v>2021</v>
      </c>
      <c r="E95" s="9">
        <f>IFERROR(__xludf.DUMMYFUNCTION("""COMPUTED_VALUE"""),0.09)</f>
        <v>0.09</v>
      </c>
      <c r="F95" s="9">
        <f>IFERROR(__xludf.DUMMYFUNCTION("""COMPUTED_VALUE"""),2.96)</f>
        <v>2.96</v>
      </c>
    </row>
    <row r="96">
      <c r="A96" s="9" t="str">
        <f>IFERROR(__xludf.DUMMYFUNCTION("""COMPUTED_VALUE"""),"B3SA3")</f>
        <v>B3SA3</v>
      </c>
      <c r="B96" s="17">
        <f>IFERROR(__xludf.DUMMYFUNCTION("""COMPUTED_VALUE"""),44384.0)</f>
        <v>44384</v>
      </c>
      <c r="C96" s="9">
        <f>IFERROR(__xludf.DUMMYFUNCTION("""COMPUTED_VALUE"""),7.0)</f>
        <v>7</v>
      </c>
      <c r="D96" s="9">
        <f>IFERROR(__xludf.DUMMYFUNCTION("""COMPUTED_VALUE"""),2021.0)</f>
        <v>2021</v>
      </c>
      <c r="E96" s="9">
        <f>IFERROR(__xludf.DUMMYFUNCTION("""COMPUTED_VALUE"""),0.16)</f>
        <v>0.16</v>
      </c>
      <c r="F96" s="9">
        <f>IFERROR(__xludf.DUMMYFUNCTION("""COMPUTED_VALUE"""),52.92)</f>
        <v>52.92</v>
      </c>
    </row>
    <row r="97">
      <c r="A97" s="9" t="str">
        <f>IFERROR(__xludf.DUMMYFUNCTION("""COMPUTED_VALUE"""),"B3SA3")</f>
        <v>B3SA3</v>
      </c>
      <c r="B97" s="17">
        <f>IFERROR(__xludf.DUMMYFUNCTION("""COMPUTED_VALUE"""),44384.0)</f>
        <v>44384</v>
      </c>
      <c r="C97" s="9">
        <f>IFERROR(__xludf.DUMMYFUNCTION("""COMPUTED_VALUE"""),7.0)</f>
        <v>7</v>
      </c>
      <c r="D97" s="9">
        <f>IFERROR(__xludf.DUMMYFUNCTION("""COMPUTED_VALUE"""),2021.0)</f>
        <v>2021</v>
      </c>
      <c r="E97" s="9">
        <f>IFERROR(__xludf.DUMMYFUNCTION("""COMPUTED_VALUE"""),0.04)</f>
        <v>0.04</v>
      </c>
      <c r="F97" s="9">
        <f>IFERROR(__xludf.DUMMYFUNCTION("""COMPUTED_VALUE"""),12.3)</f>
        <v>12.3</v>
      </c>
    </row>
    <row r="98">
      <c r="A98" s="9" t="str">
        <f>IFERROR(__xludf.DUMMYFUNCTION("""COMPUTED_VALUE"""),"VALE3")</f>
        <v>VALE3</v>
      </c>
      <c r="B98" s="17">
        <f>IFERROR(__xludf.DUMMYFUNCTION("""COMPUTED_VALUE"""),44377.0)</f>
        <v>44377</v>
      </c>
      <c r="C98" s="9">
        <f>IFERROR(__xludf.DUMMYFUNCTION("""COMPUTED_VALUE"""),6.0)</f>
        <v>6</v>
      </c>
      <c r="D98" s="9">
        <f>IFERROR(__xludf.DUMMYFUNCTION("""COMPUTED_VALUE"""),2021.0)</f>
        <v>2021</v>
      </c>
      <c r="E98" s="9">
        <f>IFERROR(__xludf.DUMMYFUNCTION("""COMPUTED_VALUE"""),1.46)</f>
        <v>1.46</v>
      </c>
      <c r="F98" s="9">
        <f>IFERROR(__xludf.DUMMYFUNCTION("""COMPUTED_VALUE"""),66.11)</f>
        <v>66.11</v>
      </c>
    </row>
    <row r="99">
      <c r="A99" s="9" t="str">
        <f>IFERROR(__xludf.DUMMYFUNCTION("""COMPUTED_VALUE"""),"VALE3")</f>
        <v>VALE3</v>
      </c>
      <c r="B99" s="17">
        <f>IFERROR(__xludf.DUMMYFUNCTION("""COMPUTED_VALUE"""),44377.0)</f>
        <v>44377</v>
      </c>
      <c r="C99" s="9">
        <f>IFERROR(__xludf.DUMMYFUNCTION("""COMPUTED_VALUE"""),6.0)</f>
        <v>6</v>
      </c>
      <c r="D99" s="9">
        <f>IFERROR(__xludf.DUMMYFUNCTION("""COMPUTED_VALUE"""),2021.0)</f>
        <v>2021</v>
      </c>
      <c r="E99" s="9">
        <f>IFERROR(__xludf.DUMMYFUNCTION("""COMPUTED_VALUE"""),0.72)</f>
        <v>0.72</v>
      </c>
      <c r="F99" s="9">
        <f>IFERROR(__xludf.DUMMYFUNCTION("""COMPUTED_VALUE"""),32.41)</f>
        <v>32.41</v>
      </c>
    </row>
    <row r="100">
      <c r="A100" s="9" t="str">
        <f>IFERROR(__xludf.DUMMYFUNCTION("""COMPUTED_VALUE"""),"CYRE3")</f>
        <v>CYRE3</v>
      </c>
      <c r="B100" s="17">
        <f>IFERROR(__xludf.DUMMYFUNCTION("""COMPUTED_VALUE"""),44361.0)</f>
        <v>44361</v>
      </c>
      <c r="C100" s="9">
        <f>IFERROR(__xludf.DUMMYFUNCTION("""COMPUTED_VALUE"""),6.0)</f>
        <v>6</v>
      </c>
      <c r="D100" s="9">
        <f>IFERROR(__xludf.DUMMYFUNCTION("""COMPUTED_VALUE"""),2021.0)</f>
        <v>2021</v>
      </c>
      <c r="E100" s="9">
        <f>IFERROR(__xludf.DUMMYFUNCTION("""COMPUTED_VALUE"""),1.08)</f>
        <v>1.08</v>
      </c>
      <c r="F100" s="9">
        <f>IFERROR(__xludf.DUMMYFUNCTION("""COMPUTED_VALUE"""),316.39)</f>
        <v>316.39</v>
      </c>
    </row>
    <row r="101">
      <c r="A101" s="9" t="str">
        <f>IFERROR(__xludf.DUMMYFUNCTION("""COMPUTED_VALUE"""),"TRPL4")</f>
        <v>TRPL4</v>
      </c>
      <c r="B101" s="17">
        <f>IFERROR(__xludf.DUMMYFUNCTION("""COMPUTED_VALUE"""),44337.0)</f>
        <v>44337</v>
      </c>
      <c r="C101" s="9">
        <f>IFERROR(__xludf.DUMMYFUNCTION("""COMPUTED_VALUE"""),5.0)</f>
        <v>5</v>
      </c>
      <c r="D101" s="9">
        <f>IFERROR(__xludf.DUMMYFUNCTION("""COMPUTED_VALUE"""),2021.0)</f>
        <v>2021</v>
      </c>
      <c r="E101" s="9">
        <f>IFERROR(__xludf.DUMMYFUNCTION("""COMPUTED_VALUE"""),0.8)</f>
        <v>0.8</v>
      </c>
      <c r="F101" s="9">
        <f>IFERROR(__xludf.DUMMYFUNCTION("""COMPUTED_VALUE"""),237.0)</f>
        <v>237</v>
      </c>
    </row>
    <row r="102">
      <c r="A102" s="9" t="str">
        <f>IFERROR(__xludf.DUMMYFUNCTION("""COMPUTED_VALUE"""),"TRPL4")</f>
        <v>TRPL4</v>
      </c>
      <c r="B102" s="17">
        <f>IFERROR(__xludf.DUMMYFUNCTION("""COMPUTED_VALUE"""),44337.0)</f>
        <v>44337</v>
      </c>
      <c r="C102" s="9">
        <f>IFERROR(__xludf.DUMMYFUNCTION("""COMPUTED_VALUE"""),5.0)</f>
        <v>5</v>
      </c>
      <c r="D102" s="9">
        <f>IFERROR(__xludf.DUMMYFUNCTION("""COMPUTED_VALUE"""),2021.0)</f>
        <v>2021</v>
      </c>
      <c r="E102" s="9">
        <f>IFERROR(__xludf.DUMMYFUNCTION("""COMPUTED_VALUE"""),0.79)</f>
        <v>0.79</v>
      </c>
      <c r="F102" s="9">
        <f>IFERROR(__xludf.DUMMYFUNCTION("""COMPUTED_VALUE"""),234.01)</f>
        <v>234.01</v>
      </c>
    </row>
    <row r="103">
      <c r="A103" s="9" t="str">
        <f>IFERROR(__xludf.DUMMYFUNCTION("""COMPUTED_VALUE"""),"TOTS3")</f>
        <v>TOTS3</v>
      </c>
      <c r="B103" s="17">
        <f>IFERROR(__xludf.DUMMYFUNCTION("""COMPUTED_VALUE"""),44336.0)</f>
        <v>44336</v>
      </c>
      <c r="C103" s="9">
        <f>IFERROR(__xludf.DUMMYFUNCTION("""COMPUTED_VALUE"""),5.0)</f>
        <v>5</v>
      </c>
      <c r="D103" s="9">
        <f>IFERROR(__xludf.DUMMYFUNCTION("""COMPUTED_VALUE"""),2021.0)</f>
        <v>2021</v>
      </c>
      <c r="E103" s="9">
        <f>IFERROR(__xludf.DUMMYFUNCTION("""COMPUTED_VALUE"""),0.1)</f>
        <v>0.1</v>
      </c>
      <c r="F103" s="9">
        <f>IFERROR(__xludf.DUMMYFUNCTION("""COMPUTED_VALUE"""),10.12)</f>
        <v>10.12</v>
      </c>
    </row>
    <row r="104">
      <c r="A104" s="9" t="str">
        <f>IFERROR(__xludf.DUMMYFUNCTION("""COMPUTED_VALUE"""),"BPAN4")</f>
        <v>BPAN4</v>
      </c>
      <c r="B104" s="17">
        <f>IFERROR(__xludf.DUMMYFUNCTION("""COMPUTED_VALUE"""),44330.0)</f>
        <v>44330</v>
      </c>
      <c r="C104" s="9">
        <f>IFERROR(__xludf.DUMMYFUNCTION("""COMPUTED_VALUE"""),5.0)</f>
        <v>5</v>
      </c>
      <c r="D104" s="9">
        <f>IFERROR(__xludf.DUMMYFUNCTION("""COMPUTED_VALUE"""),2021.0)</f>
        <v>2021</v>
      </c>
      <c r="E104" s="9">
        <f>IFERROR(__xludf.DUMMYFUNCTION("""COMPUTED_VALUE"""),0.0)</f>
        <v>0</v>
      </c>
      <c r="F104" s="9">
        <f>IFERROR(__xludf.DUMMYFUNCTION("""COMPUTED_VALUE"""),1.2)</f>
        <v>1.2</v>
      </c>
    </row>
    <row r="105">
      <c r="A105" s="9" t="str">
        <f>IFERROR(__xludf.DUMMYFUNCTION("""COMPUTED_VALUE"""),"HGRE11")</f>
        <v>HGRE11</v>
      </c>
      <c r="B105" s="17">
        <f>IFERROR(__xludf.DUMMYFUNCTION("""COMPUTED_VALUE"""),44330.0)</f>
        <v>44330</v>
      </c>
      <c r="C105" s="9">
        <f>IFERROR(__xludf.DUMMYFUNCTION("""COMPUTED_VALUE"""),5.0)</f>
        <v>5</v>
      </c>
      <c r="D105" s="9">
        <f>IFERROR(__xludf.DUMMYFUNCTION("""COMPUTED_VALUE"""),2021.0)</f>
        <v>2021</v>
      </c>
      <c r="E105" s="9">
        <f>IFERROR(__xludf.DUMMYFUNCTION("""COMPUTED_VALUE"""),0.0)</f>
        <v>0</v>
      </c>
      <c r="F105" s="9">
        <f>IFERROR(__xludf.DUMMYFUNCTION("""COMPUTED_VALUE"""),18.09)</f>
        <v>18.09</v>
      </c>
    </row>
    <row r="106">
      <c r="A106" s="9" t="str">
        <f>IFERROR(__xludf.DUMMYFUNCTION("""COMPUTED_VALUE"""),"ENAT3")</f>
        <v>ENAT3</v>
      </c>
      <c r="B106" s="17">
        <f>IFERROR(__xludf.DUMMYFUNCTION("""COMPUTED_VALUE"""),44327.0)</f>
        <v>44327</v>
      </c>
      <c r="C106" s="9">
        <f>IFERROR(__xludf.DUMMYFUNCTION("""COMPUTED_VALUE"""),5.0)</f>
        <v>5</v>
      </c>
      <c r="D106" s="9">
        <f>IFERROR(__xludf.DUMMYFUNCTION("""COMPUTED_VALUE"""),2021.0)</f>
        <v>2021</v>
      </c>
      <c r="E106" s="9">
        <f>IFERROR(__xludf.DUMMYFUNCTION("""COMPUTED_VALUE"""),0.19)</f>
        <v>0.19</v>
      </c>
      <c r="F106" s="9">
        <f>IFERROR(__xludf.DUMMYFUNCTION("""COMPUTED_VALUE"""),122.9)</f>
        <v>122.9</v>
      </c>
    </row>
    <row r="107">
      <c r="A107" s="9" t="str">
        <f>IFERROR(__xludf.DUMMYFUNCTION("""COMPUTED_VALUE"""),"TGAR11")</f>
        <v>TGAR11</v>
      </c>
      <c r="B107" s="17">
        <f>IFERROR(__xludf.DUMMYFUNCTION("""COMPUTED_VALUE"""),44326.0)</f>
        <v>44326</v>
      </c>
      <c r="C107" s="9">
        <f>IFERROR(__xludf.DUMMYFUNCTION("""COMPUTED_VALUE"""),5.0)</f>
        <v>5</v>
      </c>
      <c r="D107" s="9">
        <f>IFERROR(__xludf.DUMMYFUNCTION("""COMPUTED_VALUE"""),2021.0)</f>
        <v>2021</v>
      </c>
      <c r="E107" s="9">
        <f>IFERROR(__xludf.DUMMYFUNCTION("""COMPUTED_VALUE"""),0.0)</f>
        <v>0</v>
      </c>
      <c r="F107" s="9">
        <f>IFERROR(__xludf.DUMMYFUNCTION("""COMPUTED_VALUE"""),15.12)</f>
        <v>15.12</v>
      </c>
    </row>
    <row r="108">
      <c r="A108" s="9" t="str">
        <f>IFERROR(__xludf.DUMMYFUNCTION("""COMPUTED_VALUE"""),"MGLU3")</f>
        <v>MGLU3</v>
      </c>
      <c r="B108" s="17">
        <f>IFERROR(__xludf.DUMMYFUNCTION("""COMPUTED_VALUE"""),44321.0)</f>
        <v>44321</v>
      </c>
      <c r="C108" s="9">
        <f>IFERROR(__xludf.DUMMYFUNCTION("""COMPUTED_VALUE"""),5.0)</f>
        <v>5</v>
      </c>
      <c r="D108" s="9">
        <f>IFERROR(__xludf.DUMMYFUNCTION("""COMPUTED_VALUE"""),2021.0)</f>
        <v>2021</v>
      </c>
      <c r="E108" s="9">
        <f>IFERROR(__xludf.DUMMYFUNCTION("""COMPUTED_VALUE"""),0.02)</f>
        <v>0.02</v>
      </c>
      <c r="F108" s="9">
        <f>IFERROR(__xludf.DUMMYFUNCTION("""COMPUTED_VALUE"""),4.11)</f>
        <v>4.11</v>
      </c>
    </row>
    <row r="109">
      <c r="A109" s="9" t="str">
        <f>IFERROR(__xludf.DUMMYFUNCTION("""COMPUTED_VALUE"""),"ROMI3")</f>
        <v>ROMI3</v>
      </c>
      <c r="B109" s="17">
        <f>IFERROR(__xludf.DUMMYFUNCTION("""COMPUTED_VALUE"""),44314.0)</f>
        <v>44314</v>
      </c>
      <c r="C109" s="9">
        <f>IFERROR(__xludf.DUMMYFUNCTION("""COMPUTED_VALUE"""),4.0)</f>
        <v>4</v>
      </c>
      <c r="D109" s="9">
        <f>IFERROR(__xludf.DUMMYFUNCTION("""COMPUTED_VALUE"""),2021.0)</f>
        <v>2021</v>
      </c>
      <c r="E109" s="9">
        <f>IFERROR(__xludf.DUMMYFUNCTION("""COMPUTED_VALUE"""),0.15)</f>
        <v>0.15</v>
      </c>
      <c r="F109" s="9">
        <f>IFERROR(__xludf.DUMMYFUNCTION("""COMPUTED_VALUE"""),58.27)</f>
        <v>58.27</v>
      </c>
    </row>
    <row r="110">
      <c r="A110" s="9" t="str">
        <f>IFERROR(__xludf.DUMMYFUNCTION("""COMPUTED_VALUE"""),"HGRE11")</f>
        <v>HGRE11</v>
      </c>
      <c r="B110" s="17">
        <f>IFERROR(__xludf.DUMMYFUNCTION("""COMPUTED_VALUE"""),44301.0)</f>
        <v>44301</v>
      </c>
      <c r="C110" s="9">
        <f>IFERROR(__xludf.DUMMYFUNCTION("""COMPUTED_VALUE"""),4.0)</f>
        <v>4</v>
      </c>
      <c r="D110" s="9">
        <f>IFERROR(__xludf.DUMMYFUNCTION("""COMPUTED_VALUE"""),2021.0)</f>
        <v>2021</v>
      </c>
      <c r="E110" s="9">
        <f>IFERROR(__xludf.DUMMYFUNCTION("""COMPUTED_VALUE"""),0.0)</f>
        <v>0</v>
      </c>
      <c r="F110" s="9">
        <f>IFERROR(__xludf.DUMMYFUNCTION("""COMPUTED_VALUE"""),18.09)</f>
        <v>18.09</v>
      </c>
    </row>
    <row r="111">
      <c r="A111" s="9" t="str">
        <f>IFERROR(__xludf.DUMMYFUNCTION("""COMPUTED_VALUE"""),"TGAR11")</f>
        <v>TGAR11</v>
      </c>
      <c r="B111" s="17">
        <f>IFERROR(__xludf.DUMMYFUNCTION("""COMPUTED_VALUE"""),44295.0)</f>
        <v>44295</v>
      </c>
      <c r="C111" s="9">
        <f>IFERROR(__xludf.DUMMYFUNCTION("""COMPUTED_VALUE"""),4.0)</f>
        <v>4</v>
      </c>
      <c r="D111" s="9">
        <f>IFERROR(__xludf.DUMMYFUNCTION("""COMPUTED_VALUE"""),2021.0)</f>
        <v>2021</v>
      </c>
      <c r="E111" s="9">
        <f>IFERROR(__xludf.DUMMYFUNCTION("""COMPUTED_VALUE"""),0.0)</f>
        <v>0</v>
      </c>
      <c r="F111" s="9">
        <f>IFERROR(__xludf.DUMMYFUNCTION("""COMPUTED_VALUE"""),15.6)</f>
        <v>15.6</v>
      </c>
    </row>
    <row r="112">
      <c r="A112" s="9" t="str">
        <f>IFERROR(__xludf.DUMMYFUNCTION("""COMPUTED_VALUE"""),"HGRE11")</f>
        <v>HGRE11</v>
      </c>
      <c r="B112" s="17">
        <f>IFERROR(__xludf.DUMMYFUNCTION("""COMPUTED_VALUE"""),44267.0)</f>
        <v>44267</v>
      </c>
      <c r="C112" s="9">
        <f>IFERROR(__xludf.DUMMYFUNCTION("""COMPUTED_VALUE"""),3.0)</f>
        <v>3</v>
      </c>
      <c r="D112" s="9">
        <f>IFERROR(__xludf.DUMMYFUNCTION("""COMPUTED_VALUE"""),2021.0)</f>
        <v>2021</v>
      </c>
      <c r="E112" s="9">
        <f>IFERROR(__xludf.DUMMYFUNCTION("""COMPUTED_VALUE"""),0.0)</f>
        <v>0</v>
      </c>
      <c r="F112" s="9">
        <f>IFERROR(__xludf.DUMMYFUNCTION("""COMPUTED_VALUE"""),18.09)</f>
        <v>18.09</v>
      </c>
    </row>
    <row r="113">
      <c r="A113" s="9" t="str">
        <f>IFERROR(__xludf.DUMMYFUNCTION("""COMPUTED_VALUE"""),"WEGE3")</f>
        <v>WEGE3</v>
      </c>
      <c r="B113" s="17">
        <f>IFERROR(__xludf.DUMMYFUNCTION("""COMPUTED_VALUE"""),44265.0)</f>
        <v>44265</v>
      </c>
      <c r="C113" s="9">
        <f>IFERROR(__xludf.DUMMYFUNCTION("""COMPUTED_VALUE"""),3.0)</f>
        <v>3</v>
      </c>
      <c r="D113" s="9">
        <f>IFERROR(__xludf.DUMMYFUNCTION("""COMPUTED_VALUE"""),2021.0)</f>
        <v>2021</v>
      </c>
      <c r="E113" s="9">
        <f>IFERROR(__xludf.DUMMYFUNCTION("""COMPUTED_VALUE"""),0.04)</f>
        <v>0.04</v>
      </c>
      <c r="F113" s="9">
        <f>IFERROR(__xludf.DUMMYFUNCTION("""COMPUTED_VALUE"""),2.57)</f>
        <v>2.57</v>
      </c>
    </row>
    <row r="114">
      <c r="A114" s="9" t="str">
        <f>IFERROR(__xludf.DUMMYFUNCTION("""COMPUTED_VALUE"""),"WEGE3")</f>
        <v>WEGE3</v>
      </c>
      <c r="B114" s="17">
        <f>IFERROR(__xludf.DUMMYFUNCTION("""COMPUTED_VALUE"""),44265.0)</f>
        <v>44265</v>
      </c>
      <c r="C114" s="9">
        <f>IFERROR(__xludf.DUMMYFUNCTION("""COMPUTED_VALUE"""),3.0)</f>
        <v>3</v>
      </c>
      <c r="D114" s="9">
        <f>IFERROR(__xludf.DUMMYFUNCTION("""COMPUTED_VALUE"""),2021.0)</f>
        <v>2021</v>
      </c>
      <c r="E114" s="9">
        <f>IFERROR(__xludf.DUMMYFUNCTION("""COMPUTED_VALUE"""),0.03)</f>
        <v>0.03</v>
      </c>
      <c r="F114" s="9">
        <f>IFERROR(__xludf.DUMMYFUNCTION("""COMPUTED_VALUE"""),3.13)</f>
        <v>3.13</v>
      </c>
    </row>
    <row r="115">
      <c r="A115" s="9" t="str">
        <f>IFERROR(__xludf.DUMMYFUNCTION("""COMPUTED_VALUE"""),"TGAR11")</f>
        <v>TGAR11</v>
      </c>
      <c r="B115" s="17">
        <f>IFERROR(__xludf.DUMMYFUNCTION("""COMPUTED_VALUE"""),44263.0)</f>
        <v>44263</v>
      </c>
      <c r="C115" s="9">
        <f>IFERROR(__xludf.DUMMYFUNCTION("""COMPUTED_VALUE"""),3.0)</f>
        <v>3</v>
      </c>
      <c r="D115" s="9">
        <f>IFERROR(__xludf.DUMMYFUNCTION("""COMPUTED_VALUE"""),2021.0)</f>
        <v>2021</v>
      </c>
      <c r="E115" s="9">
        <f>IFERROR(__xludf.DUMMYFUNCTION("""COMPUTED_VALUE"""),0.0)</f>
        <v>0</v>
      </c>
      <c r="F115" s="9">
        <f>IFERROR(__xludf.DUMMYFUNCTION("""COMPUTED_VALUE"""),13.8)</f>
        <v>13.8</v>
      </c>
    </row>
    <row r="116">
      <c r="A116" s="9" t="str">
        <f>IFERROR(__xludf.DUMMYFUNCTION("""COMPUTED_VALUE"""),"BBSE3")</f>
        <v>BBSE3</v>
      </c>
      <c r="B116" s="17">
        <f>IFERROR(__xludf.DUMMYFUNCTION("""COMPUTED_VALUE"""),44252.0)</f>
        <v>44252</v>
      </c>
      <c r="C116" s="9">
        <f>IFERROR(__xludf.DUMMYFUNCTION("""COMPUTED_VALUE"""),2.0)</f>
        <v>2</v>
      </c>
      <c r="D116" s="9">
        <f>IFERROR(__xludf.DUMMYFUNCTION("""COMPUTED_VALUE"""),2021.0)</f>
        <v>2021</v>
      </c>
      <c r="E116" s="9">
        <f>IFERROR(__xludf.DUMMYFUNCTION("""COMPUTED_VALUE"""),0.47)</f>
        <v>0.47</v>
      </c>
      <c r="F116" s="9">
        <f>IFERROR(__xludf.DUMMYFUNCTION("""COMPUTED_VALUE"""),125.82)</f>
        <v>125.82</v>
      </c>
    </row>
    <row r="117">
      <c r="A117" s="9" t="str">
        <f>IFERROR(__xludf.DUMMYFUNCTION("""COMPUTED_VALUE"""),"BBSE3")</f>
        <v>BBSE3</v>
      </c>
      <c r="B117" s="17">
        <f>IFERROR(__xludf.DUMMYFUNCTION("""COMPUTED_VALUE"""),44252.0)</f>
        <v>44252</v>
      </c>
      <c r="C117" s="9">
        <f>IFERROR(__xludf.DUMMYFUNCTION("""COMPUTED_VALUE"""),2.0)</f>
        <v>2</v>
      </c>
      <c r="D117" s="9">
        <f>IFERROR(__xludf.DUMMYFUNCTION("""COMPUTED_VALUE"""),2021.0)</f>
        <v>2021</v>
      </c>
      <c r="E117" s="9">
        <f>IFERROR(__xludf.DUMMYFUNCTION("""COMPUTED_VALUE"""),0.0)</f>
        <v>0</v>
      </c>
      <c r="F117" s="9">
        <f>IFERROR(__xludf.DUMMYFUNCTION("""COMPUTED_VALUE"""),0.27)</f>
        <v>0.27</v>
      </c>
    </row>
    <row r="118">
      <c r="A118" s="9" t="str">
        <f>IFERROR(__xludf.DUMMYFUNCTION("""COMPUTED_VALUE"""),"HGRE11")</f>
        <v>HGRE11</v>
      </c>
      <c r="B118" s="17">
        <f>IFERROR(__xludf.DUMMYFUNCTION("""COMPUTED_VALUE"""),44239.0)</f>
        <v>44239</v>
      </c>
      <c r="C118" s="9">
        <f>IFERROR(__xludf.DUMMYFUNCTION("""COMPUTED_VALUE"""),2.0)</f>
        <v>2</v>
      </c>
      <c r="D118" s="9">
        <f>IFERROR(__xludf.DUMMYFUNCTION("""COMPUTED_VALUE"""),2021.0)</f>
        <v>2021</v>
      </c>
      <c r="E118" s="9">
        <f>IFERROR(__xludf.DUMMYFUNCTION("""COMPUTED_VALUE"""),0.0)</f>
        <v>0</v>
      </c>
      <c r="F118" s="9">
        <f>IFERROR(__xludf.DUMMYFUNCTION("""COMPUTED_VALUE"""),18.09)</f>
        <v>18.09</v>
      </c>
    </row>
    <row r="119">
      <c r="A119" s="9" t="str">
        <f>IFERROR(__xludf.DUMMYFUNCTION("""COMPUTED_VALUE"""),"TGAR11")</f>
        <v>TGAR11</v>
      </c>
      <c r="B119" s="17">
        <f>IFERROR(__xludf.DUMMYFUNCTION("""COMPUTED_VALUE"""),44235.0)</f>
        <v>44235</v>
      </c>
      <c r="C119" s="9">
        <f>IFERROR(__xludf.DUMMYFUNCTION("""COMPUTED_VALUE"""),2.0)</f>
        <v>2</v>
      </c>
      <c r="D119" s="9">
        <f>IFERROR(__xludf.DUMMYFUNCTION("""COMPUTED_VALUE"""),2021.0)</f>
        <v>2021</v>
      </c>
      <c r="E119" s="9">
        <f>IFERROR(__xludf.DUMMYFUNCTION("""COMPUTED_VALUE"""),0.0)</f>
        <v>0</v>
      </c>
      <c r="F119" s="9">
        <f>IFERROR(__xludf.DUMMYFUNCTION("""COMPUTED_VALUE"""),12.0)</f>
        <v>12</v>
      </c>
    </row>
    <row r="120">
      <c r="A120" s="9" t="str">
        <f>IFERROR(__xludf.DUMMYFUNCTION("""COMPUTED_VALUE"""),"BPAC11")</f>
        <v>BPAC11</v>
      </c>
      <c r="B120" s="17">
        <f>IFERROR(__xludf.DUMMYFUNCTION("""COMPUTED_VALUE"""),44232.0)</f>
        <v>44232</v>
      </c>
      <c r="C120" s="9">
        <f>IFERROR(__xludf.DUMMYFUNCTION("""COMPUTED_VALUE"""),2.0)</f>
        <v>2</v>
      </c>
      <c r="D120" s="9">
        <f>IFERROR(__xludf.DUMMYFUNCTION("""COMPUTED_VALUE"""),2021.0)</f>
        <v>2021</v>
      </c>
      <c r="E120" s="9">
        <f>IFERROR(__xludf.DUMMYFUNCTION("""COMPUTED_VALUE"""),0.62)</f>
        <v>0.62</v>
      </c>
      <c r="F120" s="9">
        <f>IFERROR(__xludf.DUMMYFUNCTION("""COMPUTED_VALUE"""),6.88)</f>
        <v>6.88</v>
      </c>
    </row>
    <row r="121">
      <c r="A121" s="9" t="str">
        <f>IFERROR(__xludf.DUMMYFUNCTION("""COMPUTED_VALUE"""),"B3SA3")</f>
        <v>B3SA3</v>
      </c>
      <c r="B121" s="17">
        <f>IFERROR(__xludf.DUMMYFUNCTION("""COMPUTED_VALUE"""),44204.0)</f>
        <v>44204</v>
      </c>
      <c r="C121" s="9">
        <f>IFERROR(__xludf.DUMMYFUNCTION("""COMPUTED_VALUE"""),1.0)</f>
        <v>1</v>
      </c>
      <c r="D121" s="9">
        <f>IFERROR(__xludf.DUMMYFUNCTION("""COMPUTED_VALUE"""),2021.0)</f>
        <v>2021</v>
      </c>
      <c r="E121" s="9">
        <f>IFERROR(__xludf.DUMMYFUNCTION("""COMPUTED_VALUE"""),0.41)</f>
        <v>0.41</v>
      </c>
      <c r="F121" s="9">
        <f>IFERROR(__xludf.DUMMYFUNCTION("""COMPUTED_VALUE"""),45.56)</f>
        <v>45.56</v>
      </c>
    </row>
    <row r="122">
      <c r="A122" s="9" t="str">
        <f>IFERROR(__xludf.DUMMYFUNCTION("""COMPUTED_VALUE"""),"B3SA3")</f>
        <v>B3SA3</v>
      </c>
      <c r="B122" s="17">
        <f>IFERROR(__xludf.DUMMYFUNCTION("""COMPUTED_VALUE"""),44204.0)</f>
        <v>44204</v>
      </c>
      <c r="C122" s="9">
        <f>IFERROR(__xludf.DUMMYFUNCTION("""COMPUTED_VALUE"""),1.0)</f>
        <v>1</v>
      </c>
      <c r="D122" s="9">
        <f>IFERROR(__xludf.DUMMYFUNCTION("""COMPUTED_VALUE"""),2021.0)</f>
        <v>2021</v>
      </c>
      <c r="E122" s="9">
        <f>IFERROR(__xludf.DUMMYFUNCTION("""COMPUTED_VALUE"""),0.15)</f>
        <v>0.15</v>
      </c>
      <c r="F122" s="9">
        <f>IFERROR(__xludf.DUMMYFUNCTION("""COMPUTED_VALUE"""),13.86)</f>
        <v>13.86</v>
      </c>
    </row>
    <row r="123">
      <c r="A123" s="9" t="str">
        <f>IFERROR(__xludf.DUMMYFUNCTION("""COMPUTED_VALUE"""),"BBAS3")</f>
        <v>BBAS3</v>
      </c>
      <c r="B123" s="17">
        <f>IFERROR(__xludf.DUMMYFUNCTION("""COMPUTED_VALUE"""),44924.0)</f>
        <v>44924</v>
      </c>
      <c r="C123" s="9">
        <f>IFERROR(__xludf.DUMMYFUNCTION("""COMPUTED_VALUE"""),12.0)</f>
        <v>12</v>
      </c>
      <c r="D123" s="9">
        <f>IFERROR(__xludf.DUMMYFUNCTION("""COMPUTED_VALUE"""),2022.0)</f>
        <v>2022</v>
      </c>
      <c r="E123" s="9">
        <f>IFERROR(__xludf.DUMMYFUNCTION("""COMPUTED_VALUE"""),0.35)</f>
        <v>0.35</v>
      </c>
      <c r="F123" s="9">
        <f>IFERROR(__xludf.DUMMYFUNCTION("""COMPUTED_VALUE"""),170.04)</f>
        <v>170.04</v>
      </c>
    </row>
    <row r="124">
      <c r="A124" s="9" t="str">
        <f>IFERROR(__xludf.DUMMYFUNCTION("""COMPUTED_VALUE"""),"BRSR6")</f>
        <v>BRSR6</v>
      </c>
      <c r="B124" s="17">
        <f>IFERROR(__xludf.DUMMYFUNCTION("""COMPUTED_VALUE"""),44923.0)</f>
        <v>44923</v>
      </c>
      <c r="C124" s="9">
        <f>IFERROR(__xludf.DUMMYFUNCTION("""COMPUTED_VALUE"""),12.0)</f>
        <v>12</v>
      </c>
      <c r="D124" s="9">
        <f>IFERROR(__xludf.DUMMYFUNCTION("""COMPUTED_VALUE"""),2022.0)</f>
        <v>2022</v>
      </c>
      <c r="E124" s="9">
        <f>IFERROR(__xludf.DUMMYFUNCTION("""COMPUTED_VALUE"""),0.02)</f>
        <v>0.02</v>
      </c>
      <c r="F124" s="9">
        <f>IFERROR(__xludf.DUMMYFUNCTION("""COMPUTED_VALUE"""),15.11)</f>
        <v>15.11</v>
      </c>
    </row>
    <row r="125">
      <c r="A125" s="9" t="str">
        <f>IFERROR(__xludf.DUMMYFUNCTION("""COMPUTED_VALUE"""),"PETR4")</f>
        <v>PETR4</v>
      </c>
      <c r="B125" s="17">
        <f>IFERROR(__xludf.DUMMYFUNCTION("""COMPUTED_VALUE"""),44915.0)</f>
        <v>44915</v>
      </c>
      <c r="C125" s="9">
        <f>IFERROR(__xludf.DUMMYFUNCTION("""COMPUTED_VALUE"""),12.0)</f>
        <v>12</v>
      </c>
      <c r="D125" s="9">
        <f>IFERROR(__xludf.DUMMYFUNCTION("""COMPUTED_VALUE"""),2022.0)</f>
        <v>2022</v>
      </c>
      <c r="E125" s="9">
        <f>IFERROR(__xludf.DUMMYFUNCTION("""COMPUTED_VALUE"""),1.16)</f>
        <v>1.16</v>
      </c>
      <c r="F125" s="9">
        <f>IFERROR(__xludf.DUMMYFUNCTION("""COMPUTED_VALUE"""),243.87)</f>
        <v>243.87</v>
      </c>
    </row>
    <row r="126">
      <c r="A126" s="9" t="str">
        <f>IFERROR(__xludf.DUMMYFUNCTION("""COMPUTED_VALUE"""),"PETR4")</f>
        <v>PETR4</v>
      </c>
      <c r="B126" s="17">
        <f>IFERROR(__xludf.DUMMYFUNCTION("""COMPUTED_VALUE"""),44915.0)</f>
        <v>44915</v>
      </c>
      <c r="C126" s="9">
        <f>IFERROR(__xludf.DUMMYFUNCTION("""COMPUTED_VALUE"""),12.0)</f>
        <v>12</v>
      </c>
      <c r="D126" s="9">
        <f>IFERROR(__xludf.DUMMYFUNCTION("""COMPUTED_VALUE"""),2022.0)</f>
        <v>2022</v>
      </c>
      <c r="E126" s="9">
        <f>IFERROR(__xludf.DUMMYFUNCTION("""COMPUTED_VALUE"""),0.52)</f>
        <v>0.52</v>
      </c>
      <c r="F126" s="9">
        <f>IFERROR(__xludf.DUMMYFUNCTION("""COMPUTED_VALUE"""),93.02)</f>
        <v>93.02</v>
      </c>
    </row>
    <row r="127">
      <c r="A127" s="9" t="str">
        <f>IFERROR(__xludf.DUMMYFUNCTION("""COMPUTED_VALUE"""),"TAEE4")</f>
        <v>TAEE4</v>
      </c>
      <c r="B127" s="17">
        <f>IFERROR(__xludf.DUMMYFUNCTION("""COMPUTED_VALUE"""),44900.0)</f>
        <v>44900</v>
      </c>
      <c r="C127" s="9">
        <f>IFERROR(__xludf.DUMMYFUNCTION("""COMPUTED_VALUE"""),12.0)</f>
        <v>12</v>
      </c>
      <c r="D127" s="9">
        <f>IFERROR(__xludf.DUMMYFUNCTION("""COMPUTED_VALUE"""),2022.0)</f>
        <v>2022</v>
      </c>
      <c r="E127" s="9">
        <f>IFERROR(__xludf.DUMMYFUNCTION("""COMPUTED_VALUE"""),0.2)</f>
        <v>0.2</v>
      </c>
      <c r="F127" s="9">
        <f>IFERROR(__xludf.DUMMYFUNCTION("""COMPUTED_VALUE"""),132.51)</f>
        <v>132.51</v>
      </c>
    </row>
    <row r="128">
      <c r="A128" s="9" t="str">
        <f>IFERROR(__xludf.DUMMYFUNCTION("""COMPUTED_VALUE"""),"TAEE4")</f>
        <v>TAEE4</v>
      </c>
      <c r="B128" s="17">
        <f>IFERROR(__xludf.DUMMYFUNCTION("""COMPUTED_VALUE"""),44900.0)</f>
        <v>44900</v>
      </c>
      <c r="C128" s="9">
        <f>IFERROR(__xludf.DUMMYFUNCTION("""COMPUTED_VALUE"""),12.0)</f>
        <v>12</v>
      </c>
      <c r="D128" s="9">
        <f>IFERROR(__xludf.DUMMYFUNCTION("""COMPUTED_VALUE"""),2022.0)</f>
        <v>2022</v>
      </c>
      <c r="E128" s="9">
        <f>IFERROR(__xludf.DUMMYFUNCTION("""COMPUTED_VALUE"""),0.04)</f>
        <v>0.04</v>
      </c>
      <c r="F128" s="9">
        <f>IFERROR(__xludf.DUMMYFUNCTION("""COMPUTED_VALUE"""),34.03)</f>
        <v>34.03</v>
      </c>
    </row>
    <row r="129">
      <c r="A129" s="9" t="str">
        <f>IFERROR(__xludf.DUMMYFUNCTION("""COMPUTED_VALUE"""),"TAEE4")</f>
        <v>TAEE4</v>
      </c>
      <c r="B129" s="17">
        <f>IFERROR(__xludf.DUMMYFUNCTION("""COMPUTED_VALUE"""),44900.0)</f>
        <v>44900</v>
      </c>
      <c r="C129" s="9">
        <f>IFERROR(__xludf.DUMMYFUNCTION("""COMPUTED_VALUE"""),12.0)</f>
        <v>12</v>
      </c>
      <c r="D129" s="9">
        <f>IFERROR(__xludf.DUMMYFUNCTION("""COMPUTED_VALUE"""),2022.0)</f>
        <v>2022</v>
      </c>
      <c r="E129" s="9">
        <f>IFERROR(__xludf.DUMMYFUNCTION("""COMPUTED_VALUE"""),0.11)</f>
        <v>0.11</v>
      </c>
      <c r="F129" s="9">
        <f>IFERROR(__xludf.DUMMYFUNCTION("""COMPUTED_VALUE"""),85.47)</f>
        <v>85.47</v>
      </c>
    </row>
    <row r="130">
      <c r="A130" s="9" t="str">
        <f>IFERROR(__xludf.DUMMYFUNCTION("""COMPUTED_VALUE"""),"BBDC3")</f>
        <v>BBDC3</v>
      </c>
      <c r="B130" s="17">
        <f>IFERROR(__xludf.DUMMYFUNCTION("""COMPUTED_VALUE"""),44896.0)</f>
        <v>44896</v>
      </c>
      <c r="C130" s="9">
        <f>IFERROR(__xludf.DUMMYFUNCTION("""COMPUTED_VALUE"""),12.0)</f>
        <v>12</v>
      </c>
      <c r="D130" s="9">
        <f>IFERROR(__xludf.DUMMYFUNCTION("""COMPUTED_VALUE"""),2022.0)</f>
        <v>2022</v>
      </c>
      <c r="E130" s="9">
        <f>IFERROR(__xludf.DUMMYFUNCTION("""COMPUTED_VALUE"""),0.02)</f>
        <v>0.02</v>
      </c>
      <c r="F130" s="9">
        <f>IFERROR(__xludf.DUMMYFUNCTION("""COMPUTED_VALUE"""),5.64)</f>
        <v>5.64</v>
      </c>
    </row>
    <row r="131">
      <c r="A131" s="9" t="str">
        <f>IFERROR(__xludf.DUMMYFUNCTION("""COMPUTED_VALUE"""),"BBAS3")</f>
        <v>BBAS3</v>
      </c>
      <c r="B131" s="17">
        <f>IFERROR(__xludf.DUMMYFUNCTION("""COMPUTED_VALUE"""),44895.0)</f>
        <v>44895</v>
      </c>
      <c r="C131" s="9">
        <f>IFERROR(__xludf.DUMMYFUNCTION("""COMPUTED_VALUE"""),11.0)</f>
        <v>11</v>
      </c>
      <c r="D131" s="9">
        <f>IFERROR(__xludf.DUMMYFUNCTION("""COMPUTED_VALUE"""),2022.0)</f>
        <v>2022</v>
      </c>
      <c r="E131" s="9">
        <f>IFERROR(__xludf.DUMMYFUNCTION("""COMPUTED_VALUE"""),0.63)</f>
        <v>0.63</v>
      </c>
      <c r="F131" s="9">
        <f>IFERROR(__xludf.DUMMYFUNCTION("""COMPUTED_VALUE"""),289.07)</f>
        <v>289.07</v>
      </c>
    </row>
    <row r="132">
      <c r="A132" s="9" t="str">
        <f>IFERROR(__xludf.DUMMYFUNCTION("""COMPUTED_VALUE"""),"BBAS3")</f>
        <v>BBAS3</v>
      </c>
      <c r="B132" s="17">
        <f>IFERROR(__xludf.DUMMYFUNCTION("""COMPUTED_VALUE"""),44895.0)</f>
        <v>44895</v>
      </c>
      <c r="C132" s="9">
        <f>IFERROR(__xludf.DUMMYFUNCTION("""COMPUTED_VALUE"""),11.0)</f>
        <v>11</v>
      </c>
      <c r="D132" s="9">
        <f>IFERROR(__xludf.DUMMYFUNCTION("""COMPUTED_VALUE"""),2022.0)</f>
        <v>2022</v>
      </c>
      <c r="E132" s="9">
        <f>IFERROR(__xludf.DUMMYFUNCTION("""COMPUTED_VALUE"""),0.17)</f>
        <v>0.17</v>
      </c>
      <c r="F132" s="9">
        <f>IFERROR(__xludf.DUMMYFUNCTION("""COMPUTED_VALUE"""),91.23)</f>
        <v>91.23</v>
      </c>
    </row>
    <row r="133">
      <c r="A133" s="9" t="str">
        <f>IFERROR(__xludf.DUMMYFUNCTION("""COMPUTED_VALUE"""),"CPLE6")</f>
        <v>CPLE6</v>
      </c>
      <c r="B133" s="17">
        <f>IFERROR(__xludf.DUMMYFUNCTION("""COMPUTED_VALUE"""),44895.0)</f>
        <v>44895</v>
      </c>
      <c r="C133" s="9">
        <f>IFERROR(__xludf.DUMMYFUNCTION("""COMPUTED_VALUE"""),11.0)</f>
        <v>11</v>
      </c>
      <c r="D133" s="9">
        <f>IFERROR(__xludf.DUMMYFUNCTION("""COMPUTED_VALUE"""),2022.0)</f>
        <v>2022</v>
      </c>
      <c r="E133" s="9">
        <f>IFERROR(__xludf.DUMMYFUNCTION("""COMPUTED_VALUE"""),0.23)</f>
        <v>0.23</v>
      </c>
      <c r="F133" s="9">
        <f>IFERROR(__xludf.DUMMYFUNCTION("""COMPUTED_VALUE"""),108.54)</f>
        <v>108.54</v>
      </c>
    </row>
    <row r="134">
      <c r="A134" s="9" t="str">
        <f>IFERROR(__xludf.DUMMYFUNCTION("""COMPUTED_VALUE"""),"WIZS3")</f>
        <v>WIZS3</v>
      </c>
      <c r="B134" s="17">
        <f>IFERROR(__xludf.DUMMYFUNCTION("""COMPUTED_VALUE"""),44890.0)</f>
        <v>44890</v>
      </c>
      <c r="C134" s="9">
        <f>IFERROR(__xludf.DUMMYFUNCTION("""COMPUTED_VALUE"""),11.0)</f>
        <v>11</v>
      </c>
      <c r="D134" s="9">
        <f>IFERROR(__xludf.DUMMYFUNCTION("""COMPUTED_VALUE"""),2022.0)</f>
        <v>2022</v>
      </c>
      <c r="E134" s="9">
        <f>IFERROR(__xludf.DUMMYFUNCTION("""COMPUTED_VALUE"""),0.5)</f>
        <v>0.5</v>
      </c>
      <c r="F134" s="9">
        <f>IFERROR(__xludf.DUMMYFUNCTION("""COMPUTED_VALUE"""),208.89)</f>
        <v>208.89</v>
      </c>
    </row>
    <row r="135">
      <c r="A135" s="9" t="str">
        <f>IFERROR(__xludf.DUMMYFUNCTION("""COMPUTED_VALUE"""),"CIEL3")</f>
        <v>CIEL3</v>
      </c>
      <c r="B135" s="17">
        <f>IFERROR(__xludf.DUMMYFUNCTION("""COMPUTED_VALUE"""),44889.0)</f>
        <v>44889</v>
      </c>
      <c r="C135" s="9">
        <f>IFERROR(__xludf.DUMMYFUNCTION("""COMPUTED_VALUE"""),11.0)</f>
        <v>11</v>
      </c>
      <c r="D135" s="9">
        <f>IFERROR(__xludf.DUMMYFUNCTION("""COMPUTED_VALUE"""),2022.0)</f>
        <v>2022</v>
      </c>
      <c r="E135" s="9">
        <f>IFERROR(__xludf.DUMMYFUNCTION("""COMPUTED_VALUE"""),0.06)</f>
        <v>0.06</v>
      </c>
      <c r="F135" s="9">
        <f>IFERROR(__xludf.DUMMYFUNCTION("""COMPUTED_VALUE"""),51.65)</f>
        <v>51.65</v>
      </c>
    </row>
    <row r="136">
      <c r="A136" s="9" t="str">
        <f>IFERROR(__xludf.DUMMYFUNCTION("""COMPUTED_VALUE"""),"BBDC3")</f>
        <v>BBDC3</v>
      </c>
      <c r="B136" s="17">
        <f>IFERROR(__xludf.DUMMYFUNCTION("""COMPUTED_VALUE"""),44866.0)</f>
        <v>44866</v>
      </c>
      <c r="C136" s="9">
        <f>IFERROR(__xludf.DUMMYFUNCTION("""COMPUTED_VALUE"""),11.0)</f>
        <v>11</v>
      </c>
      <c r="D136" s="9">
        <f>IFERROR(__xludf.DUMMYFUNCTION("""COMPUTED_VALUE"""),2022.0)</f>
        <v>2022</v>
      </c>
      <c r="E136" s="9">
        <f>IFERROR(__xludf.DUMMYFUNCTION("""COMPUTED_VALUE"""),0.02)</f>
        <v>0.02</v>
      </c>
      <c r="F136" s="9">
        <f>IFERROR(__xludf.DUMMYFUNCTION("""COMPUTED_VALUE"""),5.64)</f>
        <v>5.64</v>
      </c>
    </row>
    <row r="137">
      <c r="A137" s="9" t="str">
        <f>IFERROR(__xludf.DUMMYFUNCTION("""COMPUTED_VALUE"""),"VIVT3")</f>
        <v>VIVT3</v>
      </c>
      <c r="B137" s="17">
        <f>IFERROR(__xludf.DUMMYFUNCTION("""COMPUTED_VALUE"""),44852.0)</f>
        <v>44852</v>
      </c>
      <c r="C137" s="9">
        <f>IFERROR(__xludf.DUMMYFUNCTION("""COMPUTED_VALUE"""),10.0)</f>
        <v>10</v>
      </c>
      <c r="D137" s="9">
        <f>IFERROR(__xludf.DUMMYFUNCTION("""COMPUTED_VALUE"""),2022.0)</f>
        <v>2022</v>
      </c>
      <c r="E137" s="9">
        <f>IFERROR(__xludf.DUMMYFUNCTION("""COMPUTED_VALUE"""),1.21)</f>
        <v>1.21</v>
      </c>
      <c r="F137" s="9">
        <f>IFERROR(__xludf.DUMMYFUNCTION("""COMPUTED_VALUE"""),166.04)</f>
        <v>166.04</v>
      </c>
    </row>
    <row r="138">
      <c r="A138" s="9" t="str">
        <f>IFERROR(__xludf.DUMMYFUNCTION("""COMPUTED_VALUE"""),"VIVT3")</f>
        <v>VIVT3</v>
      </c>
      <c r="B138" s="17">
        <f>IFERROR(__xludf.DUMMYFUNCTION("""COMPUTED_VALUE"""),44852.0)</f>
        <v>44852</v>
      </c>
      <c r="C138" s="9">
        <f>IFERROR(__xludf.DUMMYFUNCTION("""COMPUTED_VALUE"""),10.0)</f>
        <v>10</v>
      </c>
      <c r="D138" s="9">
        <f>IFERROR(__xludf.DUMMYFUNCTION("""COMPUTED_VALUE"""),2022.0)</f>
        <v>2022</v>
      </c>
      <c r="E138" s="9">
        <f>IFERROR(__xludf.DUMMYFUNCTION("""COMPUTED_VALUE"""),0.89)</f>
        <v>0.89</v>
      </c>
      <c r="F138" s="9">
        <f>IFERROR(__xludf.DUMMYFUNCTION("""COMPUTED_VALUE"""),116.28)</f>
        <v>116.28</v>
      </c>
    </row>
    <row r="139">
      <c r="A139" s="9" t="str">
        <f>IFERROR(__xludf.DUMMYFUNCTION("""COMPUTED_VALUE"""),"ABCB4")</f>
        <v>ABCB4</v>
      </c>
      <c r="B139" s="17">
        <f>IFERROR(__xludf.DUMMYFUNCTION("""COMPUTED_VALUE"""),44847.0)</f>
        <v>44847</v>
      </c>
      <c r="C139" s="9">
        <f>IFERROR(__xludf.DUMMYFUNCTION("""COMPUTED_VALUE"""),10.0)</f>
        <v>10</v>
      </c>
      <c r="D139" s="9">
        <f>IFERROR(__xludf.DUMMYFUNCTION("""COMPUTED_VALUE"""),2022.0)</f>
        <v>2022</v>
      </c>
      <c r="E139" s="9">
        <f>IFERROR(__xludf.DUMMYFUNCTION("""COMPUTED_VALUE"""),0.36)</f>
        <v>0.36</v>
      </c>
      <c r="F139" s="9">
        <f>IFERROR(__xludf.DUMMYFUNCTION("""COMPUTED_VALUE"""),15.39)</f>
        <v>15.39</v>
      </c>
    </row>
    <row r="140">
      <c r="A140" s="9" t="str">
        <f>IFERROR(__xludf.DUMMYFUNCTION("""COMPUTED_VALUE"""),"BBDC3")</f>
        <v>BBDC3</v>
      </c>
      <c r="B140" s="17">
        <f>IFERROR(__xludf.DUMMYFUNCTION("""COMPUTED_VALUE"""),44837.0)</f>
        <v>44837</v>
      </c>
      <c r="C140" s="9">
        <f>IFERROR(__xludf.DUMMYFUNCTION("""COMPUTED_VALUE"""),10.0)</f>
        <v>10</v>
      </c>
      <c r="D140" s="9">
        <f>IFERROR(__xludf.DUMMYFUNCTION("""COMPUTED_VALUE"""),2022.0)</f>
        <v>2022</v>
      </c>
      <c r="E140" s="9">
        <f>IFERROR(__xludf.DUMMYFUNCTION("""COMPUTED_VALUE"""),0.02)</f>
        <v>0.02</v>
      </c>
      <c r="F140" s="9">
        <f>IFERROR(__xludf.DUMMYFUNCTION("""COMPUTED_VALUE"""),5.64)</f>
        <v>5.64</v>
      </c>
    </row>
    <row r="141">
      <c r="A141" s="9" t="str">
        <f>IFERROR(__xludf.DUMMYFUNCTION("""COMPUTED_VALUE"""),"BBAS3")</f>
        <v>BBAS3</v>
      </c>
      <c r="B141" s="17">
        <f>IFERROR(__xludf.DUMMYFUNCTION("""COMPUTED_VALUE"""),44834.0)</f>
        <v>44834</v>
      </c>
      <c r="C141" s="9">
        <f>IFERROR(__xludf.DUMMYFUNCTION("""COMPUTED_VALUE"""),9.0)</f>
        <v>9</v>
      </c>
      <c r="D141" s="9">
        <f>IFERROR(__xludf.DUMMYFUNCTION("""COMPUTED_VALUE"""),2022.0)</f>
        <v>2022</v>
      </c>
      <c r="E141" s="9">
        <f>IFERROR(__xludf.DUMMYFUNCTION("""COMPUTED_VALUE"""),0.27)</f>
        <v>0.27</v>
      </c>
      <c r="F141" s="9">
        <f>IFERROR(__xludf.DUMMYFUNCTION("""COMPUTED_VALUE"""),66.08)</f>
        <v>66.08</v>
      </c>
    </row>
    <row r="142">
      <c r="A142" s="9" t="str">
        <f>IFERROR(__xludf.DUMMYFUNCTION("""COMPUTED_VALUE"""),"BRSR6")</f>
        <v>BRSR6</v>
      </c>
      <c r="B142" s="17">
        <f>IFERROR(__xludf.DUMMYFUNCTION("""COMPUTED_VALUE"""),44832.0)</f>
        <v>44832</v>
      </c>
      <c r="C142" s="9">
        <f>IFERROR(__xludf.DUMMYFUNCTION("""COMPUTED_VALUE"""),9.0)</f>
        <v>9</v>
      </c>
      <c r="D142" s="9">
        <f>IFERROR(__xludf.DUMMYFUNCTION("""COMPUTED_VALUE"""),2022.0)</f>
        <v>2022</v>
      </c>
      <c r="E142" s="9">
        <f>IFERROR(__xludf.DUMMYFUNCTION("""COMPUTED_VALUE"""),0.11)</f>
        <v>0.11</v>
      </c>
      <c r="F142" s="9">
        <f>IFERROR(__xludf.DUMMYFUNCTION("""COMPUTED_VALUE"""),61.99)</f>
        <v>61.99</v>
      </c>
    </row>
    <row r="143">
      <c r="A143" s="9" t="str">
        <f>IFERROR(__xludf.DUMMYFUNCTION("""COMPUTED_VALUE"""),"CIEL3")</f>
        <v>CIEL3</v>
      </c>
      <c r="B143" s="17">
        <f>IFERROR(__xludf.DUMMYFUNCTION("""COMPUTED_VALUE"""),44827.0)</f>
        <v>44827</v>
      </c>
      <c r="C143" s="9">
        <f>IFERROR(__xludf.DUMMYFUNCTION("""COMPUTED_VALUE"""),9.0)</f>
        <v>9</v>
      </c>
      <c r="D143" s="9">
        <f>IFERROR(__xludf.DUMMYFUNCTION("""COMPUTED_VALUE"""),2022.0)</f>
        <v>2022</v>
      </c>
      <c r="E143" s="9">
        <f>IFERROR(__xludf.DUMMYFUNCTION("""COMPUTED_VALUE"""),0.08)</f>
        <v>0.08</v>
      </c>
      <c r="F143" s="9">
        <f>IFERROR(__xludf.DUMMYFUNCTION("""COMPUTED_VALUE"""),77.81)</f>
        <v>77.81</v>
      </c>
    </row>
    <row r="144">
      <c r="A144" s="9" t="str">
        <f>IFERROR(__xludf.DUMMYFUNCTION("""COMPUTED_VALUE"""),"BBDC3")</f>
        <v>BBDC3</v>
      </c>
      <c r="B144" s="17">
        <f>IFERROR(__xludf.DUMMYFUNCTION("""COMPUTED_VALUE"""),44805.0)</f>
        <v>44805</v>
      </c>
      <c r="C144" s="9">
        <f>IFERROR(__xludf.DUMMYFUNCTION("""COMPUTED_VALUE"""),9.0)</f>
        <v>9</v>
      </c>
      <c r="D144" s="9">
        <f>IFERROR(__xludf.DUMMYFUNCTION("""COMPUTED_VALUE"""),2022.0)</f>
        <v>2022</v>
      </c>
      <c r="E144" s="9">
        <f>IFERROR(__xludf.DUMMYFUNCTION("""COMPUTED_VALUE"""),0.02)</f>
        <v>0.02</v>
      </c>
      <c r="F144" s="9">
        <f>IFERROR(__xludf.DUMMYFUNCTION("""COMPUTED_VALUE"""),2.62)</f>
        <v>2.62</v>
      </c>
    </row>
    <row r="145">
      <c r="A145" s="9" t="str">
        <f>IFERROR(__xludf.DUMMYFUNCTION("""COMPUTED_VALUE"""),"VALE3")</f>
        <v>VALE3</v>
      </c>
      <c r="B145" s="17">
        <f>IFERROR(__xludf.DUMMYFUNCTION("""COMPUTED_VALUE"""),44805.0)</f>
        <v>44805</v>
      </c>
      <c r="C145" s="9">
        <f>IFERROR(__xludf.DUMMYFUNCTION("""COMPUTED_VALUE"""),9.0)</f>
        <v>9</v>
      </c>
      <c r="D145" s="9">
        <f>IFERROR(__xludf.DUMMYFUNCTION("""COMPUTED_VALUE"""),2022.0)</f>
        <v>2022</v>
      </c>
      <c r="E145" s="9">
        <f>IFERROR(__xludf.DUMMYFUNCTION("""COMPUTED_VALUE"""),2.03)</f>
        <v>2.03</v>
      </c>
      <c r="F145" s="9">
        <f>IFERROR(__xludf.DUMMYFUNCTION("""COMPUTED_VALUE"""),148.38)</f>
        <v>148.38</v>
      </c>
    </row>
    <row r="146">
      <c r="A146" s="9" t="str">
        <f>IFERROR(__xludf.DUMMYFUNCTION("""COMPUTED_VALUE"""),"VALE3")</f>
        <v>VALE3</v>
      </c>
      <c r="B146" s="17">
        <f>IFERROR(__xludf.DUMMYFUNCTION("""COMPUTED_VALUE"""),44805.0)</f>
        <v>44805</v>
      </c>
      <c r="C146" s="9">
        <f>IFERROR(__xludf.DUMMYFUNCTION("""COMPUTED_VALUE"""),9.0)</f>
        <v>9</v>
      </c>
      <c r="D146" s="9">
        <f>IFERROR(__xludf.DUMMYFUNCTION("""COMPUTED_VALUE"""),2022.0)</f>
        <v>2022</v>
      </c>
      <c r="E146" s="9">
        <f>IFERROR(__xludf.DUMMYFUNCTION("""COMPUTED_VALUE"""),1.54)</f>
        <v>1.54</v>
      </c>
      <c r="F146" s="9">
        <f>IFERROR(__xludf.DUMMYFUNCTION("""COMPUTED_VALUE"""),95.52)</f>
        <v>95.52</v>
      </c>
    </row>
    <row r="147">
      <c r="A147" s="9" t="str">
        <f>IFERROR(__xludf.DUMMYFUNCTION("""COMPUTED_VALUE"""),"BBAS3")</f>
        <v>BBAS3</v>
      </c>
      <c r="B147" s="17">
        <f>IFERROR(__xludf.DUMMYFUNCTION("""COMPUTED_VALUE"""),44804.0)</f>
        <v>44804</v>
      </c>
      <c r="C147" s="9">
        <f>IFERROR(__xludf.DUMMYFUNCTION("""COMPUTED_VALUE"""),8.0)</f>
        <v>8</v>
      </c>
      <c r="D147" s="9">
        <f>IFERROR(__xludf.DUMMYFUNCTION("""COMPUTED_VALUE"""),2022.0)</f>
        <v>2022</v>
      </c>
      <c r="E147" s="9">
        <f>IFERROR(__xludf.DUMMYFUNCTION("""COMPUTED_VALUE"""),0.0)</f>
        <v>0</v>
      </c>
      <c r="F147" s="9">
        <f>IFERROR(__xludf.DUMMYFUNCTION("""COMPUTED_VALUE"""),0.97)</f>
        <v>0.97</v>
      </c>
    </row>
    <row r="148">
      <c r="A148" s="9" t="str">
        <f>IFERROR(__xludf.DUMMYFUNCTION("""COMPUTED_VALUE"""),"BBAS3")</f>
        <v>BBAS3</v>
      </c>
      <c r="B148" s="17">
        <f>IFERROR(__xludf.DUMMYFUNCTION("""COMPUTED_VALUE"""),44804.0)</f>
        <v>44804</v>
      </c>
      <c r="C148" s="9">
        <f>IFERROR(__xludf.DUMMYFUNCTION("""COMPUTED_VALUE"""),8.0)</f>
        <v>8</v>
      </c>
      <c r="D148" s="9">
        <f>IFERROR(__xludf.DUMMYFUNCTION("""COMPUTED_VALUE"""),2022.0)</f>
        <v>2022</v>
      </c>
      <c r="E148" s="9">
        <f>IFERROR(__xludf.DUMMYFUNCTION("""COMPUTED_VALUE"""),0.2)</f>
        <v>0.2</v>
      </c>
      <c r="F148" s="9">
        <f>IFERROR(__xludf.DUMMYFUNCTION("""COMPUTED_VALUE"""),56.85)</f>
        <v>56.85</v>
      </c>
    </row>
    <row r="149">
      <c r="A149" s="9" t="str">
        <f>IFERROR(__xludf.DUMMYFUNCTION("""COMPUTED_VALUE"""),"BBAS3")</f>
        <v>BBAS3</v>
      </c>
      <c r="B149" s="17">
        <f>IFERROR(__xludf.DUMMYFUNCTION("""COMPUTED_VALUE"""),44804.0)</f>
        <v>44804</v>
      </c>
      <c r="C149" s="9">
        <f>IFERROR(__xludf.DUMMYFUNCTION("""COMPUTED_VALUE"""),8.0)</f>
        <v>8</v>
      </c>
      <c r="D149" s="9">
        <f>IFERROR(__xludf.DUMMYFUNCTION("""COMPUTED_VALUE"""),2022.0)</f>
        <v>2022</v>
      </c>
      <c r="E149" s="9">
        <f>IFERROR(__xludf.DUMMYFUNCTION("""COMPUTED_VALUE"""),0.0)</f>
        <v>0</v>
      </c>
      <c r="F149" s="9">
        <f>IFERROR(__xludf.DUMMYFUNCTION("""COMPUTED_VALUE"""),2.78)</f>
        <v>2.78</v>
      </c>
    </row>
    <row r="150">
      <c r="A150" s="9" t="str">
        <f>IFERROR(__xludf.DUMMYFUNCTION("""COMPUTED_VALUE"""),"BBAS3")</f>
        <v>BBAS3</v>
      </c>
      <c r="B150" s="17">
        <f>IFERROR(__xludf.DUMMYFUNCTION("""COMPUTED_VALUE"""),44804.0)</f>
        <v>44804</v>
      </c>
      <c r="C150" s="9">
        <f>IFERROR(__xludf.DUMMYFUNCTION("""COMPUTED_VALUE"""),8.0)</f>
        <v>8</v>
      </c>
      <c r="D150" s="9">
        <f>IFERROR(__xludf.DUMMYFUNCTION("""COMPUTED_VALUE"""),2022.0)</f>
        <v>2022</v>
      </c>
      <c r="E150" s="9">
        <f>IFERROR(__xludf.DUMMYFUNCTION("""COMPUTED_VALUE"""),0.57)</f>
        <v>0.57</v>
      </c>
      <c r="F150" s="9">
        <f>IFERROR(__xludf.DUMMYFUNCTION("""COMPUTED_VALUE"""),137.76)</f>
        <v>137.76</v>
      </c>
    </row>
    <row r="151">
      <c r="A151" s="9" t="str">
        <f>IFERROR(__xludf.DUMMYFUNCTION("""COMPUTED_VALUE"""),"BBSE3")</f>
        <v>BBSE3</v>
      </c>
      <c r="B151" s="17">
        <f>IFERROR(__xludf.DUMMYFUNCTION("""COMPUTED_VALUE"""),44802.0)</f>
        <v>44802</v>
      </c>
      <c r="C151" s="9">
        <f>IFERROR(__xludf.DUMMYFUNCTION("""COMPUTED_VALUE"""),8.0)</f>
        <v>8</v>
      </c>
      <c r="D151" s="9">
        <f>IFERROR(__xludf.DUMMYFUNCTION("""COMPUTED_VALUE"""),2022.0)</f>
        <v>2022</v>
      </c>
      <c r="E151" s="9">
        <f>IFERROR(__xludf.DUMMYFUNCTION("""COMPUTED_VALUE"""),1.04)</f>
        <v>1.04</v>
      </c>
      <c r="F151" s="9">
        <f>IFERROR(__xludf.DUMMYFUNCTION("""COMPUTED_VALUE"""),306.66)</f>
        <v>306.66</v>
      </c>
    </row>
    <row r="152">
      <c r="A152" s="9" t="str">
        <f>IFERROR(__xludf.DUMMYFUNCTION("""COMPUTED_VALUE"""),"TAEE4")</f>
        <v>TAEE4</v>
      </c>
      <c r="B152" s="17">
        <f>IFERROR(__xludf.DUMMYFUNCTION("""COMPUTED_VALUE"""),44799.0)</f>
        <v>44799</v>
      </c>
      <c r="C152" s="9">
        <f>IFERROR(__xludf.DUMMYFUNCTION("""COMPUTED_VALUE"""),8.0)</f>
        <v>8</v>
      </c>
      <c r="D152" s="9">
        <f>IFERROR(__xludf.DUMMYFUNCTION("""COMPUTED_VALUE"""),2022.0)</f>
        <v>2022</v>
      </c>
      <c r="E152" s="9">
        <f>IFERROR(__xludf.DUMMYFUNCTION("""COMPUTED_VALUE"""),0.3)</f>
        <v>0.3</v>
      </c>
      <c r="F152" s="9">
        <f>IFERROR(__xludf.DUMMYFUNCTION("""COMPUTED_VALUE"""),232.75)</f>
        <v>232.75</v>
      </c>
    </row>
    <row r="153">
      <c r="A153" s="9" t="str">
        <f>IFERROR(__xludf.DUMMYFUNCTION("""COMPUTED_VALUE"""),"TAEE4")</f>
        <v>TAEE4</v>
      </c>
      <c r="B153" s="17">
        <f>IFERROR(__xludf.DUMMYFUNCTION("""COMPUTED_VALUE"""),44799.0)</f>
        <v>44799</v>
      </c>
      <c r="C153" s="9">
        <f>IFERROR(__xludf.DUMMYFUNCTION("""COMPUTED_VALUE"""),8.0)</f>
        <v>8</v>
      </c>
      <c r="D153" s="9">
        <f>IFERROR(__xludf.DUMMYFUNCTION("""COMPUTED_VALUE"""),2022.0)</f>
        <v>2022</v>
      </c>
      <c r="E153" s="9">
        <f>IFERROR(__xludf.DUMMYFUNCTION("""COMPUTED_VALUE"""),0.19)</f>
        <v>0.19</v>
      </c>
      <c r="F153" s="9">
        <f>IFERROR(__xludf.DUMMYFUNCTION("""COMPUTED_VALUE"""),126.81)</f>
        <v>126.81</v>
      </c>
    </row>
    <row r="154">
      <c r="A154" s="9" t="str">
        <f>IFERROR(__xludf.DUMMYFUNCTION("""COMPUTED_VALUE"""),"BBDC4")</f>
        <v>BBDC4</v>
      </c>
      <c r="B154" s="17">
        <f>IFERROR(__xludf.DUMMYFUNCTION("""COMPUTED_VALUE"""),44774.0)</f>
        <v>44774</v>
      </c>
      <c r="C154" s="9">
        <f>IFERROR(__xludf.DUMMYFUNCTION("""COMPUTED_VALUE"""),8.0)</f>
        <v>8</v>
      </c>
      <c r="D154" s="9">
        <f>IFERROR(__xludf.DUMMYFUNCTION("""COMPUTED_VALUE"""),2022.0)</f>
        <v>2022</v>
      </c>
      <c r="E154" s="9">
        <f>IFERROR(__xludf.DUMMYFUNCTION("""COMPUTED_VALUE"""),0.02)</f>
        <v>0.02</v>
      </c>
      <c r="F154" s="9">
        <f>IFERROR(__xludf.DUMMYFUNCTION("""COMPUTED_VALUE"""),4.74)</f>
        <v>4.74</v>
      </c>
    </row>
    <row r="155">
      <c r="A155" s="9" t="str">
        <f>IFERROR(__xludf.DUMMYFUNCTION("""COMPUTED_VALUE"""),"VIVT3")</f>
        <v>VIVT3</v>
      </c>
      <c r="B155" s="17">
        <f>IFERROR(__xludf.DUMMYFUNCTION("""COMPUTED_VALUE"""),44761.0)</f>
        <v>44761</v>
      </c>
      <c r="C155" s="9">
        <f>IFERROR(__xludf.DUMMYFUNCTION("""COMPUTED_VALUE"""),7.0)</f>
        <v>7</v>
      </c>
      <c r="D155" s="9">
        <f>IFERROR(__xludf.DUMMYFUNCTION("""COMPUTED_VALUE"""),2022.0)</f>
        <v>2022</v>
      </c>
      <c r="E155" s="9">
        <f>IFERROR(__xludf.DUMMYFUNCTION("""COMPUTED_VALUE"""),0.17)</f>
        <v>0.17</v>
      </c>
      <c r="F155" s="9">
        <f>IFERROR(__xludf.DUMMYFUNCTION("""COMPUTED_VALUE"""),1.41)</f>
        <v>1.41</v>
      </c>
    </row>
    <row r="156">
      <c r="A156" s="9" t="str">
        <f>IFERROR(__xludf.DUMMYFUNCTION("""COMPUTED_VALUE"""),"VIVT3")</f>
        <v>VIVT3</v>
      </c>
      <c r="B156" s="17">
        <f>IFERROR(__xludf.DUMMYFUNCTION("""COMPUTED_VALUE"""),44761.0)</f>
        <v>44761</v>
      </c>
      <c r="C156" s="9">
        <f>IFERROR(__xludf.DUMMYFUNCTION("""COMPUTED_VALUE"""),7.0)</f>
        <v>7</v>
      </c>
      <c r="D156" s="9">
        <f>IFERROR(__xludf.DUMMYFUNCTION("""COMPUTED_VALUE"""),2022.0)</f>
        <v>2022</v>
      </c>
      <c r="E156" s="9">
        <f>IFERROR(__xludf.DUMMYFUNCTION("""COMPUTED_VALUE"""),0.37)</f>
        <v>0.37</v>
      </c>
      <c r="F156" s="9">
        <f>IFERROR(__xludf.DUMMYFUNCTION("""COMPUTED_VALUE"""),38.45)</f>
        <v>38.45</v>
      </c>
    </row>
    <row r="157">
      <c r="A157" s="9" t="str">
        <f>IFERROR(__xludf.DUMMYFUNCTION("""COMPUTED_VALUE"""),"VIVT3")</f>
        <v>VIVT3</v>
      </c>
      <c r="B157" s="17">
        <f>IFERROR(__xludf.DUMMYFUNCTION("""COMPUTED_VALUE"""),44761.0)</f>
        <v>44761</v>
      </c>
      <c r="C157" s="9">
        <f>IFERROR(__xludf.DUMMYFUNCTION("""COMPUTED_VALUE"""),7.0)</f>
        <v>7</v>
      </c>
      <c r="D157" s="9">
        <f>IFERROR(__xludf.DUMMYFUNCTION("""COMPUTED_VALUE"""),2022.0)</f>
        <v>2022</v>
      </c>
      <c r="E157" s="9">
        <f>IFERROR(__xludf.DUMMYFUNCTION("""COMPUTED_VALUE"""),0.36)</f>
        <v>0.36</v>
      </c>
      <c r="F157" s="9">
        <f>IFERROR(__xludf.DUMMYFUNCTION("""COMPUTED_VALUE"""),39.47)</f>
        <v>39.47</v>
      </c>
    </row>
    <row r="158">
      <c r="A158" s="9" t="str">
        <f>IFERROR(__xludf.DUMMYFUNCTION("""COMPUTED_VALUE"""),"VIVT3")</f>
        <v>VIVT3</v>
      </c>
      <c r="B158" s="17">
        <f>IFERROR(__xludf.DUMMYFUNCTION("""COMPUTED_VALUE"""),44761.0)</f>
        <v>44761</v>
      </c>
      <c r="C158" s="9">
        <f>IFERROR(__xludf.DUMMYFUNCTION("""COMPUTED_VALUE"""),7.0)</f>
        <v>7</v>
      </c>
      <c r="D158" s="9">
        <f>IFERROR(__xludf.DUMMYFUNCTION("""COMPUTED_VALUE"""),2022.0)</f>
        <v>2022</v>
      </c>
      <c r="E158" s="9">
        <f>IFERROR(__xludf.DUMMYFUNCTION("""COMPUTED_VALUE"""),0.48)</f>
        <v>0.48</v>
      </c>
      <c r="F158" s="9">
        <f>IFERROR(__xludf.DUMMYFUNCTION("""COMPUTED_VALUE"""),53.04)</f>
        <v>53.04</v>
      </c>
    </row>
    <row r="159">
      <c r="A159" s="9" t="str">
        <f>IFERROR(__xludf.DUMMYFUNCTION("""COMPUTED_VALUE"""),"BBDC4")</f>
        <v>BBDC4</v>
      </c>
      <c r="B159" s="17">
        <f>IFERROR(__xludf.DUMMYFUNCTION("""COMPUTED_VALUE"""),44743.0)</f>
        <v>44743</v>
      </c>
      <c r="C159" s="9">
        <f>IFERROR(__xludf.DUMMYFUNCTION("""COMPUTED_VALUE"""),7.0)</f>
        <v>7</v>
      </c>
      <c r="D159" s="9">
        <f>IFERROR(__xludf.DUMMYFUNCTION("""COMPUTED_VALUE"""),2022.0)</f>
        <v>2022</v>
      </c>
      <c r="E159" s="9">
        <f>IFERROR(__xludf.DUMMYFUNCTION("""COMPUTED_VALUE"""),0.02)</f>
        <v>0.02</v>
      </c>
      <c r="F159" s="9">
        <f>IFERROR(__xludf.DUMMYFUNCTION("""COMPUTED_VALUE"""),4.74)</f>
        <v>4.74</v>
      </c>
    </row>
    <row r="160">
      <c r="A160" s="9" t="str">
        <f>IFERROR(__xludf.DUMMYFUNCTION("""COMPUTED_VALUE"""),"BBAS3")</f>
        <v>BBAS3</v>
      </c>
      <c r="B160" s="17">
        <f>IFERROR(__xludf.DUMMYFUNCTION("""COMPUTED_VALUE"""),44742.0)</f>
        <v>44742</v>
      </c>
      <c r="C160" s="9">
        <f>IFERROR(__xludf.DUMMYFUNCTION("""COMPUTED_VALUE"""),6.0)</f>
        <v>6</v>
      </c>
      <c r="D160" s="9">
        <f>IFERROR(__xludf.DUMMYFUNCTION("""COMPUTED_VALUE"""),2022.0)</f>
        <v>2022</v>
      </c>
      <c r="E160" s="9">
        <f>IFERROR(__xludf.DUMMYFUNCTION("""COMPUTED_VALUE"""),0.25)</f>
        <v>0.25</v>
      </c>
      <c r="F160" s="9">
        <f>IFERROR(__xludf.DUMMYFUNCTION("""COMPUTED_VALUE"""),49.99)</f>
        <v>49.99</v>
      </c>
    </row>
    <row r="161">
      <c r="A161" s="9" t="str">
        <f>IFERROR(__xludf.DUMMYFUNCTION("""COMPUTED_VALUE"""),"BBDC4")</f>
        <v>BBDC4</v>
      </c>
      <c r="B161" s="17">
        <f>IFERROR(__xludf.DUMMYFUNCTION("""COMPUTED_VALUE"""),44742.0)</f>
        <v>44742</v>
      </c>
      <c r="C161" s="9">
        <f>IFERROR(__xludf.DUMMYFUNCTION("""COMPUTED_VALUE"""),6.0)</f>
        <v>6</v>
      </c>
      <c r="D161" s="9">
        <f>IFERROR(__xludf.DUMMYFUNCTION("""COMPUTED_VALUE"""),2022.0)</f>
        <v>2022</v>
      </c>
      <c r="E161" s="9">
        <f>IFERROR(__xludf.DUMMYFUNCTION("""COMPUTED_VALUE"""),0.2)</f>
        <v>0.2</v>
      </c>
      <c r="F161" s="9">
        <f>IFERROR(__xludf.DUMMYFUNCTION("""COMPUTED_VALUE"""),49.12)</f>
        <v>49.12</v>
      </c>
    </row>
    <row r="162">
      <c r="A162" s="9" t="str">
        <f>IFERROR(__xludf.DUMMYFUNCTION("""COMPUTED_VALUE"""),"CPLE6")</f>
        <v>CPLE6</v>
      </c>
      <c r="B162" s="17">
        <f>IFERROR(__xludf.DUMMYFUNCTION("""COMPUTED_VALUE"""),44742.0)</f>
        <v>44742</v>
      </c>
      <c r="C162" s="9">
        <f>IFERROR(__xludf.DUMMYFUNCTION("""COMPUTED_VALUE"""),6.0)</f>
        <v>6</v>
      </c>
      <c r="D162" s="9">
        <f>IFERROR(__xludf.DUMMYFUNCTION("""COMPUTED_VALUE"""),2022.0)</f>
        <v>2022</v>
      </c>
      <c r="E162" s="9">
        <f>IFERROR(__xludf.DUMMYFUNCTION("""COMPUTED_VALUE"""),0.52)</f>
        <v>0.52</v>
      </c>
      <c r="F162" s="9">
        <f>IFERROR(__xludf.DUMMYFUNCTION("""COMPUTED_VALUE"""),239.97)</f>
        <v>239.97</v>
      </c>
    </row>
    <row r="163">
      <c r="A163" s="9" t="str">
        <f>IFERROR(__xludf.DUMMYFUNCTION("""COMPUTED_VALUE"""),"BRSR6")</f>
        <v>BRSR6</v>
      </c>
      <c r="B163" s="17">
        <f>IFERROR(__xludf.DUMMYFUNCTION("""COMPUTED_VALUE"""),44740.0)</f>
        <v>44740</v>
      </c>
      <c r="C163" s="9">
        <f>IFERROR(__xludf.DUMMYFUNCTION("""COMPUTED_VALUE"""),6.0)</f>
        <v>6</v>
      </c>
      <c r="D163" s="9">
        <f>IFERROR(__xludf.DUMMYFUNCTION("""COMPUTED_VALUE"""),2022.0)</f>
        <v>2022</v>
      </c>
      <c r="E163" s="9">
        <f>IFERROR(__xludf.DUMMYFUNCTION("""COMPUTED_VALUE"""),0.38)</f>
        <v>0.38</v>
      </c>
      <c r="F163" s="9">
        <f>IFERROR(__xludf.DUMMYFUNCTION("""COMPUTED_VALUE"""),197.44)</f>
        <v>197.44</v>
      </c>
    </row>
    <row r="164">
      <c r="A164" s="9" t="str">
        <f>IFERROR(__xludf.DUMMYFUNCTION("""COMPUTED_VALUE"""),"BBDC4")</f>
        <v>BBDC4</v>
      </c>
      <c r="B164" s="17">
        <f>IFERROR(__xludf.DUMMYFUNCTION("""COMPUTED_VALUE"""),44713.0)</f>
        <v>44713</v>
      </c>
      <c r="C164" s="9">
        <f>IFERROR(__xludf.DUMMYFUNCTION("""COMPUTED_VALUE"""),6.0)</f>
        <v>6</v>
      </c>
      <c r="D164" s="9">
        <f>IFERROR(__xludf.DUMMYFUNCTION("""COMPUTED_VALUE"""),2022.0)</f>
        <v>2022</v>
      </c>
      <c r="E164" s="9">
        <f>IFERROR(__xludf.DUMMYFUNCTION("""COMPUTED_VALUE"""),0.02)</f>
        <v>0.02</v>
      </c>
      <c r="F164" s="9">
        <f>IFERROR(__xludf.DUMMYFUNCTION("""COMPUTED_VALUE"""),3.92)</f>
        <v>3.92</v>
      </c>
    </row>
    <row r="165">
      <c r="A165" s="9" t="str">
        <f>IFERROR(__xludf.DUMMYFUNCTION("""COMPUTED_VALUE"""),"BBAS3")</f>
        <v>BBAS3</v>
      </c>
      <c r="B165" s="17">
        <f>IFERROR(__xludf.DUMMYFUNCTION("""COMPUTED_VALUE"""),44712.0)</f>
        <v>44712</v>
      </c>
      <c r="C165" s="9">
        <f>IFERROR(__xludf.DUMMYFUNCTION("""COMPUTED_VALUE"""),5.0)</f>
        <v>5</v>
      </c>
      <c r="D165" s="9">
        <f>IFERROR(__xludf.DUMMYFUNCTION("""COMPUTED_VALUE"""),2022.0)</f>
        <v>2022</v>
      </c>
      <c r="E165" s="9">
        <f>IFERROR(__xludf.DUMMYFUNCTION("""COMPUTED_VALUE"""),0.16)</f>
        <v>0.16</v>
      </c>
      <c r="F165" s="9">
        <f>IFERROR(__xludf.DUMMYFUNCTION("""COMPUTED_VALUE"""),36.5)</f>
        <v>36.5</v>
      </c>
    </row>
    <row r="166">
      <c r="A166" s="9" t="str">
        <f>IFERROR(__xludf.DUMMYFUNCTION("""COMPUTED_VALUE"""),"BBAS3")</f>
        <v>BBAS3</v>
      </c>
      <c r="B166" s="17">
        <f>IFERROR(__xludf.DUMMYFUNCTION("""COMPUTED_VALUE"""),44712.0)</f>
        <v>44712</v>
      </c>
      <c r="C166" s="9">
        <f>IFERROR(__xludf.DUMMYFUNCTION("""COMPUTED_VALUE"""),5.0)</f>
        <v>5</v>
      </c>
      <c r="D166" s="9">
        <f>IFERROR(__xludf.DUMMYFUNCTION("""COMPUTED_VALUE"""),2022.0)</f>
        <v>2022</v>
      </c>
      <c r="E166" s="9">
        <f>IFERROR(__xludf.DUMMYFUNCTION("""COMPUTED_VALUE"""),0.52)</f>
        <v>0.52</v>
      </c>
      <c r="F166" s="9">
        <f>IFERROR(__xludf.DUMMYFUNCTION("""COMPUTED_VALUE"""),103.41)</f>
        <v>103.41</v>
      </c>
    </row>
    <row r="167">
      <c r="A167" s="9" t="str">
        <f>IFERROR(__xludf.DUMMYFUNCTION("""COMPUTED_VALUE"""),"TAEE4")</f>
        <v>TAEE4</v>
      </c>
      <c r="B167" s="17">
        <f>IFERROR(__xludf.DUMMYFUNCTION("""COMPUTED_VALUE"""),44712.0)</f>
        <v>44712</v>
      </c>
      <c r="C167" s="9">
        <f>IFERROR(__xludf.DUMMYFUNCTION("""COMPUTED_VALUE"""),5.0)</f>
        <v>5</v>
      </c>
      <c r="D167" s="9">
        <f>IFERROR(__xludf.DUMMYFUNCTION("""COMPUTED_VALUE"""),2022.0)</f>
        <v>2022</v>
      </c>
      <c r="E167" s="9">
        <f>IFERROR(__xludf.DUMMYFUNCTION("""COMPUTED_VALUE"""),0.14)</f>
        <v>0.14</v>
      </c>
      <c r="F167" s="9">
        <f>IFERROR(__xludf.DUMMYFUNCTION("""COMPUTED_VALUE"""),110.8)</f>
        <v>110.8</v>
      </c>
    </row>
    <row r="168">
      <c r="A168" s="9" t="str">
        <f>IFERROR(__xludf.DUMMYFUNCTION("""COMPUTED_VALUE"""),"TAEE4")</f>
        <v>TAEE4</v>
      </c>
      <c r="B168" s="17">
        <f>IFERROR(__xludf.DUMMYFUNCTION("""COMPUTED_VALUE"""),44712.0)</f>
        <v>44712</v>
      </c>
      <c r="C168" s="9">
        <f>IFERROR(__xludf.DUMMYFUNCTION("""COMPUTED_VALUE"""),5.0)</f>
        <v>5</v>
      </c>
      <c r="D168" s="9">
        <f>IFERROR(__xludf.DUMMYFUNCTION("""COMPUTED_VALUE"""),2022.0)</f>
        <v>2022</v>
      </c>
      <c r="E168" s="9">
        <f>IFERROR(__xludf.DUMMYFUNCTION("""COMPUTED_VALUE"""),0.63)</f>
        <v>0.63</v>
      </c>
      <c r="F168" s="9">
        <f>IFERROR(__xludf.DUMMYFUNCTION("""COMPUTED_VALUE"""),492.41)</f>
        <v>492.41</v>
      </c>
    </row>
    <row r="169">
      <c r="A169" s="9" t="str">
        <f>IFERROR(__xludf.DUMMYFUNCTION("""COMPUTED_VALUE"""),"CIEL3")</f>
        <v>CIEL3</v>
      </c>
      <c r="B169" s="17">
        <f>IFERROR(__xludf.DUMMYFUNCTION("""COMPUTED_VALUE"""),44705.0)</f>
        <v>44705</v>
      </c>
      <c r="C169" s="9">
        <f>IFERROR(__xludf.DUMMYFUNCTION("""COMPUTED_VALUE"""),5.0)</f>
        <v>5</v>
      </c>
      <c r="D169" s="9">
        <f>IFERROR(__xludf.DUMMYFUNCTION("""COMPUTED_VALUE"""),2022.0)</f>
        <v>2022</v>
      </c>
      <c r="E169" s="9">
        <f>IFERROR(__xludf.DUMMYFUNCTION("""COMPUTED_VALUE"""),0.02)</f>
        <v>0.02</v>
      </c>
      <c r="F169" s="9">
        <f>IFERROR(__xludf.DUMMYFUNCTION("""COMPUTED_VALUE"""),22.63)</f>
        <v>22.63</v>
      </c>
    </row>
    <row r="170">
      <c r="A170" s="9" t="str">
        <f>IFERROR(__xludf.DUMMYFUNCTION("""COMPUTED_VALUE"""),"BRSR6")</f>
        <v>BRSR6</v>
      </c>
      <c r="B170" s="17">
        <f>IFERROR(__xludf.DUMMYFUNCTION("""COMPUTED_VALUE"""),44700.0)</f>
        <v>44700</v>
      </c>
      <c r="C170" s="9">
        <f>IFERROR(__xludf.DUMMYFUNCTION("""COMPUTED_VALUE"""),5.0)</f>
        <v>5</v>
      </c>
      <c r="D170" s="9">
        <f>IFERROR(__xludf.DUMMYFUNCTION("""COMPUTED_VALUE"""),2022.0)</f>
        <v>2022</v>
      </c>
      <c r="E170" s="9">
        <f>IFERROR(__xludf.DUMMYFUNCTION("""COMPUTED_VALUE"""),0.04)</f>
        <v>0.04</v>
      </c>
      <c r="F170" s="9">
        <f>IFERROR(__xludf.DUMMYFUNCTION("""COMPUTED_VALUE"""),10.98)</f>
        <v>10.98</v>
      </c>
    </row>
    <row r="171">
      <c r="A171" s="9" t="str">
        <f>IFERROR(__xludf.DUMMYFUNCTION("""COMPUTED_VALUE"""),"CSMG3")</f>
        <v>CSMG3</v>
      </c>
      <c r="B171" s="17">
        <f>IFERROR(__xludf.DUMMYFUNCTION("""COMPUTED_VALUE"""),44697.0)</f>
        <v>44697</v>
      </c>
      <c r="C171" s="9">
        <f>IFERROR(__xludf.DUMMYFUNCTION("""COMPUTED_VALUE"""),5.0)</f>
        <v>5</v>
      </c>
      <c r="D171" s="9">
        <f>IFERROR(__xludf.DUMMYFUNCTION("""COMPUTED_VALUE"""),2022.0)</f>
        <v>2022</v>
      </c>
      <c r="E171" s="9">
        <f>IFERROR(__xludf.DUMMYFUNCTION("""COMPUTED_VALUE"""),0.09)</f>
        <v>0.09</v>
      </c>
      <c r="F171" s="9">
        <f>IFERROR(__xludf.DUMMYFUNCTION("""COMPUTED_VALUE"""),35.46)</f>
        <v>35.46</v>
      </c>
    </row>
    <row r="172">
      <c r="A172" s="9" t="str">
        <f>IFERROR(__xludf.DUMMYFUNCTION("""COMPUTED_VALUE"""),"BBDC4")</f>
        <v>BBDC4</v>
      </c>
      <c r="B172" s="17">
        <f>IFERROR(__xludf.DUMMYFUNCTION("""COMPUTED_VALUE"""),44683.0)</f>
        <v>44683</v>
      </c>
      <c r="C172" s="9">
        <f>IFERROR(__xludf.DUMMYFUNCTION("""COMPUTED_VALUE"""),5.0)</f>
        <v>5</v>
      </c>
      <c r="D172" s="9">
        <f>IFERROR(__xludf.DUMMYFUNCTION("""COMPUTED_VALUE"""),2022.0)</f>
        <v>2022</v>
      </c>
      <c r="E172" s="9">
        <f>IFERROR(__xludf.DUMMYFUNCTION("""COMPUTED_VALUE"""),0.02)</f>
        <v>0.02</v>
      </c>
      <c r="F172" s="9">
        <f>IFERROR(__xludf.DUMMYFUNCTION("""COMPUTED_VALUE"""),3.56)</f>
        <v>3.56</v>
      </c>
    </row>
    <row r="173">
      <c r="A173" s="9" t="str">
        <f>IFERROR(__xludf.DUMMYFUNCTION("""COMPUTED_VALUE"""),"WIZS3")</f>
        <v>WIZS3</v>
      </c>
      <c r="B173" s="17">
        <f>IFERROR(__xludf.DUMMYFUNCTION("""COMPUTED_VALUE"""),44680.0)</f>
        <v>44680</v>
      </c>
      <c r="C173" s="9">
        <f>IFERROR(__xludf.DUMMYFUNCTION("""COMPUTED_VALUE"""),4.0)</f>
        <v>4</v>
      </c>
      <c r="D173" s="9">
        <f>IFERROR(__xludf.DUMMYFUNCTION("""COMPUTED_VALUE"""),2022.0)</f>
        <v>2022</v>
      </c>
      <c r="E173" s="9">
        <f>IFERROR(__xludf.DUMMYFUNCTION("""COMPUTED_VALUE"""),0.09)</f>
        <v>0.09</v>
      </c>
      <c r="F173" s="9">
        <f>IFERROR(__xludf.DUMMYFUNCTION("""COMPUTED_VALUE"""),36.86)</f>
        <v>36.86</v>
      </c>
    </row>
    <row r="174">
      <c r="A174" s="9" t="str">
        <f>IFERROR(__xludf.DUMMYFUNCTION("""COMPUTED_VALUE"""),"BBDC4")</f>
        <v>BBDC4</v>
      </c>
      <c r="B174" s="17">
        <f>IFERROR(__xludf.DUMMYFUNCTION("""COMPUTED_VALUE"""),44652.0)</f>
        <v>44652</v>
      </c>
      <c r="C174" s="9">
        <f>IFERROR(__xludf.DUMMYFUNCTION("""COMPUTED_VALUE"""),4.0)</f>
        <v>4</v>
      </c>
      <c r="D174" s="9">
        <f>IFERROR(__xludf.DUMMYFUNCTION("""COMPUTED_VALUE"""),2022.0)</f>
        <v>2022</v>
      </c>
      <c r="E174" s="9">
        <f>IFERROR(__xludf.DUMMYFUNCTION("""COMPUTED_VALUE"""),0.02)</f>
        <v>0.02</v>
      </c>
      <c r="F174" s="9">
        <f>IFERROR(__xludf.DUMMYFUNCTION("""COMPUTED_VALUE"""),3.56)</f>
        <v>3.56</v>
      </c>
    </row>
    <row r="175">
      <c r="A175" s="9" t="str">
        <f>IFERROR(__xludf.DUMMYFUNCTION("""COMPUTED_VALUE"""),"BBAS3")</f>
        <v>BBAS3</v>
      </c>
      <c r="B175" s="17">
        <f>IFERROR(__xludf.DUMMYFUNCTION("""COMPUTED_VALUE"""),44651.0)</f>
        <v>44651</v>
      </c>
      <c r="C175" s="9">
        <f>IFERROR(__xludf.DUMMYFUNCTION("""COMPUTED_VALUE"""),3.0)</f>
        <v>3</v>
      </c>
      <c r="D175" s="9">
        <f>IFERROR(__xludf.DUMMYFUNCTION("""COMPUTED_VALUE"""),2022.0)</f>
        <v>2022</v>
      </c>
      <c r="E175" s="9">
        <f>IFERROR(__xludf.DUMMYFUNCTION("""COMPUTED_VALUE"""),0.21)</f>
        <v>0.21</v>
      </c>
      <c r="F175" s="9">
        <f>IFERROR(__xludf.DUMMYFUNCTION("""COMPUTED_VALUE"""),40.28)</f>
        <v>40.28</v>
      </c>
    </row>
    <row r="176">
      <c r="A176" s="9" t="str">
        <f>IFERROR(__xludf.DUMMYFUNCTION("""COMPUTED_VALUE"""),"VALE3")</f>
        <v>VALE3</v>
      </c>
      <c r="B176" s="17">
        <f>IFERROR(__xludf.DUMMYFUNCTION("""COMPUTED_VALUE"""),44636.0)</f>
        <v>44636</v>
      </c>
      <c r="C176" s="9">
        <f>IFERROR(__xludf.DUMMYFUNCTION("""COMPUTED_VALUE"""),3.0)</f>
        <v>3</v>
      </c>
      <c r="D176" s="9">
        <f>IFERROR(__xludf.DUMMYFUNCTION("""COMPUTED_VALUE"""),2022.0)</f>
        <v>2022</v>
      </c>
      <c r="E176" s="9">
        <f>IFERROR(__xludf.DUMMYFUNCTION("""COMPUTED_VALUE"""),3.72)</f>
        <v>3.72</v>
      </c>
      <c r="F176" s="9">
        <f>IFERROR(__xludf.DUMMYFUNCTION("""COMPUTED_VALUE"""),271.5)</f>
        <v>271.5</v>
      </c>
    </row>
    <row r="177">
      <c r="A177" s="9" t="str">
        <f>IFERROR(__xludf.DUMMYFUNCTION("""COMPUTED_VALUE"""),"WEGE3")</f>
        <v>WEGE3</v>
      </c>
      <c r="B177" s="17">
        <f>IFERROR(__xludf.DUMMYFUNCTION("""COMPUTED_VALUE"""),44636.0)</f>
        <v>44636</v>
      </c>
      <c r="C177" s="9">
        <f>IFERROR(__xludf.DUMMYFUNCTION("""COMPUTED_VALUE"""),3.0)</f>
        <v>3</v>
      </c>
      <c r="D177" s="9">
        <f>IFERROR(__xludf.DUMMYFUNCTION("""COMPUTED_VALUE"""),2022.0)</f>
        <v>2022</v>
      </c>
      <c r="E177" s="9">
        <f>IFERROR(__xludf.DUMMYFUNCTION("""COMPUTED_VALUE"""),0.03)</f>
        <v>0.03</v>
      </c>
      <c r="F177" s="9">
        <f>IFERROR(__xludf.DUMMYFUNCTION("""COMPUTED_VALUE"""),3.21)</f>
        <v>3.21</v>
      </c>
    </row>
    <row r="178">
      <c r="A178" s="9" t="str">
        <f>IFERROR(__xludf.DUMMYFUNCTION("""COMPUTED_VALUE"""),"WEGE3")</f>
        <v>WEGE3</v>
      </c>
      <c r="B178" s="17">
        <f>IFERROR(__xludf.DUMMYFUNCTION("""COMPUTED_VALUE"""),44636.0)</f>
        <v>44636</v>
      </c>
      <c r="C178" s="9">
        <f>IFERROR(__xludf.DUMMYFUNCTION("""COMPUTED_VALUE"""),3.0)</f>
        <v>3</v>
      </c>
      <c r="D178" s="9">
        <f>IFERROR(__xludf.DUMMYFUNCTION("""COMPUTED_VALUE"""),2022.0)</f>
        <v>2022</v>
      </c>
      <c r="E178" s="9">
        <f>IFERROR(__xludf.DUMMYFUNCTION("""COMPUTED_VALUE"""),0.02)</f>
        <v>0.02</v>
      </c>
      <c r="F178" s="9">
        <f>IFERROR(__xludf.DUMMYFUNCTION("""COMPUTED_VALUE"""),2.76)</f>
        <v>2.76</v>
      </c>
    </row>
    <row r="179">
      <c r="A179" s="9" t="str">
        <f>IFERROR(__xludf.DUMMYFUNCTION("""COMPUTED_VALUE"""),"BBAS3")</f>
        <v>BBAS3</v>
      </c>
      <c r="B179" s="17">
        <f>IFERROR(__xludf.DUMMYFUNCTION("""COMPUTED_VALUE"""),44631.0)</f>
        <v>44631</v>
      </c>
      <c r="C179" s="9">
        <f>IFERROR(__xludf.DUMMYFUNCTION("""COMPUTED_VALUE"""),3.0)</f>
        <v>3</v>
      </c>
      <c r="D179" s="9">
        <f>IFERROR(__xludf.DUMMYFUNCTION("""COMPUTED_VALUE"""),2022.0)</f>
        <v>2022</v>
      </c>
      <c r="E179" s="9">
        <f>IFERROR(__xludf.DUMMYFUNCTION("""COMPUTED_VALUE"""),0.36)</f>
        <v>0.36</v>
      </c>
      <c r="F179" s="9">
        <f>IFERROR(__xludf.DUMMYFUNCTION("""COMPUTED_VALUE"""),80.06)</f>
        <v>80.06</v>
      </c>
    </row>
    <row r="180">
      <c r="A180" s="9" t="str">
        <f>IFERROR(__xludf.DUMMYFUNCTION("""COMPUTED_VALUE"""),"BBAS3")</f>
        <v>BBAS3</v>
      </c>
      <c r="B180" s="17">
        <f>IFERROR(__xludf.DUMMYFUNCTION("""COMPUTED_VALUE"""),44631.0)</f>
        <v>44631</v>
      </c>
      <c r="C180" s="9">
        <f>IFERROR(__xludf.DUMMYFUNCTION("""COMPUTED_VALUE"""),3.0)</f>
        <v>3</v>
      </c>
      <c r="D180" s="9">
        <f>IFERROR(__xludf.DUMMYFUNCTION("""COMPUTED_VALUE"""),2022.0)</f>
        <v>2022</v>
      </c>
      <c r="E180" s="9">
        <f>IFERROR(__xludf.DUMMYFUNCTION("""COMPUTED_VALUE"""),0.45)</f>
        <v>0.45</v>
      </c>
      <c r="F180" s="9">
        <f>IFERROR(__xludf.DUMMYFUNCTION("""COMPUTED_VALUE"""),86.86)</f>
        <v>86.86</v>
      </c>
    </row>
    <row r="181">
      <c r="A181" s="9" t="str">
        <f>IFERROR(__xludf.DUMMYFUNCTION("""COMPUTED_VALUE"""),"BBAS3")</f>
        <v>BBAS3</v>
      </c>
      <c r="B181" s="17">
        <f>IFERROR(__xludf.DUMMYFUNCTION("""COMPUTED_VALUE"""),44631.0)</f>
        <v>44631</v>
      </c>
      <c r="C181" s="9">
        <f>IFERROR(__xludf.DUMMYFUNCTION("""COMPUTED_VALUE"""),3.0)</f>
        <v>3</v>
      </c>
      <c r="D181" s="9">
        <f>IFERROR(__xludf.DUMMYFUNCTION("""COMPUTED_VALUE"""),2022.0)</f>
        <v>2022</v>
      </c>
      <c r="E181" s="9">
        <f>IFERROR(__xludf.DUMMYFUNCTION("""COMPUTED_VALUE"""),0.0)</f>
        <v>0</v>
      </c>
      <c r="F181" s="9">
        <f>IFERROR(__xludf.DUMMYFUNCTION("""COMPUTED_VALUE"""),1.12)</f>
        <v>1.12</v>
      </c>
    </row>
    <row r="182">
      <c r="A182" s="9" t="str">
        <f>IFERROR(__xludf.DUMMYFUNCTION("""COMPUTED_VALUE"""),"BBAS3")</f>
        <v>BBAS3</v>
      </c>
      <c r="B182" s="17">
        <f>IFERROR(__xludf.DUMMYFUNCTION("""COMPUTED_VALUE"""),44631.0)</f>
        <v>44631</v>
      </c>
      <c r="C182" s="9">
        <f>IFERROR(__xludf.DUMMYFUNCTION("""COMPUTED_VALUE"""),3.0)</f>
        <v>3</v>
      </c>
      <c r="D182" s="9">
        <f>IFERROR(__xludf.DUMMYFUNCTION("""COMPUTED_VALUE"""),2022.0)</f>
        <v>2022</v>
      </c>
      <c r="E182" s="9">
        <f>IFERROR(__xludf.DUMMYFUNCTION("""COMPUTED_VALUE"""),0.0)</f>
        <v>0</v>
      </c>
      <c r="F182" s="9">
        <f>IFERROR(__xludf.DUMMYFUNCTION("""COMPUTED_VALUE"""),1.43)</f>
        <v>1.43</v>
      </c>
    </row>
    <row r="183">
      <c r="A183" s="9" t="str">
        <f>IFERROR(__xludf.DUMMYFUNCTION("""COMPUTED_VALUE"""),"BBDC4")</f>
        <v>BBDC4</v>
      </c>
      <c r="B183" s="17">
        <f>IFERROR(__xludf.DUMMYFUNCTION("""COMPUTED_VALUE"""),44622.0)</f>
        <v>44622</v>
      </c>
      <c r="C183" s="9">
        <f>IFERROR(__xludf.DUMMYFUNCTION("""COMPUTED_VALUE"""),3.0)</f>
        <v>3</v>
      </c>
      <c r="D183" s="9">
        <f>IFERROR(__xludf.DUMMYFUNCTION("""COMPUTED_VALUE"""),2022.0)</f>
        <v>2022</v>
      </c>
      <c r="E183" s="9">
        <f>IFERROR(__xludf.DUMMYFUNCTION("""COMPUTED_VALUE"""),0.02)</f>
        <v>0.02</v>
      </c>
      <c r="F183" s="9">
        <f>IFERROR(__xludf.DUMMYFUNCTION("""COMPUTED_VALUE"""),3.56)</f>
        <v>3.56</v>
      </c>
    </row>
    <row r="184">
      <c r="A184" s="9" t="str">
        <f>IFERROR(__xludf.DUMMYFUNCTION("""COMPUTED_VALUE"""),"BBSE3")</f>
        <v>BBSE3</v>
      </c>
      <c r="B184" s="17">
        <f>IFERROR(__xludf.DUMMYFUNCTION("""COMPUTED_VALUE"""),44615.0)</f>
        <v>44615</v>
      </c>
      <c r="C184" s="9">
        <f>IFERROR(__xludf.DUMMYFUNCTION("""COMPUTED_VALUE"""),2.0)</f>
        <v>2</v>
      </c>
      <c r="D184" s="9">
        <f>IFERROR(__xludf.DUMMYFUNCTION("""COMPUTED_VALUE"""),2022.0)</f>
        <v>2022</v>
      </c>
      <c r="E184" s="9">
        <f>IFERROR(__xludf.DUMMYFUNCTION("""COMPUTED_VALUE"""),0.0)</f>
        <v>0</v>
      </c>
      <c r="F184" s="9">
        <f>IFERROR(__xludf.DUMMYFUNCTION("""COMPUTED_VALUE"""),2.95)</f>
        <v>2.95</v>
      </c>
    </row>
    <row r="185">
      <c r="A185" s="9" t="str">
        <f>IFERROR(__xludf.DUMMYFUNCTION("""COMPUTED_VALUE"""),"BBSE3")</f>
        <v>BBSE3</v>
      </c>
      <c r="B185" s="17">
        <f>IFERROR(__xludf.DUMMYFUNCTION("""COMPUTED_VALUE"""),44615.0)</f>
        <v>44615</v>
      </c>
      <c r="C185" s="9">
        <f>IFERROR(__xludf.DUMMYFUNCTION("""COMPUTED_VALUE"""),2.0)</f>
        <v>2</v>
      </c>
      <c r="D185" s="9">
        <f>IFERROR(__xludf.DUMMYFUNCTION("""COMPUTED_VALUE"""),2022.0)</f>
        <v>2022</v>
      </c>
      <c r="E185" s="9">
        <f>IFERROR(__xludf.DUMMYFUNCTION("""COMPUTED_VALUE"""),0.92)</f>
        <v>0.92</v>
      </c>
      <c r="F185" s="9">
        <f>IFERROR(__xludf.DUMMYFUNCTION("""COMPUTED_VALUE"""),271.47)</f>
        <v>271.47</v>
      </c>
    </row>
    <row r="186">
      <c r="A186" s="9" t="str">
        <f>IFERROR(__xludf.DUMMYFUNCTION("""COMPUTED_VALUE"""),"BBDC4")</f>
        <v>BBDC4</v>
      </c>
      <c r="B186" s="17">
        <f>IFERROR(__xludf.DUMMYFUNCTION("""COMPUTED_VALUE"""),44593.0)</f>
        <v>44593</v>
      </c>
      <c r="C186" s="9">
        <f>IFERROR(__xludf.DUMMYFUNCTION("""COMPUTED_VALUE"""),2.0)</f>
        <v>2</v>
      </c>
      <c r="D186" s="9">
        <f>IFERROR(__xludf.DUMMYFUNCTION("""COMPUTED_VALUE"""),2022.0)</f>
        <v>2022</v>
      </c>
      <c r="E186" s="9">
        <f>IFERROR(__xludf.DUMMYFUNCTION("""COMPUTED_VALUE"""),0.02)</f>
        <v>0.02</v>
      </c>
      <c r="F186" s="9">
        <f>IFERROR(__xludf.DUMMYFUNCTION("""COMPUTED_VALUE"""),1.08)</f>
        <v>1.08</v>
      </c>
    </row>
    <row r="187">
      <c r="A187" s="9" t="str">
        <f>IFERROR(__xludf.DUMMYFUNCTION("""COMPUTED_VALUE"""),"TRPL4")</f>
        <v>TRPL4</v>
      </c>
      <c r="B187" s="17">
        <f>IFERROR(__xludf.DUMMYFUNCTION("""COMPUTED_VALUE"""),44579.0)</f>
        <v>44579</v>
      </c>
      <c r="C187" s="9">
        <f>IFERROR(__xludf.DUMMYFUNCTION("""COMPUTED_VALUE"""),1.0)</f>
        <v>1</v>
      </c>
      <c r="D187" s="9">
        <f>IFERROR(__xludf.DUMMYFUNCTION("""COMPUTED_VALUE"""),2022.0)</f>
        <v>2022</v>
      </c>
      <c r="E187" s="9">
        <f>IFERROR(__xludf.DUMMYFUNCTION("""COMPUTED_VALUE"""),0.17)</f>
        <v>0.17</v>
      </c>
      <c r="F187" s="9">
        <f>IFERROR(__xludf.DUMMYFUNCTION("""COMPUTED_VALUE"""),33.85)</f>
        <v>33.85</v>
      </c>
    </row>
    <row r="188">
      <c r="A188" s="9" t="str">
        <f>IFERROR(__xludf.DUMMYFUNCTION("""COMPUTED_VALUE"""),"B3SA3")</f>
        <v>B3SA3</v>
      </c>
      <c r="B188" s="17">
        <f>IFERROR(__xludf.DUMMYFUNCTION("""COMPUTED_VALUE"""),44568.0)</f>
        <v>44568</v>
      </c>
      <c r="C188" s="9">
        <f>IFERROR(__xludf.DUMMYFUNCTION("""COMPUTED_VALUE"""),1.0)</f>
        <v>1</v>
      </c>
      <c r="D188" s="9">
        <f>IFERROR(__xludf.DUMMYFUNCTION("""COMPUTED_VALUE"""),2022.0)</f>
        <v>2022</v>
      </c>
      <c r="E188" s="9">
        <f>IFERROR(__xludf.DUMMYFUNCTION("""COMPUTED_VALUE"""),0.05)</f>
        <v>0.05</v>
      </c>
      <c r="F188" s="9">
        <f>IFERROR(__xludf.DUMMYFUNCTION("""COMPUTED_VALUE"""),16.92)</f>
        <v>16.92</v>
      </c>
    </row>
    <row r="189">
      <c r="A189" s="9" t="str">
        <f>IFERROR(__xludf.DUMMYFUNCTION("""COMPUTED_VALUE"""),"BBAS3")</f>
        <v>BBAS3</v>
      </c>
      <c r="B189" s="17">
        <f>IFERROR(__xludf.DUMMYFUNCTION("""COMPUTED_VALUE"""),45288.0)</f>
        <v>45288</v>
      </c>
      <c r="C189" s="9">
        <f>IFERROR(__xludf.DUMMYFUNCTION("""COMPUTED_VALUE"""),12.0)</f>
        <v>12</v>
      </c>
      <c r="D189" s="9">
        <f>IFERROR(__xludf.DUMMYFUNCTION("""COMPUTED_VALUE"""),2023.0)</f>
        <v>2023</v>
      </c>
      <c r="E189" s="9">
        <f>IFERROR(__xludf.DUMMYFUNCTION("""COMPUTED_VALUE"""),0.34)</f>
        <v>0.34</v>
      </c>
      <c r="F189" s="9">
        <f>IFERROR(__xludf.DUMMYFUNCTION("""COMPUTED_VALUE"""),228.99)</f>
        <v>228.99</v>
      </c>
    </row>
    <row r="190">
      <c r="A190" s="9" t="str">
        <f>IFERROR(__xludf.DUMMYFUNCTION("""COMPUTED_VALUE"""),"PETR4")</f>
        <v>PETR4</v>
      </c>
      <c r="B190" s="17">
        <f>IFERROR(__xludf.DUMMYFUNCTION("""COMPUTED_VALUE"""),45287.0)</f>
        <v>45287</v>
      </c>
      <c r="C190" s="9">
        <f>IFERROR(__xludf.DUMMYFUNCTION("""COMPUTED_VALUE"""),12.0)</f>
        <v>12</v>
      </c>
      <c r="D190" s="9">
        <f>IFERROR(__xludf.DUMMYFUNCTION("""COMPUTED_VALUE"""),2023.0)</f>
        <v>2023</v>
      </c>
      <c r="E190" s="9">
        <f>IFERROR(__xludf.DUMMYFUNCTION("""COMPUTED_VALUE"""),0.5)</f>
        <v>0.5</v>
      </c>
      <c r="F190" s="9">
        <f>IFERROR(__xludf.DUMMYFUNCTION("""COMPUTED_VALUE"""),114.05)</f>
        <v>114.05</v>
      </c>
    </row>
    <row r="191">
      <c r="A191" s="9" t="str">
        <f>IFERROR(__xludf.DUMMYFUNCTION("""COMPUTED_VALUE"""),"PETR4")</f>
        <v>PETR4</v>
      </c>
      <c r="B191" s="17">
        <f>IFERROR(__xludf.DUMMYFUNCTION("""COMPUTED_VALUE"""),45287.0)</f>
        <v>45287</v>
      </c>
      <c r="C191" s="9">
        <f>IFERROR(__xludf.DUMMYFUNCTION("""COMPUTED_VALUE"""),12.0)</f>
        <v>12</v>
      </c>
      <c r="D191" s="9">
        <f>IFERROR(__xludf.DUMMYFUNCTION("""COMPUTED_VALUE"""),2023.0)</f>
        <v>2023</v>
      </c>
      <c r="E191" s="9">
        <f>IFERROR(__xludf.DUMMYFUNCTION("""COMPUTED_VALUE"""),0.0)</f>
        <v>0</v>
      </c>
      <c r="F191" s="9">
        <f>IFERROR(__xludf.DUMMYFUNCTION("""COMPUTED_VALUE"""),12.17)</f>
        <v>12.17</v>
      </c>
    </row>
    <row r="192">
      <c r="A192" s="9" t="str">
        <f>IFERROR(__xludf.DUMMYFUNCTION("""COMPUTED_VALUE"""),"PETR4")</f>
        <v>PETR4</v>
      </c>
      <c r="B192" s="17">
        <f>IFERROR(__xludf.DUMMYFUNCTION("""COMPUTED_VALUE"""),45275.0)</f>
        <v>45275</v>
      </c>
      <c r="C192" s="9">
        <f>IFERROR(__xludf.DUMMYFUNCTION("""COMPUTED_VALUE"""),12.0)</f>
        <v>12</v>
      </c>
      <c r="D192" s="9">
        <f>IFERROR(__xludf.DUMMYFUNCTION("""COMPUTED_VALUE"""),2023.0)</f>
        <v>2023</v>
      </c>
      <c r="E192" s="9">
        <f>IFERROR(__xludf.DUMMYFUNCTION("""COMPUTED_VALUE"""),0.58)</f>
        <v>0.58</v>
      </c>
      <c r="F192" s="9">
        <f>IFERROR(__xludf.DUMMYFUNCTION("""COMPUTED_VALUE"""),131.59)</f>
        <v>131.59</v>
      </c>
    </row>
    <row r="193">
      <c r="A193" s="9" t="str">
        <f>IFERROR(__xludf.DUMMYFUNCTION("""COMPUTED_VALUE"""),"TAEE4")</f>
        <v>TAEE4</v>
      </c>
      <c r="B193" s="17">
        <f>IFERROR(__xludf.DUMMYFUNCTION("""COMPUTED_VALUE"""),45275.0)</f>
        <v>45275</v>
      </c>
      <c r="C193" s="9">
        <f>IFERROR(__xludf.DUMMYFUNCTION("""COMPUTED_VALUE"""),12.0)</f>
        <v>12</v>
      </c>
      <c r="D193" s="9">
        <f>IFERROR(__xludf.DUMMYFUNCTION("""COMPUTED_VALUE"""),2023.0)</f>
        <v>2023</v>
      </c>
      <c r="E193" s="9">
        <f>IFERROR(__xludf.DUMMYFUNCTION("""COMPUTED_VALUE"""),0.0)</f>
        <v>0</v>
      </c>
      <c r="F193" s="9">
        <f>IFERROR(__xludf.DUMMYFUNCTION("""COMPUTED_VALUE"""),6.02)</f>
        <v>6.02</v>
      </c>
    </row>
    <row r="194">
      <c r="A194" s="9" t="str">
        <f>IFERROR(__xludf.DUMMYFUNCTION("""COMPUTED_VALUE"""),"TAEE4")</f>
        <v>TAEE4</v>
      </c>
      <c r="B194" s="17">
        <f>IFERROR(__xludf.DUMMYFUNCTION("""COMPUTED_VALUE"""),45275.0)</f>
        <v>45275</v>
      </c>
      <c r="C194" s="9">
        <f>IFERROR(__xludf.DUMMYFUNCTION("""COMPUTED_VALUE"""),12.0)</f>
        <v>12</v>
      </c>
      <c r="D194" s="9">
        <f>IFERROR(__xludf.DUMMYFUNCTION("""COMPUTED_VALUE"""),2023.0)</f>
        <v>2023</v>
      </c>
      <c r="E194" s="9">
        <f>IFERROR(__xludf.DUMMYFUNCTION("""COMPUTED_VALUE"""),0.19)</f>
        <v>0.19</v>
      </c>
      <c r="F194" s="9">
        <f>IFERROR(__xludf.DUMMYFUNCTION("""COMPUTED_VALUE"""),251.94)</f>
        <v>251.94</v>
      </c>
    </row>
    <row r="195">
      <c r="A195" s="9" t="str">
        <f>IFERROR(__xludf.DUMMYFUNCTION("""COMPUTED_VALUE"""),"WIZC3")</f>
        <v>WIZC3</v>
      </c>
      <c r="B195" s="17">
        <f>IFERROR(__xludf.DUMMYFUNCTION("""COMPUTED_VALUE"""),45272.0)</f>
        <v>45272</v>
      </c>
      <c r="C195" s="9">
        <f>IFERROR(__xludf.DUMMYFUNCTION("""COMPUTED_VALUE"""),12.0)</f>
        <v>12</v>
      </c>
      <c r="D195" s="9">
        <f>IFERROR(__xludf.DUMMYFUNCTION("""COMPUTED_VALUE"""),2023.0)</f>
        <v>2023</v>
      </c>
      <c r="E195" s="9">
        <f>IFERROR(__xludf.DUMMYFUNCTION("""COMPUTED_VALUE"""),0.14)</f>
        <v>0.14</v>
      </c>
      <c r="F195" s="9">
        <f>IFERROR(__xludf.DUMMYFUNCTION("""COMPUTED_VALUE"""),55.16)</f>
        <v>55.16</v>
      </c>
    </row>
    <row r="196">
      <c r="A196" s="9" t="str">
        <f>IFERROR(__xludf.DUMMYFUNCTION("""COMPUTED_VALUE"""),"WIZC3")</f>
        <v>WIZC3</v>
      </c>
      <c r="B196" s="17">
        <f>IFERROR(__xludf.DUMMYFUNCTION("""COMPUTED_VALUE"""),45272.0)</f>
        <v>45272</v>
      </c>
      <c r="C196" s="9">
        <f>IFERROR(__xludf.DUMMYFUNCTION("""COMPUTED_VALUE"""),12.0)</f>
        <v>12</v>
      </c>
      <c r="D196" s="9">
        <f>IFERROR(__xludf.DUMMYFUNCTION("""COMPUTED_VALUE"""),2023.0)</f>
        <v>2023</v>
      </c>
      <c r="E196" s="9">
        <f>IFERROR(__xludf.DUMMYFUNCTION("""COMPUTED_VALUE"""),0.24)</f>
        <v>0.24</v>
      </c>
      <c r="F196" s="9">
        <f>IFERROR(__xludf.DUMMYFUNCTION("""COMPUTED_VALUE"""),115.21)</f>
        <v>115.21</v>
      </c>
    </row>
    <row r="197">
      <c r="A197" s="9" t="str">
        <f>IFERROR(__xludf.DUMMYFUNCTION("""COMPUTED_VALUE"""),"BBDC3")</f>
        <v>BBDC3</v>
      </c>
      <c r="B197" s="17">
        <f>IFERROR(__xludf.DUMMYFUNCTION("""COMPUTED_VALUE"""),45261.0)</f>
        <v>45261</v>
      </c>
      <c r="C197" s="9">
        <f>IFERROR(__xludf.DUMMYFUNCTION("""COMPUTED_VALUE"""),12.0)</f>
        <v>12</v>
      </c>
      <c r="D197" s="9">
        <f>IFERROR(__xludf.DUMMYFUNCTION("""COMPUTED_VALUE"""),2023.0)</f>
        <v>2023</v>
      </c>
      <c r="E197" s="9">
        <f>IFERROR(__xludf.DUMMYFUNCTION("""COMPUTED_VALUE"""),0.02)</f>
        <v>0.02</v>
      </c>
      <c r="F197" s="9">
        <f>IFERROR(__xludf.DUMMYFUNCTION("""COMPUTED_VALUE"""),13.4)</f>
        <v>13.4</v>
      </c>
    </row>
    <row r="198">
      <c r="A198" s="9" t="str">
        <f>IFERROR(__xludf.DUMMYFUNCTION("""COMPUTED_VALUE"""),"BBAS3")</f>
        <v>BBAS3</v>
      </c>
      <c r="B198" s="17">
        <f>IFERROR(__xludf.DUMMYFUNCTION("""COMPUTED_VALUE"""),45260.0)</f>
        <v>45260</v>
      </c>
      <c r="C198" s="9">
        <f>IFERROR(__xludf.DUMMYFUNCTION("""COMPUTED_VALUE"""),11.0)</f>
        <v>11</v>
      </c>
      <c r="D198" s="9">
        <f>IFERROR(__xludf.DUMMYFUNCTION("""COMPUTED_VALUE"""),2023.0)</f>
        <v>2023</v>
      </c>
      <c r="E198" s="9">
        <f>IFERROR(__xludf.DUMMYFUNCTION("""COMPUTED_VALUE"""),0.1)</f>
        <v>0.1</v>
      </c>
      <c r="F198" s="9">
        <f>IFERROR(__xludf.DUMMYFUNCTION("""COMPUTED_VALUE"""),80.26)</f>
        <v>80.26</v>
      </c>
    </row>
    <row r="199">
      <c r="A199" s="9" t="str">
        <f>IFERROR(__xludf.DUMMYFUNCTION("""COMPUTED_VALUE"""),"BBAS3")</f>
        <v>BBAS3</v>
      </c>
      <c r="B199" s="17">
        <f>IFERROR(__xludf.DUMMYFUNCTION("""COMPUTED_VALUE"""),45260.0)</f>
        <v>45260</v>
      </c>
      <c r="C199" s="9">
        <f>IFERROR(__xludf.DUMMYFUNCTION("""COMPUTED_VALUE"""),11.0)</f>
        <v>11</v>
      </c>
      <c r="D199" s="9">
        <f>IFERROR(__xludf.DUMMYFUNCTION("""COMPUTED_VALUE"""),2023.0)</f>
        <v>2023</v>
      </c>
      <c r="E199" s="9">
        <f>IFERROR(__xludf.DUMMYFUNCTION("""COMPUTED_VALUE"""),0.69)</f>
        <v>0.69</v>
      </c>
      <c r="F199" s="9">
        <f>IFERROR(__xludf.DUMMYFUNCTION("""COMPUTED_VALUE"""),459.04)</f>
        <v>459.04</v>
      </c>
    </row>
    <row r="200">
      <c r="A200" s="9" t="str">
        <f>IFERROR(__xludf.DUMMYFUNCTION("""COMPUTED_VALUE"""),"CPLE6")</f>
        <v>CPLE6</v>
      </c>
      <c r="B200" s="17">
        <f>IFERROR(__xludf.DUMMYFUNCTION("""COMPUTED_VALUE"""),45260.0)</f>
        <v>45260</v>
      </c>
      <c r="C200" s="9">
        <f>IFERROR(__xludf.DUMMYFUNCTION("""COMPUTED_VALUE"""),11.0)</f>
        <v>11</v>
      </c>
      <c r="D200" s="9">
        <f>IFERROR(__xludf.DUMMYFUNCTION("""COMPUTED_VALUE"""),2023.0)</f>
        <v>2023</v>
      </c>
      <c r="E200" s="9">
        <f>IFERROR(__xludf.DUMMYFUNCTION("""COMPUTED_VALUE"""),0.16)</f>
        <v>0.16</v>
      </c>
      <c r="F200" s="9">
        <f>IFERROR(__xludf.DUMMYFUNCTION("""COMPUTED_VALUE"""),98.16)</f>
        <v>98.16</v>
      </c>
    </row>
    <row r="201">
      <c r="A201" s="9" t="str">
        <f>IFERROR(__xludf.DUMMYFUNCTION("""COMPUTED_VALUE"""),"PETR4")</f>
        <v>PETR4</v>
      </c>
      <c r="B201" s="17">
        <f>IFERROR(__xludf.DUMMYFUNCTION("""COMPUTED_VALUE"""),45251.0)</f>
        <v>45251</v>
      </c>
      <c r="C201" s="9">
        <f>IFERROR(__xludf.DUMMYFUNCTION("""COMPUTED_VALUE"""),11.0)</f>
        <v>11</v>
      </c>
      <c r="D201" s="9">
        <f>IFERROR(__xludf.DUMMYFUNCTION("""COMPUTED_VALUE"""),2023.0)</f>
        <v>2023</v>
      </c>
      <c r="E201" s="9">
        <f>IFERROR(__xludf.DUMMYFUNCTION("""COMPUTED_VALUE"""),0.37)</f>
        <v>0.37</v>
      </c>
      <c r="F201" s="9">
        <f>IFERROR(__xludf.DUMMYFUNCTION("""COMPUTED_VALUE"""),71.14)</f>
        <v>71.14</v>
      </c>
    </row>
    <row r="202">
      <c r="A202" s="9" t="str">
        <f>IFERROR(__xludf.DUMMYFUNCTION("""COMPUTED_VALUE"""),"PETR4")</f>
        <v>PETR4</v>
      </c>
      <c r="B202" s="17">
        <f>IFERROR(__xludf.DUMMYFUNCTION("""COMPUTED_VALUE"""),45251.0)</f>
        <v>45251</v>
      </c>
      <c r="C202" s="9">
        <f>IFERROR(__xludf.DUMMYFUNCTION("""COMPUTED_VALUE"""),11.0)</f>
        <v>11</v>
      </c>
      <c r="D202" s="9">
        <f>IFERROR(__xludf.DUMMYFUNCTION("""COMPUTED_VALUE"""),2023.0)</f>
        <v>2023</v>
      </c>
      <c r="E202" s="9">
        <f>IFERROR(__xludf.DUMMYFUNCTION("""COMPUTED_VALUE"""),0.21)</f>
        <v>0.21</v>
      </c>
      <c r="F202" s="9">
        <f>IFERROR(__xludf.DUMMYFUNCTION("""COMPUTED_VALUE"""),47.9)</f>
        <v>47.9</v>
      </c>
    </row>
    <row r="203">
      <c r="A203" s="9" t="str">
        <f>IFERROR(__xludf.DUMMYFUNCTION("""COMPUTED_VALUE"""),"KLBN4")</f>
        <v>KLBN4</v>
      </c>
      <c r="B203" s="17">
        <f>IFERROR(__xludf.DUMMYFUNCTION("""COMPUTED_VALUE"""),45244.0)</f>
        <v>45244</v>
      </c>
      <c r="C203" s="9">
        <f>IFERROR(__xludf.DUMMYFUNCTION("""COMPUTED_VALUE"""),11.0)</f>
        <v>11</v>
      </c>
      <c r="D203" s="9">
        <f>IFERROR(__xludf.DUMMYFUNCTION("""COMPUTED_VALUE"""),2023.0)</f>
        <v>2023</v>
      </c>
      <c r="E203" s="9">
        <f>IFERROR(__xludf.DUMMYFUNCTION("""COMPUTED_VALUE"""),0.06)</f>
        <v>0.06</v>
      </c>
      <c r="F203" s="9">
        <f>IFERROR(__xludf.DUMMYFUNCTION("""COMPUTED_VALUE"""),90.63)</f>
        <v>90.63</v>
      </c>
    </row>
    <row r="204">
      <c r="A204" s="9" t="str">
        <f>IFERROR(__xludf.DUMMYFUNCTION("""COMPUTED_VALUE"""),"CXSE3")</f>
        <v>CXSE3</v>
      </c>
      <c r="B204" s="17">
        <f>IFERROR(__xludf.DUMMYFUNCTION("""COMPUTED_VALUE"""),45236.0)</f>
        <v>45236</v>
      </c>
      <c r="C204" s="9">
        <f>IFERROR(__xludf.DUMMYFUNCTION("""COMPUTED_VALUE"""),11.0)</f>
        <v>11</v>
      </c>
      <c r="D204" s="9">
        <f>IFERROR(__xludf.DUMMYFUNCTION("""COMPUTED_VALUE"""),2023.0)</f>
        <v>2023</v>
      </c>
      <c r="E204" s="9">
        <f>IFERROR(__xludf.DUMMYFUNCTION("""COMPUTED_VALUE"""),0.5)</f>
        <v>0.5</v>
      </c>
      <c r="F204" s="9">
        <f>IFERROR(__xludf.DUMMYFUNCTION("""COMPUTED_VALUE"""),252.0)</f>
        <v>252</v>
      </c>
    </row>
    <row r="205">
      <c r="A205" s="9" t="str">
        <f>IFERROR(__xludf.DUMMYFUNCTION("""COMPUTED_VALUE"""),"BBDC3")</f>
        <v>BBDC3</v>
      </c>
      <c r="B205" s="17">
        <f>IFERROR(__xludf.DUMMYFUNCTION("""COMPUTED_VALUE"""),45231.0)</f>
        <v>45231</v>
      </c>
      <c r="C205" s="9">
        <f>IFERROR(__xludf.DUMMYFUNCTION("""COMPUTED_VALUE"""),11.0)</f>
        <v>11</v>
      </c>
      <c r="D205" s="9">
        <f>IFERROR(__xludf.DUMMYFUNCTION("""COMPUTED_VALUE"""),2023.0)</f>
        <v>2023</v>
      </c>
      <c r="E205" s="9">
        <f>IFERROR(__xludf.DUMMYFUNCTION("""COMPUTED_VALUE"""),0.02)</f>
        <v>0.02</v>
      </c>
      <c r="F205" s="9">
        <f>IFERROR(__xludf.DUMMYFUNCTION("""COMPUTED_VALUE"""),13.4)</f>
        <v>13.4</v>
      </c>
    </row>
    <row r="206">
      <c r="A206" s="9" t="str">
        <f>IFERROR(__xludf.DUMMYFUNCTION("""COMPUTED_VALUE"""),"VIVT3")</f>
        <v>VIVT3</v>
      </c>
      <c r="B206" s="17">
        <f>IFERROR(__xludf.DUMMYFUNCTION("""COMPUTED_VALUE"""),45217.0)</f>
        <v>45217</v>
      </c>
      <c r="C206" s="9">
        <f>IFERROR(__xludf.DUMMYFUNCTION("""COMPUTED_VALUE"""),10.0)</f>
        <v>10</v>
      </c>
      <c r="D206" s="9">
        <f>IFERROR(__xludf.DUMMYFUNCTION("""COMPUTED_VALUE"""),2023.0)</f>
        <v>2023</v>
      </c>
      <c r="E206" s="9">
        <f>IFERROR(__xludf.DUMMYFUNCTION("""COMPUTED_VALUE"""),0.06)</f>
        <v>0.06</v>
      </c>
      <c r="F206" s="9">
        <f>IFERROR(__xludf.DUMMYFUNCTION("""COMPUTED_VALUE"""),12.57)</f>
        <v>12.57</v>
      </c>
    </row>
    <row r="207">
      <c r="A207" s="9" t="str">
        <f>IFERROR(__xludf.DUMMYFUNCTION("""COMPUTED_VALUE"""),"VIVT3")</f>
        <v>VIVT3</v>
      </c>
      <c r="B207" s="17">
        <f>IFERROR(__xludf.DUMMYFUNCTION("""COMPUTED_VALUE"""),45217.0)</f>
        <v>45217</v>
      </c>
      <c r="C207" s="9">
        <f>IFERROR(__xludf.DUMMYFUNCTION("""COMPUTED_VALUE"""),10.0)</f>
        <v>10</v>
      </c>
      <c r="D207" s="9">
        <f>IFERROR(__xludf.DUMMYFUNCTION("""COMPUTED_VALUE"""),2023.0)</f>
        <v>2023</v>
      </c>
      <c r="E207" s="9">
        <f>IFERROR(__xludf.DUMMYFUNCTION("""COMPUTED_VALUE"""),0.18)</f>
        <v>0.18</v>
      </c>
      <c r="F207" s="9">
        <f>IFERROR(__xludf.DUMMYFUNCTION("""COMPUTED_VALUE"""),34.42)</f>
        <v>34.42</v>
      </c>
    </row>
    <row r="208">
      <c r="A208" s="9" t="str">
        <f>IFERROR(__xludf.DUMMYFUNCTION("""COMPUTED_VALUE"""),"BBDC3")</f>
        <v>BBDC3</v>
      </c>
      <c r="B208" s="17">
        <f>IFERROR(__xludf.DUMMYFUNCTION("""COMPUTED_VALUE"""),45201.0)</f>
        <v>45201</v>
      </c>
      <c r="C208" s="9">
        <f>IFERROR(__xludf.DUMMYFUNCTION("""COMPUTED_VALUE"""),10.0)</f>
        <v>10</v>
      </c>
      <c r="D208" s="9">
        <f>IFERROR(__xludf.DUMMYFUNCTION("""COMPUTED_VALUE"""),2023.0)</f>
        <v>2023</v>
      </c>
      <c r="E208" s="9">
        <f>IFERROR(__xludf.DUMMYFUNCTION("""COMPUTED_VALUE"""),0.02)</f>
        <v>0.02</v>
      </c>
      <c r="F208" s="9">
        <f>IFERROR(__xludf.DUMMYFUNCTION("""COMPUTED_VALUE"""),13.4)</f>
        <v>13.4</v>
      </c>
    </row>
    <row r="209">
      <c r="A209" s="9" t="str">
        <f>IFERROR(__xludf.DUMMYFUNCTION("""COMPUTED_VALUE"""),"BBAS3")</f>
        <v>BBAS3</v>
      </c>
      <c r="B209" s="17">
        <f>IFERROR(__xludf.DUMMYFUNCTION("""COMPUTED_VALUE"""),45198.0)</f>
        <v>45198</v>
      </c>
      <c r="C209" s="9">
        <f>IFERROR(__xludf.DUMMYFUNCTION("""COMPUTED_VALUE"""),9.0)</f>
        <v>9</v>
      </c>
      <c r="D209" s="9">
        <f>IFERROR(__xludf.DUMMYFUNCTION("""COMPUTED_VALUE"""),2023.0)</f>
        <v>2023</v>
      </c>
      <c r="E209" s="9">
        <f>IFERROR(__xludf.DUMMYFUNCTION("""COMPUTED_VALUE"""),0.33)</f>
        <v>0.33</v>
      </c>
      <c r="F209" s="9">
        <f>IFERROR(__xludf.DUMMYFUNCTION("""COMPUTED_VALUE"""),223.56)</f>
        <v>223.56</v>
      </c>
    </row>
    <row r="210">
      <c r="A210" s="9" t="str">
        <f>IFERROR(__xludf.DUMMYFUNCTION("""COMPUTED_VALUE"""),"BRSR6")</f>
        <v>BRSR6</v>
      </c>
      <c r="B210" s="17">
        <f>IFERROR(__xludf.DUMMYFUNCTION("""COMPUTED_VALUE"""),45198.0)</f>
        <v>45198</v>
      </c>
      <c r="C210" s="9">
        <f>IFERROR(__xludf.DUMMYFUNCTION("""COMPUTED_VALUE"""),9.0)</f>
        <v>9</v>
      </c>
      <c r="D210" s="9">
        <f>IFERROR(__xludf.DUMMYFUNCTION("""COMPUTED_VALUE"""),2023.0)</f>
        <v>2023</v>
      </c>
      <c r="E210" s="9">
        <f>IFERROR(__xludf.DUMMYFUNCTION("""COMPUTED_VALUE"""),0.17)</f>
        <v>0.17</v>
      </c>
      <c r="F210" s="9">
        <f>IFERROR(__xludf.DUMMYFUNCTION("""COMPUTED_VALUE"""),133.33)</f>
        <v>133.33</v>
      </c>
    </row>
    <row r="211">
      <c r="A211" s="9" t="str">
        <f>IFERROR(__xludf.DUMMYFUNCTION("""COMPUTED_VALUE"""),"PETR4")</f>
        <v>PETR4</v>
      </c>
      <c r="B211" s="17">
        <f>IFERROR(__xludf.DUMMYFUNCTION("""COMPUTED_VALUE"""),45189.0)</f>
        <v>45189</v>
      </c>
      <c r="C211" s="9">
        <f>IFERROR(__xludf.DUMMYFUNCTION("""COMPUTED_VALUE"""),9.0)</f>
        <v>9</v>
      </c>
      <c r="D211" s="9">
        <f>IFERROR(__xludf.DUMMYFUNCTION("""COMPUTED_VALUE"""),2023.0)</f>
        <v>2023</v>
      </c>
      <c r="E211" s="9">
        <f>IFERROR(__xludf.DUMMYFUNCTION("""COMPUTED_VALUE"""),0.95)</f>
        <v>0.95</v>
      </c>
      <c r="F211" s="9">
        <f>IFERROR(__xludf.DUMMYFUNCTION("""COMPUTED_VALUE"""),216.81)</f>
        <v>216.81</v>
      </c>
    </row>
    <row r="212">
      <c r="A212" s="9" t="str">
        <f>IFERROR(__xludf.DUMMYFUNCTION("""COMPUTED_VALUE"""),"BBDC3")</f>
        <v>BBDC3</v>
      </c>
      <c r="B212" s="17">
        <f>IFERROR(__xludf.DUMMYFUNCTION("""COMPUTED_VALUE"""),45170.0)</f>
        <v>45170</v>
      </c>
      <c r="C212" s="9">
        <f>IFERROR(__xludf.DUMMYFUNCTION("""COMPUTED_VALUE"""),9.0)</f>
        <v>9</v>
      </c>
      <c r="D212" s="9">
        <f>IFERROR(__xludf.DUMMYFUNCTION("""COMPUTED_VALUE"""),2023.0)</f>
        <v>2023</v>
      </c>
      <c r="E212" s="9">
        <f>IFERROR(__xludf.DUMMYFUNCTION("""COMPUTED_VALUE"""),0.02)</f>
        <v>0.02</v>
      </c>
      <c r="F212" s="9">
        <f>IFERROR(__xludf.DUMMYFUNCTION("""COMPUTED_VALUE"""),13.4)</f>
        <v>13.4</v>
      </c>
    </row>
    <row r="213">
      <c r="A213" s="9" t="str">
        <f>IFERROR(__xludf.DUMMYFUNCTION("""COMPUTED_VALUE"""),"BBAS3")</f>
        <v>BBAS3</v>
      </c>
      <c r="B213" s="17">
        <f>IFERROR(__xludf.DUMMYFUNCTION("""COMPUTED_VALUE"""),45168.0)</f>
        <v>45168</v>
      </c>
      <c r="C213" s="9">
        <f>IFERROR(__xludf.DUMMYFUNCTION("""COMPUTED_VALUE"""),8.0)</f>
        <v>8</v>
      </c>
      <c r="D213" s="9">
        <f>IFERROR(__xludf.DUMMYFUNCTION("""COMPUTED_VALUE"""),2023.0)</f>
        <v>2023</v>
      </c>
      <c r="E213" s="9">
        <f>IFERROR(__xludf.DUMMYFUNCTION("""COMPUTED_VALUE"""),0.0)</f>
        <v>0</v>
      </c>
      <c r="F213" s="9">
        <f>IFERROR(__xludf.DUMMYFUNCTION("""COMPUTED_VALUE"""),1.9)</f>
        <v>1.9</v>
      </c>
    </row>
    <row r="214">
      <c r="A214" s="9" t="str">
        <f>IFERROR(__xludf.DUMMYFUNCTION("""COMPUTED_VALUE"""),"BBAS3")</f>
        <v>BBAS3</v>
      </c>
      <c r="B214" s="17">
        <f>IFERROR(__xludf.DUMMYFUNCTION("""COMPUTED_VALUE"""),45168.0)</f>
        <v>45168</v>
      </c>
      <c r="C214" s="9">
        <f>IFERROR(__xludf.DUMMYFUNCTION("""COMPUTED_VALUE"""),8.0)</f>
        <v>8</v>
      </c>
      <c r="D214" s="9">
        <f>IFERROR(__xludf.DUMMYFUNCTION("""COMPUTED_VALUE"""),2023.0)</f>
        <v>2023</v>
      </c>
      <c r="E214" s="9">
        <f>IFERROR(__xludf.DUMMYFUNCTION("""COMPUTED_VALUE"""),0.14)</f>
        <v>0.14</v>
      </c>
      <c r="F214" s="9">
        <f>IFERROR(__xludf.DUMMYFUNCTION("""COMPUTED_VALUE"""),113.1)</f>
        <v>113.1</v>
      </c>
    </row>
    <row r="215">
      <c r="A215" s="9" t="str">
        <f>IFERROR(__xludf.DUMMYFUNCTION("""COMPUTED_VALUE"""),"BBAS3")</f>
        <v>BBAS3</v>
      </c>
      <c r="B215" s="17">
        <f>IFERROR(__xludf.DUMMYFUNCTION("""COMPUTED_VALUE"""),45168.0)</f>
        <v>45168</v>
      </c>
      <c r="C215" s="9">
        <f>IFERROR(__xludf.DUMMYFUNCTION("""COMPUTED_VALUE"""),8.0)</f>
        <v>8</v>
      </c>
      <c r="D215" s="9">
        <f>IFERROR(__xludf.DUMMYFUNCTION("""COMPUTED_VALUE"""),2023.0)</f>
        <v>2023</v>
      </c>
      <c r="E215" s="9">
        <f>IFERROR(__xludf.DUMMYFUNCTION("""COMPUTED_VALUE"""),0.0)</f>
        <v>0</v>
      </c>
      <c r="F215" s="9">
        <f>IFERROR(__xludf.DUMMYFUNCTION("""COMPUTED_VALUE"""),8.67)</f>
        <v>8.67</v>
      </c>
    </row>
    <row r="216">
      <c r="A216" s="9" t="str">
        <f>IFERROR(__xludf.DUMMYFUNCTION("""COMPUTED_VALUE"""),"BBAS3")</f>
        <v>BBAS3</v>
      </c>
      <c r="B216" s="17">
        <f>IFERROR(__xludf.DUMMYFUNCTION("""COMPUTED_VALUE"""),45168.0)</f>
        <v>45168</v>
      </c>
      <c r="C216" s="9">
        <f>IFERROR(__xludf.DUMMYFUNCTION("""COMPUTED_VALUE"""),8.0)</f>
        <v>8</v>
      </c>
      <c r="D216" s="9">
        <f>IFERROR(__xludf.DUMMYFUNCTION("""COMPUTED_VALUE"""),2023.0)</f>
        <v>2023</v>
      </c>
      <c r="E216" s="9">
        <f>IFERROR(__xludf.DUMMYFUNCTION("""COMPUTED_VALUE"""),0.66)</f>
        <v>0.66</v>
      </c>
      <c r="F216" s="9">
        <f>IFERROR(__xludf.DUMMYFUNCTION("""COMPUTED_VALUE"""),437.93)</f>
        <v>437.93</v>
      </c>
    </row>
    <row r="217">
      <c r="A217" s="9" t="str">
        <f>IFERROR(__xludf.DUMMYFUNCTION("""COMPUTED_VALUE"""),"TAEE4")</f>
        <v>TAEE4</v>
      </c>
      <c r="B217" s="17">
        <f>IFERROR(__xludf.DUMMYFUNCTION("""COMPUTED_VALUE"""),45167.0)</f>
        <v>45167</v>
      </c>
      <c r="C217" s="9">
        <f>IFERROR(__xludf.DUMMYFUNCTION("""COMPUTED_VALUE"""),8.0)</f>
        <v>8</v>
      </c>
      <c r="D217" s="9">
        <f>IFERROR(__xludf.DUMMYFUNCTION("""COMPUTED_VALUE"""),2023.0)</f>
        <v>2023</v>
      </c>
      <c r="E217" s="9">
        <f>IFERROR(__xludf.DUMMYFUNCTION("""COMPUTED_VALUE"""),0.21)</f>
        <v>0.21</v>
      </c>
      <c r="F217" s="9">
        <f>IFERROR(__xludf.DUMMYFUNCTION("""COMPUTED_VALUE"""),236.18)</f>
        <v>236.18</v>
      </c>
    </row>
    <row r="218">
      <c r="A218" s="9" t="str">
        <f>IFERROR(__xludf.DUMMYFUNCTION("""COMPUTED_VALUE"""),"TAEE4")</f>
        <v>TAEE4</v>
      </c>
      <c r="B218" s="17">
        <f>IFERROR(__xludf.DUMMYFUNCTION("""COMPUTED_VALUE"""),45167.0)</f>
        <v>45167</v>
      </c>
      <c r="C218" s="9">
        <f>IFERROR(__xludf.DUMMYFUNCTION("""COMPUTED_VALUE"""),8.0)</f>
        <v>8</v>
      </c>
      <c r="D218" s="9">
        <f>IFERROR(__xludf.DUMMYFUNCTION("""COMPUTED_VALUE"""),2023.0)</f>
        <v>2023</v>
      </c>
      <c r="E218" s="9">
        <f>IFERROR(__xludf.DUMMYFUNCTION("""COMPUTED_VALUE"""),0.09)</f>
        <v>0.09</v>
      </c>
      <c r="F218" s="9">
        <f>IFERROR(__xludf.DUMMYFUNCTION("""COMPUTED_VALUE"""),124.88)</f>
        <v>124.88</v>
      </c>
    </row>
    <row r="219">
      <c r="A219" s="9" t="str">
        <f>IFERROR(__xludf.DUMMYFUNCTION("""COMPUTED_VALUE"""),"TAEE4")</f>
        <v>TAEE4</v>
      </c>
      <c r="B219" s="17">
        <f>IFERROR(__xludf.DUMMYFUNCTION("""COMPUTED_VALUE"""),45167.0)</f>
        <v>45167</v>
      </c>
      <c r="C219" s="9">
        <f>IFERROR(__xludf.DUMMYFUNCTION("""COMPUTED_VALUE"""),8.0)</f>
        <v>8</v>
      </c>
      <c r="D219" s="9">
        <f>IFERROR(__xludf.DUMMYFUNCTION("""COMPUTED_VALUE"""),2023.0)</f>
        <v>2023</v>
      </c>
      <c r="E219" s="9">
        <f>IFERROR(__xludf.DUMMYFUNCTION("""COMPUTED_VALUE"""),0.03)</f>
        <v>0.03</v>
      </c>
      <c r="F219" s="9">
        <f>IFERROR(__xludf.DUMMYFUNCTION("""COMPUTED_VALUE"""),32.26)</f>
        <v>32.26</v>
      </c>
    </row>
    <row r="220">
      <c r="A220" s="9" t="str">
        <f>IFERROR(__xludf.DUMMYFUNCTION("""COMPUTED_VALUE"""),"BBSE3")</f>
        <v>BBSE3</v>
      </c>
      <c r="B220" s="17">
        <f>IFERROR(__xludf.DUMMYFUNCTION("""COMPUTED_VALUE"""),45166.0)</f>
        <v>45166</v>
      </c>
      <c r="C220" s="9">
        <f>IFERROR(__xludf.DUMMYFUNCTION("""COMPUTED_VALUE"""),8.0)</f>
        <v>8</v>
      </c>
      <c r="D220" s="9">
        <f>IFERROR(__xludf.DUMMYFUNCTION("""COMPUTED_VALUE"""),2023.0)</f>
        <v>2023</v>
      </c>
      <c r="E220" s="9">
        <f>IFERROR(__xludf.DUMMYFUNCTION("""COMPUTED_VALUE"""),1.61)</f>
        <v>1.61</v>
      </c>
      <c r="F220" s="9">
        <f>IFERROR(__xludf.DUMMYFUNCTION("""COMPUTED_VALUE"""),450.13)</f>
        <v>450.13</v>
      </c>
    </row>
    <row r="221">
      <c r="A221" s="9" t="str">
        <f>IFERROR(__xludf.DUMMYFUNCTION("""COMPUTED_VALUE"""),"PETR4")</f>
        <v>PETR4</v>
      </c>
      <c r="B221" s="17">
        <f>IFERROR(__xludf.DUMMYFUNCTION("""COMPUTED_VALUE"""),45156.0)</f>
        <v>45156</v>
      </c>
      <c r="C221" s="9">
        <f>IFERROR(__xludf.DUMMYFUNCTION("""COMPUTED_VALUE"""),8.0)</f>
        <v>8</v>
      </c>
      <c r="D221" s="9">
        <f>IFERROR(__xludf.DUMMYFUNCTION("""COMPUTED_VALUE"""),2023.0)</f>
        <v>2023</v>
      </c>
      <c r="E221" s="9">
        <f>IFERROR(__xludf.DUMMYFUNCTION("""COMPUTED_VALUE"""),0.28)</f>
        <v>0.28</v>
      </c>
      <c r="F221" s="9">
        <f>IFERROR(__xludf.DUMMYFUNCTION("""COMPUTED_VALUE"""),63.7)</f>
        <v>63.7</v>
      </c>
    </row>
    <row r="222">
      <c r="A222" s="9" t="str">
        <f>IFERROR(__xludf.DUMMYFUNCTION("""COMPUTED_VALUE"""),"PETR4")</f>
        <v>PETR4</v>
      </c>
      <c r="B222" s="17">
        <f>IFERROR(__xludf.DUMMYFUNCTION("""COMPUTED_VALUE"""),45156.0)</f>
        <v>45156</v>
      </c>
      <c r="C222" s="9">
        <f>IFERROR(__xludf.DUMMYFUNCTION("""COMPUTED_VALUE"""),8.0)</f>
        <v>8</v>
      </c>
      <c r="D222" s="9">
        <f>IFERROR(__xludf.DUMMYFUNCTION("""COMPUTED_VALUE"""),2023.0)</f>
        <v>2023</v>
      </c>
      <c r="E222" s="9">
        <f>IFERROR(__xludf.DUMMYFUNCTION("""COMPUTED_VALUE"""),0.67)</f>
        <v>0.67</v>
      </c>
      <c r="F222" s="9">
        <f>IFERROR(__xludf.DUMMYFUNCTION("""COMPUTED_VALUE"""),130.14)</f>
        <v>130.14</v>
      </c>
    </row>
    <row r="223">
      <c r="A223" s="9" t="str">
        <f>IFERROR(__xludf.DUMMYFUNCTION("""COMPUTED_VALUE"""),"KLBN4")</f>
        <v>KLBN4</v>
      </c>
      <c r="B223" s="17">
        <f>IFERROR(__xludf.DUMMYFUNCTION("""COMPUTED_VALUE"""),45153.0)</f>
        <v>45153</v>
      </c>
      <c r="C223" s="9">
        <f>IFERROR(__xludf.DUMMYFUNCTION("""COMPUTED_VALUE"""),8.0)</f>
        <v>8</v>
      </c>
      <c r="D223" s="9">
        <f>IFERROR(__xludf.DUMMYFUNCTION("""COMPUTED_VALUE"""),2023.0)</f>
        <v>2023</v>
      </c>
      <c r="E223" s="9">
        <f>IFERROR(__xludf.DUMMYFUNCTION("""COMPUTED_VALUE"""),0.05)</f>
        <v>0.05</v>
      </c>
      <c r="F223" s="9">
        <f>IFERROR(__xludf.DUMMYFUNCTION("""COMPUTED_VALUE"""),89.9)</f>
        <v>89.9</v>
      </c>
    </row>
    <row r="224">
      <c r="A224" s="9" t="str">
        <f>IFERROR(__xludf.DUMMYFUNCTION("""COMPUTED_VALUE"""),"BBDC3")</f>
        <v>BBDC3</v>
      </c>
      <c r="B224" s="17">
        <f>IFERROR(__xludf.DUMMYFUNCTION("""COMPUTED_VALUE"""),45139.0)</f>
        <v>45139</v>
      </c>
      <c r="C224" s="9">
        <f>IFERROR(__xludf.DUMMYFUNCTION("""COMPUTED_VALUE"""),8.0)</f>
        <v>8</v>
      </c>
      <c r="D224" s="9">
        <f>IFERROR(__xludf.DUMMYFUNCTION("""COMPUTED_VALUE"""),2023.0)</f>
        <v>2023</v>
      </c>
      <c r="E224" s="9">
        <f>IFERROR(__xludf.DUMMYFUNCTION("""COMPUTED_VALUE"""),0.02)</f>
        <v>0.02</v>
      </c>
      <c r="F224" s="9">
        <f>IFERROR(__xludf.DUMMYFUNCTION("""COMPUTED_VALUE"""),13.4)</f>
        <v>13.4</v>
      </c>
    </row>
    <row r="225">
      <c r="A225" s="9" t="str">
        <f>IFERROR(__xludf.DUMMYFUNCTION("""COMPUTED_VALUE"""),"VIVT3")</f>
        <v>VIVT3</v>
      </c>
      <c r="B225" s="17">
        <f>IFERROR(__xludf.DUMMYFUNCTION("""COMPUTED_VALUE"""),45125.0)</f>
        <v>45125</v>
      </c>
      <c r="C225" s="9">
        <f>IFERROR(__xludf.DUMMYFUNCTION("""COMPUTED_VALUE"""),7.0)</f>
        <v>7</v>
      </c>
      <c r="D225" s="9">
        <f>IFERROR(__xludf.DUMMYFUNCTION("""COMPUTED_VALUE"""),2023.0)</f>
        <v>2023</v>
      </c>
      <c r="E225" s="9">
        <f>IFERROR(__xludf.DUMMYFUNCTION("""COMPUTED_VALUE"""),0.6)</f>
        <v>0.6</v>
      </c>
      <c r="F225" s="9">
        <f>IFERROR(__xludf.DUMMYFUNCTION("""COMPUTED_VALUE"""),132.84)</f>
        <v>132.84</v>
      </c>
    </row>
    <row r="226">
      <c r="A226" s="9" t="str">
        <f>IFERROR(__xludf.DUMMYFUNCTION("""COMPUTED_VALUE"""),"VIVT3")</f>
        <v>VIVT3</v>
      </c>
      <c r="B226" s="17">
        <f>IFERROR(__xludf.DUMMYFUNCTION("""COMPUTED_VALUE"""),45125.0)</f>
        <v>45125</v>
      </c>
      <c r="C226" s="9">
        <f>IFERROR(__xludf.DUMMYFUNCTION("""COMPUTED_VALUE"""),7.0)</f>
        <v>7</v>
      </c>
      <c r="D226" s="9">
        <f>IFERROR(__xludf.DUMMYFUNCTION("""COMPUTED_VALUE"""),2023.0)</f>
        <v>2023</v>
      </c>
      <c r="E226" s="9">
        <f>IFERROR(__xludf.DUMMYFUNCTION("""COMPUTED_VALUE"""),0.5)</f>
        <v>0.5</v>
      </c>
      <c r="F226" s="9">
        <f>IFERROR(__xludf.DUMMYFUNCTION("""COMPUTED_VALUE"""),115.42)</f>
        <v>115.42</v>
      </c>
    </row>
    <row r="227">
      <c r="A227" s="9" t="str">
        <f>IFERROR(__xludf.DUMMYFUNCTION("""COMPUTED_VALUE"""),"BBDC3")</f>
        <v>BBDC3</v>
      </c>
      <c r="B227" s="17">
        <f>IFERROR(__xludf.DUMMYFUNCTION("""COMPUTED_VALUE"""),45113.0)</f>
        <v>45113</v>
      </c>
      <c r="C227" s="9">
        <f>IFERROR(__xludf.DUMMYFUNCTION("""COMPUTED_VALUE"""),7.0)</f>
        <v>7</v>
      </c>
      <c r="D227" s="9">
        <f>IFERROR(__xludf.DUMMYFUNCTION("""COMPUTED_VALUE"""),2023.0)</f>
        <v>2023</v>
      </c>
      <c r="E227" s="9">
        <f>IFERROR(__xludf.DUMMYFUNCTION("""COMPUTED_VALUE"""),0.18)</f>
        <v>0.18</v>
      </c>
      <c r="F227" s="9">
        <f>IFERROR(__xludf.DUMMYFUNCTION("""COMPUTED_VALUE"""),139.06)</f>
        <v>139.06</v>
      </c>
    </row>
    <row r="228">
      <c r="A228" s="9" t="str">
        <f>IFERROR(__xludf.DUMMYFUNCTION("""COMPUTED_VALUE"""),"BBDC3")</f>
        <v>BBDC3</v>
      </c>
      <c r="B228" s="17">
        <f>IFERROR(__xludf.DUMMYFUNCTION("""COMPUTED_VALUE"""),45110.0)</f>
        <v>45110</v>
      </c>
      <c r="C228" s="9">
        <f>IFERROR(__xludf.DUMMYFUNCTION("""COMPUTED_VALUE"""),7.0)</f>
        <v>7</v>
      </c>
      <c r="D228" s="9">
        <f>IFERROR(__xludf.DUMMYFUNCTION("""COMPUTED_VALUE"""),2023.0)</f>
        <v>2023</v>
      </c>
      <c r="E228" s="9">
        <f>IFERROR(__xludf.DUMMYFUNCTION("""COMPUTED_VALUE"""),0.02)</f>
        <v>0.02</v>
      </c>
      <c r="F228" s="9">
        <f>IFERROR(__xludf.DUMMYFUNCTION("""COMPUTED_VALUE"""),13.4)</f>
        <v>13.4</v>
      </c>
    </row>
    <row r="229">
      <c r="A229" s="9" t="str">
        <f>IFERROR(__xludf.DUMMYFUNCTION("""COMPUTED_VALUE"""),"BBAS3")</f>
        <v>BBAS3</v>
      </c>
      <c r="B229" s="17">
        <f>IFERROR(__xludf.DUMMYFUNCTION("""COMPUTED_VALUE"""),45107.0)</f>
        <v>45107</v>
      </c>
      <c r="C229" s="9">
        <f>IFERROR(__xludf.DUMMYFUNCTION("""COMPUTED_VALUE"""),6.0)</f>
        <v>6</v>
      </c>
      <c r="D229" s="9">
        <f>IFERROR(__xludf.DUMMYFUNCTION("""COMPUTED_VALUE"""),2023.0)</f>
        <v>2023</v>
      </c>
      <c r="E229" s="9">
        <f>IFERROR(__xludf.DUMMYFUNCTION("""COMPUTED_VALUE"""),0.34)</f>
        <v>0.34</v>
      </c>
      <c r="F229" s="9">
        <f>IFERROR(__xludf.DUMMYFUNCTION("""COMPUTED_VALUE"""),219.33)</f>
        <v>219.33</v>
      </c>
    </row>
    <row r="230">
      <c r="A230" s="9" t="str">
        <f>IFERROR(__xludf.DUMMYFUNCTION("""COMPUTED_VALUE"""),"CPLE6")</f>
        <v>CPLE6</v>
      </c>
      <c r="B230" s="17">
        <f>IFERROR(__xludf.DUMMYFUNCTION("""COMPUTED_VALUE"""),45107.0)</f>
        <v>45107</v>
      </c>
      <c r="C230" s="9">
        <f>IFERROR(__xludf.DUMMYFUNCTION("""COMPUTED_VALUE"""),6.0)</f>
        <v>6</v>
      </c>
      <c r="D230" s="9">
        <f>IFERROR(__xludf.DUMMYFUNCTION("""COMPUTED_VALUE"""),2023.0)</f>
        <v>2023</v>
      </c>
      <c r="E230" s="9">
        <f>IFERROR(__xludf.DUMMYFUNCTION("""COMPUTED_VALUE"""),0.14)</f>
        <v>0.14</v>
      </c>
      <c r="F230" s="9">
        <f>IFERROR(__xludf.DUMMYFUNCTION("""COMPUTED_VALUE"""),66.93)</f>
        <v>66.93</v>
      </c>
    </row>
    <row r="231">
      <c r="A231" s="9" t="str">
        <f>IFERROR(__xludf.DUMMYFUNCTION("""COMPUTED_VALUE"""),"BRSR6")</f>
        <v>BRSR6</v>
      </c>
      <c r="B231" s="17">
        <f>IFERROR(__xludf.DUMMYFUNCTION("""COMPUTED_VALUE"""),45106.0)</f>
        <v>45106</v>
      </c>
      <c r="C231" s="9">
        <f>IFERROR(__xludf.DUMMYFUNCTION("""COMPUTED_VALUE"""),6.0)</f>
        <v>6</v>
      </c>
      <c r="D231" s="9">
        <f>IFERROR(__xludf.DUMMYFUNCTION("""COMPUTED_VALUE"""),2023.0)</f>
        <v>2023</v>
      </c>
      <c r="E231" s="9">
        <f>IFERROR(__xludf.DUMMYFUNCTION("""COMPUTED_VALUE"""),0.34)</f>
        <v>0.34</v>
      </c>
      <c r="F231" s="9">
        <f>IFERROR(__xludf.DUMMYFUNCTION("""COMPUTED_VALUE"""),266.17)</f>
        <v>266.17</v>
      </c>
    </row>
    <row r="232">
      <c r="A232" s="9" t="str">
        <f>IFERROR(__xludf.DUMMYFUNCTION("""COMPUTED_VALUE"""),"SAPR4")</f>
        <v>SAPR4</v>
      </c>
      <c r="B232" s="17">
        <f>IFERROR(__xludf.DUMMYFUNCTION("""COMPUTED_VALUE"""),45104.0)</f>
        <v>45104</v>
      </c>
      <c r="C232" s="9">
        <f>IFERROR(__xludf.DUMMYFUNCTION("""COMPUTED_VALUE"""),6.0)</f>
        <v>6</v>
      </c>
      <c r="D232" s="9">
        <f>IFERROR(__xludf.DUMMYFUNCTION("""COMPUTED_VALUE"""),2023.0)</f>
        <v>2023</v>
      </c>
      <c r="E232" s="9">
        <f>IFERROR(__xludf.DUMMYFUNCTION("""COMPUTED_VALUE"""),0.19)</f>
        <v>0.19</v>
      </c>
      <c r="F232" s="9">
        <f>IFERROR(__xludf.DUMMYFUNCTION("""COMPUTED_VALUE"""),378.54)</f>
        <v>378.54</v>
      </c>
    </row>
    <row r="233">
      <c r="A233" s="9" t="str">
        <f>IFERROR(__xludf.DUMMYFUNCTION("""COMPUTED_VALUE"""),"SAPR4")</f>
        <v>SAPR4</v>
      </c>
      <c r="B233" s="17">
        <f>IFERROR(__xludf.DUMMYFUNCTION("""COMPUTED_VALUE"""),45104.0)</f>
        <v>45104</v>
      </c>
      <c r="C233" s="9">
        <f>IFERROR(__xludf.DUMMYFUNCTION("""COMPUTED_VALUE"""),6.0)</f>
        <v>6</v>
      </c>
      <c r="D233" s="9">
        <f>IFERROR(__xludf.DUMMYFUNCTION("""COMPUTED_VALUE"""),2023.0)</f>
        <v>2023</v>
      </c>
      <c r="E233" s="9">
        <f>IFERROR(__xludf.DUMMYFUNCTION("""COMPUTED_VALUE"""),0.11)</f>
        <v>0.11</v>
      </c>
      <c r="F233" s="9">
        <f>IFERROR(__xludf.DUMMYFUNCTION("""COMPUTED_VALUE"""),134.7)</f>
        <v>134.7</v>
      </c>
    </row>
    <row r="234">
      <c r="A234" s="9" t="str">
        <f>IFERROR(__xludf.DUMMYFUNCTION("""COMPUTED_VALUE"""),"PETR4")</f>
        <v>PETR4</v>
      </c>
      <c r="B234" s="17">
        <f>IFERROR(__xludf.DUMMYFUNCTION("""COMPUTED_VALUE"""),45093.0)</f>
        <v>45093</v>
      </c>
      <c r="C234" s="9">
        <f>IFERROR(__xludf.DUMMYFUNCTION("""COMPUTED_VALUE"""),6.0)</f>
        <v>6</v>
      </c>
      <c r="D234" s="9">
        <f>IFERROR(__xludf.DUMMYFUNCTION("""COMPUTED_VALUE"""),2023.0)</f>
        <v>2023</v>
      </c>
      <c r="E234" s="9">
        <f>IFERROR(__xludf.DUMMYFUNCTION("""COMPUTED_VALUE"""),0.0)</f>
        <v>0</v>
      </c>
      <c r="F234" s="9">
        <f>IFERROR(__xludf.DUMMYFUNCTION("""COMPUTED_VALUE"""),9.25)</f>
        <v>9.25</v>
      </c>
    </row>
    <row r="235">
      <c r="A235" s="9" t="str">
        <f>IFERROR(__xludf.DUMMYFUNCTION("""COMPUTED_VALUE"""),"PETR4")</f>
        <v>PETR4</v>
      </c>
      <c r="B235" s="17">
        <f>IFERROR(__xludf.DUMMYFUNCTION("""COMPUTED_VALUE"""),45093.0)</f>
        <v>45093</v>
      </c>
      <c r="C235" s="9">
        <f>IFERROR(__xludf.DUMMYFUNCTION("""COMPUTED_VALUE"""),6.0)</f>
        <v>6</v>
      </c>
      <c r="D235" s="9">
        <f>IFERROR(__xludf.DUMMYFUNCTION("""COMPUTED_VALUE"""),2023.0)</f>
        <v>2023</v>
      </c>
      <c r="E235" s="9">
        <f>IFERROR(__xludf.DUMMYFUNCTION("""COMPUTED_VALUE"""),0.88)</f>
        <v>0.88</v>
      </c>
      <c r="F235" s="9">
        <f>IFERROR(__xludf.DUMMYFUNCTION("""COMPUTED_VALUE"""),200.32)</f>
        <v>200.32</v>
      </c>
    </row>
    <row r="236">
      <c r="A236" s="9" t="str">
        <f>IFERROR(__xludf.DUMMYFUNCTION("""COMPUTED_VALUE"""),"WIZC3")</f>
        <v>WIZC3</v>
      </c>
      <c r="B236" s="17">
        <f>IFERROR(__xludf.DUMMYFUNCTION("""COMPUTED_VALUE"""),45092.0)</f>
        <v>45092</v>
      </c>
      <c r="C236" s="9">
        <f>IFERROR(__xludf.DUMMYFUNCTION("""COMPUTED_VALUE"""),6.0)</f>
        <v>6</v>
      </c>
      <c r="D236" s="9">
        <f>IFERROR(__xludf.DUMMYFUNCTION("""COMPUTED_VALUE"""),2023.0)</f>
        <v>2023</v>
      </c>
      <c r="E236" s="9">
        <f>IFERROR(__xludf.DUMMYFUNCTION("""COMPUTED_VALUE"""),0.04)</f>
        <v>0.04</v>
      </c>
      <c r="F236" s="9">
        <f>IFERROR(__xludf.DUMMYFUNCTION("""COMPUTED_VALUE"""),20.33)</f>
        <v>20.33</v>
      </c>
    </row>
    <row r="237">
      <c r="A237" s="9" t="str">
        <f>IFERROR(__xludf.DUMMYFUNCTION("""COMPUTED_VALUE"""),"WIZC3")</f>
        <v>WIZC3</v>
      </c>
      <c r="B237" s="17">
        <f>IFERROR(__xludf.DUMMYFUNCTION("""COMPUTED_VALUE"""),45092.0)</f>
        <v>45092</v>
      </c>
      <c r="C237" s="9">
        <f>IFERROR(__xludf.DUMMYFUNCTION("""COMPUTED_VALUE"""),6.0)</f>
        <v>6</v>
      </c>
      <c r="D237" s="9">
        <f>IFERROR(__xludf.DUMMYFUNCTION("""COMPUTED_VALUE"""),2023.0)</f>
        <v>2023</v>
      </c>
      <c r="E237" s="9">
        <f>IFERROR(__xludf.DUMMYFUNCTION("""COMPUTED_VALUE"""),0.02)</f>
        <v>0.02</v>
      </c>
      <c r="F237" s="9">
        <f>IFERROR(__xludf.DUMMYFUNCTION("""COMPUTED_VALUE"""),9.73)</f>
        <v>9.73</v>
      </c>
    </row>
    <row r="238">
      <c r="A238" s="9" t="str">
        <f>IFERROR(__xludf.DUMMYFUNCTION("""COMPUTED_VALUE"""),"BBAS3")</f>
        <v>BBAS3</v>
      </c>
      <c r="B238" s="17">
        <f>IFERROR(__xludf.DUMMYFUNCTION("""COMPUTED_VALUE"""),45089.0)</f>
        <v>45089</v>
      </c>
      <c r="C238" s="9">
        <f>IFERROR(__xludf.DUMMYFUNCTION("""COMPUTED_VALUE"""),6.0)</f>
        <v>6</v>
      </c>
      <c r="D238" s="9">
        <f>IFERROR(__xludf.DUMMYFUNCTION("""COMPUTED_VALUE"""),2023.0)</f>
        <v>2023</v>
      </c>
      <c r="E238" s="9">
        <f>IFERROR(__xludf.DUMMYFUNCTION("""COMPUTED_VALUE"""),0.65)</f>
        <v>0.65</v>
      </c>
      <c r="F238" s="9">
        <f>IFERROR(__xludf.DUMMYFUNCTION("""COMPUTED_VALUE"""),423.86)</f>
        <v>423.86</v>
      </c>
    </row>
    <row r="239">
      <c r="A239" s="9" t="str">
        <f>IFERROR(__xludf.DUMMYFUNCTION("""COMPUTED_VALUE"""),"BBAS3")</f>
        <v>BBAS3</v>
      </c>
      <c r="B239" s="17">
        <f>IFERROR(__xludf.DUMMYFUNCTION("""COMPUTED_VALUE"""),45089.0)</f>
        <v>45089</v>
      </c>
      <c r="C239" s="9">
        <f>IFERROR(__xludf.DUMMYFUNCTION("""COMPUTED_VALUE"""),6.0)</f>
        <v>6</v>
      </c>
      <c r="D239" s="9">
        <f>IFERROR(__xludf.DUMMYFUNCTION("""COMPUTED_VALUE"""),2023.0)</f>
        <v>2023</v>
      </c>
      <c r="E239" s="9">
        <f>IFERROR(__xludf.DUMMYFUNCTION("""COMPUTED_VALUE"""),0.12)</f>
        <v>0.12</v>
      </c>
      <c r="F239" s="9">
        <f>IFERROR(__xludf.DUMMYFUNCTION("""COMPUTED_VALUE"""),93.73)</f>
        <v>93.73</v>
      </c>
    </row>
    <row r="240">
      <c r="A240" s="9" t="str">
        <f>IFERROR(__xludf.DUMMYFUNCTION("""COMPUTED_VALUE"""),"BBDC3")</f>
        <v>BBDC3</v>
      </c>
      <c r="B240" s="17">
        <f>IFERROR(__xludf.DUMMYFUNCTION("""COMPUTED_VALUE"""),45078.0)</f>
        <v>45078</v>
      </c>
      <c r="C240" s="9">
        <f>IFERROR(__xludf.DUMMYFUNCTION("""COMPUTED_VALUE"""),6.0)</f>
        <v>6</v>
      </c>
      <c r="D240" s="9">
        <f>IFERROR(__xludf.DUMMYFUNCTION("""COMPUTED_VALUE"""),2023.0)</f>
        <v>2023</v>
      </c>
      <c r="E240" s="9">
        <f>IFERROR(__xludf.DUMMYFUNCTION("""COMPUTED_VALUE"""),0.02)</f>
        <v>0.02</v>
      </c>
      <c r="F240" s="9">
        <f>IFERROR(__xludf.DUMMYFUNCTION("""COMPUTED_VALUE"""),12.12)</f>
        <v>12.12</v>
      </c>
    </row>
    <row r="241">
      <c r="A241" s="9" t="str">
        <f>IFERROR(__xludf.DUMMYFUNCTION("""COMPUTED_VALUE"""),"BRSR6")</f>
        <v>BRSR6</v>
      </c>
      <c r="B241" s="17">
        <f>IFERROR(__xludf.DUMMYFUNCTION("""COMPUTED_VALUE"""),45065.0)</f>
        <v>45065</v>
      </c>
      <c r="C241" s="9">
        <f>IFERROR(__xludf.DUMMYFUNCTION("""COMPUTED_VALUE"""),5.0)</f>
        <v>5</v>
      </c>
      <c r="D241" s="9">
        <f>IFERROR(__xludf.DUMMYFUNCTION("""COMPUTED_VALUE"""),2023.0)</f>
        <v>2023</v>
      </c>
      <c r="E241" s="9">
        <f>IFERROR(__xludf.DUMMYFUNCTION("""COMPUTED_VALUE"""),0.04)</f>
        <v>0.04</v>
      </c>
      <c r="F241" s="9">
        <f>IFERROR(__xludf.DUMMYFUNCTION("""COMPUTED_VALUE"""),33.14)</f>
        <v>33.14</v>
      </c>
    </row>
    <row r="242">
      <c r="A242" s="9" t="str">
        <f>IFERROR(__xludf.DUMMYFUNCTION("""COMPUTED_VALUE"""),"PETR4")</f>
        <v>PETR4</v>
      </c>
      <c r="B242" s="17">
        <f>IFERROR(__xludf.DUMMYFUNCTION("""COMPUTED_VALUE"""),45065.0)</f>
        <v>45065</v>
      </c>
      <c r="C242" s="9">
        <f>IFERROR(__xludf.DUMMYFUNCTION("""COMPUTED_VALUE"""),5.0)</f>
        <v>5</v>
      </c>
      <c r="D242" s="9">
        <f>IFERROR(__xludf.DUMMYFUNCTION("""COMPUTED_VALUE"""),2023.0)</f>
        <v>2023</v>
      </c>
      <c r="E242" s="9">
        <f>IFERROR(__xludf.DUMMYFUNCTION("""COMPUTED_VALUE"""),1.37)</f>
        <v>1.37</v>
      </c>
      <c r="F242" s="9">
        <f>IFERROR(__xludf.DUMMYFUNCTION("""COMPUTED_VALUE"""),314.38)</f>
        <v>314.38</v>
      </c>
    </row>
    <row r="243">
      <c r="A243" s="9" t="str">
        <f>IFERROR(__xludf.DUMMYFUNCTION("""COMPUTED_VALUE"""),"PETR4")</f>
        <v>PETR4</v>
      </c>
      <c r="B243" s="17">
        <f>IFERROR(__xludf.DUMMYFUNCTION("""COMPUTED_VALUE"""),45065.0)</f>
        <v>45065</v>
      </c>
      <c r="C243" s="9">
        <f>IFERROR(__xludf.DUMMYFUNCTION("""COMPUTED_VALUE"""),5.0)</f>
        <v>5</v>
      </c>
      <c r="D243" s="9">
        <f>IFERROR(__xludf.DUMMYFUNCTION("""COMPUTED_VALUE"""),2023.0)</f>
        <v>2023</v>
      </c>
      <c r="E243" s="9">
        <f>IFERROR(__xludf.DUMMYFUNCTION("""COMPUTED_VALUE"""),0.0)</f>
        <v>0</v>
      </c>
      <c r="F243" s="9">
        <f>IFERROR(__xludf.DUMMYFUNCTION("""COMPUTED_VALUE"""),12.04)</f>
        <v>12.04</v>
      </c>
    </row>
    <row r="244">
      <c r="A244" s="9" t="str">
        <f>IFERROR(__xludf.DUMMYFUNCTION("""COMPUTED_VALUE"""),"KLBN4")</f>
        <v>KLBN4</v>
      </c>
      <c r="B244" s="17">
        <f>IFERROR(__xludf.DUMMYFUNCTION("""COMPUTED_VALUE"""),45062.0)</f>
        <v>45062</v>
      </c>
      <c r="C244" s="9">
        <f>IFERROR(__xludf.DUMMYFUNCTION("""COMPUTED_VALUE"""),5.0)</f>
        <v>5</v>
      </c>
      <c r="D244" s="9">
        <f>IFERROR(__xludf.DUMMYFUNCTION("""COMPUTED_VALUE"""),2023.0)</f>
        <v>2023</v>
      </c>
      <c r="E244" s="9">
        <f>IFERROR(__xludf.DUMMYFUNCTION("""COMPUTED_VALUE"""),0.07)</f>
        <v>0.07</v>
      </c>
      <c r="F244" s="9">
        <f>IFERROR(__xludf.DUMMYFUNCTION("""COMPUTED_VALUE"""),129.93)</f>
        <v>129.93</v>
      </c>
    </row>
    <row r="245">
      <c r="A245" s="9" t="str">
        <f>IFERROR(__xludf.DUMMYFUNCTION("""COMPUTED_VALUE"""),"BBDC3")</f>
        <v>BBDC3</v>
      </c>
      <c r="B245" s="17">
        <f>IFERROR(__xludf.DUMMYFUNCTION("""COMPUTED_VALUE"""),45048.0)</f>
        <v>45048</v>
      </c>
      <c r="C245" s="9">
        <f>IFERROR(__xludf.DUMMYFUNCTION("""COMPUTED_VALUE"""),5.0)</f>
        <v>5</v>
      </c>
      <c r="D245" s="9">
        <f>IFERROR(__xludf.DUMMYFUNCTION("""COMPUTED_VALUE"""),2023.0)</f>
        <v>2023</v>
      </c>
      <c r="E245" s="9">
        <f>IFERROR(__xludf.DUMMYFUNCTION("""COMPUTED_VALUE"""),0.02)</f>
        <v>0.02</v>
      </c>
      <c r="F245" s="9">
        <f>IFERROR(__xludf.DUMMYFUNCTION("""COMPUTED_VALUE"""),10.66)</f>
        <v>10.66</v>
      </c>
    </row>
    <row r="246">
      <c r="A246" s="9" t="str">
        <f>IFERROR(__xludf.DUMMYFUNCTION("""COMPUTED_VALUE"""),"VIVT3")</f>
        <v>VIVT3</v>
      </c>
      <c r="B246" s="17">
        <f>IFERROR(__xludf.DUMMYFUNCTION("""COMPUTED_VALUE"""),45034.0)</f>
        <v>45034</v>
      </c>
      <c r="C246" s="9">
        <f>IFERROR(__xludf.DUMMYFUNCTION("""COMPUTED_VALUE"""),4.0)</f>
        <v>4</v>
      </c>
      <c r="D246" s="9">
        <f>IFERROR(__xludf.DUMMYFUNCTION("""COMPUTED_VALUE"""),2023.0)</f>
        <v>2023</v>
      </c>
      <c r="E246" s="9">
        <f>IFERROR(__xludf.DUMMYFUNCTION("""COMPUTED_VALUE"""),0.11)</f>
        <v>0.11</v>
      </c>
      <c r="F246" s="9">
        <f>IFERROR(__xludf.DUMMYFUNCTION("""COMPUTED_VALUE"""),12.5)</f>
        <v>12.5</v>
      </c>
    </row>
    <row r="247">
      <c r="A247" s="9" t="str">
        <f>IFERROR(__xludf.DUMMYFUNCTION("""COMPUTED_VALUE"""),"VIVT3")</f>
        <v>VIVT3</v>
      </c>
      <c r="B247" s="17">
        <f>IFERROR(__xludf.DUMMYFUNCTION("""COMPUTED_VALUE"""),45034.0)</f>
        <v>45034</v>
      </c>
      <c r="C247" s="9">
        <f>IFERROR(__xludf.DUMMYFUNCTION("""COMPUTED_VALUE"""),4.0)</f>
        <v>4</v>
      </c>
      <c r="D247" s="9">
        <f>IFERROR(__xludf.DUMMYFUNCTION("""COMPUTED_VALUE"""),2023.0)</f>
        <v>2023</v>
      </c>
      <c r="E247" s="9">
        <f>IFERROR(__xludf.DUMMYFUNCTION("""COMPUTED_VALUE"""),0.15)</f>
        <v>0.15</v>
      </c>
      <c r="F247" s="9">
        <f>IFERROR(__xludf.DUMMYFUNCTION("""COMPUTED_VALUE"""),17.38)</f>
        <v>17.38</v>
      </c>
    </row>
    <row r="248">
      <c r="A248" s="9" t="str">
        <f>IFERROR(__xludf.DUMMYFUNCTION("""COMPUTED_VALUE"""),"VIVT3")</f>
        <v>VIVT3</v>
      </c>
      <c r="B248" s="17">
        <f>IFERROR(__xludf.DUMMYFUNCTION("""COMPUTED_VALUE"""),45034.0)</f>
        <v>45034</v>
      </c>
      <c r="C248" s="9">
        <f>IFERROR(__xludf.DUMMYFUNCTION("""COMPUTED_VALUE"""),4.0)</f>
        <v>4</v>
      </c>
      <c r="D248" s="9">
        <f>IFERROR(__xludf.DUMMYFUNCTION("""COMPUTED_VALUE"""),2023.0)</f>
        <v>2023</v>
      </c>
      <c r="E248" s="9">
        <f>IFERROR(__xludf.DUMMYFUNCTION("""COMPUTED_VALUE"""),0.43)</f>
        <v>0.43</v>
      </c>
      <c r="F248" s="9">
        <f>IFERROR(__xludf.DUMMYFUNCTION("""COMPUTED_VALUE"""),80.73)</f>
        <v>80.73</v>
      </c>
    </row>
    <row r="249">
      <c r="A249" s="9" t="str">
        <f>IFERROR(__xludf.DUMMYFUNCTION("""COMPUTED_VALUE"""),"VIVT3")</f>
        <v>VIVT3</v>
      </c>
      <c r="B249" s="17">
        <f>IFERROR(__xludf.DUMMYFUNCTION("""COMPUTED_VALUE"""),45034.0)</f>
        <v>45034</v>
      </c>
      <c r="C249" s="9">
        <f>IFERROR(__xludf.DUMMYFUNCTION("""COMPUTED_VALUE"""),4.0)</f>
        <v>4</v>
      </c>
      <c r="D249" s="9">
        <f>IFERROR(__xludf.DUMMYFUNCTION("""COMPUTED_VALUE"""),2023.0)</f>
        <v>2023</v>
      </c>
      <c r="E249" s="9">
        <f>IFERROR(__xludf.DUMMYFUNCTION("""COMPUTED_VALUE"""),0.29)</f>
        <v>0.29</v>
      </c>
      <c r="F249" s="9">
        <f>IFERROR(__xludf.DUMMYFUNCTION("""COMPUTED_VALUE"""),33.46)</f>
        <v>33.46</v>
      </c>
    </row>
    <row r="250">
      <c r="A250" s="9" t="str">
        <f>IFERROR(__xludf.DUMMYFUNCTION("""COMPUTED_VALUE"""),"VIVT3")</f>
        <v>VIVT3</v>
      </c>
      <c r="B250" s="17">
        <f>IFERROR(__xludf.DUMMYFUNCTION("""COMPUTED_VALUE"""),45034.0)</f>
        <v>45034</v>
      </c>
      <c r="C250" s="9">
        <f>IFERROR(__xludf.DUMMYFUNCTION("""COMPUTED_VALUE"""),4.0)</f>
        <v>4</v>
      </c>
      <c r="D250" s="9">
        <f>IFERROR(__xludf.DUMMYFUNCTION("""COMPUTED_VALUE"""),2023.0)</f>
        <v>2023</v>
      </c>
      <c r="E250" s="9">
        <f>IFERROR(__xludf.DUMMYFUNCTION("""COMPUTED_VALUE"""),0.18)</f>
        <v>0.18</v>
      </c>
      <c r="F250" s="9">
        <f>IFERROR(__xludf.DUMMYFUNCTION("""COMPUTED_VALUE"""),23.99)</f>
        <v>23.99</v>
      </c>
    </row>
    <row r="251">
      <c r="A251" s="9" t="str">
        <f>IFERROR(__xludf.DUMMYFUNCTION("""COMPUTED_VALUE"""),"VIVT3")</f>
        <v>VIVT3</v>
      </c>
      <c r="B251" s="17">
        <f>IFERROR(__xludf.DUMMYFUNCTION("""COMPUTED_VALUE"""),45034.0)</f>
        <v>45034</v>
      </c>
      <c r="C251" s="9">
        <f>IFERROR(__xludf.DUMMYFUNCTION("""COMPUTED_VALUE"""),4.0)</f>
        <v>4</v>
      </c>
      <c r="D251" s="9">
        <f>IFERROR(__xludf.DUMMYFUNCTION("""COMPUTED_VALUE"""),2023.0)</f>
        <v>2023</v>
      </c>
      <c r="E251" s="9">
        <f>IFERROR(__xludf.DUMMYFUNCTION("""COMPUTED_VALUE"""),0.09)</f>
        <v>0.09</v>
      </c>
      <c r="F251" s="9">
        <f>IFERROR(__xludf.DUMMYFUNCTION("""COMPUTED_VALUE"""),10.43)</f>
        <v>10.43</v>
      </c>
    </row>
    <row r="252">
      <c r="A252" s="9" t="str">
        <f>IFERROR(__xludf.DUMMYFUNCTION("""COMPUTED_VALUE"""),"TRPL4")</f>
        <v>TRPL4</v>
      </c>
      <c r="B252" s="17">
        <f>IFERROR(__xludf.DUMMYFUNCTION("""COMPUTED_VALUE"""),45027.0)</f>
        <v>45027</v>
      </c>
      <c r="C252" s="9">
        <f>IFERROR(__xludf.DUMMYFUNCTION("""COMPUTED_VALUE"""),4.0)</f>
        <v>4</v>
      </c>
      <c r="D252" s="9">
        <f>IFERROR(__xludf.DUMMYFUNCTION("""COMPUTED_VALUE"""),2023.0)</f>
        <v>2023</v>
      </c>
      <c r="E252" s="9">
        <f>IFERROR(__xludf.DUMMYFUNCTION("""COMPUTED_VALUE"""),1.06)</f>
        <v>1.06</v>
      </c>
      <c r="F252" s="9">
        <f>IFERROR(__xludf.DUMMYFUNCTION("""COMPUTED_VALUE"""),529.18)</f>
        <v>529.18</v>
      </c>
    </row>
    <row r="253">
      <c r="A253" s="9" t="str">
        <f>IFERROR(__xludf.DUMMYFUNCTION("""COMPUTED_VALUE"""),"BBDC3")</f>
        <v>BBDC3</v>
      </c>
      <c r="B253" s="17">
        <f>IFERROR(__xludf.DUMMYFUNCTION("""COMPUTED_VALUE"""),45019.0)</f>
        <v>45019</v>
      </c>
      <c r="C253" s="9">
        <f>IFERROR(__xludf.DUMMYFUNCTION("""COMPUTED_VALUE"""),4.0)</f>
        <v>4</v>
      </c>
      <c r="D253" s="9">
        <f>IFERROR(__xludf.DUMMYFUNCTION("""COMPUTED_VALUE"""),2023.0)</f>
        <v>2023</v>
      </c>
      <c r="E253" s="9">
        <f>IFERROR(__xludf.DUMMYFUNCTION("""COMPUTED_VALUE"""),0.02)</f>
        <v>0.02</v>
      </c>
      <c r="F253" s="9">
        <f>IFERROR(__xludf.DUMMYFUNCTION("""COMPUTED_VALUE"""),10.66)</f>
        <v>10.66</v>
      </c>
    </row>
    <row r="254">
      <c r="A254" s="9" t="str">
        <f>IFERROR(__xludf.DUMMYFUNCTION("""COMPUTED_VALUE"""),"BBAS3")</f>
        <v>BBAS3</v>
      </c>
      <c r="B254" s="17">
        <f>IFERROR(__xludf.DUMMYFUNCTION("""COMPUTED_VALUE"""),45016.0)</f>
        <v>45016</v>
      </c>
      <c r="C254" s="9">
        <f>IFERROR(__xludf.DUMMYFUNCTION("""COMPUTED_VALUE"""),3.0)</f>
        <v>3</v>
      </c>
      <c r="D254" s="9">
        <f>IFERROR(__xludf.DUMMYFUNCTION("""COMPUTED_VALUE"""),2023.0)</f>
        <v>2023</v>
      </c>
      <c r="E254" s="9">
        <f>IFERROR(__xludf.DUMMYFUNCTION("""COMPUTED_VALUE"""),0.35)</f>
        <v>0.35</v>
      </c>
      <c r="F254" s="9">
        <f>IFERROR(__xludf.DUMMYFUNCTION("""COMPUTED_VALUE"""),216.64)</f>
        <v>216.64</v>
      </c>
    </row>
    <row r="255">
      <c r="A255" s="9" t="str">
        <f>IFERROR(__xludf.DUMMYFUNCTION("""COMPUTED_VALUE"""),"BRSR6")</f>
        <v>BRSR6</v>
      </c>
      <c r="B255" s="17">
        <f>IFERROR(__xludf.DUMMYFUNCTION("""COMPUTED_VALUE"""),45015.0)</f>
        <v>45015</v>
      </c>
      <c r="C255" s="9">
        <f>IFERROR(__xludf.DUMMYFUNCTION("""COMPUTED_VALUE"""),3.0)</f>
        <v>3</v>
      </c>
      <c r="D255" s="9">
        <f>IFERROR(__xludf.DUMMYFUNCTION("""COMPUTED_VALUE"""),2023.0)</f>
        <v>2023</v>
      </c>
      <c r="E255" s="9">
        <f>IFERROR(__xludf.DUMMYFUNCTION("""COMPUTED_VALUE"""),0.37)</f>
        <v>0.37</v>
      </c>
      <c r="F255" s="9">
        <f>IFERROR(__xludf.DUMMYFUNCTION("""COMPUTED_VALUE"""),284.94)</f>
        <v>284.94</v>
      </c>
    </row>
    <row r="256">
      <c r="A256" s="9" t="str">
        <f>IFERROR(__xludf.DUMMYFUNCTION("""COMPUTED_VALUE"""),"BBDC3")</f>
        <v>BBDC3</v>
      </c>
      <c r="B256" s="17">
        <f>IFERROR(__xludf.DUMMYFUNCTION("""COMPUTED_VALUE"""),44993.0)</f>
        <v>44993</v>
      </c>
      <c r="C256" s="9">
        <f>IFERROR(__xludf.DUMMYFUNCTION("""COMPUTED_VALUE"""),3.0)</f>
        <v>3</v>
      </c>
      <c r="D256" s="9">
        <f>IFERROR(__xludf.DUMMYFUNCTION("""COMPUTED_VALUE"""),2023.0)</f>
        <v>2023</v>
      </c>
      <c r="E256" s="9">
        <f>IFERROR(__xludf.DUMMYFUNCTION("""COMPUTED_VALUE"""),0.53)</f>
        <v>0.53</v>
      </c>
      <c r="F256" s="9">
        <f>IFERROR(__xludf.DUMMYFUNCTION("""COMPUTED_VALUE"""),323.23)</f>
        <v>323.23</v>
      </c>
    </row>
    <row r="257">
      <c r="A257" s="9" t="str">
        <f>IFERROR(__xludf.DUMMYFUNCTION("""COMPUTED_VALUE"""),"BBAS3")</f>
        <v>BBAS3</v>
      </c>
      <c r="B257" s="17">
        <f>IFERROR(__xludf.DUMMYFUNCTION("""COMPUTED_VALUE"""),44988.0)</f>
        <v>44988</v>
      </c>
      <c r="C257" s="9">
        <f>IFERROR(__xludf.DUMMYFUNCTION("""COMPUTED_VALUE"""),3.0)</f>
        <v>3</v>
      </c>
      <c r="D257" s="9">
        <f>IFERROR(__xludf.DUMMYFUNCTION("""COMPUTED_VALUE"""),2023.0)</f>
        <v>2023</v>
      </c>
      <c r="E257" s="9">
        <f>IFERROR(__xludf.DUMMYFUNCTION("""COMPUTED_VALUE"""),0.0)</f>
        <v>0</v>
      </c>
      <c r="F257" s="9">
        <f>IFERROR(__xludf.DUMMYFUNCTION("""COMPUTED_VALUE"""),7.1)</f>
        <v>7.1</v>
      </c>
    </row>
    <row r="258">
      <c r="A258" s="9" t="str">
        <f>IFERROR(__xludf.DUMMYFUNCTION("""COMPUTED_VALUE"""),"BBAS3")</f>
        <v>BBAS3</v>
      </c>
      <c r="B258" s="17">
        <f>IFERROR(__xludf.DUMMYFUNCTION("""COMPUTED_VALUE"""),44988.0)</f>
        <v>44988</v>
      </c>
      <c r="C258" s="9">
        <f>IFERROR(__xludf.DUMMYFUNCTION("""COMPUTED_VALUE"""),3.0)</f>
        <v>3</v>
      </c>
      <c r="D258" s="9">
        <f>IFERROR(__xludf.DUMMYFUNCTION("""COMPUTED_VALUE"""),2023.0)</f>
        <v>2023</v>
      </c>
      <c r="E258" s="9">
        <f>IFERROR(__xludf.DUMMYFUNCTION("""COMPUTED_VALUE"""),0.24)</f>
        <v>0.24</v>
      </c>
      <c r="F258" s="9">
        <f>IFERROR(__xludf.DUMMYFUNCTION("""COMPUTED_VALUE"""),170.49)</f>
        <v>170.49</v>
      </c>
    </row>
    <row r="259">
      <c r="A259" s="9" t="str">
        <f>IFERROR(__xludf.DUMMYFUNCTION("""COMPUTED_VALUE"""),"BBAS3")</f>
        <v>BBAS3</v>
      </c>
      <c r="B259" s="17">
        <f>IFERROR(__xludf.DUMMYFUNCTION("""COMPUTED_VALUE"""),44988.0)</f>
        <v>44988</v>
      </c>
      <c r="C259" s="9">
        <f>IFERROR(__xludf.DUMMYFUNCTION("""COMPUTED_VALUE"""),3.0)</f>
        <v>3</v>
      </c>
      <c r="D259" s="9">
        <f>IFERROR(__xludf.DUMMYFUNCTION("""COMPUTED_VALUE"""),2023.0)</f>
        <v>2023</v>
      </c>
      <c r="E259" s="9">
        <f>IFERROR(__xludf.DUMMYFUNCTION("""COMPUTED_VALUE"""),0.0)</f>
        <v>0</v>
      </c>
      <c r="F259" s="9">
        <f>IFERROR(__xludf.DUMMYFUNCTION("""COMPUTED_VALUE"""),2.91)</f>
        <v>2.91</v>
      </c>
    </row>
    <row r="260">
      <c r="A260" s="9" t="str">
        <f>IFERROR(__xludf.DUMMYFUNCTION("""COMPUTED_VALUE"""),"BBAS3")</f>
        <v>BBAS3</v>
      </c>
      <c r="B260" s="17">
        <f>IFERROR(__xludf.DUMMYFUNCTION("""COMPUTED_VALUE"""),44988.0)</f>
        <v>44988</v>
      </c>
      <c r="C260" s="9">
        <f>IFERROR(__xludf.DUMMYFUNCTION("""COMPUTED_VALUE"""),3.0)</f>
        <v>3</v>
      </c>
      <c r="D260" s="9">
        <f>IFERROR(__xludf.DUMMYFUNCTION("""COMPUTED_VALUE"""),2023.0)</f>
        <v>2023</v>
      </c>
      <c r="E260" s="9">
        <f>IFERROR(__xludf.DUMMYFUNCTION("""COMPUTED_VALUE"""),0.57)</f>
        <v>0.57</v>
      </c>
      <c r="F260" s="9">
        <f>IFERROR(__xludf.DUMMYFUNCTION("""COMPUTED_VALUE"""),352.95)</f>
        <v>352.95</v>
      </c>
    </row>
    <row r="261">
      <c r="A261" s="9" t="str">
        <f>IFERROR(__xludf.DUMMYFUNCTION("""COMPUTED_VALUE"""),"BBDC3")</f>
        <v>BBDC3</v>
      </c>
      <c r="B261" s="17">
        <f>IFERROR(__xludf.DUMMYFUNCTION("""COMPUTED_VALUE"""),44986.0)</f>
        <v>44986</v>
      </c>
      <c r="C261" s="9">
        <f>IFERROR(__xludf.DUMMYFUNCTION("""COMPUTED_VALUE"""),3.0)</f>
        <v>3</v>
      </c>
      <c r="D261" s="9">
        <f>IFERROR(__xludf.DUMMYFUNCTION("""COMPUTED_VALUE"""),2023.0)</f>
        <v>2023</v>
      </c>
      <c r="E261" s="9">
        <f>IFERROR(__xludf.DUMMYFUNCTION("""COMPUTED_VALUE"""),0.02)</f>
        <v>0.02</v>
      </c>
      <c r="F261" s="9">
        <f>IFERROR(__xludf.DUMMYFUNCTION("""COMPUTED_VALUE"""),10.51)</f>
        <v>10.51</v>
      </c>
    </row>
    <row r="262">
      <c r="A262" s="9" t="str">
        <f>IFERROR(__xludf.DUMMYFUNCTION("""COMPUTED_VALUE"""),"BBDC3")</f>
        <v>BBDC3</v>
      </c>
      <c r="B262" s="17">
        <f>IFERROR(__xludf.DUMMYFUNCTION("""COMPUTED_VALUE"""),44958.0)</f>
        <v>44958</v>
      </c>
      <c r="C262" s="9">
        <f>IFERROR(__xludf.DUMMYFUNCTION("""COMPUTED_VALUE"""),2.0)</f>
        <v>2</v>
      </c>
      <c r="D262" s="9">
        <f>IFERROR(__xludf.DUMMYFUNCTION("""COMPUTED_VALUE"""),2023.0)</f>
        <v>2023</v>
      </c>
      <c r="E262" s="9">
        <f>IFERROR(__xludf.DUMMYFUNCTION("""COMPUTED_VALUE"""),0.02)</f>
        <v>0.02</v>
      </c>
      <c r="F262" s="9">
        <f>IFERROR(__xludf.DUMMYFUNCTION("""COMPUTED_VALUE"""),9.89)</f>
        <v>9.89</v>
      </c>
    </row>
    <row r="263">
      <c r="A263" s="9" t="str">
        <f>IFERROR(__xludf.DUMMYFUNCTION("""COMPUTED_VALUE"""),"CIEL3")</f>
        <v>CIEL3</v>
      </c>
      <c r="B263" s="17">
        <f>IFERROR(__xludf.DUMMYFUNCTION("""COMPUTED_VALUE"""),44953.0)</f>
        <v>44953</v>
      </c>
      <c r="C263" s="9">
        <f>IFERROR(__xludf.DUMMYFUNCTION("""COMPUTED_VALUE"""),1.0)</f>
        <v>1</v>
      </c>
      <c r="D263" s="9">
        <f>IFERROR(__xludf.DUMMYFUNCTION("""COMPUTED_VALUE"""),2023.0)</f>
        <v>2023</v>
      </c>
      <c r="E263" s="9">
        <f>IFERROR(__xludf.DUMMYFUNCTION("""COMPUTED_VALUE"""),0.09)</f>
        <v>0.09</v>
      </c>
      <c r="F263" s="9">
        <f>IFERROR(__xludf.DUMMYFUNCTION("""COMPUTED_VALUE"""),82.93)</f>
        <v>82.93</v>
      </c>
    </row>
    <row r="264">
      <c r="A264" s="9" t="str">
        <f>IFERROR(__xludf.DUMMYFUNCTION("""COMPUTED_VALUE"""),"TAEE4")</f>
        <v>TAEE4</v>
      </c>
      <c r="B264" s="17">
        <f>IFERROR(__xludf.DUMMYFUNCTION("""COMPUTED_VALUE"""),44949.0)</f>
        <v>44949</v>
      </c>
      <c r="C264" s="9">
        <f>IFERROR(__xludf.DUMMYFUNCTION("""COMPUTED_VALUE"""),1.0)</f>
        <v>1</v>
      </c>
      <c r="D264" s="9">
        <f>IFERROR(__xludf.DUMMYFUNCTION("""COMPUTED_VALUE"""),2023.0)</f>
        <v>2023</v>
      </c>
      <c r="E264" s="9">
        <f>IFERROR(__xludf.DUMMYFUNCTION("""COMPUTED_VALUE"""),0.45)</f>
        <v>0.45</v>
      </c>
      <c r="F264" s="9">
        <f>IFERROR(__xludf.DUMMYFUNCTION("""COMPUTED_VALUE"""),373.43)</f>
        <v>373.43</v>
      </c>
    </row>
    <row r="265">
      <c r="A265" s="9" t="str">
        <f>IFERROR(__xludf.DUMMYFUNCTION("""COMPUTED_VALUE"""),"PETR4")</f>
        <v>PETR4</v>
      </c>
      <c r="B265" s="17">
        <f>IFERROR(__xludf.DUMMYFUNCTION("""COMPUTED_VALUE"""),44945.0)</f>
        <v>44945</v>
      </c>
      <c r="C265" s="9">
        <f>IFERROR(__xludf.DUMMYFUNCTION("""COMPUTED_VALUE"""),1.0)</f>
        <v>1</v>
      </c>
      <c r="D265" s="9">
        <f>IFERROR(__xludf.DUMMYFUNCTION("""COMPUTED_VALUE"""),2023.0)</f>
        <v>2023</v>
      </c>
      <c r="E265" s="9">
        <f>IFERROR(__xludf.DUMMYFUNCTION("""COMPUTED_VALUE"""),0.0)</f>
        <v>0</v>
      </c>
      <c r="F265" s="9">
        <f>IFERROR(__xludf.DUMMYFUNCTION("""COMPUTED_VALUE"""),1.86)</f>
        <v>1.86</v>
      </c>
    </row>
    <row r="266">
      <c r="A266" s="9" t="str">
        <f>IFERROR(__xludf.DUMMYFUNCTION("""COMPUTED_VALUE"""),"PETR4")</f>
        <v>PETR4</v>
      </c>
      <c r="B266" s="17">
        <f>IFERROR(__xludf.DUMMYFUNCTION("""COMPUTED_VALUE"""),44945.0)</f>
        <v>44945</v>
      </c>
      <c r="C266" s="9">
        <f>IFERROR(__xludf.DUMMYFUNCTION("""COMPUTED_VALUE"""),1.0)</f>
        <v>1</v>
      </c>
      <c r="D266" s="9">
        <f>IFERROR(__xludf.DUMMYFUNCTION("""COMPUTED_VALUE"""),2023.0)</f>
        <v>2023</v>
      </c>
      <c r="E266" s="9">
        <f>IFERROR(__xludf.DUMMYFUNCTION("""COMPUTED_VALUE"""),1.6)</f>
        <v>1.6</v>
      </c>
      <c r="F266" s="9">
        <f>IFERROR(__xludf.DUMMYFUNCTION("""COMPUTED_VALUE"""),337.64)</f>
        <v>337.64</v>
      </c>
    </row>
    <row r="267">
      <c r="A267" s="9" t="str">
        <f>IFERROR(__xludf.DUMMYFUNCTION("""COMPUTED_VALUE"""),"PETR4")</f>
        <v>PETR4</v>
      </c>
      <c r="B267" s="17">
        <f>IFERROR(__xludf.DUMMYFUNCTION("""COMPUTED_VALUE"""),44945.0)</f>
        <v>44945</v>
      </c>
      <c r="C267" s="9">
        <f>IFERROR(__xludf.DUMMYFUNCTION("""COMPUTED_VALUE"""),1.0)</f>
        <v>1</v>
      </c>
      <c r="D267" s="9">
        <f>IFERROR(__xludf.DUMMYFUNCTION("""COMPUTED_VALUE"""),2023.0)</f>
        <v>2023</v>
      </c>
      <c r="E267" s="9">
        <f>IFERROR(__xludf.DUMMYFUNCTION("""COMPUTED_VALUE"""),0.0)</f>
        <v>0</v>
      </c>
      <c r="F267" s="9">
        <f>IFERROR(__xludf.DUMMYFUNCTION("""COMPUTED_VALUE"""),0.09)</f>
        <v>0.09</v>
      </c>
    </row>
    <row r="268">
      <c r="A268" s="9" t="str">
        <f>IFERROR(__xludf.DUMMYFUNCTION("""COMPUTED_VALUE"""),"PETR4")</f>
        <v>PETR4</v>
      </c>
      <c r="B268" s="17">
        <f>IFERROR(__xludf.DUMMYFUNCTION("""COMPUTED_VALUE"""),44945.0)</f>
        <v>44945</v>
      </c>
      <c r="C268" s="9">
        <f>IFERROR(__xludf.DUMMYFUNCTION("""COMPUTED_VALUE"""),1.0)</f>
        <v>1</v>
      </c>
      <c r="D268" s="9">
        <f>IFERROR(__xludf.DUMMYFUNCTION("""COMPUTED_VALUE"""),2023.0)</f>
        <v>2023</v>
      </c>
      <c r="E268" s="9">
        <f>IFERROR(__xludf.DUMMYFUNCTION("""COMPUTED_VALUE"""),0.07)</f>
        <v>0.07</v>
      </c>
      <c r="F268" s="9">
        <f>IFERROR(__xludf.DUMMYFUNCTION("""COMPUTED_VALUE"""),13.31)</f>
        <v>13.31</v>
      </c>
    </row>
    <row r="269">
      <c r="A269" s="9" t="str">
        <f>IFERROR(__xludf.DUMMYFUNCTION("""COMPUTED_VALUE"""),"BBDC3")</f>
        <v>BBDC3</v>
      </c>
      <c r="B269" s="17">
        <f>IFERROR(__xludf.DUMMYFUNCTION("""COMPUTED_VALUE"""),44928.0)</f>
        <v>44928</v>
      </c>
      <c r="C269" s="9">
        <f>IFERROR(__xludf.DUMMYFUNCTION("""COMPUTED_VALUE"""),1.0)</f>
        <v>1</v>
      </c>
      <c r="D269" s="9">
        <f>IFERROR(__xludf.DUMMYFUNCTION("""COMPUTED_VALUE"""),2023.0)</f>
        <v>2023</v>
      </c>
      <c r="E269" s="9">
        <f>IFERROR(__xludf.DUMMYFUNCTION("""COMPUTED_VALUE"""),0.02)</f>
        <v>0.02</v>
      </c>
      <c r="F269" s="9">
        <f>IFERROR(__xludf.DUMMYFUNCTION("""COMPUTED_VALUE"""),7.45)</f>
        <v>7.45</v>
      </c>
    </row>
    <row r="270">
      <c r="A270" s="9" t="str">
        <f>IFERROR(__xludf.DUMMYFUNCTION("""COMPUTED_VALUE"""),"BRSR6")</f>
        <v>BRSR6</v>
      </c>
      <c r="B270" s="17">
        <f>IFERROR(__xludf.DUMMYFUNCTION("""COMPUTED_VALUE"""),45656.0)</f>
        <v>45656</v>
      </c>
      <c r="C270" s="9">
        <f>IFERROR(__xludf.DUMMYFUNCTION("""COMPUTED_VALUE"""),12.0)</f>
        <v>12</v>
      </c>
      <c r="D270" s="9">
        <f>IFERROR(__xludf.DUMMYFUNCTION("""COMPUTED_VALUE"""),2024.0)</f>
        <v>2024</v>
      </c>
      <c r="E270" s="9">
        <f>IFERROR(__xludf.DUMMYFUNCTION("""COMPUTED_VALUE"""),0.2)</f>
        <v>0.2</v>
      </c>
      <c r="F270" s="9">
        <f>IFERROR(__xludf.DUMMYFUNCTION("""COMPUTED_VALUE"""),223.94)</f>
        <v>223.94</v>
      </c>
    </row>
    <row r="271">
      <c r="A271" s="9" t="str">
        <f>IFERROR(__xludf.DUMMYFUNCTION("""COMPUTED_VALUE"""),"BBAS3")</f>
        <v>BBAS3</v>
      </c>
      <c r="B271" s="17">
        <f>IFERROR(__xludf.DUMMYFUNCTION("""COMPUTED_VALUE"""),45653.0)</f>
        <v>45653</v>
      </c>
      <c r="C271" s="9">
        <f>IFERROR(__xludf.DUMMYFUNCTION("""COMPUTED_VALUE"""),12.0)</f>
        <v>12</v>
      </c>
      <c r="D271" s="9">
        <f>IFERROR(__xludf.DUMMYFUNCTION("""COMPUTED_VALUE"""),2024.0)</f>
        <v>2024</v>
      </c>
      <c r="E271" s="9">
        <f>IFERROR(__xludf.DUMMYFUNCTION("""COMPUTED_VALUE"""),0.18)</f>
        <v>0.18</v>
      </c>
      <c r="F271" s="9">
        <f>IFERROR(__xludf.DUMMYFUNCTION("""COMPUTED_VALUE"""),480.36)</f>
        <v>480.36</v>
      </c>
    </row>
    <row r="272">
      <c r="A272" s="9" t="str">
        <f>IFERROR(__xludf.DUMMYFUNCTION("""COMPUTED_VALUE"""),"PETR4")</f>
        <v>PETR4</v>
      </c>
      <c r="B272" s="17">
        <f>IFERROR(__xludf.DUMMYFUNCTION("""COMPUTED_VALUE"""),45646.0)</f>
        <v>45646</v>
      </c>
      <c r="C272" s="9">
        <f>IFERROR(__xludf.DUMMYFUNCTION("""COMPUTED_VALUE"""),12.0)</f>
        <v>12</v>
      </c>
      <c r="D272" s="9">
        <f>IFERROR(__xludf.DUMMYFUNCTION("""COMPUTED_VALUE"""),2024.0)</f>
        <v>2024</v>
      </c>
      <c r="E272" s="9">
        <f>IFERROR(__xludf.DUMMYFUNCTION("""COMPUTED_VALUE"""),0.0)</f>
        <v>0</v>
      </c>
      <c r="F272" s="9">
        <f>IFERROR(__xludf.DUMMYFUNCTION("""COMPUTED_VALUE"""),120.59)</f>
        <v>120.59</v>
      </c>
    </row>
    <row r="273">
      <c r="A273" s="9" t="str">
        <f>IFERROR(__xludf.DUMMYFUNCTION("""COMPUTED_VALUE"""),"LEVE3")</f>
        <v>LEVE3</v>
      </c>
      <c r="B273" s="17">
        <f>IFERROR(__xludf.DUMMYFUNCTION("""COMPUTED_VALUE"""),45644.0)</f>
        <v>45644</v>
      </c>
      <c r="C273" s="9">
        <f>IFERROR(__xludf.DUMMYFUNCTION("""COMPUTED_VALUE"""),12.0)</f>
        <v>12</v>
      </c>
      <c r="D273" s="9">
        <f>IFERROR(__xludf.DUMMYFUNCTION("""COMPUTED_VALUE"""),2024.0)</f>
        <v>2024</v>
      </c>
      <c r="E273" s="9">
        <f>IFERROR(__xludf.DUMMYFUNCTION("""COMPUTED_VALUE"""),0.54)</f>
        <v>0.54</v>
      </c>
      <c r="F273" s="9">
        <f>IFERROR(__xludf.DUMMYFUNCTION("""COMPUTED_VALUE"""),164.08)</f>
        <v>164.08</v>
      </c>
    </row>
    <row r="274">
      <c r="A274" s="9" t="str">
        <f>IFERROR(__xludf.DUMMYFUNCTION("""COMPUTED_VALUE"""),"BRSR6")</f>
        <v>BRSR6</v>
      </c>
      <c r="B274" s="17">
        <f>IFERROR(__xludf.DUMMYFUNCTION("""COMPUTED_VALUE"""),45637.0)</f>
        <v>45637</v>
      </c>
      <c r="C274" s="9">
        <f>IFERROR(__xludf.DUMMYFUNCTION("""COMPUTED_VALUE"""),12.0)</f>
        <v>12</v>
      </c>
      <c r="D274" s="9">
        <f>IFERROR(__xludf.DUMMYFUNCTION("""COMPUTED_VALUE"""),2024.0)</f>
        <v>2024</v>
      </c>
      <c r="E274" s="9">
        <f>IFERROR(__xludf.DUMMYFUNCTION("""COMPUTED_VALUE"""),0.25)</f>
        <v>0.25</v>
      </c>
      <c r="F274" s="9">
        <f>IFERROR(__xludf.DUMMYFUNCTION("""COMPUTED_VALUE"""),273.1)</f>
        <v>273.1</v>
      </c>
    </row>
    <row r="275">
      <c r="A275" s="9" t="str">
        <f>IFERROR(__xludf.DUMMYFUNCTION("""COMPUTED_VALUE"""),"BBAS3")</f>
        <v>BBAS3</v>
      </c>
      <c r="B275" s="17">
        <f>IFERROR(__xludf.DUMMYFUNCTION("""COMPUTED_VALUE"""),45632.0)</f>
        <v>45632</v>
      </c>
      <c r="C275" s="9">
        <f>IFERROR(__xludf.DUMMYFUNCTION("""COMPUTED_VALUE"""),12.0)</f>
        <v>12</v>
      </c>
      <c r="D275" s="9">
        <f>IFERROR(__xludf.DUMMYFUNCTION("""COMPUTED_VALUE"""),2024.0)</f>
        <v>2024</v>
      </c>
      <c r="E275" s="9">
        <f>IFERROR(__xludf.DUMMYFUNCTION("""COMPUTED_VALUE"""),0.48)</f>
        <v>0.48</v>
      </c>
      <c r="F275" s="9">
        <f>IFERROR(__xludf.DUMMYFUNCTION("""COMPUTED_VALUE"""),1015.52)</f>
        <v>1015.52</v>
      </c>
    </row>
    <row r="276">
      <c r="A276" s="9" t="str">
        <f>IFERROR(__xludf.DUMMYFUNCTION("""COMPUTED_VALUE"""),"BBDC3")</f>
        <v>BBDC3</v>
      </c>
      <c r="B276" s="17">
        <f>IFERROR(__xludf.DUMMYFUNCTION("""COMPUTED_VALUE"""),45628.0)</f>
        <v>45628</v>
      </c>
      <c r="C276" s="9">
        <f>IFERROR(__xludf.DUMMYFUNCTION("""COMPUTED_VALUE"""),12.0)</f>
        <v>12</v>
      </c>
      <c r="D276" s="9">
        <f>IFERROR(__xludf.DUMMYFUNCTION("""COMPUTED_VALUE"""),2024.0)</f>
        <v>2024</v>
      </c>
      <c r="E276" s="9">
        <f>IFERROR(__xludf.DUMMYFUNCTION("""COMPUTED_VALUE"""),0.02)</f>
        <v>0.02</v>
      </c>
      <c r="F276" s="9">
        <f>IFERROR(__xludf.DUMMYFUNCTION("""COMPUTED_VALUE"""),0.21)</f>
        <v>0.21</v>
      </c>
    </row>
    <row r="277">
      <c r="A277" s="9" t="str">
        <f>IFERROR(__xludf.DUMMYFUNCTION("""COMPUTED_VALUE"""),"CPLE6")</f>
        <v>CPLE6</v>
      </c>
      <c r="B277" s="17">
        <f>IFERROR(__xludf.DUMMYFUNCTION("""COMPUTED_VALUE"""),45625.0)</f>
        <v>45625</v>
      </c>
      <c r="C277" s="9">
        <f>IFERROR(__xludf.DUMMYFUNCTION("""COMPUTED_VALUE"""),11.0)</f>
        <v>11</v>
      </c>
      <c r="D277" s="9">
        <f>IFERROR(__xludf.DUMMYFUNCTION("""COMPUTED_VALUE"""),2024.0)</f>
        <v>2024</v>
      </c>
      <c r="E277" s="9">
        <f>IFERROR(__xludf.DUMMYFUNCTION("""COMPUTED_VALUE"""),0.07)</f>
        <v>0.07</v>
      </c>
      <c r="F277" s="9">
        <f>IFERROR(__xludf.DUMMYFUNCTION("""COMPUTED_VALUE"""),1.69)</f>
        <v>1.69</v>
      </c>
    </row>
    <row r="278">
      <c r="A278" s="9" t="str">
        <f>IFERROR(__xludf.DUMMYFUNCTION("""COMPUTED_VALUE"""),"CPLE6")</f>
        <v>CPLE6</v>
      </c>
      <c r="B278" s="17">
        <f>IFERROR(__xludf.DUMMYFUNCTION("""COMPUTED_VALUE"""),45625.0)</f>
        <v>45625</v>
      </c>
      <c r="C278" s="9">
        <f>IFERROR(__xludf.DUMMYFUNCTION("""COMPUTED_VALUE"""),11.0)</f>
        <v>11</v>
      </c>
      <c r="D278" s="9">
        <f>IFERROR(__xludf.DUMMYFUNCTION("""COMPUTED_VALUE"""),2024.0)</f>
        <v>2024</v>
      </c>
      <c r="E278" s="9">
        <f>IFERROR(__xludf.DUMMYFUNCTION("""COMPUTED_VALUE"""),0.1)</f>
        <v>0.1</v>
      </c>
      <c r="F278" s="9">
        <f>IFERROR(__xludf.DUMMYFUNCTION("""COMPUTED_VALUE"""),2.02)</f>
        <v>2.02</v>
      </c>
    </row>
    <row r="279">
      <c r="A279" s="9" t="str">
        <f>IFERROR(__xludf.DUMMYFUNCTION("""COMPUTED_VALUE"""),"TAEE4")</f>
        <v>TAEE4</v>
      </c>
      <c r="B279" s="17">
        <f>IFERROR(__xludf.DUMMYFUNCTION("""COMPUTED_VALUE"""),45623.0)</f>
        <v>45623</v>
      </c>
      <c r="C279" s="9">
        <f>IFERROR(__xludf.DUMMYFUNCTION("""COMPUTED_VALUE"""),11.0)</f>
        <v>11</v>
      </c>
      <c r="D279" s="9">
        <f>IFERROR(__xludf.DUMMYFUNCTION("""COMPUTED_VALUE"""),2024.0)</f>
        <v>2024</v>
      </c>
      <c r="E279" s="9">
        <f>IFERROR(__xludf.DUMMYFUNCTION("""COMPUTED_VALUE"""),0.11)</f>
        <v>0.11</v>
      </c>
      <c r="F279" s="9">
        <f>IFERROR(__xludf.DUMMYFUNCTION("""COMPUTED_VALUE"""),169.34)</f>
        <v>169.34</v>
      </c>
    </row>
    <row r="280">
      <c r="A280" s="9" t="str">
        <f>IFERROR(__xludf.DUMMYFUNCTION("""COMPUTED_VALUE"""),"TAEE4")</f>
        <v>TAEE4</v>
      </c>
      <c r="B280" s="17">
        <f>IFERROR(__xludf.DUMMYFUNCTION("""COMPUTED_VALUE"""),45623.0)</f>
        <v>45623</v>
      </c>
      <c r="C280" s="9">
        <f>IFERROR(__xludf.DUMMYFUNCTION("""COMPUTED_VALUE"""),11.0)</f>
        <v>11</v>
      </c>
      <c r="D280" s="9">
        <f>IFERROR(__xludf.DUMMYFUNCTION("""COMPUTED_VALUE"""),2024.0)</f>
        <v>2024</v>
      </c>
      <c r="E280" s="9">
        <f>IFERROR(__xludf.DUMMYFUNCTION("""COMPUTED_VALUE"""),0.1)</f>
        <v>0.1</v>
      </c>
      <c r="F280" s="9">
        <f>IFERROR(__xludf.DUMMYFUNCTION("""COMPUTED_VALUE"""),177.12)</f>
        <v>177.12</v>
      </c>
    </row>
    <row r="281">
      <c r="A281" s="9" t="str">
        <f>IFERROR(__xludf.DUMMYFUNCTION("""COMPUTED_VALUE"""),"KLBN4")</f>
        <v>KLBN4</v>
      </c>
      <c r="B281" s="17">
        <f>IFERROR(__xludf.DUMMYFUNCTION("""COMPUTED_VALUE"""),45617.0)</f>
        <v>45617</v>
      </c>
      <c r="C281" s="9">
        <f>IFERROR(__xludf.DUMMYFUNCTION("""COMPUTED_VALUE"""),11.0)</f>
        <v>11</v>
      </c>
      <c r="D281" s="9">
        <f>IFERROR(__xludf.DUMMYFUNCTION("""COMPUTED_VALUE"""),2024.0)</f>
        <v>2024</v>
      </c>
      <c r="E281" s="9">
        <f>IFERROR(__xludf.DUMMYFUNCTION("""COMPUTED_VALUE"""),0.07)</f>
        <v>0.07</v>
      </c>
      <c r="F281" s="9">
        <f>IFERROR(__xludf.DUMMYFUNCTION("""COMPUTED_VALUE"""),120.51)</f>
        <v>120.51</v>
      </c>
    </row>
    <row r="282">
      <c r="A282" s="9" t="str">
        <f>IFERROR(__xludf.DUMMYFUNCTION("""COMPUTED_VALUE"""),"PETR4")</f>
        <v>PETR4</v>
      </c>
      <c r="B282" s="17">
        <f>IFERROR(__xludf.DUMMYFUNCTION("""COMPUTED_VALUE"""),45617.0)</f>
        <v>45617</v>
      </c>
      <c r="C282" s="9">
        <f>IFERROR(__xludf.DUMMYFUNCTION("""COMPUTED_VALUE"""),11.0)</f>
        <v>11</v>
      </c>
      <c r="D282" s="9">
        <f>IFERROR(__xludf.DUMMYFUNCTION("""COMPUTED_VALUE"""),2024.0)</f>
        <v>2024</v>
      </c>
      <c r="E282" s="9">
        <f>IFERROR(__xludf.DUMMYFUNCTION("""COMPUTED_VALUE"""),0.0)</f>
        <v>0</v>
      </c>
      <c r="F282" s="9">
        <f>IFERROR(__xludf.DUMMYFUNCTION("""COMPUTED_VALUE"""),106.42)</f>
        <v>106.42</v>
      </c>
    </row>
    <row r="283">
      <c r="A283" s="9" t="str">
        <f>IFERROR(__xludf.DUMMYFUNCTION("""COMPUTED_VALUE"""),"CXSE3")</f>
        <v>CXSE3</v>
      </c>
      <c r="B283" s="17">
        <f>IFERROR(__xludf.DUMMYFUNCTION("""COMPUTED_VALUE"""),45614.0)</f>
        <v>45614</v>
      </c>
      <c r="C283" s="9">
        <f>IFERROR(__xludf.DUMMYFUNCTION("""COMPUTED_VALUE"""),11.0)</f>
        <v>11</v>
      </c>
      <c r="D283" s="9">
        <f>IFERROR(__xludf.DUMMYFUNCTION("""COMPUTED_VALUE"""),2024.0)</f>
        <v>2024</v>
      </c>
      <c r="E283" s="9">
        <f>IFERROR(__xludf.DUMMYFUNCTION("""COMPUTED_VALUE"""),0.23)</f>
        <v>0.23</v>
      </c>
      <c r="F283" s="9">
        <f>IFERROR(__xludf.DUMMYFUNCTION("""COMPUTED_VALUE"""),126.59)</f>
        <v>126.59</v>
      </c>
    </row>
    <row r="284">
      <c r="A284" s="9" t="str">
        <f>IFERROR(__xludf.DUMMYFUNCTION("""COMPUTED_VALUE"""),"BBDC3")</f>
        <v>BBDC3</v>
      </c>
      <c r="B284" s="17">
        <f>IFERROR(__xludf.DUMMYFUNCTION("""COMPUTED_VALUE"""),45597.0)</f>
        <v>45597</v>
      </c>
      <c r="C284" s="9">
        <f>IFERROR(__xludf.DUMMYFUNCTION("""COMPUTED_VALUE"""),11.0)</f>
        <v>11</v>
      </c>
      <c r="D284" s="9">
        <f>IFERROR(__xludf.DUMMYFUNCTION("""COMPUTED_VALUE"""),2024.0)</f>
        <v>2024</v>
      </c>
      <c r="E284" s="9">
        <f>IFERROR(__xludf.DUMMYFUNCTION("""COMPUTED_VALUE"""),0.02)</f>
        <v>0.02</v>
      </c>
      <c r="F284" s="9">
        <f>IFERROR(__xludf.DUMMYFUNCTION("""COMPUTED_VALUE"""),0.21)</f>
        <v>0.21</v>
      </c>
    </row>
    <row r="285">
      <c r="A285" s="9" t="str">
        <f>IFERROR(__xludf.DUMMYFUNCTION("""COMPUTED_VALUE"""),"BBDC3")</f>
        <v>BBDC3</v>
      </c>
      <c r="B285" s="17">
        <f>IFERROR(__xludf.DUMMYFUNCTION("""COMPUTED_VALUE"""),45566.0)</f>
        <v>45566</v>
      </c>
      <c r="C285" s="9">
        <f>IFERROR(__xludf.DUMMYFUNCTION("""COMPUTED_VALUE"""),10.0)</f>
        <v>10</v>
      </c>
      <c r="D285" s="9">
        <f>IFERROR(__xludf.DUMMYFUNCTION("""COMPUTED_VALUE"""),2024.0)</f>
        <v>2024</v>
      </c>
      <c r="E285" s="9">
        <f>IFERROR(__xludf.DUMMYFUNCTION("""COMPUTED_VALUE"""),0.02)</f>
        <v>0.02</v>
      </c>
      <c r="F285" s="9">
        <f>IFERROR(__xludf.DUMMYFUNCTION("""COMPUTED_VALUE"""),13.4)</f>
        <v>13.4</v>
      </c>
    </row>
    <row r="286">
      <c r="A286" s="9" t="str">
        <f>IFERROR(__xludf.DUMMYFUNCTION("""COMPUTED_VALUE"""),"BBAS3")</f>
        <v>BBAS3</v>
      </c>
      <c r="B286" s="17">
        <f>IFERROR(__xludf.DUMMYFUNCTION("""COMPUTED_VALUE"""),45562.0)</f>
        <v>45562</v>
      </c>
      <c r="C286" s="9">
        <f>IFERROR(__xludf.DUMMYFUNCTION("""COMPUTED_VALUE"""),9.0)</f>
        <v>9</v>
      </c>
      <c r="D286" s="9">
        <f>IFERROR(__xludf.DUMMYFUNCTION("""COMPUTED_VALUE"""),2024.0)</f>
        <v>2024</v>
      </c>
      <c r="E286" s="9">
        <f>IFERROR(__xludf.DUMMYFUNCTION("""COMPUTED_VALUE"""),0.19)</f>
        <v>0.19</v>
      </c>
      <c r="F286" s="9">
        <f>IFERROR(__xludf.DUMMYFUNCTION("""COMPUTED_VALUE"""),249.66)</f>
        <v>249.66</v>
      </c>
    </row>
    <row r="287">
      <c r="A287" s="9" t="str">
        <f>IFERROR(__xludf.DUMMYFUNCTION("""COMPUTED_VALUE"""),"BRSR6")</f>
        <v>BRSR6</v>
      </c>
      <c r="B287" s="17">
        <f>IFERROR(__xludf.DUMMYFUNCTION("""COMPUTED_VALUE"""),45562.0)</f>
        <v>45562</v>
      </c>
      <c r="C287" s="9">
        <f>IFERROR(__xludf.DUMMYFUNCTION("""COMPUTED_VALUE"""),9.0)</f>
        <v>9</v>
      </c>
      <c r="D287" s="9">
        <f>IFERROR(__xludf.DUMMYFUNCTION("""COMPUTED_VALUE"""),2024.0)</f>
        <v>2024</v>
      </c>
      <c r="E287" s="9">
        <f>IFERROR(__xludf.DUMMYFUNCTION("""COMPUTED_VALUE"""),0.12)</f>
        <v>0.12</v>
      </c>
      <c r="F287" s="9">
        <f>IFERROR(__xludf.DUMMYFUNCTION("""COMPUTED_VALUE"""),136.55)</f>
        <v>136.55</v>
      </c>
    </row>
    <row r="288">
      <c r="A288" s="9" t="str">
        <f>IFERROR(__xludf.DUMMYFUNCTION("""COMPUTED_VALUE"""),"PETR4")</f>
        <v>PETR4</v>
      </c>
      <c r="B288" s="17">
        <f>IFERROR(__xludf.DUMMYFUNCTION("""COMPUTED_VALUE"""),45555.0)</f>
        <v>45555</v>
      </c>
      <c r="C288" s="9">
        <f>IFERROR(__xludf.DUMMYFUNCTION("""COMPUTED_VALUE"""),9.0)</f>
        <v>9</v>
      </c>
      <c r="D288" s="9">
        <f>IFERROR(__xludf.DUMMYFUNCTION("""COMPUTED_VALUE"""),2024.0)</f>
        <v>2024</v>
      </c>
      <c r="E288" s="9">
        <f>IFERROR(__xludf.DUMMYFUNCTION("""COMPUTED_VALUE"""),0.0)</f>
        <v>0</v>
      </c>
      <c r="F288" s="9">
        <f>IFERROR(__xludf.DUMMYFUNCTION("""COMPUTED_VALUE"""),116.92)</f>
        <v>116.92</v>
      </c>
    </row>
    <row r="289">
      <c r="A289" s="9" t="str">
        <f>IFERROR(__xludf.DUMMYFUNCTION("""COMPUTED_VALUE"""),"BBDC3")</f>
        <v>BBDC3</v>
      </c>
      <c r="B289" s="17">
        <f>IFERROR(__xludf.DUMMYFUNCTION("""COMPUTED_VALUE"""),45537.0)</f>
        <v>45537</v>
      </c>
      <c r="C289" s="9">
        <f>IFERROR(__xludf.DUMMYFUNCTION("""COMPUTED_VALUE"""),9.0)</f>
        <v>9</v>
      </c>
      <c r="D289" s="9">
        <f>IFERROR(__xludf.DUMMYFUNCTION("""COMPUTED_VALUE"""),2024.0)</f>
        <v>2024</v>
      </c>
      <c r="E289" s="9">
        <f>IFERROR(__xludf.DUMMYFUNCTION("""COMPUTED_VALUE"""),0.02)</f>
        <v>0.02</v>
      </c>
      <c r="F289" s="9">
        <f>IFERROR(__xludf.DUMMYFUNCTION("""COMPUTED_VALUE"""),13.4)</f>
        <v>13.4</v>
      </c>
    </row>
    <row r="290">
      <c r="A290" s="9" t="str">
        <f>IFERROR(__xludf.DUMMYFUNCTION("""COMPUTED_VALUE"""),"BBAS3")</f>
        <v>BBAS3</v>
      </c>
      <c r="B290" s="17">
        <f>IFERROR(__xludf.DUMMYFUNCTION("""COMPUTED_VALUE"""),45534.0)</f>
        <v>45534</v>
      </c>
      <c r="C290" s="9">
        <f>IFERROR(__xludf.DUMMYFUNCTION("""COMPUTED_VALUE"""),8.0)</f>
        <v>8</v>
      </c>
      <c r="D290" s="9">
        <f>IFERROR(__xludf.DUMMYFUNCTION("""COMPUTED_VALUE"""),2024.0)</f>
        <v>2024</v>
      </c>
      <c r="E290" s="9">
        <f>IFERROR(__xludf.DUMMYFUNCTION("""COMPUTED_VALUE"""),0.0)</f>
        <v>0</v>
      </c>
      <c r="F290" s="9">
        <f>IFERROR(__xludf.DUMMYFUNCTION("""COMPUTED_VALUE"""),6.84)</f>
        <v>6.84</v>
      </c>
    </row>
    <row r="291">
      <c r="A291" s="9" t="str">
        <f>IFERROR(__xludf.DUMMYFUNCTION("""COMPUTED_VALUE"""),"BBAS3")</f>
        <v>BBAS3</v>
      </c>
      <c r="B291" s="17">
        <f>IFERROR(__xludf.DUMMYFUNCTION("""COMPUTED_VALUE"""),45534.0)</f>
        <v>45534</v>
      </c>
      <c r="C291" s="9">
        <f>IFERROR(__xludf.DUMMYFUNCTION("""COMPUTED_VALUE"""),8.0)</f>
        <v>8</v>
      </c>
      <c r="D291" s="9">
        <f>IFERROR(__xludf.DUMMYFUNCTION("""COMPUTED_VALUE"""),2024.0)</f>
        <v>2024</v>
      </c>
      <c r="E291" s="9">
        <f>IFERROR(__xludf.DUMMYFUNCTION("""COMPUTED_VALUE"""),0.15)</f>
        <v>0.15</v>
      </c>
      <c r="F291" s="9">
        <f>IFERROR(__xludf.DUMMYFUNCTION("""COMPUTED_VALUE"""),239.02)</f>
        <v>239.02</v>
      </c>
    </row>
    <row r="292">
      <c r="A292" s="9" t="str">
        <f>IFERROR(__xludf.DUMMYFUNCTION("""COMPUTED_VALUE"""),"BBAS3")</f>
        <v>BBAS3</v>
      </c>
      <c r="B292" s="17">
        <f>IFERROR(__xludf.DUMMYFUNCTION("""COMPUTED_VALUE"""),45534.0)</f>
        <v>45534</v>
      </c>
      <c r="C292" s="9">
        <f>IFERROR(__xludf.DUMMYFUNCTION("""COMPUTED_VALUE"""),8.0)</f>
        <v>8</v>
      </c>
      <c r="D292" s="9">
        <f>IFERROR(__xludf.DUMMYFUNCTION("""COMPUTED_VALUE"""),2024.0)</f>
        <v>2024</v>
      </c>
      <c r="E292" s="9">
        <f>IFERROR(__xludf.DUMMYFUNCTION("""COMPUTED_VALUE"""),0.0)</f>
        <v>0</v>
      </c>
      <c r="F292" s="9">
        <f>IFERROR(__xludf.DUMMYFUNCTION("""COMPUTED_VALUE"""),3.31)</f>
        <v>3.31</v>
      </c>
    </row>
    <row r="293">
      <c r="A293" s="9" t="str">
        <f>IFERROR(__xludf.DUMMYFUNCTION("""COMPUTED_VALUE"""),"BBAS3")</f>
        <v>BBAS3</v>
      </c>
      <c r="B293" s="17">
        <f>IFERROR(__xludf.DUMMYFUNCTION("""COMPUTED_VALUE"""),45534.0)</f>
        <v>45534</v>
      </c>
      <c r="C293" s="9">
        <f>IFERROR(__xludf.DUMMYFUNCTION("""COMPUTED_VALUE"""),8.0)</f>
        <v>8</v>
      </c>
      <c r="D293" s="9">
        <f>IFERROR(__xludf.DUMMYFUNCTION("""COMPUTED_VALUE"""),2024.0)</f>
        <v>2024</v>
      </c>
      <c r="E293" s="9">
        <f>IFERROR(__xludf.DUMMYFUNCTION("""COMPUTED_VALUE"""),0.31)</f>
        <v>0.31</v>
      </c>
      <c r="F293" s="9">
        <f>IFERROR(__xludf.DUMMYFUNCTION("""COMPUTED_VALUE"""),420.75)</f>
        <v>420.75</v>
      </c>
    </row>
    <row r="294">
      <c r="A294" s="9" t="str">
        <f>IFERROR(__xludf.DUMMYFUNCTION("""COMPUTED_VALUE"""),"BBSE3")</f>
        <v>BBSE3</v>
      </c>
      <c r="B294" s="17">
        <f>IFERROR(__xludf.DUMMYFUNCTION("""COMPUTED_VALUE"""),45534.0)</f>
        <v>45534</v>
      </c>
      <c r="C294" s="9">
        <f>IFERROR(__xludf.DUMMYFUNCTION("""COMPUTED_VALUE"""),8.0)</f>
        <v>8</v>
      </c>
      <c r="D294" s="9">
        <f>IFERROR(__xludf.DUMMYFUNCTION("""COMPUTED_VALUE"""),2024.0)</f>
        <v>2024</v>
      </c>
      <c r="E294" s="9">
        <f>IFERROR(__xludf.DUMMYFUNCTION("""COMPUTED_VALUE"""),1.39)</f>
        <v>1.39</v>
      </c>
      <c r="F294" s="9">
        <f>IFERROR(__xludf.DUMMYFUNCTION("""COMPUTED_VALUE"""),1593.98)</f>
        <v>1593.98</v>
      </c>
    </row>
    <row r="295">
      <c r="A295" s="9" t="str">
        <f>IFERROR(__xludf.DUMMYFUNCTION("""COMPUTED_VALUE"""),"PETR4")</f>
        <v>PETR4</v>
      </c>
      <c r="B295" s="17">
        <f>IFERROR(__xludf.DUMMYFUNCTION("""COMPUTED_VALUE"""),45524.0)</f>
        <v>45524</v>
      </c>
      <c r="C295" s="9">
        <f>IFERROR(__xludf.DUMMYFUNCTION("""COMPUTED_VALUE"""),8.0)</f>
        <v>8</v>
      </c>
      <c r="D295" s="9">
        <f>IFERROR(__xludf.DUMMYFUNCTION("""COMPUTED_VALUE"""),2024.0)</f>
        <v>2024</v>
      </c>
      <c r="E295" s="9">
        <f>IFERROR(__xludf.DUMMYFUNCTION("""COMPUTED_VALUE"""),0.0)</f>
        <v>0</v>
      </c>
      <c r="F295" s="9">
        <f>IFERROR(__xludf.DUMMYFUNCTION("""COMPUTED_VALUE"""),101.54)</f>
        <v>101.54</v>
      </c>
    </row>
    <row r="296">
      <c r="A296" s="9" t="str">
        <f>IFERROR(__xludf.DUMMYFUNCTION("""COMPUTED_VALUE"""),"CXSE3")</f>
        <v>CXSE3</v>
      </c>
      <c r="B296" s="17">
        <f>IFERROR(__xludf.DUMMYFUNCTION("""COMPUTED_VALUE"""),45519.0)</f>
        <v>45519</v>
      </c>
      <c r="C296" s="9">
        <f>IFERROR(__xludf.DUMMYFUNCTION("""COMPUTED_VALUE"""),8.0)</f>
        <v>8</v>
      </c>
      <c r="D296" s="9">
        <f>IFERROR(__xludf.DUMMYFUNCTION("""COMPUTED_VALUE"""),2024.0)</f>
        <v>2024</v>
      </c>
      <c r="E296" s="9">
        <f>IFERROR(__xludf.DUMMYFUNCTION("""COMPUTED_VALUE"""),0.28)</f>
        <v>0.28</v>
      </c>
      <c r="F296" s="9">
        <f>IFERROR(__xludf.DUMMYFUNCTION("""COMPUTED_VALUE"""),141.12)</f>
        <v>141.12</v>
      </c>
    </row>
    <row r="297">
      <c r="A297" s="9" t="str">
        <f>IFERROR(__xludf.DUMMYFUNCTION("""COMPUTED_VALUE"""),"KLBN4")</f>
        <v>KLBN4</v>
      </c>
      <c r="B297" s="17">
        <f>IFERROR(__xludf.DUMMYFUNCTION("""COMPUTED_VALUE"""),45519.0)</f>
        <v>45519</v>
      </c>
      <c r="C297" s="9">
        <f>IFERROR(__xludf.DUMMYFUNCTION("""COMPUTED_VALUE"""),8.0)</f>
        <v>8</v>
      </c>
      <c r="D297" s="9">
        <f>IFERROR(__xludf.DUMMYFUNCTION("""COMPUTED_VALUE"""),2024.0)</f>
        <v>2024</v>
      </c>
      <c r="E297" s="9">
        <f>IFERROR(__xludf.DUMMYFUNCTION("""COMPUTED_VALUE"""),0.07)</f>
        <v>0.07</v>
      </c>
      <c r="F297" s="9">
        <f>IFERROR(__xludf.DUMMYFUNCTION("""COMPUTED_VALUE"""),136.76)</f>
        <v>136.76</v>
      </c>
    </row>
    <row r="298">
      <c r="A298" s="9" t="str">
        <f>IFERROR(__xludf.DUMMYFUNCTION("""COMPUTED_VALUE"""),"BBDC3")</f>
        <v>BBDC3</v>
      </c>
      <c r="B298" s="17">
        <f>IFERROR(__xludf.DUMMYFUNCTION("""COMPUTED_VALUE"""),45505.0)</f>
        <v>45505</v>
      </c>
      <c r="C298" s="9">
        <f>IFERROR(__xludf.DUMMYFUNCTION("""COMPUTED_VALUE"""),8.0)</f>
        <v>8</v>
      </c>
      <c r="D298" s="9">
        <f>IFERROR(__xludf.DUMMYFUNCTION("""COMPUTED_VALUE"""),2024.0)</f>
        <v>2024</v>
      </c>
      <c r="E298" s="9">
        <f>IFERROR(__xludf.DUMMYFUNCTION("""COMPUTED_VALUE"""),0.02)</f>
        <v>0.02</v>
      </c>
      <c r="F298" s="9">
        <f>IFERROR(__xludf.DUMMYFUNCTION("""COMPUTED_VALUE"""),13.4)</f>
        <v>13.4</v>
      </c>
    </row>
    <row r="299">
      <c r="A299" s="9" t="str">
        <f>IFERROR(__xludf.DUMMYFUNCTION("""COMPUTED_VALUE"""),"ABCB4")</f>
        <v>ABCB4</v>
      </c>
      <c r="B299" s="17">
        <f>IFERROR(__xludf.DUMMYFUNCTION("""COMPUTED_VALUE"""),45485.0)</f>
        <v>45485</v>
      </c>
      <c r="C299" s="9">
        <f>IFERROR(__xludf.DUMMYFUNCTION("""COMPUTED_VALUE"""),7.0)</f>
        <v>7</v>
      </c>
      <c r="D299" s="9">
        <f>IFERROR(__xludf.DUMMYFUNCTION("""COMPUTED_VALUE"""),2024.0)</f>
        <v>2024</v>
      </c>
      <c r="E299" s="9">
        <f>IFERROR(__xludf.DUMMYFUNCTION("""COMPUTED_VALUE"""),0.79)</f>
        <v>0.79</v>
      </c>
      <c r="F299" s="9">
        <f>IFERROR(__xludf.DUMMYFUNCTION("""COMPUTED_VALUE"""),98.09)</f>
        <v>98.09</v>
      </c>
    </row>
    <row r="300">
      <c r="A300" s="9" t="str">
        <f>IFERROR(__xludf.DUMMYFUNCTION("""COMPUTED_VALUE"""),"BBDC3")</f>
        <v>BBDC3</v>
      </c>
      <c r="B300" s="17">
        <f>IFERROR(__xludf.DUMMYFUNCTION("""COMPUTED_VALUE"""),45474.0)</f>
        <v>45474</v>
      </c>
      <c r="C300" s="9">
        <f>IFERROR(__xludf.DUMMYFUNCTION("""COMPUTED_VALUE"""),7.0)</f>
        <v>7</v>
      </c>
      <c r="D300" s="9">
        <f>IFERROR(__xludf.DUMMYFUNCTION("""COMPUTED_VALUE"""),2024.0)</f>
        <v>2024</v>
      </c>
      <c r="E300" s="9">
        <f>IFERROR(__xludf.DUMMYFUNCTION("""COMPUTED_VALUE"""),0.02)</f>
        <v>0.02</v>
      </c>
      <c r="F300" s="9">
        <f>IFERROR(__xludf.DUMMYFUNCTION("""COMPUTED_VALUE"""),13.4)</f>
        <v>13.4</v>
      </c>
    </row>
    <row r="301">
      <c r="A301" s="9" t="str">
        <f>IFERROR(__xludf.DUMMYFUNCTION("""COMPUTED_VALUE"""),"BBAS3")</f>
        <v>BBAS3</v>
      </c>
      <c r="B301" s="17">
        <f>IFERROR(__xludf.DUMMYFUNCTION("""COMPUTED_VALUE"""),45471.0)</f>
        <v>45471</v>
      </c>
      <c r="C301" s="9">
        <f>IFERROR(__xludf.DUMMYFUNCTION("""COMPUTED_VALUE"""),6.0)</f>
        <v>6</v>
      </c>
      <c r="D301" s="9">
        <f>IFERROR(__xludf.DUMMYFUNCTION("""COMPUTED_VALUE"""),2024.0)</f>
        <v>2024</v>
      </c>
      <c r="E301" s="9">
        <f>IFERROR(__xludf.DUMMYFUNCTION("""COMPUTED_VALUE"""),0.2)</f>
        <v>0.2</v>
      </c>
      <c r="F301" s="9">
        <f>IFERROR(__xludf.DUMMYFUNCTION("""COMPUTED_VALUE"""),273.25)</f>
        <v>273.25</v>
      </c>
    </row>
    <row r="302">
      <c r="A302" s="9" t="str">
        <f>IFERROR(__xludf.DUMMYFUNCTION("""COMPUTED_VALUE"""),"BBDC3")</f>
        <v>BBDC3</v>
      </c>
      <c r="B302" s="17">
        <f>IFERROR(__xludf.DUMMYFUNCTION("""COMPUTED_VALUE"""),45471.0)</f>
        <v>45471</v>
      </c>
      <c r="C302" s="9">
        <f>IFERROR(__xludf.DUMMYFUNCTION("""COMPUTED_VALUE"""),6.0)</f>
        <v>6</v>
      </c>
      <c r="D302" s="9">
        <f>IFERROR(__xludf.DUMMYFUNCTION("""COMPUTED_VALUE"""),2024.0)</f>
        <v>2024</v>
      </c>
      <c r="E302" s="9">
        <f>IFERROR(__xludf.DUMMYFUNCTION("""COMPUTED_VALUE"""),0.45)</f>
        <v>0.45</v>
      </c>
      <c r="F302" s="9">
        <f>IFERROR(__xludf.DUMMYFUNCTION("""COMPUTED_VALUE"""),347.52)</f>
        <v>347.52</v>
      </c>
    </row>
    <row r="303">
      <c r="A303" s="9" t="str">
        <f>IFERROR(__xludf.DUMMYFUNCTION("""COMPUTED_VALUE"""),"CPLE6")</f>
        <v>CPLE6</v>
      </c>
      <c r="B303" s="17">
        <f>IFERROR(__xludf.DUMMYFUNCTION("""COMPUTED_VALUE"""),45471.0)</f>
        <v>45471</v>
      </c>
      <c r="C303" s="9">
        <f>IFERROR(__xludf.DUMMYFUNCTION("""COMPUTED_VALUE"""),6.0)</f>
        <v>6</v>
      </c>
      <c r="D303" s="9">
        <f>IFERROR(__xludf.DUMMYFUNCTION("""COMPUTED_VALUE"""),2024.0)</f>
        <v>2024</v>
      </c>
      <c r="E303" s="9">
        <f>IFERROR(__xludf.DUMMYFUNCTION("""COMPUTED_VALUE"""),0.05)</f>
        <v>0.05</v>
      </c>
      <c r="F303" s="9">
        <f>IFERROR(__xludf.DUMMYFUNCTION("""COMPUTED_VALUE"""),33.08)</f>
        <v>33.08</v>
      </c>
    </row>
    <row r="304">
      <c r="A304" s="9" t="str">
        <f>IFERROR(__xludf.DUMMYFUNCTION("""COMPUTED_VALUE"""),"CPLE6")</f>
        <v>CPLE6</v>
      </c>
      <c r="B304" s="17">
        <f>IFERROR(__xludf.DUMMYFUNCTION("""COMPUTED_VALUE"""),45471.0)</f>
        <v>45471</v>
      </c>
      <c r="C304" s="9">
        <f>IFERROR(__xludf.DUMMYFUNCTION("""COMPUTED_VALUE"""),6.0)</f>
        <v>6</v>
      </c>
      <c r="D304" s="9">
        <f>IFERROR(__xludf.DUMMYFUNCTION("""COMPUTED_VALUE"""),2024.0)</f>
        <v>2024</v>
      </c>
      <c r="E304" s="9">
        <f>IFERROR(__xludf.DUMMYFUNCTION("""COMPUTED_VALUE"""),0.18)</f>
        <v>0.18</v>
      </c>
      <c r="F304" s="9">
        <f>IFERROR(__xludf.DUMMYFUNCTION("""COMPUTED_VALUE"""),107.65)</f>
        <v>107.65</v>
      </c>
    </row>
    <row r="305">
      <c r="A305" s="9" t="str">
        <f>IFERROR(__xludf.DUMMYFUNCTION("""COMPUTED_VALUE"""),"BRSR6")</f>
        <v>BRSR6</v>
      </c>
      <c r="B305" s="17">
        <f>IFERROR(__xludf.DUMMYFUNCTION("""COMPUTED_VALUE"""),45470.0)</f>
        <v>45470</v>
      </c>
      <c r="C305" s="9">
        <f>IFERROR(__xludf.DUMMYFUNCTION("""COMPUTED_VALUE"""),6.0)</f>
        <v>6</v>
      </c>
      <c r="D305" s="9">
        <f>IFERROR(__xludf.DUMMYFUNCTION("""COMPUTED_VALUE"""),2024.0)</f>
        <v>2024</v>
      </c>
      <c r="E305" s="9">
        <f>IFERROR(__xludf.DUMMYFUNCTION("""COMPUTED_VALUE"""),0.12)</f>
        <v>0.12</v>
      </c>
      <c r="F305" s="9">
        <f>IFERROR(__xludf.DUMMYFUNCTION("""COMPUTED_VALUE"""),110.57)</f>
        <v>110.57</v>
      </c>
    </row>
    <row r="306">
      <c r="A306" s="9" t="str">
        <f>IFERROR(__xludf.DUMMYFUNCTION("""COMPUTED_VALUE"""),"SAPR4")</f>
        <v>SAPR4</v>
      </c>
      <c r="B306" s="17">
        <f>IFERROR(__xludf.DUMMYFUNCTION("""COMPUTED_VALUE"""),45470.0)</f>
        <v>45470</v>
      </c>
      <c r="C306" s="9">
        <f>IFERROR(__xludf.DUMMYFUNCTION("""COMPUTED_VALUE"""),6.0)</f>
        <v>6</v>
      </c>
      <c r="D306" s="9">
        <f>IFERROR(__xludf.DUMMYFUNCTION("""COMPUTED_VALUE"""),2024.0)</f>
        <v>2024</v>
      </c>
      <c r="E306" s="9">
        <f>IFERROR(__xludf.DUMMYFUNCTION("""COMPUTED_VALUE"""),0.18)</f>
        <v>0.18</v>
      </c>
      <c r="F306" s="9">
        <f>IFERROR(__xludf.DUMMYFUNCTION("""COMPUTED_VALUE"""),393.29)</f>
        <v>393.29</v>
      </c>
    </row>
    <row r="307">
      <c r="A307" s="9" t="str">
        <f>IFERROR(__xludf.DUMMYFUNCTION("""COMPUTED_VALUE"""),"SAPR4")</f>
        <v>SAPR4</v>
      </c>
      <c r="B307" s="17">
        <f>IFERROR(__xludf.DUMMYFUNCTION("""COMPUTED_VALUE"""),45470.0)</f>
        <v>45470</v>
      </c>
      <c r="C307" s="9">
        <f>IFERROR(__xludf.DUMMYFUNCTION("""COMPUTED_VALUE"""),6.0)</f>
        <v>6</v>
      </c>
      <c r="D307" s="9">
        <f>IFERROR(__xludf.DUMMYFUNCTION("""COMPUTED_VALUE"""),2024.0)</f>
        <v>2024</v>
      </c>
      <c r="E307" s="9">
        <f>IFERROR(__xludf.DUMMYFUNCTION("""COMPUTED_VALUE"""),0.13)</f>
        <v>0.13</v>
      </c>
      <c r="F307" s="9">
        <f>IFERROR(__xludf.DUMMYFUNCTION("""COMPUTED_VALUE"""),268.47)</f>
        <v>268.47</v>
      </c>
    </row>
    <row r="308">
      <c r="A308" s="9" t="str">
        <f>IFERROR(__xludf.DUMMYFUNCTION("""COMPUTED_VALUE"""),"TAEE4")</f>
        <v>TAEE4</v>
      </c>
      <c r="B308" s="17">
        <f>IFERROR(__xludf.DUMMYFUNCTION("""COMPUTED_VALUE"""),45470.0)</f>
        <v>45470</v>
      </c>
      <c r="C308" s="9">
        <f>IFERROR(__xludf.DUMMYFUNCTION("""COMPUTED_VALUE"""),6.0)</f>
        <v>6</v>
      </c>
      <c r="D308" s="9">
        <f>IFERROR(__xludf.DUMMYFUNCTION("""COMPUTED_VALUE"""),2024.0)</f>
        <v>2024</v>
      </c>
      <c r="E308" s="9">
        <f>IFERROR(__xludf.DUMMYFUNCTION("""COMPUTED_VALUE"""),0.14)</f>
        <v>0.14</v>
      </c>
      <c r="F308" s="9">
        <f>IFERROR(__xludf.DUMMYFUNCTION("""COMPUTED_VALUE"""),182.09)</f>
        <v>182.09</v>
      </c>
    </row>
    <row r="309">
      <c r="A309" s="9" t="str">
        <f>IFERROR(__xludf.DUMMYFUNCTION("""COMPUTED_VALUE"""),"BBAS3")</f>
        <v>BBAS3</v>
      </c>
      <c r="B309" s="17">
        <f>IFERROR(__xludf.DUMMYFUNCTION("""COMPUTED_VALUE"""),45464.0)</f>
        <v>45464</v>
      </c>
      <c r="C309" s="9">
        <f>IFERROR(__xludf.DUMMYFUNCTION("""COMPUTED_VALUE"""),6.0)</f>
        <v>6</v>
      </c>
      <c r="D309" s="9">
        <f>IFERROR(__xludf.DUMMYFUNCTION("""COMPUTED_VALUE"""),2024.0)</f>
        <v>2024</v>
      </c>
      <c r="E309" s="9">
        <f>IFERROR(__xludf.DUMMYFUNCTION("""COMPUTED_VALUE"""),0.29)</f>
        <v>0.29</v>
      </c>
      <c r="F309" s="9">
        <f>IFERROR(__xludf.DUMMYFUNCTION("""COMPUTED_VALUE"""),392.22)</f>
        <v>392.22</v>
      </c>
    </row>
    <row r="310">
      <c r="A310" s="9" t="str">
        <f>IFERROR(__xludf.DUMMYFUNCTION("""COMPUTED_VALUE"""),"BBAS3")</f>
        <v>BBAS3</v>
      </c>
      <c r="B310" s="17">
        <f>IFERROR(__xludf.DUMMYFUNCTION("""COMPUTED_VALUE"""),45464.0)</f>
        <v>45464</v>
      </c>
      <c r="C310" s="9">
        <f>IFERROR(__xludf.DUMMYFUNCTION("""COMPUTED_VALUE"""),6.0)</f>
        <v>6</v>
      </c>
      <c r="D310" s="9">
        <f>IFERROR(__xludf.DUMMYFUNCTION("""COMPUTED_VALUE"""),2024.0)</f>
        <v>2024</v>
      </c>
      <c r="E310" s="9">
        <f>IFERROR(__xludf.DUMMYFUNCTION("""COMPUTED_VALUE"""),0.17)</f>
        <v>0.17</v>
      </c>
      <c r="F310" s="9">
        <f>IFERROR(__xludf.DUMMYFUNCTION("""COMPUTED_VALUE"""),259.37)</f>
        <v>259.37</v>
      </c>
    </row>
    <row r="311">
      <c r="A311" s="9" t="str">
        <f>IFERROR(__xludf.DUMMYFUNCTION("""COMPUTED_VALUE"""),"PETR4")</f>
        <v>PETR4</v>
      </c>
      <c r="B311" s="17">
        <f>IFERROR(__xludf.DUMMYFUNCTION("""COMPUTED_VALUE"""),45463.0)</f>
        <v>45463</v>
      </c>
      <c r="C311" s="9">
        <f>IFERROR(__xludf.DUMMYFUNCTION("""COMPUTED_VALUE"""),6.0)</f>
        <v>6</v>
      </c>
      <c r="D311" s="9">
        <f>IFERROR(__xludf.DUMMYFUNCTION("""COMPUTED_VALUE"""),2024.0)</f>
        <v>2024</v>
      </c>
      <c r="E311" s="9">
        <f>IFERROR(__xludf.DUMMYFUNCTION("""COMPUTED_VALUE"""),0.0)</f>
        <v>0</v>
      </c>
      <c r="F311" s="9">
        <f>IFERROR(__xludf.DUMMYFUNCTION("""COMPUTED_VALUE"""),332.89)</f>
        <v>332.89</v>
      </c>
    </row>
    <row r="312">
      <c r="A312" s="9" t="str">
        <f>IFERROR(__xludf.DUMMYFUNCTION("""COMPUTED_VALUE"""),"BBDC3")</f>
        <v>BBDC3</v>
      </c>
      <c r="B312" s="17">
        <f>IFERROR(__xludf.DUMMYFUNCTION("""COMPUTED_VALUE"""),45446.0)</f>
        <v>45446</v>
      </c>
      <c r="C312" s="9">
        <f>IFERROR(__xludf.DUMMYFUNCTION("""COMPUTED_VALUE"""),6.0)</f>
        <v>6</v>
      </c>
      <c r="D312" s="9">
        <f>IFERROR(__xludf.DUMMYFUNCTION("""COMPUTED_VALUE"""),2024.0)</f>
        <v>2024</v>
      </c>
      <c r="E312" s="9">
        <f>IFERROR(__xludf.DUMMYFUNCTION("""COMPUTED_VALUE"""),0.02)</f>
        <v>0.02</v>
      </c>
      <c r="F312" s="9">
        <f>IFERROR(__xludf.DUMMYFUNCTION("""COMPUTED_VALUE"""),13.4)</f>
        <v>13.4</v>
      </c>
    </row>
    <row r="313">
      <c r="A313" s="9" t="str">
        <f>IFERROR(__xludf.DUMMYFUNCTION("""COMPUTED_VALUE"""),"LEVE3")</f>
        <v>LEVE3</v>
      </c>
      <c r="B313" s="17">
        <f>IFERROR(__xludf.DUMMYFUNCTION("""COMPUTED_VALUE"""),45441.0)</f>
        <v>45441</v>
      </c>
      <c r="C313" s="9">
        <f>IFERROR(__xludf.DUMMYFUNCTION("""COMPUTED_VALUE"""),5.0)</f>
        <v>5</v>
      </c>
      <c r="D313" s="9">
        <f>IFERROR(__xludf.DUMMYFUNCTION("""COMPUTED_VALUE"""),2024.0)</f>
        <v>2024</v>
      </c>
      <c r="E313" s="9">
        <f>IFERROR(__xludf.DUMMYFUNCTION("""COMPUTED_VALUE"""),1.63)</f>
        <v>1.63</v>
      </c>
      <c r="F313" s="9">
        <f>IFERROR(__xludf.DUMMYFUNCTION("""COMPUTED_VALUE"""),440.76)</f>
        <v>440.76</v>
      </c>
    </row>
    <row r="314">
      <c r="A314" s="9" t="str">
        <f>IFERROR(__xludf.DUMMYFUNCTION("""COMPUTED_VALUE"""),"PETR4")</f>
        <v>PETR4</v>
      </c>
      <c r="B314" s="17">
        <f>IFERROR(__xludf.DUMMYFUNCTION("""COMPUTED_VALUE"""),45432.0)</f>
        <v>45432</v>
      </c>
      <c r="C314" s="9">
        <f>IFERROR(__xludf.DUMMYFUNCTION("""COMPUTED_VALUE"""),5.0)</f>
        <v>5</v>
      </c>
      <c r="D314" s="9">
        <f>IFERROR(__xludf.DUMMYFUNCTION("""COMPUTED_VALUE"""),2024.0)</f>
        <v>2024</v>
      </c>
      <c r="E314" s="9">
        <f>IFERROR(__xludf.DUMMYFUNCTION("""COMPUTED_VALUE"""),0.0)</f>
        <v>0</v>
      </c>
      <c r="F314" s="9">
        <f>IFERROR(__xludf.DUMMYFUNCTION("""COMPUTED_VALUE"""),330.65)</f>
        <v>330.65</v>
      </c>
    </row>
    <row r="315">
      <c r="A315" s="9" t="str">
        <f>IFERROR(__xludf.DUMMYFUNCTION("""COMPUTED_VALUE"""),"BRSR6")</f>
        <v>BRSR6</v>
      </c>
      <c r="B315" s="17">
        <f>IFERROR(__xludf.DUMMYFUNCTION("""COMPUTED_VALUE"""),45429.0)</f>
        <v>45429</v>
      </c>
      <c r="C315" s="9">
        <f>IFERROR(__xludf.DUMMYFUNCTION("""COMPUTED_VALUE"""),5.0)</f>
        <v>5</v>
      </c>
      <c r="D315" s="9">
        <f>IFERROR(__xludf.DUMMYFUNCTION("""COMPUTED_VALUE"""),2024.0)</f>
        <v>2024</v>
      </c>
      <c r="E315" s="9">
        <f>IFERROR(__xludf.DUMMYFUNCTION("""COMPUTED_VALUE"""),0.18)</f>
        <v>0.18</v>
      </c>
      <c r="F315" s="9">
        <f>IFERROR(__xludf.DUMMYFUNCTION("""COMPUTED_VALUE"""),176.55)</f>
        <v>176.55</v>
      </c>
    </row>
    <row r="316">
      <c r="A316" s="9" t="str">
        <f>IFERROR(__xludf.DUMMYFUNCTION("""COMPUTED_VALUE"""),"KLBN4")</f>
        <v>KLBN4</v>
      </c>
      <c r="B316" s="17">
        <f>IFERROR(__xludf.DUMMYFUNCTION("""COMPUTED_VALUE"""),45428.0)</f>
        <v>45428</v>
      </c>
      <c r="C316" s="9">
        <f>IFERROR(__xludf.DUMMYFUNCTION("""COMPUTED_VALUE"""),5.0)</f>
        <v>5</v>
      </c>
      <c r="D316" s="9">
        <f>IFERROR(__xludf.DUMMYFUNCTION("""COMPUTED_VALUE"""),2024.0)</f>
        <v>2024</v>
      </c>
      <c r="E316" s="9">
        <f>IFERROR(__xludf.DUMMYFUNCTION("""COMPUTED_VALUE"""),0.06)</f>
        <v>0.06</v>
      </c>
      <c r="F316" s="9">
        <f>IFERROR(__xludf.DUMMYFUNCTION("""COMPUTED_VALUE"""),110.1)</f>
        <v>110.1</v>
      </c>
    </row>
    <row r="317">
      <c r="A317" s="9" t="str">
        <f>IFERROR(__xludf.DUMMYFUNCTION("""COMPUTED_VALUE"""),"TAEE4")</f>
        <v>TAEE4</v>
      </c>
      <c r="B317" s="17">
        <f>IFERROR(__xludf.DUMMYFUNCTION("""COMPUTED_VALUE"""),45428.0)</f>
        <v>45428</v>
      </c>
      <c r="C317" s="9">
        <f>IFERROR(__xludf.DUMMYFUNCTION("""COMPUTED_VALUE"""),5.0)</f>
        <v>5</v>
      </c>
      <c r="D317" s="9">
        <f>IFERROR(__xludf.DUMMYFUNCTION("""COMPUTED_VALUE"""),2024.0)</f>
        <v>2024</v>
      </c>
      <c r="E317" s="9">
        <f>IFERROR(__xludf.DUMMYFUNCTION("""COMPUTED_VALUE"""),0.38)</f>
        <v>0.38</v>
      </c>
      <c r="F317" s="9">
        <f>IFERROR(__xludf.DUMMYFUNCTION("""COMPUTED_VALUE"""),577.02)</f>
        <v>577.02</v>
      </c>
    </row>
    <row r="318">
      <c r="A318" s="9" t="str">
        <f>IFERROR(__xludf.DUMMYFUNCTION("""COMPUTED_VALUE"""),"CXSE3")</f>
        <v>CXSE3</v>
      </c>
      <c r="B318" s="17">
        <f>IFERROR(__xludf.DUMMYFUNCTION("""COMPUTED_VALUE"""),45420.0)</f>
        <v>45420</v>
      </c>
      <c r="C318" s="9">
        <f>IFERROR(__xludf.DUMMYFUNCTION("""COMPUTED_VALUE"""),5.0)</f>
        <v>5</v>
      </c>
      <c r="D318" s="9">
        <f>IFERROR(__xludf.DUMMYFUNCTION("""COMPUTED_VALUE"""),2024.0)</f>
        <v>2024</v>
      </c>
      <c r="E318" s="9">
        <f>IFERROR(__xludf.DUMMYFUNCTION("""COMPUTED_VALUE"""),0.0)</f>
        <v>0</v>
      </c>
      <c r="F318" s="9">
        <f>IFERROR(__xludf.DUMMYFUNCTION("""COMPUTED_VALUE"""),6.16)</f>
        <v>6.16</v>
      </c>
    </row>
    <row r="319">
      <c r="A319" s="9" t="str">
        <f>IFERROR(__xludf.DUMMYFUNCTION("""COMPUTED_VALUE"""),"CXSE3")</f>
        <v>CXSE3</v>
      </c>
      <c r="B319" s="17">
        <f>IFERROR(__xludf.DUMMYFUNCTION("""COMPUTED_VALUE"""),45420.0)</f>
        <v>45420</v>
      </c>
      <c r="C319" s="9">
        <f>IFERROR(__xludf.DUMMYFUNCTION("""COMPUTED_VALUE"""),5.0)</f>
        <v>5</v>
      </c>
      <c r="D319" s="9">
        <f>IFERROR(__xludf.DUMMYFUNCTION("""COMPUTED_VALUE"""),2024.0)</f>
        <v>2024</v>
      </c>
      <c r="E319" s="9">
        <f>IFERROR(__xludf.DUMMYFUNCTION("""COMPUTED_VALUE"""),0.55)</f>
        <v>0.55</v>
      </c>
      <c r="F319" s="9">
        <f>IFERROR(__xludf.DUMMYFUNCTION("""COMPUTED_VALUE"""),277.49)</f>
        <v>277.49</v>
      </c>
    </row>
    <row r="320">
      <c r="A320" s="9" t="str">
        <f>IFERROR(__xludf.DUMMYFUNCTION("""COMPUTED_VALUE"""),"BBDC3")</f>
        <v>BBDC3</v>
      </c>
      <c r="B320" s="17">
        <f>IFERROR(__xludf.DUMMYFUNCTION("""COMPUTED_VALUE"""),45414.0)</f>
        <v>45414</v>
      </c>
      <c r="C320" s="9">
        <f>IFERROR(__xludf.DUMMYFUNCTION("""COMPUTED_VALUE"""),5.0)</f>
        <v>5</v>
      </c>
      <c r="D320" s="9">
        <f>IFERROR(__xludf.DUMMYFUNCTION("""COMPUTED_VALUE"""),2024.0)</f>
        <v>2024</v>
      </c>
      <c r="E320" s="9">
        <f>IFERROR(__xludf.DUMMYFUNCTION("""COMPUTED_VALUE"""),0.02)</f>
        <v>0.02</v>
      </c>
      <c r="F320" s="9">
        <f>IFERROR(__xludf.DUMMYFUNCTION("""COMPUTED_VALUE"""),13.4)</f>
        <v>13.4</v>
      </c>
    </row>
    <row r="321">
      <c r="A321" s="9" t="str">
        <f>IFERROR(__xludf.DUMMYFUNCTION("""COMPUTED_VALUE"""),"VIVT3")</f>
        <v>VIVT3</v>
      </c>
      <c r="B321" s="17">
        <f>IFERROR(__xludf.DUMMYFUNCTION("""COMPUTED_VALUE"""),45405.0)</f>
        <v>45405</v>
      </c>
      <c r="C321" s="9">
        <f>IFERROR(__xludf.DUMMYFUNCTION("""COMPUTED_VALUE"""),4.0)</f>
        <v>4</v>
      </c>
      <c r="D321" s="9">
        <f>IFERROR(__xludf.DUMMYFUNCTION("""COMPUTED_VALUE"""),2024.0)</f>
        <v>2024</v>
      </c>
      <c r="E321" s="9">
        <f>IFERROR(__xludf.DUMMYFUNCTION("""COMPUTED_VALUE"""),0.24)</f>
        <v>0.24</v>
      </c>
      <c r="F321" s="9">
        <f>IFERROR(__xludf.DUMMYFUNCTION("""COMPUTED_VALUE"""),48.17)</f>
        <v>48.17</v>
      </c>
    </row>
    <row r="322">
      <c r="A322" s="9" t="str">
        <f>IFERROR(__xludf.DUMMYFUNCTION("""COMPUTED_VALUE"""),"VIVT3")</f>
        <v>VIVT3</v>
      </c>
      <c r="B322" s="17">
        <f>IFERROR(__xludf.DUMMYFUNCTION("""COMPUTED_VALUE"""),45405.0)</f>
        <v>45405</v>
      </c>
      <c r="C322" s="9">
        <f>IFERROR(__xludf.DUMMYFUNCTION("""COMPUTED_VALUE"""),4.0)</f>
        <v>4</v>
      </c>
      <c r="D322" s="9">
        <f>IFERROR(__xludf.DUMMYFUNCTION("""COMPUTED_VALUE"""),2024.0)</f>
        <v>2024</v>
      </c>
      <c r="E322" s="9">
        <f>IFERROR(__xludf.DUMMYFUNCTION("""COMPUTED_VALUE"""),0.19)</f>
        <v>0.19</v>
      </c>
      <c r="F322" s="9">
        <f>IFERROR(__xludf.DUMMYFUNCTION("""COMPUTED_VALUE"""),38.02)</f>
        <v>38.02</v>
      </c>
    </row>
    <row r="323">
      <c r="A323" s="9" t="str">
        <f>IFERROR(__xludf.DUMMYFUNCTION("""COMPUTED_VALUE"""),"TRPL4")</f>
        <v>TRPL4</v>
      </c>
      <c r="B323" s="17">
        <f>IFERROR(__xludf.DUMMYFUNCTION("""COMPUTED_VALUE"""),45392.0)</f>
        <v>45392</v>
      </c>
      <c r="C323" s="9">
        <f>IFERROR(__xludf.DUMMYFUNCTION("""COMPUTED_VALUE"""),4.0)</f>
        <v>4</v>
      </c>
      <c r="D323" s="9">
        <f>IFERROR(__xludf.DUMMYFUNCTION("""COMPUTED_VALUE"""),2024.0)</f>
        <v>2024</v>
      </c>
      <c r="E323" s="9">
        <f>IFERROR(__xludf.DUMMYFUNCTION("""COMPUTED_VALUE"""),1.96)</f>
        <v>1.96</v>
      </c>
      <c r="F323" s="9">
        <f>IFERROR(__xludf.DUMMYFUNCTION("""COMPUTED_VALUE"""),1243.63)</f>
        <v>1243.63</v>
      </c>
    </row>
    <row r="324">
      <c r="A324" s="9" t="str">
        <f>IFERROR(__xludf.DUMMYFUNCTION("""COMPUTED_VALUE"""),"BBDC3")</f>
        <v>BBDC3</v>
      </c>
      <c r="B324" s="17">
        <f>IFERROR(__xludf.DUMMYFUNCTION("""COMPUTED_VALUE"""),45383.0)</f>
        <v>45383</v>
      </c>
      <c r="C324" s="9">
        <f>IFERROR(__xludf.DUMMYFUNCTION("""COMPUTED_VALUE"""),4.0)</f>
        <v>4</v>
      </c>
      <c r="D324" s="9">
        <f>IFERROR(__xludf.DUMMYFUNCTION("""COMPUTED_VALUE"""),2024.0)</f>
        <v>2024</v>
      </c>
      <c r="E324" s="9">
        <f>IFERROR(__xludf.DUMMYFUNCTION("""COMPUTED_VALUE"""),0.02)</f>
        <v>0.02</v>
      </c>
      <c r="F324" s="9">
        <f>IFERROR(__xludf.DUMMYFUNCTION("""COMPUTED_VALUE"""),13.4)</f>
        <v>13.4</v>
      </c>
    </row>
    <row r="325">
      <c r="A325" s="9" t="str">
        <f>IFERROR(__xludf.DUMMYFUNCTION("""COMPUTED_VALUE"""),"BBAS3")</f>
        <v>BBAS3</v>
      </c>
      <c r="B325" s="17">
        <f>IFERROR(__xludf.DUMMYFUNCTION("""COMPUTED_VALUE"""),45378.0)</f>
        <v>45378</v>
      </c>
      <c r="C325" s="9">
        <f>IFERROR(__xludf.DUMMYFUNCTION("""COMPUTED_VALUE"""),3.0)</f>
        <v>3</v>
      </c>
      <c r="D325" s="9">
        <f>IFERROR(__xludf.DUMMYFUNCTION("""COMPUTED_VALUE"""),2024.0)</f>
        <v>2024</v>
      </c>
      <c r="E325" s="9">
        <f>IFERROR(__xludf.DUMMYFUNCTION("""COMPUTED_VALUE"""),0.41)</f>
        <v>0.41</v>
      </c>
      <c r="F325" s="9">
        <f>IFERROR(__xludf.DUMMYFUNCTION("""COMPUTED_VALUE"""),274.29)</f>
        <v>274.29</v>
      </c>
    </row>
    <row r="326">
      <c r="A326" s="9" t="str">
        <f>IFERROR(__xludf.DUMMYFUNCTION("""COMPUTED_VALUE"""),"BRSR6")</f>
        <v>BRSR6</v>
      </c>
      <c r="B326" s="17">
        <f>IFERROR(__xludf.DUMMYFUNCTION("""COMPUTED_VALUE"""),45378.0)</f>
        <v>45378</v>
      </c>
      <c r="C326" s="9">
        <f>IFERROR(__xludf.DUMMYFUNCTION("""COMPUTED_VALUE"""),3.0)</f>
        <v>3</v>
      </c>
      <c r="D326" s="9">
        <f>IFERROR(__xludf.DUMMYFUNCTION("""COMPUTED_VALUE"""),2024.0)</f>
        <v>2024</v>
      </c>
      <c r="E326" s="9">
        <f>IFERROR(__xludf.DUMMYFUNCTION("""COMPUTED_VALUE"""),0.12)</f>
        <v>0.12</v>
      </c>
      <c r="F326" s="9">
        <f>IFERROR(__xludf.DUMMYFUNCTION("""COMPUTED_VALUE"""),100.18)</f>
        <v>100.18</v>
      </c>
    </row>
    <row r="327">
      <c r="A327" s="9" t="str">
        <f>IFERROR(__xludf.DUMMYFUNCTION("""COMPUTED_VALUE"""),"PETR4")</f>
        <v>PETR4</v>
      </c>
      <c r="B327" s="17">
        <f>IFERROR(__xludf.DUMMYFUNCTION("""COMPUTED_VALUE"""),45371.0)</f>
        <v>45371</v>
      </c>
      <c r="C327" s="9">
        <f>IFERROR(__xludf.DUMMYFUNCTION("""COMPUTED_VALUE"""),3.0)</f>
        <v>3</v>
      </c>
      <c r="D327" s="9">
        <f>IFERROR(__xludf.DUMMYFUNCTION("""COMPUTED_VALUE"""),2024.0)</f>
        <v>2024</v>
      </c>
      <c r="E327" s="9">
        <f>IFERROR(__xludf.DUMMYFUNCTION("""COMPUTED_VALUE"""),0.0)</f>
        <v>0</v>
      </c>
      <c r="F327" s="9">
        <f>IFERROR(__xludf.DUMMYFUNCTION("""COMPUTED_VALUE"""),156.87)</f>
        <v>156.87</v>
      </c>
    </row>
    <row r="328">
      <c r="A328" s="9" t="str">
        <f>IFERROR(__xludf.DUMMYFUNCTION("""COMPUTED_VALUE"""),"BBDC3")</f>
        <v>BBDC3</v>
      </c>
      <c r="B328" s="17">
        <f>IFERROR(__xludf.DUMMYFUNCTION("""COMPUTED_VALUE"""),45352.0)</f>
        <v>45352</v>
      </c>
      <c r="C328" s="9">
        <f>IFERROR(__xludf.DUMMYFUNCTION("""COMPUTED_VALUE"""),3.0)</f>
        <v>3</v>
      </c>
      <c r="D328" s="9">
        <f>IFERROR(__xludf.DUMMYFUNCTION("""COMPUTED_VALUE"""),2024.0)</f>
        <v>2024</v>
      </c>
      <c r="E328" s="9">
        <f>IFERROR(__xludf.DUMMYFUNCTION("""COMPUTED_VALUE"""),0.02)</f>
        <v>0.02</v>
      </c>
      <c r="F328" s="9">
        <f>IFERROR(__xludf.DUMMYFUNCTION("""COMPUTED_VALUE"""),13.4)</f>
        <v>13.4</v>
      </c>
    </row>
    <row r="329">
      <c r="A329" s="9" t="str">
        <f>IFERROR(__xludf.DUMMYFUNCTION("""COMPUTED_VALUE"""),"BBAS3")</f>
        <v>BBAS3</v>
      </c>
      <c r="B329" s="17">
        <f>IFERROR(__xludf.DUMMYFUNCTION("""COMPUTED_VALUE"""),45351.0)</f>
        <v>45351</v>
      </c>
      <c r="C329" s="9">
        <f>IFERROR(__xludf.DUMMYFUNCTION("""COMPUTED_VALUE"""),2.0)</f>
        <v>2</v>
      </c>
      <c r="D329" s="9">
        <f>IFERROR(__xludf.DUMMYFUNCTION("""COMPUTED_VALUE"""),2024.0)</f>
        <v>2024</v>
      </c>
      <c r="E329" s="9">
        <f>IFERROR(__xludf.DUMMYFUNCTION("""COMPUTED_VALUE"""),0.61)</f>
        <v>0.61</v>
      </c>
      <c r="F329" s="9">
        <f>IFERROR(__xludf.DUMMYFUNCTION("""COMPUTED_VALUE"""),410.5)</f>
        <v>410.5</v>
      </c>
    </row>
    <row r="330">
      <c r="A330" s="9" t="str">
        <f>IFERROR(__xludf.DUMMYFUNCTION("""COMPUTED_VALUE"""),"BBAS3")</f>
        <v>BBAS3</v>
      </c>
      <c r="B330" s="17">
        <f>IFERROR(__xludf.DUMMYFUNCTION("""COMPUTED_VALUE"""),45351.0)</f>
        <v>45351</v>
      </c>
      <c r="C330" s="9">
        <f>IFERROR(__xludf.DUMMYFUNCTION("""COMPUTED_VALUE"""),2.0)</f>
        <v>2</v>
      </c>
      <c r="D330" s="9">
        <f>IFERROR(__xludf.DUMMYFUNCTION("""COMPUTED_VALUE"""),2024.0)</f>
        <v>2024</v>
      </c>
      <c r="E330" s="9">
        <f>IFERROR(__xludf.DUMMYFUNCTION("""COMPUTED_VALUE"""),0.22)</f>
        <v>0.22</v>
      </c>
      <c r="F330" s="9">
        <f>IFERROR(__xludf.DUMMYFUNCTION("""COMPUTED_VALUE"""),173.78)</f>
        <v>173.78</v>
      </c>
    </row>
    <row r="331">
      <c r="A331" s="9" t="str">
        <f>IFERROR(__xludf.DUMMYFUNCTION("""COMPUTED_VALUE"""),"BBAS3")</f>
        <v>BBAS3</v>
      </c>
      <c r="B331" s="17">
        <f>IFERROR(__xludf.DUMMYFUNCTION("""COMPUTED_VALUE"""),45351.0)</f>
        <v>45351</v>
      </c>
      <c r="C331" s="9">
        <f>IFERROR(__xludf.DUMMYFUNCTION("""COMPUTED_VALUE"""),2.0)</f>
        <v>2</v>
      </c>
      <c r="D331" s="9">
        <f>IFERROR(__xludf.DUMMYFUNCTION("""COMPUTED_VALUE"""),2024.0)</f>
        <v>2024</v>
      </c>
      <c r="E331" s="9">
        <f>IFERROR(__xludf.DUMMYFUNCTION("""COMPUTED_VALUE"""),0.0)</f>
        <v>0</v>
      </c>
      <c r="F331" s="9">
        <f>IFERROR(__xludf.DUMMYFUNCTION("""COMPUTED_VALUE"""),2.39)</f>
        <v>2.39</v>
      </c>
    </row>
    <row r="332">
      <c r="A332" s="9" t="str">
        <f>IFERROR(__xludf.DUMMYFUNCTION("""COMPUTED_VALUE"""),"BBAS3")</f>
        <v>BBAS3</v>
      </c>
      <c r="B332" s="17">
        <f>IFERROR(__xludf.DUMMYFUNCTION("""COMPUTED_VALUE"""),45351.0)</f>
        <v>45351</v>
      </c>
      <c r="C332" s="9">
        <f>IFERROR(__xludf.DUMMYFUNCTION("""COMPUTED_VALUE"""),2.0)</f>
        <v>2</v>
      </c>
      <c r="D332" s="9">
        <f>IFERROR(__xludf.DUMMYFUNCTION("""COMPUTED_VALUE"""),2024.0)</f>
        <v>2024</v>
      </c>
      <c r="E332" s="9">
        <f>IFERROR(__xludf.DUMMYFUNCTION("""COMPUTED_VALUE"""),0.0)</f>
        <v>0</v>
      </c>
      <c r="F332" s="9">
        <f>IFERROR(__xludf.DUMMYFUNCTION("""COMPUTED_VALUE"""),6.65)</f>
        <v>6.65</v>
      </c>
    </row>
    <row r="333">
      <c r="A333" s="9" t="str">
        <f>IFERROR(__xludf.DUMMYFUNCTION("""COMPUTED_VALUE"""),"KLBN4")</f>
        <v>KLBN4</v>
      </c>
      <c r="B333" s="17">
        <f>IFERROR(__xludf.DUMMYFUNCTION("""COMPUTED_VALUE"""),45348.0)</f>
        <v>45348</v>
      </c>
      <c r="C333" s="9">
        <f>IFERROR(__xludf.DUMMYFUNCTION("""COMPUTED_VALUE"""),2.0)</f>
        <v>2</v>
      </c>
      <c r="D333" s="9">
        <f>IFERROR(__xludf.DUMMYFUNCTION("""COMPUTED_VALUE"""),2024.0)</f>
        <v>2024</v>
      </c>
      <c r="E333" s="9">
        <f>IFERROR(__xludf.DUMMYFUNCTION("""COMPUTED_VALUE"""),0.04)</f>
        <v>0.04</v>
      </c>
      <c r="F333" s="9">
        <f>IFERROR(__xludf.DUMMYFUNCTION("""COMPUTED_VALUE"""),64.17)</f>
        <v>64.17</v>
      </c>
    </row>
    <row r="334">
      <c r="A334" s="9" t="str">
        <f>IFERROR(__xludf.DUMMYFUNCTION("""COMPUTED_VALUE"""),"KLBN4")</f>
        <v>KLBN4</v>
      </c>
      <c r="B334" s="17">
        <f>IFERROR(__xludf.DUMMYFUNCTION("""COMPUTED_VALUE"""),45348.0)</f>
        <v>45348</v>
      </c>
      <c r="C334" s="9">
        <f>IFERROR(__xludf.DUMMYFUNCTION("""COMPUTED_VALUE"""),2.0)</f>
        <v>2</v>
      </c>
      <c r="D334" s="9">
        <f>IFERROR(__xludf.DUMMYFUNCTION("""COMPUTED_VALUE"""),2024.0)</f>
        <v>2024</v>
      </c>
      <c r="E334" s="9">
        <f>IFERROR(__xludf.DUMMYFUNCTION("""COMPUTED_VALUE"""),0.03)</f>
        <v>0.03</v>
      </c>
      <c r="F334" s="9">
        <f>IFERROR(__xludf.DUMMYFUNCTION("""COMPUTED_VALUE"""),48.58)</f>
        <v>48.58</v>
      </c>
    </row>
    <row r="335">
      <c r="A335" s="9" t="str">
        <f>IFERROR(__xludf.DUMMYFUNCTION("""COMPUTED_VALUE"""),"BBSE3")</f>
        <v>BBSE3</v>
      </c>
      <c r="B335" s="17">
        <f>IFERROR(__xludf.DUMMYFUNCTION("""COMPUTED_VALUE"""),45344.0)</f>
        <v>45344</v>
      </c>
      <c r="C335" s="9">
        <f>IFERROR(__xludf.DUMMYFUNCTION("""COMPUTED_VALUE"""),2.0)</f>
        <v>2</v>
      </c>
      <c r="D335" s="9">
        <f>IFERROR(__xludf.DUMMYFUNCTION("""COMPUTED_VALUE"""),2024.0)</f>
        <v>2024</v>
      </c>
      <c r="E335" s="9">
        <f>IFERROR(__xludf.DUMMYFUNCTION("""COMPUTED_VALUE"""),0.0)</f>
        <v>0</v>
      </c>
      <c r="F335" s="9">
        <f>IFERROR(__xludf.DUMMYFUNCTION("""COMPUTED_VALUE"""),16.41)</f>
        <v>16.41</v>
      </c>
    </row>
    <row r="336">
      <c r="A336" s="9" t="str">
        <f>IFERROR(__xludf.DUMMYFUNCTION("""COMPUTED_VALUE"""),"BBSE3")</f>
        <v>BBSE3</v>
      </c>
      <c r="B336" s="17">
        <f>IFERROR(__xludf.DUMMYFUNCTION("""COMPUTED_VALUE"""),45344.0)</f>
        <v>45344</v>
      </c>
      <c r="C336" s="9">
        <f>IFERROR(__xludf.DUMMYFUNCTION("""COMPUTED_VALUE"""),2.0)</f>
        <v>2</v>
      </c>
      <c r="D336" s="9">
        <f>IFERROR(__xludf.DUMMYFUNCTION("""COMPUTED_VALUE"""),2024.0)</f>
        <v>2024</v>
      </c>
      <c r="E336" s="9">
        <f>IFERROR(__xludf.DUMMYFUNCTION("""COMPUTED_VALUE"""),1.24)</f>
        <v>1.24</v>
      </c>
      <c r="F336" s="9">
        <f>IFERROR(__xludf.DUMMYFUNCTION("""COMPUTED_VALUE"""),1354.88)</f>
        <v>1354.88</v>
      </c>
    </row>
    <row r="337">
      <c r="A337" s="9" t="str">
        <f>IFERROR(__xludf.DUMMYFUNCTION("""COMPUTED_VALUE"""),"ABCB4")</f>
        <v>ABCB4</v>
      </c>
      <c r="B337" s="17">
        <f>IFERROR(__xludf.DUMMYFUNCTION("""COMPUTED_VALUE"""),45342.0)</f>
        <v>45342</v>
      </c>
      <c r="C337" s="9">
        <f>IFERROR(__xludf.DUMMYFUNCTION("""COMPUTED_VALUE"""),2.0)</f>
        <v>2</v>
      </c>
      <c r="D337" s="9">
        <f>IFERROR(__xludf.DUMMYFUNCTION("""COMPUTED_VALUE"""),2024.0)</f>
        <v>2024</v>
      </c>
      <c r="E337" s="9">
        <f>IFERROR(__xludf.DUMMYFUNCTION("""COMPUTED_VALUE"""),0.74)</f>
        <v>0.74</v>
      </c>
      <c r="F337" s="9">
        <f>IFERROR(__xludf.DUMMYFUNCTION("""COMPUTED_VALUE"""),92.59)</f>
        <v>92.59</v>
      </c>
    </row>
    <row r="338">
      <c r="A338" s="9" t="str">
        <f>IFERROR(__xludf.DUMMYFUNCTION("""COMPUTED_VALUE"""),"PETR4")</f>
        <v>PETR4</v>
      </c>
      <c r="B338" s="17">
        <f>IFERROR(__xludf.DUMMYFUNCTION("""COMPUTED_VALUE"""),45342.0)</f>
        <v>45342</v>
      </c>
      <c r="C338" s="9">
        <f>IFERROR(__xludf.DUMMYFUNCTION("""COMPUTED_VALUE"""),2.0)</f>
        <v>2</v>
      </c>
      <c r="D338" s="9">
        <f>IFERROR(__xludf.DUMMYFUNCTION("""COMPUTED_VALUE"""),2024.0)</f>
        <v>2024</v>
      </c>
      <c r="E338" s="9">
        <f>IFERROR(__xludf.DUMMYFUNCTION("""COMPUTED_VALUE"""),0.0)</f>
        <v>0</v>
      </c>
      <c r="F338" s="9">
        <f>IFERROR(__xludf.DUMMYFUNCTION("""COMPUTED_VALUE"""),141.06)</f>
        <v>141.06</v>
      </c>
    </row>
    <row r="339">
      <c r="A339" s="9" t="str">
        <f>IFERROR(__xludf.DUMMYFUNCTION("""COMPUTED_VALUE"""),"BBDC3")</f>
        <v>BBDC3</v>
      </c>
      <c r="B339" s="17">
        <f>IFERROR(__xludf.DUMMYFUNCTION("""COMPUTED_VALUE"""),45323.0)</f>
        <v>45323</v>
      </c>
      <c r="C339" s="9">
        <f>IFERROR(__xludf.DUMMYFUNCTION("""COMPUTED_VALUE"""),2.0)</f>
        <v>2</v>
      </c>
      <c r="D339" s="9">
        <f>IFERROR(__xludf.DUMMYFUNCTION("""COMPUTED_VALUE"""),2024.0)</f>
        <v>2024</v>
      </c>
      <c r="E339" s="9">
        <f>IFERROR(__xludf.DUMMYFUNCTION("""COMPUTED_VALUE"""),0.02)</f>
        <v>0.02</v>
      </c>
      <c r="F339" s="9">
        <f>IFERROR(__xludf.DUMMYFUNCTION("""COMPUTED_VALUE"""),13.4)</f>
        <v>13.4</v>
      </c>
    </row>
    <row r="340">
      <c r="A340" s="9" t="str">
        <f>IFERROR(__xludf.DUMMYFUNCTION("""COMPUTED_VALUE"""),"TAEE4")</f>
        <v>TAEE4</v>
      </c>
      <c r="B340" s="17">
        <f>IFERROR(__xludf.DUMMYFUNCTION("""COMPUTED_VALUE"""),45307.0)</f>
        <v>45307</v>
      </c>
      <c r="C340" s="9">
        <f>IFERROR(__xludf.DUMMYFUNCTION("""COMPUTED_VALUE"""),1.0)</f>
        <v>1</v>
      </c>
      <c r="D340" s="9">
        <f>IFERROR(__xludf.DUMMYFUNCTION("""COMPUTED_VALUE"""),2024.0)</f>
        <v>2024</v>
      </c>
      <c r="E340" s="9">
        <f>IFERROR(__xludf.DUMMYFUNCTION("""COMPUTED_VALUE"""),0.22)</f>
        <v>0.22</v>
      </c>
      <c r="F340" s="9">
        <f>IFERROR(__xludf.DUMMYFUNCTION("""COMPUTED_VALUE"""),337.09)</f>
        <v>337.09</v>
      </c>
    </row>
    <row r="341">
      <c r="A341" s="9" t="str">
        <f>IFERROR(__xludf.DUMMYFUNCTION("""COMPUTED_VALUE"""),"TRPL4")</f>
        <v>TRPL4</v>
      </c>
      <c r="B341" s="17">
        <f>IFERROR(__xludf.DUMMYFUNCTION("""COMPUTED_VALUE"""),45306.0)</f>
        <v>45306</v>
      </c>
      <c r="C341" s="9">
        <f>IFERROR(__xludf.DUMMYFUNCTION("""COMPUTED_VALUE"""),1.0)</f>
        <v>1</v>
      </c>
      <c r="D341" s="9">
        <f>IFERROR(__xludf.DUMMYFUNCTION("""COMPUTED_VALUE"""),2024.0)</f>
        <v>2024</v>
      </c>
      <c r="E341" s="9">
        <f>IFERROR(__xludf.DUMMYFUNCTION("""COMPUTED_VALUE"""),0.24)</f>
        <v>0.24</v>
      </c>
      <c r="F341" s="9">
        <f>IFERROR(__xludf.DUMMYFUNCTION("""COMPUTED_VALUE"""),153.98)</f>
        <v>153.98</v>
      </c>
    </row>
    <row r="342">
      <c r="A342" s="9" t="str">
        <f>IFERROR(__xludf.DUMMYFUNCTION("""COMPUTED_VALUE"""),"BBDC3")</f>
        <v>BBDC3</v>
      </c>
      <c r="B342" s="17">
        <f>IFERROR(__xludf.DUMMYFUNCTION("""COMPUTED_VALUE"""),45293.0)</f>
        <v>45293</v>
      </c>
      <c r="C342" s="9">
        <f>IFERROR(__xludf.DUMMYFUNCTION("""COMPUTED_VALUE"""),1.0)</f>
        <v>1</v>
      </c>
      <c r="D342" s="9">
        <f>IFERROR(__xludf.DUMMYFUNCTION("""COMPUTED_VALUE"""),2024.0)</f>
        <v>2024</v>
      </c>
      <c r="E342" s="9">
        <f>IFERROR(__xludf.DUMMYFUNCTION("""COMPUTED_VALUE"""),0.18)</f>
        <v>0.18</v>
      </c>
      <c r="F342" s="9">
        <f>IFERROR(__xludf.DUMMYFUNCTION("""COMPUTED_VALUE"""),139.06)</f>
        <v>139.06</v>
      </c>
    </row>
    <row r="343">
      <c r="A343" s="9" t="str">
        <f>IFERROR(__xludf.DUMMYFUNCTION("""COMPUTED_VALUE"""),"BBDC3")</f>
        <v>BBDC3</v>
      </c>
      <c r="B343" s="17">
        <f>IFERROR(__xludf.DUMMYFUNCTION("""COMPUTED_VALUE"""),45293.0)</f>
        <v>45293</v>
      </c>
      <c r="C343" s="9">
        <f>IFERROR(__xludf.DUMMYFUNCTION("""COMPUTED_VALUE"""),1.0)</f>
        <v>1</v>
      </c>
      <c r="D343" s="9">
        <f>IFERROR(__xludf.DUMMYFUNCTION("""COMPUTED_VALUE"""),2024.0)</f>
        <v>2024</v>
      </c>
      <c r="E343" s="9">
        <f>IFERROR(__xludf.DUMMYFUNCTION("""COMPUTED_VALUE"""),0.02)</f>
        <v>0.02</v>
      </c>
      <c r="F343" s="9">
        <f>IFERROR(__xludf.DUMMYFUNCTION("""COMPUTED_VALUE"""),13.4)</f>
        <v>13.4</v>
      </c>
    </row>
    <row r="344">
      <c r="A344" s="9" t="str">
        <f>IFERROR(__xludf.DUMMYFUNCTION("""COMPUTED_VALUE"""),"CEBR6")</f>
        <v>CEBR6</v>
      </c>
      <c r="B344" s="17">
        <f>IFERROR(__xludf.DUMMYFUNCTION("""COMPUTED_VALUE"""),45917.0)</f>
        <v>45917</v>
      </c>
      <c r="C344" s="9">
        <f>IFERROR(__xludf.DUMMYFUNCTION("""COMPUTED_VALUE"""),9.0)</f>
        <v>9</v>
      </c>
      <c r="D344" s="9">
        <f>IFERROR(__xludf.DUMMYFUNCTION("""COMPUTED_VALUE"""),2025.0)</f>
        <v>2025</v>
      </c>
      <c r="E344" s="9">
        <f>IFERROR(__xludf.DUMMYFUNCTION("""COMPUTED_VALUE"""),1.83)</f>
        <v>1.83</v>
      </c>
      <c r="F344" s="9">
        <f>IFERROR(__xludf.DUMMYFUNCTION("""COMPUTED_VALUE"""),1181.84)</f>
        <v>1181.84</v>
      </c>
    </row>
    <row r="345">
      <c r="A345" s="9" t="str">
        <f>IFERROR(__xludf.DUMMYFUNCTION("""COMPUTED_VALUE"""),"BBSE3")</f>
        <v>BBSE3</v>
      </c>
      <c r="B345" s="17">
        <f>IFERROR(__xludf.DUMMYFUNCTION("""COMPUTED_VALUE"""),45895.0)</f>
        <v>45895</v>
      </c>
      <c r="C345" s="9">
        <f>IFERROR(__xludf.DUMMYFUNCTION("""COMPUTED_VALUE"""),8.0)</f>
        <v>8</v>
      </c>
      <c r="D345" s="9">
        <f>IFERROR(__xludf.DUMMYFUNCTION("""COMPUTED_VALUE"""),2025.0)</f>
        <v>2025</v>
      </c>
      <c r="E345" s="9">
        <f>IFERROR(__xludf.DUMMYFUNCTION("""COMPUTED_VALUE"""),1.94)</f>
        <v>1.94</v>
      </c>
      <c r="F345" s="9">
        <f>IFERROR(__xludf.DUMMYFUNCTION("""COMPUTED_VALUE"""),38.84)</f>
        <v>38.84</v>
      </c>
    </row>
    <row r="346">
      <c r="A346" s="9" t="str">
        <f>IFERROR(__xludf.DUMMYFUNCTION("""COMPUTED_VALUE"""),"BBSE3")</f>
        <v>BBSE3</v>
      </c>
      <c r="B346" s="17">
        <f>IFERROR(__xludf.DUMMYFUNCTION("""COMPUTED_VALUE"""),45895.0)</f>
        <v>45895</v>
      </c>
      <c r="C346" s="9">
        <f>IFERROR(__xludf.DUMMYFUNCTION("""COMPUTED_VALUE"""),8.0)</f>
        <v>8</v>
      </c>
      <c r="D346" s="9">
        <f>IFERROR(__xludf.DUMMYFUNCTION("""COMPUTED_VALUE"""),2025.0)</f>
        <v>2025</v>
      </c>
      <c r="E346" s="9">
        <f>IFERROR(__xludf.DUMMYFUNCTION("""COMPUTED_VALUE"""),0.0)</f>
        <v>0</v>
      </c>
      <c r="F346" s="9">
        <f>IFERROR(__xludf.DUMMYFUNCTION("""COMPUTED_VALUE"""),6214.7)</f>
        <v>6214.7</v>
      </c>
    </row>
    <row r="347">
      <c r="A347" s="9" t="str">
        <f>IFERROR(__xludf.DUMMYFUNCTION("""COMPUTED_VALUE"""),"RANI3")</f>
        <v>RANI3</v>
      </c>
      <c r="B347" s="17">
        <f>IFERROR(__xludf.DUMMYFUNCTION("""COMPUTED_VALUE"""),45891.0)</f>
        <v>45891</v>
      </c>
      <c r="C347" s="9">
        <f>IFERROR(__xludf.DUMMYFUNCTION("""COMPUTED_VALUE"""),8.0)</f>
        <v>8</v>
      </c>
      <c r="D347" s="9">
        <f>IFERROR(__xludf.DUMMYFUNCTION("""COMPUTED_VALUE"""),2025.0)</f>
        <v>2025</v>
      </c>
      <c r="E347" s="9">
        <f>IFERROR(__xludf.DUMMYFUNCTION("""COMPUTED_VALUE"""),0.11)</f>
        <v>0.11</v>
      </c>
      <c r="F347" s="9">
        <f>IFERROR(__xludf.DUMMYFUNCTION("""COMPUTED_VALUE"""),160.25)</f>
        <v>160.25</v>
      </c>
    </row>
    <row r="348">
      <c r="A348" s="9" t="str">
        <f>IFERROR(__xludf.DUMMYFUNCTION("""COMPUTED_VALUE"""),"PETR4")</f>
        <v>PETR4</v>
      </c>
      <c r="B348" s="17">
        <f>IFERROR(__xludf.DUMMYFUNCTION("""COMPUTED_VALUE"""),45889.0)</f>
        <v>45889</v>
      </c>
      <c r="C348" s="9">
        <f>IFERROR(__xludf.DUMMYFUNCTION("""COMPUTED_VALUE"""),8.0)</f>
        <v>8</v>
      </c>
      <c r="D348" s="9">
        <f>IFERROR(__xludf.DUMMYFUNCTION("""COMPUTED_VALUE"""),2025.0)</f>
        <v>2025</v>
      </c>
      <c r="E348" s="9">
        <f>IFERROR(__xludf.DUMMYFUNCTION("""COMPUTED_VALUE"""),0.46)</f>
        <v>0.46</v>
      </c>
      <c r="F348" s="9">
        <f>IFERROR(__xludf.DUMMYFUNCTION("""COMPUTED_VALUE"""),111.67)</f>
        <v>111.67</v>
      </c>
    </row>
    <row r="349">
      <c r="A349" s="9" t="str">
        <f>IFERROR(__xludf.DUMMYFUNCTION("""COMPUTED_VALUE"""),"CXSE3")</f>
        <v>CXSE3</v>
      </c>
      <c r="B349" s="17">
        <f>IFERROR(__xludf.DUMMYFUNCTION("""COMPUTED_VALUE"""),45884.0)</f>
        <v>45884</v>
      </c>
      <c r="C349" s="9">
        <f>IFERROR(__xludf.DUMMYFUNCTION("""COMPUTED_VALUE"""),8.0)</f>
        <v>8</v>
      </c>
      <c r="D349" s="9">
        <f>IFERROR(__xludf.DUMMYFUNCTION("""COMPUTED_VALUE"""),2025.0)</f>
        <v>2025</v>
      </c>
      <c r="E349" s="9">
        <f>IFERROR(__xludf.DUMMYFUNCTION("""COMPUTED_VALUE"""),0.31)</f>
        <v>0.31</v>
      </c>
      <c r="F349" s="9">
        <f>IFERROR(__xludf.DUMMYFUNCTION("""COMPUTED_VALUE"""),437.1)</f>
        <v>437.1</v>
      </c>
    </row>
    <row r="350">
      <c r="A350" s="9" t="str">
        <f>IFERROR(__xludf.DUMMYFUNCTION("""COMPUTED_VALUE"""),"BBDC3")</f>
        <v>BBDC3</v>
      </c>
      <c r="B350" s="17">
        <f>IFERROR(__xludf.DUMMYFUNCTION("""COMPUTED_VALUE"""),45869.0)</f>
        <v>45869</v>
      </c>
      <c r="C350" s="9">
        <f>IFERROR(__xludf.DUMMYFUNCTION("""COMPUTED_VALUE"""),7.0)</f>
        <v>7</v>
      </c>
      <c r="D350" s="9">
        <f>IFERROR(__xludf.DUMMYFUNCTION("""COMPUTED_VALUE"""),2025.0)</f>
        <v>2025</v>
      </c>
      <c r="E350" s="9">
        <f>IFERROR(__xludf.DUMMYFUNCTION("""COMPUTED_VALUE"""),0.27)</f>
        <v>0.27</v>
      </c>
      <c r="F350" s="9">
        <f>IFERROR(__xludf.DUMMYFUNCTION("""COMPUTED_VALUE"""),3.18)</f>
        <v>3.18</v>
      </c>
    </row>
    <row r="351">
      <c r="A351" s="9" t="str">
        <f>IFERROR(__xludf.DUMMYFUNCTION("""COMPUTED_VALUE"""),"BRSR6")</f>
        <v>BRSR6</v>
      </c>
      <c r="B351" s="17">
        <f>IFERROR(__xludf.DUMMYFUNCTION("""COMPUTED_VALUE"""),45834.0)</f>
        <v>45834</v>
      </c>
      <c r="C351" s="9">
        <f>IFERROR(__xludf.DUMMYFUNCTION("""COMPUTED_VALUE"""),6.0)</f>
        <v>6</v>
      </c>
      <c r="D351" s="9">
        <f>IFERROR(__xludf.DUMMYFUNCTION("""COMPUTED_VALUE"""),2025.0)</f>
        <v>2025</v>
      </c>
      <c r="E351" s="9">
        <f>IFERROR(__xludf.DUMMYFUNCTION("""COMPUTED_VALUE"""),0.22)</f>
        <v>0.22</v>
      </c>
      <c r="F351" s="9">
        <f>IFERROR(__xludf.DUMMYFUNCTION("""COMPUTED_VALUE"""),245.79)</f>
        <v>245.79</v>
      </c>
    </row>
    <row r="352">
      <c r="A352" s="9" t="str">
        <f>IFERROR(__xludf.DUMMYFUNCTION("""COMPUTED_VALUE"""),"SAPR4")</f>
        <v>SAPR4</v>
      </c>
      <c r="B352" s="17">
        <f>IFERROR(__xludf.DUMMYFUNCTION("""COMPUTED_VALUE"""),45834.0)</f>
        <v>45834</v>
      </c>
      <c r="C352" s="9">
        <f>IFERROR(__xludf.DUMMYFUNCTION("""COMPUTED_VALUE"""),6.0)</f>
        <v>6</v>
      </c>
      <c r="D352" s="9">
        <f>IFERROR(__xludf.DUMMYFUNCTION("""COMPUTED_VALUE"""),2025.0)</f>
        <v>2025</v>
      </c>
      <c r="E352" s="9">
        <f>IFERROR(__xludf.DUMMYFUNCTION("""COMPUTED_VALUE"""),0.15)</f>
        <v>0.15</v>
      </c>
      <c r="F352" s="9">
        <f>IFERROR(__xludf.DUMMYFUNCTION("""COMPUTED_VALUE"""),327.71)</f>
        <v>327.71</v>
      </c>
    </row>
    <row r="353">
      <c r="A353" s="9" t="str">
        <f>IFERROR(__xludf.DUMMYFUNCTION("""COMPUTED_VALUE"""),"SAPR4")</f>
        <v>SAPR4</v>
      </c>
      <c r="B353" s="17">
        <f>IFERROR(__xludf.DUMMYFUNCTION("""COMPUTED_VALUE"""),45834.0)</f>
        <v>45834</v>
      </c>
      <c r="C353" s="9">
        <f>IFERROR(__xludf.DUMMYFUNCTION("""COMPUTED_VALUE"""),6.0)</f>
        <v>6</v>
      </c>
      <c r="D353" s="9">
        <f>IFERROR(__xludf.DUMMYFUNCTION("""COMPUTED_VALUE"""),2025.0)</f>
        <v>2025</v>
      </c>
      <c r="E353" s="9">
        <f>IFERROR(__xludf.DUMMYFUNCTION("""COMPUTED_VALUE"""),0.16)</f>
        <v>0.16</v>
      </c>
      <c r="F353" s="9">
        <f>IFERROR(__xludf.DUMMYFUNCTION("""COMPUTED_VALUE"""),349.41)</f>
        <v>349.41</v>
      </c>
    </row>
    <row r="354">
      <c r="A354" s="9" t="str">
        <f>IFERROR(__xludf.DUMMYFUNCTION("""COMPUTED_VALUE"""),"PETR4")</f>
        <v>PETR4</v>
      </c>
      <c r="B354" s="17">
        <f>IFERROR(__xludf.DUMMYFUNCTION("""COMPUTED_VALUE"""),45828.0)</f>
        <v>45828</v>
      </c>
      <c r="C354" s="9">
        <f>IFERROR(__xludf.DUMMYFUNCTION("""COMPUTED_VALUE"""),6.0)</f>
        <v>6</v>
      </c>
      <c r="D354" s="9">
        <f>IFERROR(__xludf.DUMMYFUNCTION("""COMPUTED_VALUE"""),2025.0)</f>
        <v>2025</v>
      </c>
      <c r="E354" s="9">
        <f>IFERROR(__xludf.DUMMYFUNCTION("""COMPUTED_VALUE"""),0.0)</f>
        <v>0</v>
      </c>
      <c r="F354" s="9">
        <f>IFERROR(__xludf.DUMMYFUNCTION("""COMPUTED_VALUE"""),1.49)</f>
        <v>1.49</v>
      </c>
    </row>
    <row r="355">
      <c r="A355" s="9" t="str">
        <f>IFERROR(__xludf.DUMMYFUNCTION("""COMPUTED_VALUE"""),"PETR4")</f>
        <v>PETR4</v>
      </c>
      <c r="B355" s="17">
        <f>IFERROR(__xludf.DUMMYFUNCTION("""COMPUTED_VALUE"""),45828.0)</f>
        <v>45828</v>
      </c>
      <c r="C355" s="9">
        <f>IFERROR(__xludf.DUMMYFUNCTION("""COMPUTED_VALUE"""),6.0)</f>
        <v>6</v>
      </c>
      <c r="D355" s="9">
        <f>IFERROR(__xludf.DUMMYFUNCTION("""COMPUTED_VALUE"""),2025.0)</f>
        <v>2025</v>
      </c>
      <c r="E355" s="9">
        <f>IFERROR(__xludf.DUMMYFUNCTION("""COMPUTED_VALUE"""),0.36)</f>
        <v>0.36</v>
      </c>
      <c r="F355" s="9">
        <f>IFERROR(__xludf.DUMMYFUNCTION("""COMPUTED_VALUE"""),31.57)</f>
        <v>31.57</v>
      </c>
    </row>
    <row r="356">
      <c r="A356" s="9" t="str">
        <f>IFERROR(__xludf.DUMMYFUNCTION("""COMPUTED_VALUE"""),"BBAS3")</f>
        <v>BBAS3</v>
      </c>
      <c r="B356" s="17">
        <f>IFERROR(__xludf.DUMMYFUNCTION("""COMPUTED_VALUE"""),45820.0)</f>
        <v>45820</v>
      </c>
      <c r="C356" s="9">
        <f>IFERROR(__xludf.DUMMYFUNCTION("""COMPUTED_VALUE"""),6.0)</f>
        <v>6</v>
      </c>
      <c r="D356" s="9">
        <f>IFERROR(__xludf.DUMMYFUNCTION("""COMPUTED_VALUE"""),2025.0)</f>
        <v>2025</v>
      </c>
      <c r="E356" s="9">
        <f>IFERROR(__xludf.DUMMYFUNCTION("""COMPUTED_VALUE"""),0.09)</f>
        <v>0.09</v>
      </c>
      <c r="F356" s="9">
        <f>IFERROR(__xludf.DUMMYFUNCTION("""COMPUTED_VALUE"""),371.87)</f>
        <v>371.87</v>
      </c>
    </row>
    <row r="357">
      <c r="A357" s="9" t="str">
        <f>IFERROR(__xludf.DUMMYFUNCTION("""COMPUTED_VALUE"""),"BBAS3")</f>
        <v>BBAS3</v>
      </c>
      <c r="B357" s="17">
        <f>IFERROR(__xludf.DUMMYFUNCTION("""COMPUTED_VALUE"""),45820.0)</f>
        <v>45820</v>
      </c>
      <c r="C357" s="9">
        <f>IFERROR(__xludf.DUMMYFUNCTION("""COMPUTED_VALUE"""),6.0)</f>
        <v>6</v>
      </c>
      <c r="D357" s="9">
        <f>IFERROR(__xludf.DUMMYFUNCTION("""COMPUTED_VALUE"""),2025.0)</f>
        <v>2025</v>
      </c>
      <c r="E357" s="9">
        <f>IFERROR(__xludf.DUMMYFUNCTION("""COMPUTED_VALUE"""),0.33)</f>
        <v>0.33</v>
      </c>
      <c r="F357" s="9">
        <f>IFERROR(__xludf.DUMMYFUNCTION("""COMPUTED_VALUE"""),1374.28)</f>
        <v>1374.28</v>
      </c>
    </row>
    <row r="358">
      <c r="A358" s="9" t="str">
        <f>IFERROR(__xludf.DUMMYFUNCTION("""COMPUTED_VALUE"""),"CEBR6")</f>
        <v>CEBR6</v>
      </c>
      <c r="B358" s="17">
        <f>IFERROR(__xludf.DUMMYFUNCTION("""COMPUTED_VALUE"""),45807.0)</f>
        <v>45807</v>
      </c>
      <c r="C358" s="9">
        <f>IFERROR(__xludf.DUMMYFUNCTION("""COMPUTED_VALUE"""),5.0)</f>
        <v>5</v>
      </c>
      <c r="D358" s="9">
        <f>IFERROR(__xludf.DUMMYFUNCTION("""COMPUTED_VALUE"""),2025.0)</f>
        <v>2025</v>
      </c>
      <c r="E358" s="9">
        <f>IFERROR(__xludf.DUMMYFUNCTION("""COMPUTED_VALUE"""),1.27)</f>
        <v>1.27</v>
      </c>
      <c r="F358" s="9">
        <f>IFERROR(__xludf.DUMMYFUNCTION("""COMPUTED_VALUE"""),562.75)</f>
        <v>562.75</v>
      </c>
    </row>
    <row r="359">
      <c r="A359" s="9" t="str">
        <f>IFERROR(__xludf.DUMMYFUNCTION("""COMPUTED_VALUE"""),"LEVE3")</f>
        <v>LEVE3</v>
      </c>
      <c r="B359" s="17">
        <f>IFERROR(__xludf.DUMMYFUNCTION("""COMPUTED_VALUE"""),45805.0)</f>
        <v>45805</v>
      </c>
      <c r="C359" s="9">
        <f>IFERROR(__xludf.DUMMYFUNCTION("""COMPUTED_VALUE"""),5.0)</f>
        <v>5</v>
      </c>
      <c r="D359" s="9">
        <f>IFERROR(__xludf.DUMMYFUNCTION("""COMPUTED_VALUE"""),2025.0)</f>
        <v>2025</v>
      </c>
      <c r="E359" s="9">
        <f>IFERROR(__xludf.DUMMYFUNCTION("""COMPUTED_VALUE"""),0.22)</f>
        <v>0.22</v>
      </c>
      <c r="F359" s="9">
        <f>IFERROR(__xludf.DUMMYFUNCTION("""COMPUTED_VALUE"""),139.55)</f>
        <v>139.55</v>
      </c>
    </row>
    <row r="360">
      <c r="A360" s="9" t="str">
        <f>IFERROR(__xludf.DUMMYFUNCTION("""COMPUTED_VALUE"""),"LEVE3")</f>
        <v>LEVE3</v>
      </c>
      <c r="B360" s="17">
        <f>IFERROR(__xludf.DUMMYFUNCTION("""COMPUTED_VALUE"""),45805.0)</f>
        <v>45805</v>
      </c>
      <c r="C360" s="9">
        <f>IFERROR(__xludf.DUMMYFUNCTION("""COMPUTED_VALUE"""),5.0)</f>
        <v>5</v>
      </c>
      <c r="D360" s="9">
        <f>IFERROR(__xludf.DUMMYFUNCTION("""COMPUTED_VALUE"""),2025.0)</f>
        <v>2025</v>
      </c>
      <c r="E360" s="9">
        <f>IFERROR(__xludf.DUMMYFUNCTION("""COMPUTED_VALUE"""),1.69)</f>
        <v>1.69</v>
      </c>
      <c r="F360" s="9">
        <f>IFERROR(__xludf.DUMMYFUNCTION("""COMPUTED_VALUE"""),1069.38)</f>
        <v>1069.38</v>
      </c>
    </row>
    <row r="361">
      <c r="A361" s="9" t="str">
        <f>IFERROR(__xludf.DUMMYFUNCTION("""COMPUTED_VALUE"""),"LEVE3")</f>
        <v>LEVE3</v>
      </c>
      <c r="B361" s="17">
        <f>IFERROR(__xludf.DUMMYFUNCTION("""COMPUTED_VALUE"""),45805.0)</f>
        <v>45805</v>
      </c>
      <c r="C361" s="9">
        <f>IFERROR(__xludf.DUMMYFUNCTION("""COMPUTED_VALUE"""),5.0)</f>
        <v>5</v>
      </c>
      <c r="D361" s="9">
        <f>IFERROR(__xludf.DUMMYFUNCTION("""COMPUTED_VALUE"""),2025.0)</f>
        <v>2025</v>
      </c>
      <c r="E361" s="9">
        <f>IFERROR(__xludf.DUMMYFUNCTION("""COMPUTED_VALUE"""),0.19)</f>
        <v>0.19</v>
      </c>
      <c r="F361" s="9">
        <f>IFERROR(__xludf.DUMMYFUNCTION("""COMPUTED_VALUE"""),63.69)</f>
        <v>63.69</v>
      </c>
    </row>
    <row r="362">
      <c r="A362" s="9" t="str">
        <f>IFERROR(__xludf.DUMMYFUNCTION("""COMPUTED_VALUE"""),"RANI3")</f>
        <v>RANI3</v>
      </c>
      <c r="B362" s="17">
        <f>IFERROR(__xludf.DUMMYFUNCTION("""COMPUTED_VALUE"""),45798.0)</f>
        <v>45798</v>
      </c>
      <c r="C362" s="9">
        <f>IFERROR(__xludf.DUMMYFUNCTION("""COMPUTED_VALUE"""),5.0)</f>
        <v>5</v>
      </c>
      <c r="D362" s="9">
        <f>IFERROR(__xludf.DUMMYFUNCTION("""COMPUTED_VALUE"""),2025.0)</f>
        <v>2025</v>
      </c>
      <c r="E362" s="9">
        <f>IFERROR(__xludf.DUMMYFUNCTION("""COMPUTED_VALUE"""),0.06)</f>
        <v>0.06</v>
      </c>
      <c r="F362" s="9">
        <f>IFERROR(__xludf.DUMMYFUNCTION("""COMPUTED_VALUE"""),91.36)</f>
        <v>91.36</v>
      </c>
    </row>
    <row r="363">
      <c r="A363" s="9" t="str">
        <f>IFERROR(__xludf.DUMMYFUNCTION("""COMPUTED_VALUE"""),"RANI3")</f>
        <v>RANI3</v>
      </c>
      <c r="B363" s="17">
        <f>IFERROR(__xludf.DUMMYFUNCTION("""COMPUTED_VALUE"""),45798.0)</f>
        <v>45798</v>
      </c>
      <c r="C363" s="9">
        <f>IFERROR(__xludf.DUMMYFUNCTION("""COMPUTED_VALUE"""),5.0)</f>
        <v>5</v>
      </c>
      <c r="D363" s="9">
        <f>IFERROR(__xludf.DUMMYFUNCTION("""COMPUTED_VALUE"""),2025.0)</f>
        <v>2025</v>
      </c>
      <c r="E363" s="9">
        <f>IFERROR(__xludf.DUMMYFUNCTION("""COMPUTED_VALUE"""),0.32)</f>
        <v>0.32</v>
      </c>
      <c r="F363" s="9">
        <f>IFERROR(__xludf.DUMMYFUNCTION("""COMPUTED_VALUE"""),471.83)</f>
        <v>471.83</v>
      </c>
    </row>
    <row r="364">
      <c r="A364" s="9" t="str">
        <f>IFERROR(__xludf.DUMMYFUNCTION("""COMPUTED_VALUE"""),"PETR4")</f>
        <v>PETR4</v>
      </c>
      <c r="B364" s="17">
        <f>IFERROR(__xludf.DUMMYFUNCTION("""COMPUTED_VALUE"""),45797.0)</f>
        <v>45797</v>
      </c>
      <c r="C364" s="9">
        <f>IFERROR(__xludf.DUMMYFUNCTION("""COMPUTED_VALUE"""),5.0)</f>
        <v>5</v>
      </c>
      <c r="D364" s="9">
        <f>IFERROR(__xludf.DUMMYFUNCTION("""COMPUTED_VALUE"""),2025.0)</f>
        <v>2025</v>
      </c>
      <c r="E364" s="9">
        <f>IFERROR(__xludf.DUMMYFUNCTION("""COMPUTED_VALUE"""),0.0)</f>
        <v>0</v>
      </c>
      <c r="F364" s="9">
        <f>IFERROR(__xludf.DUMMYFUNCTION("""COMPUTED_VALUE"""),1.18)</f>
        <v>1.18</v>
      </c>
    </row>
    <row r="365">
      <c r="A365" s="9" t="str">
        <f>IFERROR(__xludf.DUMMYFUNCTION("""COMPUTED_VALUE"""),"PETR4")</f>
        <v>PETR4</v>
      </c>
      <c r="B365" s="17">
        <f>IFERROR(__xludf.DUMMYFUNCTION("""COMPUTED_VALUE"""),45797.0)</f>
        <v>45797</v>
      </c>
      <c r="C365" s="9">
        <f>IFERROR(__xludf.DUMMYFUNCTION("""COMPUTED_VALUE"""),5.0)</f>
        <v>5</v>
      </c>
      <c r="D365" s="9">
        <f>IFERROR(__xludf.DUMMYFUNCTION("""COMPUTED_VALUE"""),2025.0)</f>
        <v>2025</v>
      </c>
      <c r="E365" s="9">
        <f>IFERROR(__xludf.DUMMYFUNCTION("""COMPUTED_VALUE"""),0.36)</f>
        <v>0.36</v>
      </c>
      <c r="F365" s="9">
        <f>IFERROR(__xludf.DUMMYFUNCTION("""COMPUTED_VALUE"""),31.57)</f>
        <v>31.57</v>
      </c>
    </row>
    <row r="366">
      <c r="A366" s="9" t="str">
        <f>IFERROR(__xludf.DUMMYFUNCTION("""COMPUTED_VALUE"""),"BRSR6")</f>
        <v>BRSR6</v>
      </c>
      <c r="B366" s="17">
        <f>IFERROR(__xludf.DUMMYFUNCTION("""COMPUTED_VALUE"""),45793.0)</f>
        <v>45793</v>
      </c>
      <c r="C366" s="9">
        <f>IFERROR(__xludf.DUMMYFUNCTION("""COMPUTED_VALUE"""),5.0)</f>
        <v>5</v>
      </c>
      <c r="D366" s="9">
        <f>IFERROR(__xludf.DUMMYFUNCTION("""COMPUTED_VALUE"""),2025.0)</f>
        <v>2025</v>
      </c>
      <c r="E366" s="9">
        <f>IFERROR(__xludf.DUMMYFUNCTION("""COMPUTED_VALUE"""),0.09)</f>
        <v>0.09</v>
      </c>
      <c r="F366" s="9">
        <f>IFERROR(__xludf.DUMMYFUNCTION("""COMPUTED_VALUE"""),114.38)</f>
        <v>114.38</v>
      </c>
    </row>
    <row r="367">
      <c r="A367" s="9" t="str">
        <f>IFERROR(__xludf.DUMMYFUNCTION("""COMPUTED_VALUE"""),"CXSE3")</f>
        <v>CXSE3</v>
      </c>
      <c r="B367" s="17">
        <f>IFERROR(__xludf.DUMMYFUNCTION("""COMPUTED_VALUE"""),45792.0)</f>
        <v>45792</v>
      </c>
      <c r="C367" s="9">
        <f>IFERROR(__xludf.DUMMYFUNCTION("""COMPUTED_VALUE"""),5.0)</f>
        <v>5</v>
      </c>
      <c r="D367" s="9">
        <f>IFERROR(__xludf.DUMMYFUNCTION("""COMPUTED_VALUE"""),2025.0)</f>
        <v>2025</v>
      </c>
      <c r="E367" s="9">
        <f>IFERROR(__xludf.DUMMYFUNCTION("""COMPUTED_VALUE"""),0.32)</f>
        <v>0.32</v>
      </c>
      <c r="F367" s="9">
        <f>IFERROR(__xludf.DUMMYFUNCTION("""COMPUTED_VALUE"""),188.16)</f>
        <v>188.16</v>
      </c>
    </row>
    <row r="368">
      <c r="A368" s="9" t="str">
        <f>IFERROR(__xludf.DUMMYFUNCTION("""COMPUTED_VALUE"""),"CXSE3")</f>
        <v>CXSE3</v>
      </c>
      <c r="B368" s="17">
        <f>IFERROR(__xludf.DUMMYFUNCTION("""COMPUTED_VALUE"""),45792.0)</f>
        <v>45792</v>
      </c>
      <c r="C368" s="9">
        <f>IFERROR(__xludf.DUMMYFUNCTION("""COMPUTED_VALUE"""),5.0)</f>
        <v>5</v>
      </c>
      <c r="D368" s="9">
        <f>IFERROR(__xludf.DUMMYFUNCTION("""COMPUTED_VALUE"""),2025.0)</f>
        <v>2025</v>
      </c>
      <c r="E368" s="9">
        <f>IFERROR(__xludf.DUMMYFUNCTION("""COMPUTED_VALUE"""),0.0)</f>
        <v>0</v>
      </c>
      <c r="F368" s="9">
        <f>IFERROR(__xludf.DUMMYFUNCTION("""COMPUTED_VALUE"""),0.08)</f>
        <v>0.08</v>
      </c>
    </row>
    <row r="369">
      <c r="A369" s="9" t="str">
        <f>IFERROR(__xludf.DUMMYFUNCTION("""COMPUTED_VALUE"""),"BBDC3")</f>
        <v>BBDC3</v>
      </c>
      <c r="B369" s="17">
        <f>IFERROR(__xludf.DUMMYFUNCTION("""COMPUTED_VALUE"""),45779.0)</f>
        <v>45779</v>
      </c>
      <c r="C369" s="9">
        <f>IFERROR(__xludf.DUMMYFUNCTION("""COMPUTED_VALUE"""),5.0)</f>
        <v>5</v>
      </c>
      <c r="D369" s="9">
        <f>IFERROR(__xludf.DUMMYFUNCTION("""COMPUTED_VALUE"""),2025.0)</f>
        <v>2025</v>
      </c>
      <c r="E369" s="9">
        <f>IFERROR(__xludf.DUMMYFUNCTION("""COMPUTED_VALUE"""),0.02)</f>
        <v>0.02</v>
      </c>
      <c r="F369" s="9">
        <f>IFERROR(__xludf.DUMMYFUNCTION("""COMPUTED_VALUE"""),0.21)</f>
        <v>0.21</v>
      </c>
    </row>
    <row r="370">
      <c r="A370" s="9" t="str">
        <f>IFERROR(__xludf.DUMMYFUNCTION("""COMPUTED_VALUE"""),"BBDC3")</f>
        <v>BBDC3</v>
      </c>
      <c r="B370" s="17">
        <f>IFERROR(__xludf.DUMMYFUNCTION("""COMPUTED_VALUE"""),45777.0)</f>
        <v>45777</v>
      </c>
      <c r="C370" s="9">
        <f>IFERROR(__xludf.DUMMYFUNCTION("""COMPUTED_VALUE"""),4.0)</f>
        <v>4</v>
      </c>
      <c r="D370" s="9">
        <f>IFERROR(__xludf.DUMMYFUNCTION("""COMPUTED_VALUE"""),2025.0)</f>
        <v>2025</v>
      </c>
      <c r="E370" s="9">
        <f>IFERROR(__xludf.DUMMYFUNCTION("""COMPUTED_VALUE"""),0.18)</f>
        <v>0.18</v>
      </c>
      <c r="F370" s="9">
        <f>IFERROR(__xludf.DUMMYFUNCTION("""COMPUTED_VALUE"""),2.14)</f>
        <v>2.14</v>
      </c>
    </row>
    <row r="371">
      <c r="A371" s="9" t="str">
        <f>IFERROR(__xludf.DUMMYFUNCTION("""COMPUTED_VALUE"""),"BBDC3")</f>
        <v>BBDC3</v>
      </c>
      <c r="B371" s="17">
        <f>IFERROR(__xludf.DUMMYFUNCTION("""COMPUTED_VALUE"""),45748.0)</f>
        <v>45748</v>
      </c>
      <c r="C371" s="9">
        <f>IFERROR(__xludf.DUMMYFUNCTION("""COMPUTED_VALUE"""),4.0)</f>
        <v>4</v>
      </c>
      <c r="D371" s="9">
        <f>IFERROR(__xludf.DUMMYFUNCTION("""COMPUTED_VALUE"""),2025.0)</f>
        <v>2025</v>
      </c>
      <c r="E371" s="9">
        <f>IFERROR(__xludf.DUMMYFUNCTION("""COMPUTED_VALUE"""),0.02)</f>
        <v>0.02</v>
      </c>
      <c r="F371" s="9">
        <f>IFERROR(__xludf.DUMMYFUNCTION("""COMPUTED_VALUE"""),0.21)</f>
        <v>0.21</v>
      </c>
    </row>
    <row r="372">
      <c r="A372" s="9" t="str">
        <f>IFERROR(__xludf.DUMMYFUNCTION("""COMPUTED_VALUE"""),"BRSR6")</f>
        <v>BRSR6</v>
      </c>
      <c r="B372" s="17">
        <f>IFERROR(__xludf.DUMMYFUNCTION("""COMPUTED_VALUE"""),45742.0)</f>
        <v>45742</v>
      </c>
      <c r="C372" s="9">
        <f>IFERROR(__xludf.DUMMYFUNCTION("""COMPUTED_VALUE"""),3.0)</f>
        <v>3</v>
      </c>
      <c r="D372" s="9">
        <f>IFERROR(__xludf.DUMMYFUNCTION("""COMPUTED_VALUE"""),2025.0)</f>
        <v>2025</v>
      </c>
      <c r="E372" s="9">
        <f>IFERROR(__xludf.DUMMYFUNCTION("""COMPUTED_VALUE"""),0.22)</f>
        <v>0.22</v>
      </c>
      <c r="F372" s="9">
        <f>IFERROR(__xludf.DUMMYFUNCTION("""COMPUTED_VALUE"""),245.79)</f>
        <v>245.79</v>
      </c>
    </row>
    <row r="373">
      <c r="A373" s="9" t="str">
        <f>IFERROR(__xludf.DUMMYFUNCTION("""COMPUTED_VALUE"""),"RANI3")</f>
        <v>RANI3</v>
      </c>
      <c r="B373" s="17">
        <f>IFERROR(__xludf.DUMMYFUNCTION("""COMPUTED_VALUE"""),45742.0)</f>
        <v>45742</v>
      </c>
      <c r="C373" s="9">
        <f>IFERROR(__xludf.DUMMYFUNCTION("""COMPUTED_VALUE"""),3.0)</f>
        <v>3</v>
      </c>
      <c r="D373" s="9">
        <f>IFERROR(__xludf.DUMMYFUNCTION("""COMPUTED_VALUE"""),2025.0)</f>
        <v>2025</v>
      </c>
      <c r="E373" s="9">
        <f>IFERROR(__xludf.DUMMYFUNCTION("""COMPUTED_VALUE"""),0.19)</f>
        <v>0.19</v>
      </c>
      <c r="F373" s="9">
        <f>IFERROR(__xludf.DUMMYFUNCTION("""COMPUTED_VALUE"""),282.16)</f>
        <v>282.16</v>
      </c>
    </row>
    <row r="374">
      <c r="A374" s="9" t="str">
        <f>IFERROR(__xludf.DUMMYFUNCTION("""COMPUTED_VALUE"""),"BBAS3")</f>
        <v>BBAS3</v>
      </c>
      <c r="B374" s="17">
        <f>IFERROR(__xludf.DUMMYFUNCTION("""COMPUTED_VALUE"""),45737.0)</f>
        <v>45737</v>
      </c>
      <c r="C374" s="9">
        <f>IFERROR(__xludf.DUMMYFUNCTION("""COMPUTED_VALUE"""),3.0)</f>
        <v>3</v>
      </c>
      <c r="D374" s="9">
        <f>IFERROR(__xludf.DUMMYFUNCTION("""COMPUTED_VALUE"""),2025.0)</f>
        <v>2025</v>
      </c>
      <c r="E374" s="9">
        <f>IFERROR(__xludf.DUMMYFUNCTION("""COMPUTED_VALUE"""),0.15)</f>
        <v>0.15</v>
      </c>
      <c r="F374" s="9">
        <f>IFERROR(__xludf.DUMMYFUNCTION("""COMPUTED_VALUE"""),12.7)</f>
        <v>12.7</v>
      </c>
    </row>
    <row r="375">
      <c r="A375" s="9" t="str">
        <f>IFERROR(__xludf.DUMMYFUNCTION("""COMPUTED_VALUE"""),"BBAS3")</f>
        <v>BBAS3</v>
      </c>
      <c r="B375" s="17">
        <f>IFERROR(__xludf.DUMMYFUNCTION("""COMPUTED_VALUE"""),45737.0)</f>
        <v>45737</v>
      </c>
      <c r="C375" s="9">
        <f>IFERROR(__xludf.DUMMYFUNCTION("""COMPUTED_VALUE"""),3.0)</f>
        <v>3</v>
      </c>
      <c r="D375" s="9">
        <f>IFERROR(__xludf.DUMMYFUNCTION("""COMPUTED_VALUE"""),2025.0)</f>
        <v>2025</v>
      </c>
      <c r="E375" s="9">
        <f>IFERROR(__xludf.DUMMYFUNCTION("""COMPUTED_VALUE"""),0.0)</f>
        <v>0</v>
      </c>
      <c r="F375" s="9">
        <f>IFERROR(__xludf.DUMMYFUNCTION("""COMPUTED_VALUE"""),575.96)</f>
        <v>575.96</v>
      </c>
    </row>
    <row r="376">
      <c r="A376" s="9" t="str">
        <f>IFERROR(__xludf.DUMMYFUNCTION("""COMPUTED_VALUE"""),"ISAE4")</f>
        <v>ISAE4</v>
      </c>
      <c r="B376" s="17">
        <f>IFERROR(__xludf.DUMMYFUNCTION("""COMPUTED_VALUE"""),45737.0)</f>
        <v>45737</v>
      </c>
      <c r="C376" s="9">
        <f>IFERROR(__xludf.DUMMYFUNCTION("""COMPUTED_VALUE"""),3.0)</f>
        <v>3</v>
      </c>
      <c r="D376" s="9">
        <f>IFERROR(__xludf.DUMMYFUNCTION("""COMPUTED_VALUE"""),2025.0)</f>
        <v>2025</v>
      </c>
      <c r="E376" s="9">
        <f>IFERROR(__xludf.DUMMYFUNCTION("""COMPUTED_VALUE"""),0.79)</f>
        <v>0.79</v>
      </c>
      <c r="F376" s="9">
        <f>IFERROR(__xludf.DUMMYFUNCTION("""COMPUTED_VALUE"""),599.34)</f>
        <v>599.34</v>
      </c>
    </row>
    <row r="377">
      <c r="A377" s="9" t="str">
        <f>IFERROR(__xludf.DUMMYFUNCTION("""COMPUTED_VALUE"""),"BBAS3")</f>
        <v>BBAS3</v>
      </c>
      <c r="B377" s="17">
        <f>IFERROR(__xludf.DUMMYFUNCTION("""COMPUTED_VALUE"""),45736.0)</f>
        <v>45736</v>
      </c>
      <c r="C377" s="9">
        <f>IFERROR(__xludf.DUMMYFUNCTION("""COMPUTED_VALUE"""),3.0)</f>
        <v>3</v>
      </c>
      <c r="D377" s="9">
        <f>IFERROR(__xludf.DUMMYFUNCTION("""COMPUTED_VALUE"""),2025.0)</f>
        <v>2025</v>
      </c>
      <c r="E377" s="9">
        <f>IFERROR(__xludf.DUMMYFUNCTION("""COMPUTED_VALUE"""),0.34)</f>
        <v>0.34</v>
      </c>
      <c r="F377" s="9">
        <f>IFERROR(__xludf.DUMMYFUNCTION("""COMPUTED_VALUE"""),29.12)</f>
        <v>29.12</v>
      </c>
    </row>
    <row r="378">
      <c r="A378" s="9" t="str">
        <f>IFERROR(__xludf.DUMMYFUNCTION("""COMPUTED_VALUE"""),"BBAS3")</f>
        <v>BBAS3</v>
      </c>
      <c r="B378" s="17">
        <f>IFERROR(__xludf.DUMMYFUNCTION("""COMPUTED_VALUE"""),45736.0)</f>
        <v>45736</v>
      </c>
      <c r="C378" s="9">
        <f>IFERROR(__xludf.DUMMYFUNCTION("""COMPUTED_VALUE"""),3.0)</f>
        <v>3</v>
      </c>
      <c r="D378" s="9">
        <f>IFERROR(__xludf.DUMMYFUNCTION("""COMPUTED_VALUE"""),2025.0)</f>
        <v>2025</v>
      </c>
      <c r="E378" s="9">
        <f>IFERROR(__xludf.DUMMYFUNCTION("""COMPUTED_VALUE"""),0.0)</f>
        <v>0</v>
      </c>
      <c r="F378" s="9">
        <f>IFERROR(__xludf.DUMMYFUNCTION("""COMPUTED_VALUE"""),0.28)</f>
        <v>0.28</v>
      </c>
    </row>
    <row r="379">
      <c r="A379" s="9" t="str">
        <f>IFERROR(__xludf.DUMMYFUNCTION("""COMPUTED_VALUE"""),"BBAS3")</f>
        <v>BBAS3</v>
      </c>
      <c r="B379" s="17">
        <f>IFERROR(__xludf.DUMMYFUNCTION("""COMPUTED_VALUE"""),45736.0)</f>
        <v>45736</v>
      </c>
      <c r="C379" s="9">
        <f>IFERROR(__xludf.DUMMYFUNCTION("""COMPUTED_VALUE"""),3.0)</f>
        <v>3</v>
      </c>
      <c r="D379" s="9">
        <f>IFERROR(__xludf.DUMMYFUNCTION("""COMPUTED_VALUE"""),2025.0)</f>
        <v>2025</v>
      </c>
      <c r="E379" s="9">
        <f>IFERROR(__xludf.DUMMYFUNCTION("""COMPUTED_VALUE"""),0.14)</f>
        <v>0.14</v>
      </c>
      <c r="F379" s="9">
        <f>IFERROR(__xludf.DUMMYFUNCTION("""COMPUTED_VALUE"""),13.6)</f>
        <v>13.6</v>
      </c>
    </row>
    <row r="380">
      <c r="A380" s="9" t="str">
        <f>IFERROR(__xludf.DUMMYFUNCTION("""COMPUTED_VALUE"""),"BBAS3")</f>
        <v>BBAS3</v>
      </c>
      <c r="B380" s="17">
        <f>IFERROR(__xludf.DUMMYFUNCTION("""COMPUTED_VALUE"""),45736.0)</f>
        <v>45736</v>
      </c>
      <c r="C380" s="9">
        <f>IFERROR(__xludf.DUMMYFUNCTION("""COMPUTED_VALUE"""),3.0)</f>
        <v>3</v>
      </c>
      <c r="D380" s="9">
        <f>IFERROR(__xludf.DUMMYFUNCTION("""COMPUTED_VALUE"""),2025.0)</f>
        <v>2025</v>
      </c>
      <c r="E380" s="9">
        <f>IFERROR(__xludf.DUMMYFUNCTION("""COMPUTED_VALUE"""),0.0)</f>
        <v>0</v>
      </c>
      <c r="F380" s="9">
        <f>IFERROR(__xludf.DUMMYFUNCTION("""COMPUTED_VALUE"""),0.69)</f>
        <v>0.69</v>
      </c>
    </row>
    <row r="381">
      <c r="A381" s="9" t="str">
        <f>IFERROR(__xludf.DUMMYFUNCTION("""COMPUTED_VALUE"""),"BBAS3")</f>
        <v>BBAS3</v>
      </c>
      <c r="B381" s="17">
        <f>IFERROR(__xludf.DUMMYFUNCTION("""COMPUTED_VALUE"""),45736.0)</f>
        <v>45736</v>
      </c>
      <c r="C381" s="9">
        <f>IFERROR(__xludf.DUMMYFUNCTION("""COMPUTED_VALUE"""),3.0)</f>
        <v>3</v>
      </c>
      <c r="D381" s="9">
        <f>IFERROR(__xludf.DUMMYFUNCTION("""COMPUTED_VALUE"""),2025.0)</f>
        <v>2025</v>
      </c>
      <c r="E381" s="9">
        <f>IFERROR(__xludf.DUMMYFUNCTION("""COMPUTED_VALUE"""),0.0)</f>
        <v>0</v>
      </c>
      <c r="F381" s="9">
        <f>IFERROR(__xludf.DUMMYFUNCTION("""COMPUTED_VALUE"""),1982.1)</f>
        <v>1982.1</v>
      </c>
    </row>
    <row r="382">
      <c r="A382" s="9" t="str">
        <f>IFERROR(__xludf.DUMMYFUNCTION("""COMPUTED_VALUE"""),"BBSE3")</f>
        <v>BBSE3</v>
      </c>
      <c r="B382" s="17">
        <f>IFERROR(__xludf.DUMMYFUNCTION("""COMPUTED_VALUE"""),45722.0)</f>
        <v>45722</v>
      </c>
      <c r="C382" s="9">
        <f>IFERROR(__xludf.DUMMYFUNCTION("""COMPUTED_VALUE"""),3.0)</f>
        <v>3</v>
      </c>
      <c r="D382" s="9">
        <f>IFERROR(__xludf.DUMMYFUNCTION("""COMPUTED_VALUE"""),2025.0)</f>
        <v>2025</v>
      </c>
      <c r="E382" s="9">
        <f>IFERROR(__xludf.DUMMYFUNCTION("""COMPUTED_VALUE"""),0.0)</f>
        <v>0</v>
      </c>
      <c r="F382" s="9">
        <f>IFERROR(__xludf.DUMMYFUNCTION("""COMPUTED_VALUE"""),3616.51)</f>
        <v>3616.51</v>
      </c>
    </row>
    <row r="383">
      <c r="A383" s="9" t="str">
        <f>IFERROR(__xludf.DUMMYFUNCTION("""COMPUTED_VALUE"""),"BBDC3")</f>
        <v>BBDC3</v>
      </c>
      <c r="B383" s="17">
        <f>IFERROR(__xludf.DUMMYFUNCTION("""COMPUTED_VALUE"""),45721.0)</f>
        <v>45721</v>
      </c>
      <c r="C383" s="9">
        <f>IFERROR(__xludf.DUMMYFUNCTION("""COMPUTED_VALUE"""),3.0)</f>
        <v>3</v>
      </c>
      <c r="D383" s="9">
        <f>IFERROR(__xludf.DUMMYFUNCTION("""COMPUTED_VALUE"""),2025.0)</f>
        <v>2025</v>
      </c>
      <c r="E383" s="9">
        <f>IFERROR(__xludf.DUMMYFUNCTION("""COMPUTED_VALUE"""),0.02)</f>
        <v>0.02</v>
      </c>
      <c r="F383" s="9">
        <f>IFERROR(__xludf.DUMMYFUNCTION("""COMPUTED_VALUE"""),0.21)</f>
        <v>0.21</v>
      </c>
    </row>
    <row r="384">
      <c r="A384" s="9" t="str">
        <f>IFERROR(__xludf.DUMMYFUNCTION("""COMPUTED_VALUE"""),"ISAE4")</f>
        <v>ISAE4</v>
      </c>
      <c r="B384" s="17">
        <f>IFERROR(__xludf.DUMMYFUNCTION("""COMPUTED_VALUE"""),45709.0)</f>
        <v>45709</v>
      </c>
      <c r="C384" s="9">
        <f>IFERROR(__xludf.DUMMYFUNCTION("""COMPUTED_VALUE"""),2.0)</f>
        <v>2</v>
      </c>
      <c r="D384" s="9">
        <f>IFERROR(__xludf.DUMMYFUNCTION("""COMPUTED_VALUE"""),2025.0)</f>
        <v>2025</v>
      </c>
      <c r="E384" s="9">
        <f>IFERROR(__xludf.DUMMYFUNCTION("""COMPUTED_VALUE"""),0.0)</f>
        <v>0</v>
      </c>
      <c r="F384" s="9">
        <f>IFERROR(__xludf.DUMMYFUNCTION("""COMPUTED_VALUE"""),599.34)</f>
        <v>599.34</v>
      </c>
    </row>
    <row r="385">
      <c r="A385" s="9" t="str">
        <f>IFERROR(__xludf.DUMMYFUNCTION("""COMPUTED_VALUE"""),"BBDC3")</f>
        <v>BBDC3</v>
      </c>
      <c r="B385" s="17">
        <f>IFERROR(__xludf.DUMMYFUNCTION("""COMPUTED_VALUE"""),45691.0)</f>
        <v>45691</v>
      </c>
      <c r="C385" s="9">
        <f>IFERROR(__xludf.DUMMYFUNCTION("""COMPUTED_VALUE"""),2.0)</f>
        <v>2</v>
      </c>
      <c r="D385" s="9">
        <f>IFERROR(__xludf.DUMMYFUNCTION("""COMPUTED_VALUE"""),2025.0)</f>
        <v>2025</v>
      </c>
      <c r="E385" s="9">
        <f>IFERROR(__xludf.DUMMYFUNCTION("""COMPUTED_VALUE"""),0.02)</f>
        <v>0.02</v>
      </c>
      <c r="F385" s="9">
        <f>IFERROR(__xludf.DUMMYFUNCTION("""COMPUTED_VALUE"""),0.21)</f>
        <v>0.21</v>
      </c>
    </row>
    <row r="386">
      <c r="A386" s="9" t="str">
        <f>IFERROR(__xludf.DUMMYFUNCTION("""COMPUTED_VALUE"""),"BBDC3")</f>
        <v>BBDC3</v>
      </c>
      <c r="B386" s="17">
        <f>IFERROR(__xludf.DUMMYFUNCTION("""COMPUTED_VALUE"""),45688.0)</f>
        <v>45688</v>
      </c>
      <c r="C386" s="9">
        <f>IFERROR(__xludf.DUMMYFUNCTION("""COMPUTED_VALUE"""),1.0)</f>
        <v>1</v>
      </c>
      <c r="D386" s="9">
        <f>IFERROR(__xludf.DUMMYFUNCTION("""COMPUTED_VALUE"""),2025.0)</f>
        <v>2025</v>
      </c>
      <c r="E386" s="9">
        <f>IFERROR(__xludf.DUMMYFUNCTION("""COMPUTED_VALUE"""),0.36)</f>
        <v>0.36</v>
      </c>
      <c r="F386" s="9">
        <f>IFERROR(__xludf.DUMMYFUNCTION("""COMPUTED_VALUE"""),279.02)</f>
        <v>279.02</v>
      </c>
    </row>
    <row r="387">
      <c r="A387" s="9" t="str">
        <f>IFERROR(__xludf.DUMMYFUNCTION("""COMPUTED_VALUE"""),"TAEE4")</f>
        <v>TAEE4</v>
      </c>
      <c r="B387" s="17">
        <f>IFERROR(__xludf.DUMMYFUNCTION("""COMPUTED_VALUE"""),45686.0)</f>
        <v>45686</v>
      </c>
      <c r="C387" s="9">
        <f>IFERROR(__xludf.DUMMYFUNCTION("""COMPUTED_VALUE"""),1.0)</f>
        <v>1</v>
      </c>
      <c r="D387" s="9">
        <f>IFERROR(__xludf.DUMMYFUNCTION("""COMPUTED_VALUE"""),2025.0)</f>
        <v>2025</v>
      </c>
      <c r="E387" s="9">
        <f>IFERROR(__xludf.DUMMYFUNCTION("""COMPUTED_VALUE"""),0.09)</f>
        <v>0.09</v>
      </c>
      <c r="F387" s="9">
        <f>IFERROR(__xludf.DUMMYFUNCTION("""COMPUTED_VALUE"""),186.72)</f>
        <v>186.72</v>
      </c>
    </row>
    <row r="388">
      <c r="A388" s="9" t="str">
        <f>IFERROR(__xludf.DUMMYFUNCTION("""COMPUTED_VALUE"""),"TAEE4")</f>
        <v>TAEE4</v>
      </c>
      <c r="B388" s="17">
        <f>IFERROR(__xludf.DUMMYFUNCTION("""COMPUTED_VALUE"""),45686.0)</f>
        <v>45686</v>
      </c>
      <c r="C388" s="9">
        <f>IFERROR(__xludf.DUMMYFUNCTION("""COMPUTED_VALUE"""),1.0)</f>
        <v>1</v>
      </c>
      <c r="D388" s="9">
        <f>IFERROR(__xludf.DUMMYFUNCTION("""COMPUTED_VALUE"""),2025.0)</f>
        <v>2025</v>
      </c>
      <c r="E388" s="9">
        <f>IFERROR(__xludf.DUMMYFUNCTION("""COMPUTED_VALUE"""),0.13)</f>
        <v>0.13</v>
      </c>
      <c r="F388" s="9">
        <f>IFERROR(__xludf.DUMMYFUNCTION("""COMPUTED_VALUE"""),235.92)</f>
        <v>235.92</v>
      </c>
    </row>
    <row r="389">
      <c r="A389" s="9" t="str">
        <f>IFERROR(__xludf.DUMMYFUNCTION("""COMPUTED_VALUE"""),"ISAE4")</f>
        <v>ISAE4</v>
      </c>
      <c r="B389" s="17">
        <f>IFERROR(__xludf.DUMMYFUNCTION("""COMPUTED_VALUE"""),45678.0)</f>
        <v>45678</v>
      </c>
      <c r="C389" s="9">
        <f>IFERROR(__xludf.DUMMYFUNCTION("""COMPUTED_VALUE"""),1.0)</f>
        <v>1</v>
      </c>
      <c r="D389" s="9">
        <f>IFERROR(__xludf.DUMMYFUNCTION("""COMPUTED_VALUE"""),2025.0)</f>
        <v>2025</v>
      </c>
      <c r="E389" s="9">
        <f>IFERROR(__xludf.DUMMYFUNCTION("""COMPUTED_VALUE"""),0.79)</f>
        <v>0.79</v>
      </c>
      <c r="F389" s="9">
        <f>IFERROR(__xludf.DUMMYFUNCTION("""COMPUTED_VALUE"""),599.34)</f>
        <v>599.34</v>
      </c>
    </row>
    <row r="390">
      <c r="A390" s="9" t="str">
        <f>IFERROR(__xludf.DUMMYFUNCTION("""COMPUTED_VALUE"""),"CXSE3")</f>
        <v>CXSE3</v>
      </c>
      <c r="B390" s="17">
        <f>IFERROR(__xludf.DUMMYFUNCTION("""COMPUTED_VALUE"""),45674.0)</f>
        <v>45674</v>
      </c>
      <c r="C390" s="9">
        <f>IFERROR(__xludf.DUMMYFUNCTION("""COMPUTED_VALUE"""),1.0)</f>
        <v>1</v>
      </c>
      <c r="D390" s="9">
        <f>IFERROR(__xludf.DUMMYFUNCTION("""COMPUTED_VALUE"""),2025.0)</f>
        <v>2025</v>
      </c>
      <c r="E390" s="9">
        <f>IFERROR(__xludf.DUMMYFUNCTION("""COMPUTED_VALUE"""),0.31)</f>
        <v>0.31</v>
      </c>
      <c r="F390" s="9">
        <f>IFERROR(__xludf.DUMMYFUNCTION("""COMPUTED_VALUE"""),182.28)</f>
        <v>182.28</v>
      </c>
    </row>
    <row r="391">
      <c r="A391" s="9" t="str">
        <f>IFERROR(__xludf.DUMMYFUNCTION("""COMPUTED_VALUE"""),"CXSE3")</f>
        <v>CXSE3</v>
      </c>
      <c r="B391" s="17">
        <f>IFERROR(__xludf.DUMMYFUNCTION("""COMPUTED_VALUE"""),45674.0)</f>
        <v>45674</v>
      </c>
      <c r="C391" s="9">
        <f>IFERROR(__xludf.DUMMYFUNCTION("""COMPUTED_VALUE"""),1.0)</f>
        <v>1</v>
      </c>
      <c r="D391" s="9">
        <f>IFERROR(__xludf.DUMMYFUNCTION("""COMPUTED_VALUE"""),2025.0)</f>
        <v>2025</v>
      </c>
      <c r="E391" s="9">
        <f>IFERROR(__xludf.DUMMYFUNCTION("""COMPUTED_VALUE"""),0.0)</f>
        <v>0</v>
      </c>
      <c r="F391" s="9">
        <f>IFERROR(__xludf.DUMMYFUNCTION("""COMPUTED_VALUE"""),0.77)</f>
        <v>0.77</v>
      </c>
    </row>
    <row r="392">
      <c r="A392" s="9" t="str">
        <f>IFERROR(__xludf.DUMMYFUNCTION("""COMPUTED_VALUE"""),"ABCB4")</f>
        <v>ABCB4</v>
      </c>
      <c r="B392" s="17">
        <f>IFERROR(__xludf.DUMMYFUNCTION("""COMPUTED_VALUE"""),45666.0)</f>
        <v>45666</v>
      </c>
      <c r="C392" s="9">
        <f>IFERROR(__xludf.DUMMYFUNCTION("""COMPUTED_VALUE"""),1.0)</f>
        <v>1</v>
      </c>
      <c r="D392" s="9">
        <f>IFERROR(__xludf.DUMMYFUNCTION("""COMPUTED_VALUE"""),2025.0)</f>
        <v>2025</v>
      </c>
      <c r="E392" s="9">
        <f>IFERROR(__xludf.DUMMYFUNCTION("""COMPUTED_VALUE"""),0.86)</f>
        <v>0.86</v>
      </c>
      <c r="F392" s="9">
        <f>IFERROR(__xludf.DUMMYFUNCTION("""COMPUTED_VALUE"""),175.44)</f>
        <v>175.44</v>
      </c>
    </row>
    <row r="393">
      <c r="A393" s="9" t="str">
        <f>IFERROR(__xludf.DUMMYFUNCTION("""COMPUTED_VALUE"""),"BBDC3")</f>
        <v>BBDC3</v>
      </c>
      <c r="B393" s="17">
        <f>IFERROR(__xludf.DUMMYFUNCTION("""COMPUTED_VALUE"""),45659.0)</f>
        <v>45659</v>
      </c>
      <c r="C393" s="9">
        <f>IFERROR(__xludf.DUMMYFUNCTION("""COMPUTED_VALUE"""),1.0)</f>
        <v>1</v>
      </c>
      <c r="D393" s="9">
        <f>IFERROR(__xludf.DUMMYFUNCTION("""COMPUTED_VALUE"""),2025.0)</f>
        <v>2025</v>
      </c>
      <c r="E393" s="9">
        <f>IFERROR(__xludf.DUMMYFUNCTION("""COMPUTED_VALUE"""),0.02)</f>
        <v>0.02</v>
      </c>
      <c r="F393" s="9">
        <f>IFERROR(__xludf.DUMMYFUNCTION("""COMPUTED_VALUE"""),0.21)</f>
        <v>0.21</v>
      </c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