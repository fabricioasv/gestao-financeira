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Ações" sheetId="2" r:id="rId5"/>
    <sheet state="visible" name="Proventos" sheetId="3" r:id="rId6"/>
    <sheet state="visible" name="Cartão" sheetId="4" r:id="rId7"/>
    <sheet state="visible" name="Cartão-Detalhe" sheetId="5" r:id="rId8"/>
    <sheet state="visible" name="Cartão-Forecast" sheetId="6" r:id="rId9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R$]#,##0.00"/>
    <numFmt numFmtId="165" formatCode="mmm"/>
    <numFmt numFmtId="166" formatCode="d&quot;/&quot;m&quot;/&quot;yy"/>
    <numFmt numFmtId="167" formatCode="dd&quot;/&quot;mm&quot;/&quot;yyyy"/>
  </numFmts>
  <fonts count="2">
    <font>
      <sz val="10.0"/>
      <color rgb="FF000000"/>
      <name val="Arial"/>
      <scheme val="minor"/>
    </font>
    <font>
      <sz val="9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3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IFERROR(__xludf.DUMMYFUNCTION("""COMPUTED_VALUE"""),1725.6131425775056)</f>
        <v>1725.613143</v>
      </c>
      <c r="L2" s="3" t="str">
        <f>IFERROR(__xludf.DUMMYFUNCTION("""COMPUTED_VALUE"""),"")</f>
        <v/>
      </c>
      <c r="M2" s="3" t="str">
        <f>IFERROR(__xludf.DUMMYFUNCTION("""COMPUTED_VALUE"""),"")</f>
        <v/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IFERROR(__xludf.DUMMYFUNCTION("""COMPUTED_VALUE"""),11569.98)</f>
        <v>11569.98</v>
      </c>
      <c r="L3" s="3" t="str">
        <f>IFERROR(__xludf.DUMMYFUNCTION("""COMPUTED_VALUE"""),"")</f>
        <v/>
      </c>
      <c r="M3" s="3" t="str">
        <f>IFERROR(__xludf.DUMMYFUNCTION("""COMPUTED_VALUE"""),"")</f>
        <v/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 t="str">
        <f>IFERROR(__xludf.DUMMYFUNCTION("""COMPUTED_VALUE"""),"")</f>
        <v/>
      </c>
      <c r="M4" s="3" t="str">
        <f>IFERROR(__xludf.DUMMYFUNCTION("""COMPUTED_VALUE"""),"")</f>
        <v/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 t="str">
        <f>IFERROR(__xludf.DUMMYFUNCTION("""COMPUTED_VALUE"""),"")</f>
        <v/>
      </c>
      <c r="M5" s="3" t="str">
        <f>IFERROR(__xludf.DUMMYFUNCTION("""COMPUTED_VALUE"""),"")</f>
        <v/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 t="str">
        <f>IFERROR(__xludf.DUMMYFUNCTION("""COMPUTED_VALUE"""),"")</f>
        <v/>
      </c>
      <c r="M6" s="3" t="str">
        <f>IFERROR(__xludf.DUMMYFUNCTION("""COMPUTED_VALUE"""),"")</f>
        <v/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 t="str">
        <f>IFERROR(__xludf.DUMMYFUNCTION("""COMPUTED_VALUE"""),"")</f>
        <v/>
      </c>
      <c r="M7" s="3" t="str">
        <f>IFERROR(__xludf.DUMMYFUNCTION("""COMPUTED_VALUE"""),"")</f>
        <v/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 t="str">
        <f>IFERROR(__xludf.DUMMYFUNCTION("""COMPUTED_VALUE"""),"")</f>
        <v/>
      </c>
      <c r="M8" s="3" t="str">
        <f>IFERROR(__xludf.DUMMYFUNCTION("""COMPUTED_VALUE"""),"")</f>
        <v/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 t="str">
        <f>IFERROR(__xludf.DUMMYFUNCTION("""COMPUTED_VALUE"""),"")</f>
        <v/>
      </c>
      <c r="M9" s="3" t="str">
        <f>IFERROR(__xludf.DUMMYFUNCTION("""COMPUTED_VALUE"""),"")</f>
        <v/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1"/>
      <c r="L10" s="3" t="str">
        <f>IFERROR(__xludf.DUMMYFUNCTION("""COMPUTED_VALUE"""),"")</f>
        <v/>
      </c>
      <c r="M10" s="3" t="str">
        <f>IFERROR(__xludf.DUMMYFUNCTION("""COMPUTED_VALUE"""),"")</f>
        <v/>
      </c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IFERROR(__xludf.DUMMYFUNCTION("""COMPUTED_VALUE"""),32777.373142577504)</f>
        <v>32777.37314</v>
      </c>
      <c r="L11" s="3" t="str">
        <f>IFERROR(__xludf.DUMMYFUNCTION("""COMPUTED_VALUE"""),"")</f>
        <v/>
      </c>
      <c r="M11" s="3" t="str">
        <f>IFERROR(__xludf.DUMMYFUNCTION("""COMPUTED_VALUE"""),"")</f>
        <v/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IFERROR(__xludf.DUMMYFUNCTION("""COMPUTED_VALUE"""),31051.76)</f>
        <v>31051.76</v>
      </c>
      <c r="L12" s="3" t="str">
        <f>IFERROR(__xludf.DUMMYFUNCTION("""COMPUTED_VALUE"""),"")</f>
        <v/>
      </c>
      <c r="M12" s="3" t="str">
        <f>IFERROR(__xludf.DUMMYFUNCTION("""COMPUTED_VALUE"""),"")</f>
        <v/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 t="str">
        <f>IFERROR(__xludf.DUMMYFUNCTION("""COMPUTED_VALUE"""),"")</f>
        <v/>
      </c>
      <c r="M13" s="3" t="str">
        <f>IFERROR(__xludf.DUMMYFUNCTION("""COMPUTED_VALUE"""),"")</f>
        <v/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 t="str">
        <f>IFERROR(__xludf.DUMMYFUNCTION("""COMPUTED_VALUE"""),"")</f>
        <v/>
      </c>
      <c r="M14" s="3" t="str">
        <f>IFERROR(__xludf.DUMMYFUNCTION("""COMPUTED_VALUE"""),"")</f>
        <v/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 t="str">
        <f>IFERROR(__xludf.DUMMYFUNCTION("""COMPUTED_VALUE"""),"")</f>
        <v/>
      </c>
      <c r="M15" s="3" t="str">
        <f>IFERROR(__xludf.DUMMYFUNCTION("""COMPUTED_VALUE"""),"")</f>
        <v/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 t="str">
        <f>IFERROR(__xludf.DUMMYFUNCTION("""COMPUTED_VALUE"""),"")</f>
        <v/>
      </c>
      <c r="M16" s="3" t="str">
        <f>IFERROR(__xludf.DUMMYFUNCTION("""COMPUTED_VALUE"""),"")</f>
        <v/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IFERROR(__xludf.DUMMYFUNCTION("""COMPUTED_VALUE"""),431.56)</f>
        <v>431.56</v>
      </c>
      <c r="L17" s="3" t="str">
        <f>IFERROR(__xludf.DUMMYFUNCTION("""COMPUTED_VALUE"""),"")</f>
        <v/>
      </c>
      <c r="M17" s="3" t="str">
        <f>IFERROR(__xludf.DUMMYFUNCTION("""COMPUTED_VALUE"""),"")</f>
        <v/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IFERROR(__xludf.DUMMYFUNCTION("""COMPUTED_VALUE"""),431.56)</f>
        <v>431.56</v>
      </c>
      <c r="L18" s="3" t="str">
        <f>IFERROR(__xludf.DUMMYFUNCTION("""COMPUTED_VALUE"""),"")</f>
        <v/>
      </c>
      <c r="M18" s="3" t="str">
        <f>IFERROR(__xludf.DUMMYFUNCTION("""COMPUTED_VALUE"""),"")</f>
        <v/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 t="str">
        <f>IFERROR(__xludf.DUMMYFUNCTION("""COMPUTED_VALUE"""),"")</f>
        <v/>
      </c>
      <c r="M19" s="3" t="str">
        <f>IFERROR(__xludf.DUMMYFUNCTION("""COMPUTED_VALUE"""),"")</f>
        <v/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 t="str">
        <f>IFERROR(__xludf.DUMMYFUNCTION("""COMPUTED_VALUE"""),"")</f>
        <v/>
      </c>
      <c r="M20" s="3" t="str">
        <f>IFERROR(__xludf.DUMMYFUNCTION("""COMPUTED_VALUE"""),"")</f>
        <v/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IFERROR(__xludf.DUMMYFUNCTION("""COMPUTED_VALUE"""),8000.0)</f>
        <v>8000</v>
      </c>
      <c r="L21" s="3" t="str">
        <f>IFERROR(__xludf.DUMMYFUNCTION("""COMPUTED_VALUE"""),"")</f>
        <v/>
      </c>
      <c r="M21" s="3" t="str">
        <f>IFERROR(__xludf.DUMMYFUNCTION("""COMPUTED_VALUE"""),"")</f>
        <v/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IFERROR(__xludf.DUMMYFUNCTION("""COMPUTED_VALUE"""),8000.0)</f>
        <v>8000</v>
      </c>
      <c r="L22" s="3" t="str">
        <f>IFERROR(__xludf.DUMMYFUNCTION("""COMPUTED_VALUE"""),"")</f>
        <v/>
      </c>
      <c r="M22" s="3" t="str">
        <f>IFERROR(__xludf.DUMMYFUNCTION("""COMPUTED_VALUE"""),"")</f>
        <v/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 t="str">
        <f>IFERROR(__xludf.DUMMYFUNCTION("""COMPUTED_VALUE"""),"")</f>
        <v/>
      </c>
      <c r="M23" s="3" t="str">
        <f>IFERROR(__xludf.DUMMYFUNCTION("""COMPUTED_VALUE"""),"")</f>
        <v/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 t="str">
        <f>IFERROR(__xludf.DUMMYFUNCTION("""COMPUTED_VALUE"""),"")</f>
        <v/>
      </c>
      <c r="M24" s="3" t="str">
        <f>IFERROR(__xludf.DUMMYFUNCTION("""COMPUTED_VALUE"""),"")</f>
        <v/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IFERROR(__xludf.DUMMYFUNCTION("""COMPUTED_VALUE"""),33171.79)</f>
        <v>33171.79</v>
      </c>
      <c r="L25" s="3" t="str">
        <f>IFERROR(__xludf.DUMMYFUNCTION("""COMPUTED_VALUE"""),"")</f>
        <v/>
      </c>
      <c r="M25" s="3" t="str">
        <f>IFERROR(__xludf.DUMMYFUNCTION("""COMPUTED_VALUE"""),"")</f>
        <v/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IFERROR(__xludf.DUMMYFUNCTION("""COMPUTED_VALUE"""),21601.81)</f>
        <v>21601.81</v>
      </c>
      <c r="L26" s="3" t="str">
        <f>IFERROR(__xludf.DUMMYFUNCTION("""COMPUTED_VALUE"""),"")</f>
        <v/>
      </c>
      <c r="M26" s="3" t="str">
        <f>IFERROR(__xludf.DUMMYFUNCTION("""COMPUTED_VALUE"""),"")</f>
        <v/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IFERROR(__xludf.DUMMYFUNCTION("""COMPUTED_VALUE"""),324424.45000000007)</f>
        <v>324424.45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IFERROR(__xludf.DUMMYFUNCTION("""COMPUTED_VALUE"""),"[C] Salário")</f>
        <v>[C] Salário</v>
      </c>
      <c r="B30" s="1" t="str">
        <f>IFERROR(__xludf.DUMMYFUNCTION("""COMPUTED_VALUE"""),"-")</f>
        <v>-</v>
      </c>
      <c r="C30" s="1">
        <f>IFERROR(__xludf.DUMMYFUNCTION("""COMPUTED_VALUE"""),21951.99)</f>
        <v>21951.99</v>
      </c>
      <c r="D30" s="1">
        <f>IFERROR(__xludf.DUMMYFUNCTION("""COMPUTED_VALUE"""),21615.660000000003)</f>
        <v>21615.66</v>
      </c>
      <c r="E30" s="1">
        <f>IFERROR(__xludf.DUMMYFUNCTION("""COMPUTED_VALUE"""),22117.97)</f>
        <v>22117.97</v>
      </c>
      <c r="F30" s="1">
        <f>IFERROR(__xludf.DUMMYFUNCTION("""COMPUTED_VALUE"""),23373.38)</f>
        <v>23373.38</v>
      </c>
      <c r="G30" s="1">
        <f>IFERROR(__xludf.DUMMYFUNCTION("""COMPUTED_VALUE"""),23176.4)</f>
        <v>23176.4</v>
      </c>
      <c r="H30" s="1">
        <f>IFERROR(__xludf.DUMMYFUNCTION("""COMPUTED_VALUE"""),23189.13)</f>
        <v>23189.13</v>
      </c>
      <c r="I30" s="1">
        <f>IFERROR(__xludf.DUMMYFUNCTION("""COMPUTED_VALUE"""),23241.26)</f>
        <v>23241.26</v>
      </c>
      <c r="J30" s="1">
        <f>IFERROR(__xludf.DUMMYFUNCTION("""COMPUTED_VALUE"""),23078.86)</f>
        <v>23078.86</v>
      </c>
      <c r="K30" s="1">
        <f>IFERROR(__xludf.DUMMYFUNCTION("""COMPUTED_VALUE"""),23327.82)</f>
        <v>23327.82</v>
      </c>
      <c r="L30" s="1" t="str">
        <f>IFERROR(__xludf.DUMMYFUNCTION("""COMPUTED_VALUE"""),"")</f>
        <v/>
      </c>
      <c r="M30" s="1" t="str">
        <f>IFERROR(__xludf.DUMMYFUNCTION("""COMPUTED_VALUE"""),"")</f>
        <v/>
      </c>
      <c r="N30" s="1" t="str">
        <f>IFERROR(__xludf.DUMMYFUNCTION("""COMPUTED_VALUE"""),"")</f>
        <v/>
      </c>
      <c r="O30" s="1" t="str">
        <f>IFERROR(__xludf.DUMMYFUNCTION("""COMPUTED_VALUE"""),"")</f>
        <v/>
      </c>
      <c r="P30" s="1" t="str">
        <f>IFERROR(__xludf.DUMMYFUNCTION("""COMPUTED_VALUE"""),"")</f>
        <v/>
      </c>
      <c r="Q30" s="1" t="str">
        <f>IFERROR(__xludf.DUMMYFUNCTION("""COMPUTED_VALUE"""),"")</f>
        <v/>
      </c>
      <c r="R30" s="1" t="str">
        <f>IFERROR(__xludf.DUMMYFUNCTION("""COMPUTED_VALUE"""),"")</f>
        <v/>
      </c>
      <c r="S30" s="1" t="str">
        <f>IFERROR(__xludf.DUMMYFUNCTION("""COMPUTED_VALUE"""),"")</f>
        <v/>
      </c>
      <c r="T30" s="1" t="str">
        <f>IFERROR(__xludf.DUMMYFUNCTION("""COMPUTED_VALUE"""),"")</f>
        <v/>
      </c>
      <c r="U30" s="1" t="str">
        <f>IFERROR(__xludf.DUMMYFUNCTION("""COMPUTED_VALUE"""),"")</f>
        <v/>
      </c>
      <c r="V30" s="1" t="str">
        <f>IFERROR(__xludf.DUMMYFUNCTION("""COMPUTED_VALUE"""),"")</f>
        <v/>
      </c>
      <c r="W30" s="1" t="str">
        <f>IFERROR(__xludf.DUMMYFUNCTION("""COMPUTED_VALUE"""),"")</f>
        <v/>
      </c>
      <c r="X30" s="1" t="str">
        <f>IFERROR(__xludf.DUMMYFUNCTION("""COMPUTED_VALUE"""),"")</f>
        <v/>
      </c>
      <c r="Y30" s="1" t="str">
        <f>IFERROR(__xludf.DUMMYFUNCTION("""COMPUTED_VALUE"""),"")</f>
        <v/>
      </c>
      <c r="Z30" s="1" t="str">
        <f>IFERROR(__xludf.DUMMYFUNCTION("""COMPUTED_VALUE"""),"")</f>
        <v/>
      </c>
    </row>
    <row r="31">
      <c r="A31" s="1" t="str">
        <f>IFERROR(__xludf.DUMMYFUNCTION("""COMPUTED_VALUE"""),"[C] Cartão")</f>
        <v>[C] Cartão</v>
      </c>
      <c r="B31" s="1" t="str">
        <f>IFERROR(__xludf.DUMMYFUNCTION("""COMPUTED_VALUE"""),"-")</f>
        <v>-</v>
      </c>
      <c r="C31" s="1">
        <f>IFERROR(__xludf.DUMMYFUNCTION("""COMPUTED_VALUE"""),6965.81)</f>
        <v>6965.81</v>
      </c>
      <c r="D31" s="1">
        <f>IFERROR(__xludf.DUMMYFUNCTION("""COMPUTED_VALUE"""),9684.300000000001)</f>
        <v>9684.3</v>
      </c>
      <c r="E31" s="1">
        <f>IFERROR(__xludf.DUMMYFUNCTION("""COMPUTED_VALUE"""),5551.2699999999995)</f>
        <v>5551.27</v>
      </c>
      <c r="F31" s="1">
        <f>IFERROR(__xludf.DUMMYFUNCTION("""COMPUTED_VALUE"""),10281.61)</f>
        <v>10281.61</v>
      </c>
      <c r="G31" s="1">
        <f>IFERROR(__xludf.DUMMYFUNCTION("""COMPUTED_VALUE"""),12579.79)</f>
        <v>12579.79</v>
      </c>
      <c r="H31" s="1">
        <f>IFERROR(__xludf.DUMMYFUNCTION("""COMPUTED_VALUE"""),12536.849999999999)</f>
        <v>12536.85</v>
      </c>
      <c r="I31" s="1">
        <f>IFERROR(__xludf.DUMMYFUNCTION("""COMPUTED_VALUE"""),9479.01)</f>
        <v>9479.01</v>
      </c>
      <c r="J31" s="1">
        <f>IFERROR(__xludf.DUMMYFUNCTION("""COMPUTED_VALUE"""),8962.25)</f>
        <v>8962.25</v>
      </c>
      <c r="K31" s="1">
        <f>IFERROR(__xludf.DUMMYFUNCTION("""COMPUTED_VALUE"""),8697.44)</f>
        <v>8697.44</v>
      </c>
      <c r="L31" s="1">
        <f>IFERROR(__xludf.DUMMYFUNCTION("""COMPUTED_VALUE"""),7053.19)</f>
        <v>7053.19</v>
      </c>
      <c r="M31" s="1">
        <f>IFERROR(__xludf.DUMMYFUNCTION("""COMPUTED_VALUE"""),7053.19)</f>
        <v>7053.19</v>
      </c>
      <c r="N31" s="1">
        <f>IFERROR(__xludf.DUMMYFUNCTION("""COMPUTED_VALUE"""),6785.41)</f>
        <v>6785.41</v>
      </c>
      <c r="O31" s="1">
        <f>IFERROR(__xludf.DUMMYFUNCTION("""COMPUTED_VALUE"""),6785.41)</f>
        <v>6785.41</v>
      </c>
      <c r="P31" s="1">
        <f>IFERROR(__xludf.DUMMYFUNCTION("""COMPUTED_VALUE"""),6785.41)</f>
        <v>6785.41</v>
      </c>
      <c r="Q31" s="1">
        <f>IFERROR(__xludf.DUMMYFUNCTION("""COMPUTED_VALUE"""),5435.41)</f>
        <v>5435.41</v>
      </c>
      <c r="R31" s="1">
        <f>IFERROR(__xludf.DUMMYFUNCTION("""COMPUTED_VALUE"""),5213.351)</f>
        <v>5213.351</v>
      </c>
      <c r="S31" s="1">
        <f>IFERROR(__xludf.DUMMYFUNCTION("""COMPUTED_VALUE"""),5213.351)</f>
        <v>5213.351</v>
      </c>
      <c r="T31" s="1">
        <f>IFERROR(__xludf.DUMMYFUNCTION("""COMPUTED_VALUE"""),5213.351)</f>
        <v>5213.351</v>
      </c>
      <c r="U31" s="1">
        <f>IFERROR(__xludf.DUMMYFUNCTION("""COMPUTED_VALUE"""),5213.351)</f>
        <v>5213.351</v>
      </c>
      <c r="V31" s="1">
        <f>IFERROR(__xludf.DUMMYFUNCTION("""COMPUTED_VALUE"""),5213.351)</f>
        <v>5213.351</v>
      </c>
      <c r="W31" s="1">
        <f>IFERROR(__xludf.DUMMYFUNCTION("""COMPUTED_VALUE"""),5213.351)</f>
        <v>5213.351</v>
      </c>
      <c r="X31" s="1">
        <f>IFERROR(__xludf.DUMMYFUNCTION("""COMPUTED_VALUE"""),5213.351)</f>
        <v>5213.351</v>
      </c>
      <c r="Y31" s="1">
        <f>IFERROR(__xludf.DUMMYFUNCTION("""COMPUTED_VALUE"""),5213.351)</f>
        <v>5213.351</v>
      </c>
      <c r="Z31" s="1">
        <f>IFERROR(__xludf.DUMMYFUNCTION("""COMPUTED_VALUE"""),5213.351)</f>
        <v>5213.351</v>
      </c>
    </row>
    <row r="32">
      <c r="A32" s="1" t="str">
        <f>IFERROR(__xludf.DUMMYFUNCTION("""COMPUTED_VALUE"""),"[C] Investimento")</f>
        <v>[C] Investimento</v>
      </c>
      <c r="B32" s="1" t="str">
        <f>IFERROR(__xludf.DUMMYFUNCTION("""COMPUTED_VALUE"""),"-")</f>
        <v>-</v>
      </c>
      <c r="C32" s="1">
        <f>IFERROR(__xludf.DUMMYFUNCTION("""COMPUTED_VALUE"""),888.3299999999999)</f>
        <v>888.33</v>
      </c>
      <c r="D32" s="1" t="str">
        <f>IFERROR(__xludf.DUMMYFUNCTION("""COMPUTED_VALUE"""),"")</f>
        <v/>
      </c>
      <c r="E32" s="1" t="str">
        <f>IFERROR(__xludf.DUMMYFUNCTION("""COMPUTED_VALUE"""),"")</f>
        <v/>
      </c>
      <c r="F32" s="1">
        <f>IFERROR(__xludf.DUMMYFUNCTION("""COMPUTED_VALUE"""),6811.08)</f>
        <v>6811.08</v>
      </c>
      <c r="G32" s="1" t="str">
        <f>IFERROR(__xludf.DUMMYFUNCTION("""COMPUTED_VALUE"""),"")</f>
        <v/>
      </c>
      <c r="H32" s="1">
        <f>IFERROR(__xludf.DUMMYFUNCTION("""COMPUTED_VALUE"""),1811.5)</f>
        <v>1811.5</v>
      </c>
      <c r="I32" s="1" t="str">
        <f>IFERROR(__xludf.DUMMYFUNCTION("""COMPUTED_VALUE"""),"")</f>
        <v/>
      </c>
      <c r="J32" s="1" t="str">
        <f>IFERROR(__xludf.DUMMYFUNCTION("""COMPUTED_VALUE"""),"")</f>
        <v/>
      </c>
      <c r="K32" s="1" t="str">
        <f>IFERROR(__xludf.DUMMYFUNCTION("""COMPUTED_VALUE"""),"")</f>
        <v/>
      </c>
      <c r="L32" s="1" t="str">
        <f>IFERROR(__xludf.DUMMYFUNCTION("""COMPUTED_VALUE"""),"")</f>
        <v/>
      </c>
      <c r="M32" s="1" t="str">
        <f>IFERROR(__xludf.DUMMYFUNCTION("""COMPUTED_VALUE"""),"")</f>
        <v/>
      </c>
      <c r="N32" s="1" t="str">
        <f>IFERROR(__xludf.DUMMYFUNCTION("""COMPUTED_VALUE"""),"")</f>
        <v/>
      </c>
      <c r="O32" s="1" t="str">
        <f>IFERROR(__xludf.DUMMYFUNCTION("""COMPUTED_VALUE"""),"")</f>
        <v/>
      </c>
      <c r="P32" s="1" t="str">
        <f>IFERROR(__xludf.DUMMYFUNCTION("""COMPUTED_VALUE"""),"")</f>
        <v/>
      </c>
      <c r="Q32" s="1" t="str">
        <f>IFERROR(__xludf.DUMMYFUNCTION("""COMPUTED_VALUE"""),"")</f>
        <v/>
      </c>
      <c r="R32" s="1" t="str">
        <f>IFERROR(__xludf.DUMMYFUNCTION("""COMPUTED_VALUE"""),"")</f>
        <v/>
      </c>
      <c r="S32" s="1" t="str">
        <f>IFERROR(__xludf.DUMMYFUNCTION("""COMPUTED_VALUE"""),"")</f>
        <v/>
      </c>
      <c r="T32" s="1" t="str">
        <f>IFERROR(__xludf.DUMMYFUNCTION("""COMPUTED_VALUE"""),"")</f>
        <v/>
      </c>
      <c r="U32" s="1" t="str">
        <f>IFERROR(__xludf.DUMMYFUNCTION("""COMPUTED_VALUE"""),"")</f>
        <v/>
      </c>
      <c r="V32" s="1" t="str">
        <f>IFERROR(__xludf.DUMMYFUNCTION("""COMPUTED_VALUE"""),"")</f>
        <v/>
      </c>
      <c r="W32" s="1" t="str">
        <f>IFERROR(__xludf.DUMMYFUNCTION("""COMPUTED_VALUE"""),"")</f>
        <v/>
      </c>
      <c r="X32" s="1" t="str">
        <f>IFERROR(__xludf.DUMMYFUNCTION("""COMPUTED_VALUE"""),"")</f>
        <v/>
      </c>
      <c r="Y32" s="1" t="str">
        <f>IFERROR(__xludf.DUMMYFUNCTION("""COMPUTED_VALUE"""),"")</f>
        <v/>
      </c>
      <c r="Z32" s="1" t="str">
        <f>IFERROR(__xludf.DUMMYFUNCTION("""COMPUTED_VALUE"""),"")</f>
        <v/>
      </c>
    </row>
    <row r="33">
      <c r="A33" s="1" t="str">
        <f>IFERROR(__xludf.DUMMYFUNCTION("""COMPUTED_VALUE"""),"[C] Consolidado")</f>
        <v>[C] Consolidado</v>
      </c>
      <c r="B33" s="1" t="str">
        <f>IFERROR(__xludf.DUMMYFUNCTION("""COMPUTED_VALUE"""),"-")</f>
        <v>-</v>
      </c>
      <c r="C33" s="1">
        <f>IFERROR(__xludf.DUMMYFUNCTION("""COMPUTED_VALUE"""),-5802.8425000000025)</f>
        <v>-5802.8425</v>
      </c>
      <c r="D33" s="1">
        <f>IFERROR(__xludf.DUMMYFUNCTION("""COMPUTED_VALUE"""),-1401.532499999994)</f>
        <v>-1401.5325</v>
      </c>
      <c r="E33" s="1">
        <f>IFERROR(__xludf.DUMMYFUNCTION("""COMPUTED_VALUE"""),-1373.3650000000052)</f>
        <v>-1373.365</v>
      </c>
      <c r="F33" s="1">
        <f>IFERROR(__xludf.DUMMYFUNCTION("""COMPUTED_VALUE"""),-9247.059999999998)</f>
        <v>-9247.06</v>
      </c>
      <c r="G33" s="1">
        <f>IFERROR(__xludf.DUMMYFUNCTION("""COMPUTED_VALUE"""),67050.31499999999)</f>
        <v>67050.315</v>
      </c>
      <c r="H33" s="1">
        <f>IFERROR(__xludf.DUMMYFUNCTION("""COMPUTED_VALUE"""),-5572.937499999993)</f>
        <v>-5572.9375</v>
      </c>
      <c r="I33" s="1">
        <f>IFERROR(__xludf.DUMMYFUNCTION("""COMPUTED_VALUE"""),-5698.7900000000045)</f>
        <v>-5698.79</v>
      </c>
      <c r="J33" s="1">
        <f>IFERROR(__xludf.DUMMYFUNCTION("""COMPUTED_VALUE"""),-1401.3000000000065)</f>
        <v>-1401.3</v>
      </c>
      <c r="K33" s="1">
        <f>IFERROR(__xludf.DUMMYFUNCTION("""COMPUTED_VALUE"""),9449.949999999997)</f>
        <v>9449.95</v>
      </c>
      <c r="L33" s="1" t="str">
        <f>IFERROR(__xludf.DUMMYFUNCTION("""COMPUTED_VALUE"""),"")</f>
        <v/>
      </c>
      <c r="M33" s="1" t="str">
        <f>IFERROR(__xludf.DUMMYFUNCTION("""COMPUTED_VALUE"""),"")</f>
        <v/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4.38"/>
    <col customWidth="1" min="3" max="3" width="10.25"/>
    <col customWidth="1" min="4" max="4" width="12.25"/>
    <col customWidth="1" min="5" max="5" width="10.38"/>
    <col customWidth="1" min="6" max="6" width="17.38"/>
    <col customWidth="1" min="7" max="7" width="14.5"/>
    <col customWidth="1" min="8" max="8" width="11.38"/>
    <col customWidth="1" min="9" max="9" width="7.13"/>
    <col customWidth="1" min="10" max="10" width="8.13"/>
    <col customWidth="1" min="11" max="11" width="11.0"/>
  </cols>
  <sheetData>
    <row r="1">
      <c r="A1" s="1" t="str">
        <f>IFERROR(__xludf.DUMMYFUNCTION("IMPORTRANGE(""https://docs.google.com/spreadsheets/d/1iYr1ABX5E5xD5hdpo7T57xV80Bd6YZfcnip7j3Ia3No/edit?gid=153321439#gid=153321439"",""'Renda'!A1:L14"")"),"Ticker")</f>
        <v>Ticker</v>
      </c>
      <c r="B1" s="1" t="str">
        <f>IFERROR(__xludf.DUMMYFUNCTION("""COMPUTED_VALUE"""),"Qtd")</f>
        <v>Qtd</v>
      </c>
      <c r="C1" s="1" t="str">
        <f>IFERROR(__xludf.DUMMYFUNCTION("""COMPUTED_VALUE"""),"Div. Esperado
2025")</f>
        <v>Div. Esperado
2025</v>
      </c>
      <c r="D1" s="1" t="str">
        <f>IFERROR(__xludf.DUMMYFUNCTION("""COMPUTED_VALUE"""),"Renda Esperada")</f>
        <v>Renda Esperada</v>
      </c>
      <c r="E1" s="1" t="str">
        <f>IFERROR(__xludf.DUMMYFUNCTION("""COMPUTED_VALUE"""),"Capital Atual")</f>
        <v>Capital Atual</v>
      </c>
      <c r="F1" s="1" t="str">
        <f>IFERROR(__xludf.DUMMYFUNCTION("""COMPUTED_VALUE"""),"Dividend Yield Esperado")</f>
        <v>Dividend Yield Esperado</v>
      </c>
      <c r="G1" s="1" t="str">
        <f>IFERROR(__xludf.DUMMYFUNCTION("""COMPUTED_VALUE"""),"Dividend Yield Pago")</f>
        <v>Dividend Yield Pago</v>
      </c>
      <c r="H1" s="1" t="str">
        <f>IFERROR(__xludf.DUMMYFUNCTION("""COMPUTED_VALUE"""),"Dividend Yield Restante")</f>
        <v>Dividend Yield Restante</v>
      </c>
      <c r="I1" s="1" t="str">
        <f>IFERROR(__xludf.DUMMYFUNCTION("""COMPUTED_VALUE"""),"Proporção Hoje")</f>
        <v>Proporção Hoje</v>
      </c>
      <c r="J1" s="4" t="str">
        <f>IFERROR(__xludf.DUMMYFUNCTION("""COMPUTED_VALUE"""),"Meta 28k")</f>
        <v>Meta 28k</v>
      </c>
      <c r="K1" s="1" t="str">
        <f>IFERROR(__xludf.DUMMYFUNCTION("""COMPUTED_VALUE"""),"Meta +1.a.")</f>
        <v>Meta +1.a.</v>
      </c>
      <c r="L1" s="1" t="str">
        <f>IFERROR(__xludf.DUMMYFUNCTION("""COMPUTED_VALUE"""),"Meta qtd. 2033")</f>
        <v>Meta qtd. 2033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IFERROR(__xludf.DUMMYFUNCTION("""COMPUTED_VALUE"""),"BBAS3")</f>
        <v>BBAS3</v>
      </c>
      <c r="B2" s="1">
        <f>IFERROR(__xludf.DUMMYFUNCTION("""COMPUTED_VALUE"""),5037.0)</f>
        <v>5037</v>
      </c>
      <c r="C2" s="2">
        <f>IFERROR(__xludf.DUMMYFUNCTION("""COMPUTED_VALUE"""),1.1036394268390324)</f>
        <v>1.103639427</v>
      </c>
      <c r="D2" s="2">
        <f>IFERROR(__xludf.DUMMYFUNCTION("""COMPUTED_VALUE"""),5559.031792988206)</f>
        <v>5559.031793</v>
      </c>
      <c r="E2" s="2">
        <f>IFERROR(__xludf.DUMMYFUNCTION("""COMPUTED_VALUE"""),108899.94)</f>
        <v>108899.94</v>
      </c>
      <c r="F2" s="5">
        <f>IFERROR(__xludf.DUMMYFUNCTION("""COMPUTED_VALUE"""),0.05104715202770732)</f>
        <v>0.05104715203</v>
      </c>
      <c r="G2" s="2">
        <f>IFERROR(__xludf.DUMMYFUNCTION("""COMPUTED_VALUE"""),5302.4499)</f>
        <v>5302.4499</v>
      </c>
      <c r="H2" s="5">
        <f>IFERROR(__xludf.DUMMYFUNCTION("""COMPUTED_VALUE"""),0.0023561252006953012)</f>
        <v>0.002356125201</v>
      </c>
      <c r="I2" s="5">
        <f>IFERROR(__xludf.DUMMYFUNCTION("""COMPUTED_VALUE"""),0.33567118631163584)</f>
        <v>0.3356711863</v>
      </c>
      <c r="J2" s="4">
        <f>IFERROR(__xludf.DUMMYFUNCTION("""COMPUTED_VALUE"""),-42.46364895474471)</f>
        <v>-42.46364895</v>
      </c>
      <c r="K2" s="4">
        <f>IFERROR(__xludf.DUMMYFUNCTION("""COMPUTED_VALUE"""),-2518.499999999999)</f>
        <v>-2518.5</v>
      </c>
      <c r="L2" s="4">
        <f>IFERROR(__xludf.DUMMYFUNCTION("""COMPUTED_VALUE"""),-45417.105811199996)</f>
        <v>-45417.10581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IFERROR(__xludf.DUMMYFUNCTION("""COMPUTED_VALUE"""),"BBSE3")</f>
        <v>BBSE3</v>
      </c>
      <c r="B3" s="1">
        <f>IFERROR(__xludf.DUMMYFUNCTION("""COMPUTED_VALUE"""),3276.0)</f>
        <v>3276</v>
      </c>
      <c r="C3" s="2">
        <f>IFERROR(__xludf.DUMMYFUNCTION("""COMPUTED_VALUE"""),3.8079245969772217)</f>
        <v>3.807924597</v>
      </c>
      <c r="D3" s="2">
        <f>IFERROR(__xludf.DUMMYFUNCTION("""COMPUTED_VALUE"""),12474.76097969738)</f>
        <v>12474.76098</v>
      </c>
      <c r="E3" s="2">
        <f>IFERROR(__xludf.DUMMYFUNCTION("""COMPUTED_VALUE"""),107845.92000000001)</f>
        <v>107845.92</v>
      </c>
      <c r="F3" s="5">
        <f>IFERROR(__xludf.DUMMYFUNCTION("""COMPUTED_VALUE"""),0.11567207159712095)</f>
        <v>0.1156720716</v>
      </c>
      <c r="G3" s="2">
        <f>IFERROR(__xludf.DUMMYFUNCTION("""COMPUTED_VALUE"""),13806.374399999999)</f>
        <v>13806.3744</v>
      </c>
      <c r="H3" s="5">
        <f>IFERROR(__xludf.DUMMYFUNCTION("""COMPUTED_VALUE"""),-0.012347369472137826)</f>
        <v>-0.01234736947</v>
      </c>
      <c r="I3" s="5">
        <f>IFERROR(__xludf.DUMMYFUNCTION("""COMPUTED_VALUE"""),0.3324222943122813)</f>
        <v>0.3324222943</v>
      </c>
      <c r="J3" s="4">
        <f>IFERROR(__xludf.DUMMYFUNCTION("""COMPUTED_VALUE"""),-27.617810993795047)</f>
        <v>-27.61781099</v>
      </c>
      <c r="K3" s="4">
        <f>IFERROR(__xludf.DUMMYFUNCTION("""COMPUTED_VALUE"""),-1638.0)</f>
        <v>-1638</v>
      </c>
      <c r="L3" s="4">
        <f>IFERROR(__xludf.DUMMYFUNCTION("""COMPUTED_VALUE"""),-29538.701337600003)</f>
        <v>-29538.70134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IFERROR(__xludf.DUMMYFUNCTION("""COMPUTED_VALUE"""),"BRSR6")</f>
        <v>BRSR6</v>
      </c>
      <c r="B4" s="1">
        <f>IFERROR(__xludf.DUMMYFUNCTION("""COMPUTED_VALUE"""),1314.0)</f>
        <v>1314</v>
      </c>
      <c r="C4" s="2">
        <f>IFERROR(__xludf.DUMMYFUNCTION("""COMPUTED_VALUE"""),1.1003144454170681)</f>
        <v>1.100314445</v>
      </c>
      <c r="D4" s="2">
        <f>IFERROR(__xludf.DUMMYFUNCTION("""COMPUTED_VALUE"""),1445.8131812780275)</f>
        <v>1445.813181</v>
      </c>
      <c r="E4" s="2">
        <f>IFERROR(__xludf.DUMMYFUNCTION("""COMPUTED_VALUE"""),15584.039999999999)</f>
        <v>15584.04</v>
      </c>
      <c r="F4" s="5">
        <f>IFERROR(__xludf.DUMMYFUNCTION("""COMPUTED_VALUE"""),0.0927752483488253)</f>
        <v>0.09277524835</v>
      </c>
      <c r="G4" s="2">
        <f>IFERROR(__xludf.DUMMYFUNCTION("""COMPUTED_VALUE"""),692.7408)</f>
        <v>692.7408</v>
      </c>
      <c r="H4" s="5">
        <f>IFERROR(__xludf.DUMMYFUNCTION("""COMPUTED_VALUE"""),0.04832330905708837)</f>
        <v>0.04832330906</v>
      </c>
      <c r="I4" s="5">
        <f>IFERROR(__xludf.DUMMYFUNCTION("""COMPUTED_VALUE"""),0.04803596029830673)</f>
        <v>0.0480359603</v>
      </c>
      <c r="J4" s="4">
        <f>IFERROR(__xludf.DUMMYFUNCTION("""COMPUTED_VALUE"""),-11.077473640367998)</f>
        <v>-11.07747364</v>
      </c>
      <c r="K4" s="4">
        <f>IFERROR(__xludf.DUMMYFUNCTION("""COMPUTED_VALUE"""),-657.0)</f>
        <v>-657</v>
      </c>
      <c r="L4" s="4">
        <f>IFERROR(__xludf.DUMMYFUNCTION("""COMPUTED_VALUE"""),-11847.940646399999)</f>
        <v>-11847.94065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IFERROR(__xludf.DUMMYFUNCTION("""COMPUTED_VALUE"""),"CEBR6")</f>
        <v>CEBR6</v>
      </c>
      <c r="B5" s="1">
        <f>IFERROR(__xludf.DUMMYFUNCTION("""COMPUTED_VALUE"""),645.0)</f>
        <v>645</v>
      </c>
      <c r="C5" s="2">
        <f>IFERROR(__xludf.DUMMYFUNCTION("""COMPUTED_VALUE"""),2.2890596820288005)</f>
        <v>2.289059682</v>
      </c>
      <c r="D5" s="2">
        <f>IFERROR(__xludf.DUMMYFUNCTION("""COMPUTED_VALUE"""),1476.4434949085762)</f>
        <v>1476.443495</v>
      </c>
      <c r="E5" s="2">
        <f>IFERROR(__xludf.DUMMYFUNCTION("""COMPUTED_VALUE"""),15563.849999999999)</f>
        <v>15563.85</v>
      </c>
      <c r="F5" s="5">
        <f>IFERROR(__xludf.DUMMYFUNCTION("""COMPUTED_VALUE"""),0.09486364202357234)</f>
        <v>0.09486364202</v>
      </c>
      <c r="G5" s="2">
        <f>IFERROR(__xludf.DUMMYFUNCTION("""COMPUTED_VALUE"""),1997.5004999999999)</f>
        <v>1997.5005</v>
      </c>
      <c r="H5" s="5">
        <f>IFERROR(__xludf.DUMMYFUNCTION("""COMPUTED_VALUE"""),-0.0334786704505263)</f>
        <v>-0.03347867045</v>
      </c>
      <c r="I5" s="5">
        <f>IFERROR(__xludf.DUMMYFUNCTION("""COMPUTED_VALUE"""),0.04797372701101904)</f>
        <v>0.04797372701</v>
      </c>
      <c r="J5" s="4">
        <f>IFERROR(__xludf.DUMMYFUNCTION("""COMPUTED_VALUE"""),-5.437572677349749)</f>
        <v>-5.437572677</v>
      </c>
      <c r="K5" s="4">
        <f>IFERROR(__xludf.DUMMYFUNCTION("""COMPUTED_VALUE"""),-322.5)</f>
        <v>-322.5</v>
      </c>
      <c r="L5" s="4">
        <f>IFERROR(__xludf.DUMMYFUNCTION("""COMPUTED_VALUE"""),-5815.769952)</f>
        <v>-5815.769952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IFERROR(__xludf.DUMMYFUNCTION("""COMPUTED_VALUE"""),"CXSE3")</f>
        <v>CXSE3</v>
      </c>
      <c r="B6" s="1">
        <f>IFERROR(__xludf.DUMMYFUNCTION("""COMPUTED_VALUE"""),1435.0)</f>
        <v>1435</v>
      </c>
      <c r="C6" s="2">
        <f>IFERROR(__xludf.DUMMYFUNCTION("""COMPUTED_VALUE"""),1.3199999999999998)</f>
        <v>1.32</v>
      </c>
      <c r="D6" s="2">
        <f>IFERROR(__xludf.DUMMYFUNCTION("""COMPUTED_VALUE"""),1894.1999999999998)</f>
        <v>1894.2</v>
      </c>
      <c r="E6" s="2">
        <f>IFERROR(__xludf.DUMMYFUNCTION("""COMPUTED_VALUE"""),20692.7)</f>
        <v>20692.7</v>
      </c>
      <c r="F6" s="5">
        <f>IFERROR(__xludf.DUMMYFUNCTION("""COMPUTED_VALUE"""),0.0915395284327323)</f>
        <v>0.09153952843</v>
      </c>
      <c r="G6" s="2">
        <f>IFERROR(__xludf.DUMMYFUNCTION("""COMPUTED_VALUE"""),1348.8999999999999)</f>
        <v>1348.9</v>
      </c>
      <c r="H6" s="5">
        <f>IFERROR(__xludf.DUMMYFUNCTION("""COMPUTED_VALUE"""),0.02635228848821082)</f>
        <v>0.02635228849</v>
      </c>
      <c r="I6" s="5">
        <f>IFERROR(__xludf.DUMMYFUNCTION("""COMPUTED_VALUE"""),0.063782800587317)</f>
        <v>0.06378280059</v>
      </c>
      <c r="J6" s="4">
        <f>IFERROR(__xludf.DUMMYFUNCTION("""COMPUTED_VALUE"""),-12.097545413948637)</f>
        <v>-12.09754541</v>
      </c>
      <c r="K6" s="4">
        <f>IFERROR(__xludf.DUMMYFUNCTION("""COMPUTED_VALUE"""),-717.5)</f>
        <v>-717.5</v>
      </c>
      <c r="L6" s="4">
        <f>IFERROR(__xludf.DUMMYFUNCTION("""COMPUTED_VALUE"""),-12938.961056)</f>
        <v>-12938.96106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IFERROR(__xludf.DUMMYFUNCTION("""COMPUTED_VALUE"""),"LEVE3")</f>
        <v>LEVE3</v>
      </c>
      <c r="B7" s="1">
        <f>IFERROR(__xludf.DUMMYFUNCTION("""COMPUTED_VALUE"""),634.0)</f>
        <v>634</v>
      </c>
      <c r="C7" s="2">
        <f>IFERROR(__xludf.DUMMYFUNCTION("""COMPUTED_VALUE"""),2.737219545665823)</f>
        <v>2.737219546</v>
      </c>
      <c r="D7" s="2">
        <f>IFERROR(__xludf.DUMMYFUNCTION("""COMPUTED_VALUE"""),1735.3971919521316)</f>
        <v>1735.397192</v>
      </c>
      <c r="E7" s="2">
        <f>IFERROR(__xludf.DUMMYFUNCTION("""COMPUTED_VALUE"""),17682.260000000002)</f>
        <v>17682.26</v>
      </c>
      <c r="F7" s="5">
        <f>IFERROR(__xludf.DUMMYFUNCTION("""COMPUTED_VALUE"""),0.09814340429063544)</f>
        <v>0.09814340429</v>
      </c>
      <c r="G7" s="2">
        <f>IFERROR(__xludf.DUMMYFUNCTION("""COMPUTED_VALUE"""),1329.7516)</f>
        <v>1329.7516</v>
      </c>
      <c r="H7" s="5">
        <f>IFERROR(__xludf.DUMMYFUNCTION("""COMPUTED_VALUE"""),0.022940822720180082)</f>
        <v>0.02294082272</v>
      </c>
      <c r="I7" s="5">
        <f>IFERROR(__xludf.DUMMYFUNCTION("""COMPUTED_VALUE"""),0.054503475308349904)</f>
        <v>0.05450347531</v>
      </c>
      <c r="J7" s="4">
        <f>IFERROR(__xludf.DUMMYFUNCTION("""COMPUTED_VALUE"""),-5.344838879751478)</f>
        <v>-5.34483888</v>
      </c>
      <c r="K7" s="4">
        <f>IFERROR(__xludf.DUMMYFUNCTION("""COMPUTED_VALUE"""),-317.0)</f>
        <v>-317</v>
      </c>
      <c r="L7" s="4">
        <f>IFERROR(__xludf.DUMMYFUNCTION("""COMPUTED_VALUE"""),-5716.586278399999)</f>
        <v>-5716.586278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IFERROR(__xludf.DUMMYFUNCTION("""COMPUTED_VALUE"""),"PETR4")</f>
        <v>PETR4</v>
      </c>
      <c r="B8" s="1">
        <f>IFERROR(__xludf.DUMMYFUNCTION("""COMPUTED_VALUE"""),289.0)</f>
        <v>289</v>
      </c>
      <c r="C8" s="2">
        <f>IFERROR(__xludf.DUMMYFUNCTION("""COMPUTED_VALUE"""),2.9677083627446)</f>
        <v>2.967708363</v>
      </c>
      <c r="D8" s="2">
        <f>IFERROR(__xludf.DUMMYFUNCTION("""COMPUTED_VALUE"""),857.6677168331894)</f>
        <v>857.6677168</v>
      </c>
      <c r="E8" s="2">
        <f>IFERROR(__xludf.DUMMYFUNCTION("""COMPUTED_VALUE"""),8976.34)</f>
        <v>8976.34</v>
      </c>
      <c r="F8" s="5">
        <f>IFERROR(__xludf.DUMMYFUNCTION("""COMPUTED_VALUE"""),0.09554759699757244)</f>
        <v>0.095547597</v>
      </c>
      <c r="G8" s="2">
        <f>IFERROR(__xludf.DUMMYFUNCTION("""COMPUTED_VALUE"""),720.3036)</f>
        <v>720.3036</v>
      </c>
      <c r="H8" s="5">
        <f>IFERROR(__xludf.DUMMYFUNCTION("""COMPUTED_VALUE"""),0.015302909296349004)</f>
        <v>0.0153029093</v>
      </c>
      <c r="I8" s="5">
        <f>IFERROR(__xludf.DUMMYFUNCTION("""COMPUTED_VALUE"""),0.02766850648895297)</f>
        <v>0.02766850649</v>
      </c>
      <c r="J8" s="4">
        <f>IFERROR(__xludf.DUMMYFUNCTION("""COMPUTED_VALUE"""),-2.436369773262129)</f>
        <v>-2.436369773</v>
      </c>
      <c r="K8" s="4">
        <f>IFERROR(__xludf.DUMMYFUNCTION("""COMPUTED_VALUE"""),-144.5)</f>
        <v>-144.5</v>
      </c>
      <c r="L8" s="4">
        <f>IFERROR(__xludf.DUMMYFUNCTION("""COMPUTED_VALUE"""),-2605.8256063999997)</f>
        <v>-2605.825606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IFERROR(__xludf.DUMMYFUNCTION("""COMPUTED_VALUE"""),"RANI3")</f>
        <v>RANI3</v>
      </c>
      <c r="B9" s="1">
        <f>IFERROR(__xludf.DUMMYFUNCTION("""COMPUTED_VALUE"""),1460.0)</f>
        <v>1460</v>
      </c>
      <c r="C9" s="2">
        <f>IFERROR(__xludf.DUMMYFUNCTION("""COMPUTED_VALUE"""),0.7600044517639681)</f>
        <v>0.7600044518</v>
      </c>
      <c r="D9" s="2">
        <f>IFERROR(__xludf.DUMMYFUNCTION("""COMPUTED_VALUE"""),1109.6064995753934)</f>
        <v>1109.6065</v>
      </c>
      <c r="E9" s="2">
        <f>IFERROR(__xludf.DUMMYFUNCTION("""COMPUTED_VALUE"""),12220.199999999999)</f>
        <v>12220.2</v>
      </c>
      <c r="F9" s="5">
        <f>IFERROR(__xludf.DUMMYFUNCTION("""COMPUTED_VALUE"""),0.09080100976869393)</f>
        <v>0.09080100977</v>
      </c>
      <c r="G9" s="2">
        <f>IFERROR(__xludf.DUMMYFUNCTION("""COMPUTED_VALUE"""),1005.6479999999999)</f>
        <v>1005.648</v>
      </c>
      <c r="H9" s="5">
        <f>IFERROR(__xludf.DUMMYFUNCTION("""COMPUTED_VALUE"""),0.008507102958658086)</f>
        <v>0.008507102959</v>
      </c>
      <c r="I9" s="5">
        <f>IFERROR(__xludf.DUMMYFUNCTION("""COMPUTED_VALUE"""),0.037667321313174754)</f>
        <v>0.03766732131</v>
      </c>
      <c r="J9" s="4">
        <f>IFERROR(__xludf.DUMMYFUNCTION("""COMPUTED_VALUE"""),-12.308304044853685)</f>
        <v>-12.30830404</v>
      </c>
      <c r="K9" s="4">
        <f>IFERROR(__xludf.DUMMYFUNCTION("""COMPUTED_VALUE"""),-730.0)</f>
        <v>-730</v>
      </c>
      <c r="L9" s="4">
        <f>IFERROR(__xludf.DUMMYFUNCTION("""COMPUTED_VALUE"""),-13164.378495999996)</f>
        <v>-13164.3785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IFERROR(__xludf.DUMMYFUNCTION("""COMPUTED_VALUE"""),"ISAE4")</f>
        <v>ISAE4</v>
      </c>
      <c r="B10" s="1">
        <f>IFERROR(__xludf.DUMMYFUNCTION("""COMPUTED_VALUE"""),496.0)</f>
        <v>496</v>
      </c>
      <c r="C10" s="2">
        <f>IFERROR(__xludf.DUMMYFUNCTION("""COMPUTED_VALUE"""),1.5936054133191393)</f>
        <v>1.593605413</v>
      </c>
      <c r="D10" s="2">
        <f>IFERROR(__xludf.DUMMYFUNCTION("""COMPUTED_VALUE"""),790.4282850062931)</f>
        <v>790.428285</v>
      </c>
      <c r="E10" s="2">
        <f>IFERROR(__xludf.DUMMYFUNCTION("""COMPUTED_VALUE"""),11879.199999999999)</f>
        <v>11879.2</v>
      </c>
      <c r="F10" s="5">
        <f>IFERROR(__xludf.DUMMYFUNCTION("""COMPUTED_VALUE"""),0.06653884815528766)</f>
        <v>0.06653884816</v>
      </c>
      <c r="G10" s="2">
        <f>IFERROR(__xludf.DUMMYFUNCTION("""COMPUTED_VALUE"""),1170.9072)</f>
        <v>1170.9072</v>
      </c>
      <c r="H10" s="5">
        <f>IFERROR(__xludf.DUMMYFUNCTION("""COMPUTED_VALUE"""),-0.032029001531559964)</f>
        <v>-0.03202900153</v>
      </c>
      <c r="I10" s="5">
        <f>IFERROR(__xludf.DUMMYFUNCTION("""COMPUTED_VALUE"""),0.03661622914055952)</f>
        <v>0.03661622914</v>
      </c>
      <c r="J10" s="4">
        <f>IFERROR(__xludf.DUMMYFUNCTION("""COMPUTED_VALUE"""),-4.181451237155784)</f>
        <v>-4.181451237</v>
      </c>
      <c r="K10" s="4">
        <f>IFERROR(__xludf.DUMMYFUNCTION("""COMPUTED_VALUE"""),-248.0)</f>
        <v>-248</v>
      </c>
      <c r="L10" s="4">
        <f>IFERROR(__xludf.DUMMYFUNCTION("""COMPUTED_VALUE"""),-4472.2820096)</f>
        <v>-4472.28201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IFERROR(__xludf.DUMMYFUNCTION("""COMPUTED_VALUE"""),"CGAS5")</f>
        <v>CGAS5</v>
      </c>
      <c r="B11" s="1">
        <f>IFERROR(__xludf.DUMMYFUNCTION("""COMPUTED_VALUE"""),40.0)</f>
        <v>40</v>
      </c>
      <c r="C11" s="2">
        <f>IFERROR(__xludf.DUMMYFUNCTION("""COMPUTED_VALUE"""),10.564363383916511)</f>
        <v>10.56436338</v>
      </c>
      <c r="D11" s="2">
        <f>IFERROR(__xludf.DUMMYFUNCTION("""COMPUTED_VALUE"""),422.5745353566605)</f>
        <v>422.5745354</v>
      </c>
      <c r="E11" s="2">
        <f>IFERROR(__xludf.DUMMYFUNCTION("""COMPUTED_VALUE"""),5080.0)</f>
        <v>5080</v>
      </c>
      <c r="F11" s="5">
        <f>IFERROR(__xludf.DUMMYFUNCTION("""COMPUTED_VALUE"""),0.08318396365288593)</f>
        <v>0.08318396365</v>
      </c>
      <c r="G11" s="2">
        <f>IFERROR(__xludf.DUMMYFUNCTION("""COMPUTED_VALUE"""),30.628)</f>
        <v>30.628</v>
      </c>
      <c r="H11" s="5">
        <f>IFERROR(__xludf.DUMMYFUNCTION("""COMPUTED_VALUE"""),0.07715482979461821)</f>
        <v>0.07715482979</v>
      </c>
      <c r="I11" s="5">
        <f>IFERROR(__xludf.DUMMYFUNCTION("""COMPUTED_VALUE"""),0.01565849922840279)</f>
        <v>0.01565849923</v>
      </c>
      <c r="J11" s="4">
        <f>IFERROR(__xludf.DUMMYFUNCTION("""COMPUTED_VALUE"""),-0.3372138094480448)</f>
        <v>-0.3372138094</v>
      </c>
      <c r="K11" s="4">
        <f>IFERROR(__xludf.DUMMYFUNCTION("""COMPUTED_VALUE"""),-20.000000000000007)</f>
        <v>-20</v>
      </c>
      <c r="L11" s="4">
        <f>IFERROR(__xludf.DUMMYFUNCTION("""COMPUTED_VALUE"""),-360.66790399999996)</f>
        <v>-360.667904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2">
        <f>IFERROR(__xludf.DUMMYFUNCTION("""COMPUTED_VALUE"""),27765.923677595856)</f>
        <v>27765.92368</v>
      </c>
      <c r="E14" s="2">
        <f>IFERROR(__xludf.DUMMYFUNCTION("""COMPUTED_VALUE"""),324424.45000000007)</f>
        <v>324424.45</v>
      </c>
      <c r="F14" s="5">
        <f>IFERROR(__xludf.DUMMYFUNCTION("""COMPUTED_VALUE"""),0.08558517607904044)</f>
        <v>0.08558517608</v>
      </c>
      <c r="G14" s="1"/>
      <c r="H14" s="5">
        <f>IFERROR(__xludf.DUMMYFUNCTION("""COMPUTED_VALUE"""),1.0)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6">
        <f>IFERROR(__xludf.DUMMYFUNCTION("""COMPUTED_VALUE"""),45658.0)</f>
        <v>45658</v>
      </c>
      <c r="C1" s="6">
        <f>IFERROR(__xludf.DUMMYFUNCTION("""COMPUTED_VALUE"""),45689.0)</f>
        <v>45689</v>
      </c>
      <c r="D1" s="6">
        <f>IFERROR(__xludf.DUMMYFUNCTION("""COMPUTED_VALUE"""),45717.0)</f>
        <v>45717</v>
      </c>
      <c r="E1" s="6">
        <f>IFERROR(__xludf.DUMMYFUNCTION("""COMPUTED_VALUE"""),45748.0)</f>
        <v>45748</v>
      </c>
      <c r="F1" s="6">
        <f>IFERROR(__xludf.DUMMYFUNCTION("""COMPUTED_VALUE"""),45778.0)</f>
        <v>45778</v>
      </c>
      <c r="G1" s="6">
        <f>IFERROR(__xludf.DUMMYFUNCTION("""COMPUTED_VALUE"""),45809.0)</f>
        <v>45809</v>
      </c>
      <c r="H1" s="6">
        <f>IFERROR(__xludf.DUMMYFUNCTION("""COMPUTED_VALUE"""),45839.0)</f>
        <v>45839</v>
      </c>
      <c r="I1" s="6">
        <f>IFERROR(__xludf.DUMMYFUNCTION("""COMPUTED_VALUE"""),45870.0)</f>
        <v>45870</v>
      </c>
      <c r="J1" s="6">
        <f>IFERROR(__xludf.DUMMYFUNCTION("""COMPUTED_VALUE"""),45901.0)</f>
        <v>45901</v>
      </c>
      <c r="K1" s="6">
        <f>IFERROR(__xludf.DUMMYFUNCTION("""COMPUTED_VALUE"""),45931.0)</f>
        <v>45931</v>
      </c>
      <c r="L1" s="6">
        <f>IFERROR(__xludf.DUMMYFUNCTION("""COMPUTED_VALUE"""),45962.0)</f>
        <v>45962</v>
      </c>
      <c r="M1" s="6">
        <f>IFERROR(__xludf.DUMMYFUNCTION("""COMPUTED_VALUE"""),45992.0)</f>
        <v>45992</v>
      </c>
      <c r="N1" s="1" t="str">
        <f>IFERROR(__xludf.DUMMYFUNCTION("""COMPUTED_VALUE"""),"Total")</f>
        <v>Total</v>
      </c>
      <c r="O1" s="7" t="str">
        <f>IFERROR(__xludf.DUMMYFUNCTION("""COMPUTED_VALUE"""),"Média")</f>
        <v>Média</v>
      </c>
      <c r="P1" s="7" t="str">
        <f>IFERROR(__xludf.DUMMYFUNCTION("""COMPUTED_VALUE"""),"~ Mensal (Ano)")</f>
        <v>~ Mensal (Ano)</v>
      </c>
      <c r="Q1" s="5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7">
        <f>IFERROR(__xludf.DUMMYFUNCTION("""COMPUTED_VALUE"""),0.0)</f>
        <v>0</v>
      </c>
      <c r="C2" s="7">
        <f>IFERROR(__xludf.DUMMYFUNCTION("""COMPUTED_VALUE"""),0.0)</f>
        <v>0</v>
      </c>
      <c r="D2" s="7">
        <f>IFERROR(__xludf.DUMMYFUNCTION("""COMPUTED_VALUE"""),0.0)</f>
        <v>0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7">
        <f>IFERROR(__xludf.DUMMYFUNCTION("""COMPUTED_VALUE"""),0.0)</f>
        <v>0</v>
      </c>
      <c r="H2" s="7">
        <f>IFERROR(__xludf.DUMMYFUNCTION("""COMPUTED_VALUE"""),0.0)</f>
        <v>0</v>
      </c>
      <c r="I2" s="7">
        <f>IFERROR(__xludf.DUMMYFUNCTION("""COMPUTED_VALUE"""),0.0)</f>
        <v>0</v>
      </c>
      <c r="J2" s="7">
        <f>IFERROR(__xludf.DUMMYFUNCTION("""COMPUTED_VALUE"""),0.0)</f>
        <v>0</v>
      </c>
      <c r="K2" s="7">
        <f>IFERROR(__xludf.DUMMYFUNCTION("""COMPUTED_VALUE"""),0.0)</f>
        <v>0</v>
      </c>
      <c r="L2" s="7">
        <f>IFERROR(__xludf.DUMMYFUNCTION("""COMPUTED_VALUE"""),27.799999999999997)</f>
        <v>27.8</v>
      </c>
      <c r="M2" s="7">
        <f>IFERROR(__xludf.DUMMYFUNCTION("""COMPUTED_VALUE"""),88.28999999999999)</f>
        <v>88.29</v>
      </c>
      <c r="N2" s="7">
        <f>IFERROR(__xludf.DUMMYFUNCTION("""COMPUTED_VALUE"""),116.08999999999999)</f>
        <v>116.09</v>
      </c>
      <c r="O2" s="7">
        <f>IFERROR(__xludf.DUMMYFUNCTION("""COMPUTED_VALUE"""),9.674166666666666)</f>
        <v>9.674166667</v>
      </c>
      <c r="P2" s="7">
        <f>IFERROR(__xludf.DUMMYFUNCTION("""COMPUTED_VALUE"""),9.674166666666666)</f>
        <v>9.674166667</v>
      </c>
      <c r="Q2" s="5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7">
        <f>IFERROR(__xludf.DUMMYFUNCTION("""COMPUTED_VALUE"""),9.309999999999999)</f>
        <v>9.31</v>
      </c>
      <c r="C3" s="7">
        <f>IFERROR(__xludf.DUMMYFUNCTION("""COMPUTED_VALUE"""),55.22)</f>
        <v>55.22</v>
      </c>
      <c r="D3" s="7">
        <f>IFERROR(__xludf.DUMMYFUNCTION("""COMPUTED_VALUE"""),28.13)</f>
        <v>28.13</v>
      </c>
      <c r="E3" s="7">
        <f>IFERROR(__xludf.DUMMYFUNCTION("""COMPUTED_VALUE"""),18.85)</f>
        <v>18.85</v>
      </c>
      <c r="F3" s="7">
        <f>IFERROR(__xludf.DUMMYFUNCTION("""COMPUTED_VALUE"""),57.44)</f>
        <v>57.44</v>
      </c>
      <c r="G3" s="7">
        <f>IFERROR(__xludf.DUMMYFUNCTION("""COMPUTED_VALUE"""),5.550000000000001)</f>
        <v>5.55</v>
      </c>
      <c r="H3" s="7">
        <f>IFERROR(__xludf.DUMMYFUNCTION("""COMPUTED_VALUE"""),1.77)</f>
        <v>1.77</v>
      </c>
      <c r="I3" s="7">
        <f>IFERROR(__xludf.DUMMYFUNCTION("""COMPUTED_VALUE"""),145.48999999999998)</f>
        <v>145.49</v>
      </c>
      <c r="J3" s="7">
        <f>IFERROR(__xludf.DUMMYFUNCTION("""COMPUTED_VALUE"""),162.07)</f>
        <v>162.07</v>
      </c>
      <c r="K3" s="7">
        <f>IFERROR(__xludf.DUMMYFUNCTION("""COMPUTED_VALUE"""),97.23)</f>
        <v>97.23</v>
      </c>
      <c r="L3" s="7">
        <f>IFERROR(__xludf.DUMMYFUNCTION("""COMPUTED_VALUE"""),16.89)</f>
        <v>16.89</v>
      </c>
      <c r="M3" s="7">
        <f>IFERROR(__xludf.DUMMYFUNCTION("""COMPUTED_VALUE"""),14.840000000000002)</f>
        <v>14.84</v>
      </c>
      <c r="N3" s="7">
        <f>IFERROR(__xludf.DUMMYFUNCTION("""COMPUTED_VALUE"""),612.79)</f>
        <v>612.79</v>
      </c>
      <c r="O3" s="7">
        <f>IFERROR(__xludf.DUMMYFUNCTION("""COMPUTED_VALUE"""),51.06583333333333)</f>
        <v>51.06583333</v>
      </c>
      <c r="P3" s="7">
        <f>IFERROR(__xludf.DUMMYFUNCTION("""COMPUTED_VALUE"""),51.06583333333333)</f>
        <v>51.06583333</v>
      </c>
      <c r="Q3" s="5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7">
        <f>IFERROR(__xludf.DUMMYFUNCTION("""COMPUTED_VALUE"""),59.42)</f>
        <v>59.42</v>
      </c>
      <c r="C4" s="7">
        <f>IFERROR(__xludf.DUMMYFUNCTION("""COMPUTED_VALUE"""),163.05999999999997)</f>
        <v>163.06</v>
      </c>
      <c r="D4" s="7">
        <f>IFERROR(__xludf.DUMMYFUNCTION("""COMPUTED_VALUE"""),37.59)</f>
        <v>37.59</v>
      </c>
      <c r="E4" s="7">
        <f>IFERROR(__xludf.DUMMYFUNCTION("""COMPUTED_VALUE"""),91.96)</f>
        <v>91.96</v>
      </c>
      <c r="F4" s="7">
        <f>IFERROR(__xludf.DUMMYFUNCTION("""COMPUTED_VALUE"""),642.55)</f>
        <v>642.55</v>
      </c>
      <c r="G4" s="7">
        <f>IFERROR(__xludf.DUMMYFUNCTION("""COMPUTED_VALUE"""),414.90999999999997)</f>
        <v>414.91</v>
      </c>
      <c r="H4" s="7">
        <f>IFERROR(__xludf.DUMMYFUNCTION("""COMPUTED_VALUE"""),173.16000000000003)</f>
        <v>173.16</v>
      </c>
      <c r="I4" s="7">
        <f>IFERROR(__xludf.DUMMYFUNCTION("""COMPUTED_VALUE"""),157.78000000000003)</f>
        <v>157.78</v>
      </c>
      <c r="J4" s="7">
        <f>IFERROR(__xludf.DUMMYFUNCTION("""COMPUTED_VALUE"""),401.66)</f>
        <v>401.66</v>
      </c>
      <c r="K4" s="7">
        <f>IFERROR(__xludf.DUMMYFUNCTION("""COMPUTED_VALUE"""),181.54000000000002)</f>
        <v>181.54</v>
      </c>
      <c r="L4" s="7">
        <f>IFERROR(__xludf.DUMMYFUNCTION("""COMPUTED_VALUE"""),273.22)</f>
        <v>273.22</v>
      </c>
      <c r="M4" s="7">
        <f>IFERROR(__xludf.DUMMYFUNCTION("""COMPUTED_VALUE"""),270.01)</f>
        <v>270.01</v>
      </c>
      <c r="N4" s="7">
        <f>IFERROR(__xludf.DUMMYFUNCTION("""COMPUTED_VALUE"""),2866.8599999999997)</f>
        <v>2866.86</v>
      </c>
      <c r="O4" s="7">
        <f>IFERROR(__xludf.DUMMYFUNCTION("""COMPUTED_VALUE"""),238.90499999999997)</f>
        <v>238.905</v>
      </c>
      <c r="P4" s="7">
        <f>IFERROR(__xludf.DUMMYFUNCTION("""COMPUTED_VALUE"""),238.90499999999997)</f>
        <v>238.905</v>
      </c>
      <c r="Q4" s="5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7">
        <f>IFERROR(__xludf.DUMMYFUNCTION("""COMPUTED_VALUE"""),50.77)</f>
        <v>50.77</v>
      </c>
      <c r="C5" s="7">
        <f>IFERROR(__xludf.DUMMYFUNCTION("""COMPUTED_VALUE"""),275.5)</f>
        <v>275.5</v>
      </c>
      <c r="D5" s="7">
        <f>IFERROR(__xludf.DUMMYFUNCTION("""COMPUTED_VALUE"""),490.78)</f>
        <v>490.78</v>
      </c>
      <c r="E5" s="7">
        <f>IFERROR(__xludf.DUMMYFUNCTION("""COMPUTED_VALUE"""),40.42)</f>
        <v>40.42</v>
      </c>
      <c r="F5" s="7">
        <f>IFERROR(__xludf.DUMMYFUNCTION("""COMPUTED_VALUE"""),815.75)</f>
        <v>815.75</v>
      </c>
      <c r="G5" s="7">
        <f>IFERROR(__xludf.DUMMYFUNCTION("""COMPUTED_VALUE"""),540.4399999999999)</f>
        <v>540.44</v>
      </c>
      <c r="H5" s="7">
        <f>IFERROR(__xludf.DUMMYFUNCTION("""COMPUTED_VALUE"""),137.11)</f>
        <v>137.11</v>
      </c>
      <c r="I5" s="7">
        <f>IFERROR(__xludf.DUMMYFUNCTION("""COMPUTED_VALUE"""),869.3199999999999)</f>
        <v>869.32</v>
      </c>
      <c r="J5" s="7">
        <f>IFERROR(__xludf.DUMMYFUNCTION("""COMPUTED_VALUE"""),452.4)</f>
        <v>452.4</v>
      </c>
      <c r="K5" s="7">
        <f>IFERROR(__xludf.DUMMYFUNCTION("""COMPUTED_VALUE"""),303.34999999999997)</f>
        <v>303.35</v>
      </c>
      <c r="L5" s="7">
        <f>IFERROR(__xludf.DUMMYFUNCTION("""COMPUTED_VALUE"""),755.02)</f>
        <v>755.02</v>
      </c>
      <c r="M5" s="7">
        <f>IFERROR(__xludf.DUMMYFUNCTION("""COMPUTED_VALUE"""),779.6899999999999)</f>
        <v>779.69</v>
      </c>
      <c r="N5" s="7">
        <f>IFERROR(__xludf.DUMMYFUNCTION("""COMPUTED_VALUE"""),5510.55)</f>
        <v>5510.55</v>
      </c>
      <c r="O5" s="7">
        <f>IFERROR(__xludf.DUMMYFUNCTION("""COMPUTED_VALUE"""),459.21250000000003)</f>
        <v>459.2125</v>
      </c>
      <c r="P5" s="7">
        <f>IFERROR(__xludf.DUMMYFUNCTION("""COMPUTED_VALUE"""),459.21250000000003)</f>
        <v>459.2125</v>
      </c>
      <c r="Q5" s="5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7">
        <f>IFERROR(__xludf.DUMMYFUNCTION("""COMPUTED_VALUE"""),816.71)</f>
        <v>816.71</v>
      </c>
      <c r="C6" s="7">
        <f>IFERROR(__xludf.DUMMYFUNCTION("""COMPUTED_VALUE"""),9.89)</f>
        <v>9.89</v>
      </c>
      <c r="D6" s="7">
        <f>IFERROR(__xludf.DUMMYFUNCTION("""COMPUTED_VALUE"""),1368.77)</f>
        <v>1368.77</v>
      </c>
      <c r="E6" s="7">
        <f>IFERROR(__xludf.DUMMYFUNCTION("""COMPUTED_VALUE"""),718.3299999999999)</f>
        <v>718.33</v>
      </c>
      <c r="F6" s="7">
        <f>IFERROR(__xludf.DUMMYFUNCTION("""COMPUTED_VALUE"""),500.15000000000003)</f>
        <v>500.15</v>
      </c>
      <c r="G6" s="7">
        <f>IFERROR(__xludf.DUMMYFUNCTION("""COMPUTED_VALUE"""),1835.0099999999998)</f>
        <v>1835.01</v>
      </c>
      <c r="H6" s="7">
        <f>IFERROR(__xludf.DUMMYFUNCTION("""COMPUTED_VALUE"""),400.71999999999997)</f>
        <v>400.72</v>
      </c>
      <c r="I6" s="7">
        <f>IFERROR(__xludf.DUMMYFUNCTION("""COMPUTED_VALUE"""),1702.19)</f>
        <v>1702.19</v>
      </c>
      <c r="J6" s="7">
        <f>IFERROR(__xludf.DUMMYFUNCTION("""COMPUTED_VALUE"""),587.1)</f>
        <v>587.1</v>
      </c>
      <c r="K6" s="7">
        <f>IFERROR(__xludf.DUMMYFUNCTION("""COMPUTED_VALUE"""),60.39)</f>
        <v>60.39</v>
      </c>
      <c r="L6" s="7">
        <f>IFERROR(__xludf.DUMMYFUNCTION("""COMPUTED_VALUE"""),1112.5300000000002)</f>
        <v>1112.53</v>
      </c>
      <c r="M6" s="7">
        <f>IFERROR(__xludf.DUMMYFUNCTION("""COMPUTED_VALUE"""),928.53)</f>
        <v>928.53</v>
      </c>
      <c r="N6" s="7">
        <f>IFERROR(__xludf.DUMMYFUNCTION("""COMPUTED_VALUE"""),10040.320000000002)</f>
        <v>10040.32</v>
      </c>
      <c r="O6" s="7">
        <f>IFERROR(__xludf.DUMMYFUNCTION("""COMPUTED_VALUE"""),836.6933333333335)</f>
        <v>836.6933333</v>
      </c>
      <c r="P6" s="7">
        <f>IFERROR(__xludf.DUMMYFUNCTION("""COMPUTED_VALUE"""),836.6933333333335)</f>
        <v>836.6933333</v>
      </c>
      <c r="Q6" s="5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7">
        <f>IFERROR(__xludf.DUMMYFUNCTION("""COMPUTED_VALUE"""),643.5299999999999)</f>
        <v>643.53</v>
      </c>
      <c r="C7" s="7">
        <f>IFERROR(__xludf.DUMMYFUNCTION("""COMPUTED_VALUE"""),2324.4100000000003)</f>
        <v>2324.41</v>
      </c>
      <c r="D7" s="7">
        <f>IFERROR(__xludf.DUMMYFUNCTION("""COMPUTED_VALUE"""),544.74)</f>
        <v>544.74</v>
      </c>
      <c r="E7" s="7">
        <f>IFERROR(__xludf.DUMMYFUNCTION("""COMPUTED_VALUE"""),1343.2200000000003)</f>
        <v>1343.22</v>
      </c>
      <c r="F7" s="7">
        <f>IFERROR(__xludf.DUMMYFUNCTION("""COMPUTED_VALUE"""),1932.13)</f>
        <v>1932.13</v>
      </c>
      <c r="G7" s="7">
        <f>IFERROR(__xludf.DUMMYFUNCTION("""COMPUTED_VALUE"""),2713.7999999999997)</f>
        <v>2713.8</v>
      </c>
      <c r="H7" s="7">
        <f>IFERROR(__xludf.DUMMYFUNCTION("""COMPUTED_VALUE"""),111.49000000000001)</f>
        <v>111.49</v>
      </c>
      <c r="I7" s="7">
        <f>IFERROR(__xludf.DUMMYFUNCTION("""COMPUTED_VALUE"""),2656.72)</f>
        <v>2656.72</v>
      </c>
      <c r="J7" s="7">
        <f>IFERROR(__xludf.DUMMYFUNCTION("""COMPUTED_VALUE"""),516.5300000000001)</f>
        <v>516.53</v>
      </c>
      <c r="K7" s="7">
        <f>IFERROR(__xludf.DUMMYFUNCTION("""COMPUTED_VALUE"""),13.4)</f>
        <v>13.4</v>
      </c>
      <c r="L7" s="7">
        <f>IFERROR(__xludf.DUMMYFUNCTION("""COMPUTED_VALUE"""),703.9000000000001)</f>
        <v>703.9</v>
      </c>
      <c r="M7" s="7">
        <f>IFERROR(__xludf.DUMMYFUNCTION("""COMPUTED_VALUE"""),2277.8)</f>
        <v>2277.8</v>
      </c>
      <c r="N7" s="7">
        <f>IFERROR(__xludf.DUMMYFUNCTION("""COMPUTED_VALUE"""),15781.669999999998)</f>
        <v>15781.67</v>
      </c>
      <c r="O7" s="7">
        <f>IFERROR(__xludf.DUMMYFUNCTION("""COMPUTED_VALUE"""),1315.1391666666666)</f>
        <v>1315.139167</v>
      </c>
      <c r="P7" s="7">
        <f>IFERROR(__xludf.DUMMYFUNCTION("""COMPUTED_VALUE"""),1315.1391666666666)</f>
        <v>1315.139167</v>
      </c>
      <c r="Q7" s="5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7">
        <f>IFERROR(__xludf.DUMMYFUNCTION("""COMPUTED_VALUE"""),1659.7)</f>
        <v>1659.7</v>
      </c>
      <c r="C8" s="7">
        <f>IFERROR(__xludf.DUMMYFUNCTION("""COMPUTED_VALUE"""),599.5500000000001)</f>
        <v>599.55</v>
      </c>
      <c r="D8" s="7">
        <f>IFERROR(__xludf.DUMMYFUNCTION("""COMPUTED_VALUE"""),7358.46)</f>
        <v>7358.46</v>
      </c>
      <c r="E8" s="7">
        <f>IFERROR(__xludf.DUMMYFUNCTION("""COMPUTED_VALUE"""),2.35)</f>
        <v>2.35</v>
      </c>
      <c r="F8" s="7">
        <f>IFERROR(__xludf.DUMMYFUNCTION("""COMPUTED_VALUE"""),2734.14)</f>
        <v>2734.14</v>
      </c>
      <c r="G8" s="7">
        <f>IFERROR(__xludf.DUMMYFUNCTION("""COMPUTED_VALUE"""),2702.12)</f>
        <v>2702.12</v>
      </c>
      <c r="H8" s="7">
        <f>IFERROR(__xludf.DUMMYFUNCTION("""COMPUTED_VALUE"""),3.18)</f>
        <v>3.18</v>
      </c>
      <c r="I8" s="7">
        <f>IFERROR(__xludf.DUMMYFUNCTION("""COMPUTED_VALUE"""),6962.56)</f>
        <v>6962.56</v>
      </c>
      <c r="J8" s="7">
        <f>IFERROR(__xludf.DUMMYFUNCTION("""COMPUTED_VALUE"""),1607.29)</f>
        <v>1607.29</v>
      </c>
      <c r="K8" s="7">
        <f>IFERROR(__xludf.DUMMYFUNCTION("""COMPUTED_VALUE"""),2.46)</f>
        <v>2.46</v>
      </c>
      <c r="L8" s="7">
        <f>IFERROR(__xludf.DUMMYFUNCTION("""COMPUTED_VALUE"""),82.53)</f>
        <v>82.53</v>
      </c>
      <c r="M8" s="7">
        <f>IFERROR(__xludf.DUMMYFUNCTION("""COMPUTED_VALUE"""),91.23)</f>
        <v>91.23</v>
      </c>
      <c r="N8" s="7">
        <f>IFERROR(__xludf.DUMMYFUNCTION("""COMPUTED_VALUE"""),23805.57)</f>
        <v>23805.57</v>
      </c>
      <c r="O8" s="7">
        <f>IFERROR(__xludf.DUMMYFUNCTION("""COMPUTED_VALUE"""),2625.4833333333336)</f>
        <v>2625.483333</v>
      </c>
      <c r="P8" s="7">
        <f>IFERROR(__xludf.DUMMYFUNCTION("""COMPUTED_VALUE"""),1983.7975)</f>
        <v>1983.7975</v>
      </c>
      <c r="Q8" s="5">
        <f>IFERROR(__xludf.DUMMYFUNCTION("""COMPUTED_VALUE"""),0.5084316171862673)</f>
        <v>0.5084316172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6" width="8.75"/>
    <col customWidth="1" min="7" max="7" width="6.0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8">
        <f>IFERROR(__xludf.DUMMYFUNCTION("""COMPUTED_VALUE"""),45778.0)</f>
        <v>45778</v>
      </c>
      <c r="C1" s="8">
        <f>IFERROR(__xludf.DUMMYFUNCTION("""COMPUTED_VALUE"""),45809.0)</f>
        <v>45809</v>
      </c>
      <c r="D1" s="8">
        <f>IFERROR(__xludf.DUMMYFUNCTION("""COMPUTED_VALUE"""),45839.0)</f>
        <v>45839</v>
      </c>
      <c r="E1" s="8">
        <f>IFERROR(__xludf.DUMMYFUNCTION("""COMPUTED_VALUE"""),45870.0)</f>
        <v>45870</v>
      </c>
      <c r="F1" s="8">
        <f>IFERROR(__xludf.DUMMYFUNCTION("""COMPUTED_VALUE"""),45901.0)</f>
        <v>45901</v>
      </c>
      <c r="G1" s="8">
        <f>IFERROR(__xludf.DUMMYFUNCTION("""COMPUTED_VALUE"""),45931.0)</f>
        <v>45931</v>
      </c>
      <c r="H1" s="8">
        <f>IFERROR(__xludf.DUMMYFUNCTION("""COMPUTED_VALUE"""),45962.0)</f>
        <v>45962</v>
      </c>
      <c r="I1" s="8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IFERROR(__xludf.DUMMYFUNCTION("""COMPUTED_VALUE"""),0.0)</f>
        <v>0</v>
      </c>
      <c r="H3" s="2">
        <f>IFERROR(__xludf.DUMMYFUNCTION("""COMPUTED_VALUE"""),0.0)</f>
        <v>0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IFERROR(__xludf.DUMMYFUNCTION("""COMPUTED_VALUE"""),0.0)</f>
        <v>0</v>
      </c>
      <c r="H4" s="2">
        <f>IFERROR(__xludf.DUMMYFUNCTION("""COMPUTED_VALUE"""),0.0)</f>
        <v>0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IFERROR(__xludf.DUMMYFUNCTION("""COMPUTED_VALUE"""),0.0)</f>
        <v>0</v>
      </c>
      <c r="H5" s="2">
        <f>IFERROR(__xludf.DUMMYFUNCTION("""COMPUTED_VALUE"""),0.0)</f>
        <v>0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IFERROR(__xludf.DUMMYFUNCTION("""COMPUTED_VALUE"""),0.0)</f>
        <v>0</v>
      </c>
      <c r="H7" s="2">
        <f>IFERROR(__xludf.DUMMYFUNCTION("""COMPUTED_VALUE"""),0.0)</f>
        <v>0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IFERROR(__xludf.DUMMYFUNCTION("""COMPUTED_VALUE"""),0.0)</f>
        <v>0</v>
      </c>
      <c r="H8" s="2">
        <f>IFERROR(__xludf.DUMMYFUNCTION("""COMPUTED_VALUE"""),0.0)</f>
        <v>0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IFERROR(__xludf.DUMMYFUNCTION("""COMPUTED_VALUE"""),0.0)</f>
        <v>0</v>
      </c>
      <c r="H10" s="2">
        <f>IFERROR(__xludf.DUMMYFUNCTION("""COMPUTED_VALUE"""),0.0)</f>
        <v>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8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IFERROR(__xludf.DUMMYFUNCTION("""COMPUTED_VALUE"""),45778.0)</f>
        <v>45778</v>
      </c>
      <c r="B2" s="9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8">
        <f>IFERROR(__xludf.DUMMYFUNCTION("""COMPUTED_VALUE"""),45778.0)</f>
        <v>45778</v>
      </c>
      <c r="B3" s="9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">
        <f>IFERROR(__xludf.DUMMYFUNCTION("""COMPUTED_VALUE"""),45778.0)</f>
        <v>45778</v>
      </c>
      <c r="B4" s="9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8">
        <f>IFERROR(__xludf.DUMMYFUNCTION("""COMPUTED_VALUE"""),45778.0)</f>
        <v>45778</v>
      </c>
      <c r="B5" s="9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">
        <f>IFERROR(__xludf.DUMMYFUNCTION("""COMPUTED_VALUE"""),45778.0)</f>
        <v>45778</v>
      </c>
      <c r="B6" s="9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8">
        <f>IFERROR(__xludf.DUMMYFUNCTION("""COMPUTED_VALUE"""),45778.0)</f>
        <v>45778</v>
      </c>
      <c r="B7" s="9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8">
        <f>IFERROR(__xludf.DUMMYFUNCTION("""COMPUTED_VALUE"""),45778.0)</f>
        <v>45778</v>
      </c>
      <c r="B8" s="9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8">
        <f>IFERROR(__xludf.DUMMYFUNCTION("""COMPUTED_VALUE"""),45778.0)</f>
        <v>45778</v>
      </c>
      <c r="B9" s="9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8">
        <f>IFERROR(__xludf.DUMMYFUNCTION("""COMPUTED_VALUE"""),45778.0)</f>
        <v>45778</v>
      </c>
      <c r="B10" s="9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8">
        <f>IFERROR(__xludf.DUMMYFUNCTION("""COMPUTED_VALUE"""),45778.0)</f>
        <v>45778</v>
      </c>
      <c r="B11" s="9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8">
        <f>IFERROR(__xludf.DUMMYFUNCTION("""COMPUTED_VALUE"""),45778.0)</f>
        <v>45778</v>
      </c>
      <c r="B12" s="9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8">
        <f>IFERROR(__xludf.DUMMYFUNCTION("""COMPUTED_VALUE"""),45778.0)</f>
        <v>45778</v>
      </c>
      <c r="B13" s="9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8">
        <f>IFERROR(__xludf.DUMMYFUNCTION("""COMPUTED_VALUE"""),45778.0)</f>
        <v>45778</v>
      </c>
      <c r="B14" s="9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8">
        <f>IFERROR(__xludf.DUMMYFUNCTION("""COMPUTED_VALUE"""),45778.0)</f>
        <v>45778</v>
      </c>
      <c r="B15" s="9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8">
        <f>IFERROR(__xludf.DUMMYFUNCTION("""COMPUTED_VALUE"""),45778.0)</f>
        <v>45778</v>
      </c>
      <c r="B16" s="9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8">
        <f>IFERROR(__xludf.DUMMYFUNCTION("""COMPUTED_VALUE"""),45778.0)</f>
        <v>45778</v>
      </c>
      <c r="B17" s="9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8">
        <f>IFERROR(__xludf.DUMMYFUNCTION("""COMPUTED_VALUE"""),45778.0)</f>
        <v>45778</v>
      </c>
      <c r="B18" s="9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8">
        <f>IFERROR(__xludf.DUMMYFUNCTION("""COMPUTED_VALUE"""),45778.0)</f>
        <v>45778</v>
      </c>
      <c r="B19" s="9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8">
        <f>IFERROR(__xludf.DUMMYFUNCTION("""COMPUTED_VALUE"""),45778.0)</f>
        <v>45778</v>
      </c>
      <c r="B20" s="9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8">
        <f>IFERROR(__xludf.DUMMYFUNCTION("""COMPUTED_VALUE"""),45778.0)</f>
        <v>45778</v>
      </c>
      <c r="B21" s="9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8">
        <f>IFERROR(__xludf.DUMMYFUNCTION("""COMPUTED_VALUE"""),45778.0)</f>
        <v>45778</v>
      </c>
      <c r="B22" s="9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8">
        <f>IFERROR(__xludf.DUMMYFUNCTION("""COMPUTED_VALUE"""),45778.0)</f>
        <v>45778</v>
      </c>
      <c r="B23" s="9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8">
        <f>IFERROR(__xludf.DUMMYFUNCTION("""COMPUTED_VALUE"""),45778.0)</f>
        <v>45778</v>
      </c>
      <c r="B24" s="9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8">
        <f>IFERROR(__xludf.DUMMYFUNCTION("""COMPUTED_VALUE"""),45778.0)</f>
        <v>45778</v>
      </c>
      <c r="B25" s="9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8">
        <f>IFERROR(__xludf.DUMMYFUNCTION("""COMPUTED_VALUE"""),45778.0)</f>
        <v>45778</v>
      </c>
      <c r="B26" s="9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8">
        <f>IFERROR(__xludf.DUMMYFUNCTION("""COMPUTED_VALUE"""),45778.0)</f>
        <v>45778</v>
      </c>
      <c r="B27" s="9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8">
        <f>IFERROR(__xludf.DUMMYFUNCTION("""COMPUTED_VALUE"""),45778.0)</f>
        <v>45778</v>
      </c>
      <c r="B28" s="9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8">
        <f>IFERROR(__xludf.DUMMYFUNCTION("""COMPUTED_VALUE"""),45778.0)</f>
        <v>45778</v>
      </c>
      <c r="B29" s="9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8">
        <f>IFERROR(__xludf.DUMMYFUNCTION("""COMPUTED_VALUE"""),45778.0)</f>
        <v>45778</v>
      </c>
      <c r="B30" s="9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8">
        <f>IFERROR(__xludf.DUMMYFUNCTION("""COMPUTED_VALUE"""),45778.0)</f>
        <v>45778</v>
      </c>
      <c r="B31" s="9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8">
        <f>IFERROR(__xludf.DUMMYFUNCTION("""COMPUTED_VALUE"""),45778.0)</f>
        <v>45778</v>
      </c>
      <c r="B32" s="9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8">
        <f>IFERROR(__xludf.DUMMYFUNCTION("""COMPUTED_VALUE"""),45778.0)</f>
        <v>45778</v>
      </c>
      <c r="B33" s="9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8">
        <f>IFERROR(__xludf.DUMMYFUNCTION("""COMPUTED_VALUE"""),45778.0)</f>
        <v>45778</v>
      </c>
      <c r="B34" s="9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8">
        <f>IFERROR(__xludf.DUMMYFUNCTION("""COMPUTED_VALUE"""),45778.0)</f>
        <v>45778</v>
      </c>
      <c r="B35" s="9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8">
        <f>IFERROR(__xludf.DUMMYFUNCTION("""COMPUTED_VALUE"""),45778.0)</f>
        <v>45778</v>
      </c>
      <c r="B36" s="9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8">
        <f>IFERROR(__xludf.DUMMYFUNCTION("""COMPUTED_VALUE"""),45778.0)</f>
        <v>45778</v>
      </c>
      <c r="B37" s="9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8">
        <f>IFERROR(__xludf.DUMMYFUNCTION("""COMPUTED_VALUE"""),45778.0)</f>
        <v>45778</v>
      </c>
      <c r="B38" s="9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8">
        <f>IFERROR(__xludf.DUMMYFUNCTION("""COMPUTED_VALUE"""),45778.0)</f>
        <v>45778</v>
      </c>
      <c r="B39" s="9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8">
        <f>IFERROR(__xludf.DUMMYFUNCTION("""COMPUTED_VALUE"""),45778.0)</f>
        <v>45778</v>
      </c>
      <c r="B40" s="9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8">
        <f>IFERROR(__xludf.DUMMYFUNCTION("""COMPUTED_VALUE"""),45778.0)</f>
        <v>45778</v>
      </c>
      <c r="B41" s="9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8">
        <f>IFERROR(__xludf.DUMMYFUNCTION("""COMPUTED_VALUE"""),45778.0)</f>
        <v>45778</v>
      </c>
      <c r="B42" s="9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8">
        <f>IFERROR(__xludf.DUMMYFUNCTION("""COMPUTED_VALUE"""),45778.0)</f>
        <v>45778</v>
      </c>
      <c r="B43" s="9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8">
        <f>IFERROR(__xludf.DUMMYFUNCTION("""COMPUTED_VALUE"""),45778.0)</f>
        <v>45778</v>
      </c>
      <c r="B44" s="9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8">
        <f>IFERROR(__xludf.DUMMYFUNCTION("""COMPUTED_VALUE"""),45778.0)</f>
        <v>45778</v>
      </c>
      <c r="B45" s="9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8">
        <f>IFERROR(__xludf.DUMMYFUNCTION("""COMPUTED_VALUE"""),45778.0)</f>
        <v>45778</v>
      </c>
      <c r="B46" s="9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8">
        <f>IFERROR(__xludf.DUMMYFUNCTION("""COMPUTED_VALUE"""),45778.0)</f>
        <v>45778</v>
      </c>
      <c r="B47" s="9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8">
        <f>IFERROR(__xludf.DUMMYFUNCTION("""COMPUTED_VALUE"""),45778.0)</f>
        <v>45778</v>
      </c>
      <c r="B48" s="9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8">
        <f>IFERROR(__xludf.DUMMYFUNCTION("""COMPUTED_VALUE"""),45778.0)</f>
        <v>45778</v>
      </c>
      <c r="B49" s="9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8">
        <f>IFERROR(__xludf.DUMMYFUNCTION("""COMPUTED_VALUE"""),45778.0)</f>
        <v>45778</v>
      </c>
      <c r="B50" s="9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8">
        <f>IFERROR(__xludf.DUMMYFUNCTION("""COMPUTED_VALUE"""),45778.0)</f>
        <v>45778</v>
      </c>
      <c r="B51" s="9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8">
        <f>IFERROR(__xludf.DUMMYFUNCTION("""COMPUTED_VALUE"""),45778.0)</f>
        <v>45778</v>
      </c>
      <c r="B52" s="9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8">
        <f>IFERROR(__xludf.DUMMYFUNCTION("""COMPUTED_VALUE"""),45778.0)</f>
        <v>45778</v>
      </c>
      <c r="B53" s="9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8">
        <f>IFERROR(__xludf.DUMMYFUNCTION("""COMPUTED_VALUE"""),45778.0)</f>
        <v>45778</v>
      </c>
      <c r="B54" s="9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8">
        <f>IFERROR(__xludf.DUMMYFUNCTION("""COMPUTED_VALUE"""),45778.0)</f>
        <v>45778</v>
      </c>
      <c r="B55" s="9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8">
        <f>IFERROR(__xludf.DUMMYFUNCTION("""COMPUTED_VALUE"""),45778.0)</f>
        <v>45778</v>
      </c>
      <c r="B56" s="9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8">
        <f>IFERROR(__xludf.DUMMYFUNCTION("""COMPUTED_VALUE"""),45778.0)</f>
        <v>45778</v>
      </c>
      <c r="B57" s="9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8">
        <f>IFERROR(__xludf.DUMMYFUNCTION("""COMPUTED_VALUE"""),45778.0)</f>
        <v>45778</v>
      </c>
      <c r="B58" s="9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8">
        <f>IFERROR(__xludf.DUMMYFUNCTION("""COMPUTED_VALUE"""),45778.0)</f>
        <v>45778</v>
      </c>
      <c r="B59" s="9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8">
        <f>IFERROR(__xludf.DUMMYFUNCTION("""COMPUTED_VALUE"""),45778.0)</f>
        <v>45778</v>
      </c>
      <c r="B60" s="9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8">
        <f>IFERROR(__xludf.DUMMYFUNCTION("""COMPUTED_VALUE"""),45778.0)</f>
        <v>45778</v>
      </c>
      <c r="B61" s="9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8">
        <f>IFERROR(__xludf.DUMMYFUNCTION("""COMPUTED_VALUE"""),45778.0)</f>
        <v>45778</v>
      </c>
      <c r="B62" s="9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8">
        <f>IFERROR(__xludf.DUMMYFUNCTION("""COMPUTED_VALUE"""),45778.0)</f>
        <v>45778</v>
      </c>
      <c r="B63" s="9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8">
        <f>IFERROR(__xludf.DUMMYFUNCTION("""COMPUTED_VALUE"""),45809.0)</f>
        <v>45809</v>
      </c>
      <c r="B64" s="9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8">
        <f>IFERROR(__xludf.DUMMYFUNCTION("""COMPUTED_VALUE"""),45809.0)</f>
        <v>45809</v>
      </c>
      <c r="B65" s="9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8">
        <f>IFERROR(__xludf.DUMMYFUNCTION("""COMPUTED_VALUE"""),45809.0)</f>
        <v>45809</v>
      </c>
      <c r="B66" s="9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8">
        <f>IFERROR(__xludf.DUMMYFUNCTION("""COMPUTED_VALUE"""),45809.0)</f>
        <v>45809</v>
      </c>
      <c r="B67" s="9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8">
        <f>IFERROR(__xludf.DUMMYFUNCTION("""COMPUTED_VALUE"""),45809.0)</f>
        <v>45809</v>
      </c>
      <c r="B68" s="9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8">
        <f>IFERROR(__xludf.DUMMYFUNCTION("""COMPUTED_VALUE"""),45809.0)</f>
        <v>45809</v>
      </c>
      <c r="B69" s="9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8">
        <f>IFERROR(__xludf.DUMMYFUNCTION("""COMPUTED_VALUE"""),45809.0)</f>
        <v>45809</v>
      </c>
      <c r="B70" s="9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8">
        <f>IFERROR(__xludf.DUMMYFUNCTION("""COMPUTED_VALUE"""),45809.0)</f>
        <v>45809</v>
      </c>
      <c r="B71" s="9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8">
        <f>IFERROR(__xludf.DUMMYFUNCTION("""COMPUTED_VALUE"""),45809.0)</f>
        <v>45809</v>
      </c>
      <c r="B72" s="9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8">
        <f>IFERROR(__xludf.DUMMYFUNCTION("""COMPUTED_VALUE"""),45809.0)</f>
        <v>45809</v>
      </c>
      <c r="B73" s="9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8">
        <f>IFERROR(__xludf.DUMMYFUNCTION("""COMPUTED_VALUE"""),45809.0)</f>
        <v>45809</v>
      </c>
      <c r="B74" s="9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8">
        <f>IFERROR(__xludf.DUMMYFUNCTION("""COMPUTED_VALUE"""),45809.0)</f>
        <v>45809</v>
      </c>
      <c r="B75" s="9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">
        <f>IFERROR(__xludf.DUMMYFUNCTION("""COMPUTED_VALUE"""),45809.0)</f>
        <v>45809</v>
      </c>
      <c r="B76" s="9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">
        <f>IFERROR(__xludf.DUMMYFUNCTION("""COMPUTED_VALUE"""),45809.0)</f>
        <v>45809</v>
      </c>
      <c r="B77" s="9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">
        <f>IFERROR(__xludf.DUMMYFUNCTION("""COMPUTED_VALUE"""),45809.0)</f>
        <v>45809</v>
      </c>
      <c r="B78" s="9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8">
        <f>IFERROR(__xludf.DUMMYFUNCTION("""COMPUTED_VALUE"""),45809.0)</f>
        <v>45809</v>
      </c>
      <c r="B79" s="9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8">
        <f>IFERROR(__xludf.DUMMYFUNCTION("""COMPUTED_VALUE"""),45809.0)</f>
        <v>45809</v>
      </c>
      <c r="B80" s="9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8">
        <f>IFERROR(__xludf.DUMMYFUNCTION("""COMPUTED_VALUE"""),45809.0)</f>
        <v>45809</v>
      </c>
      <c r="B81" s="9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8">
        <f>IFERROR(__xludf.DUMMYFUNCTION("""COMPUTED_VALUE"""),45809.0)</f>
        <v>45809</v>
      </c>
      <c r="B82" s="9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8">
        <f>IFERROR(__xludf.DUMMYFUNCTION("""COMPUTED_VALUE"""),45809.0)</f>
        <v>45809</v>
      </c>
      <c r="B83" s="9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8">
        <f>IFERROR(__xludf.DUMMYFUNCTION("""COMPUTED_VALUE"""),45809.0)</f>
        <v>45809</v>
      </c>
      <c r="B84" s="9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8">
        <f>IFERROR(__xludf.DUMMYFUNCTION("""COMPUTED_VALUE"""),45809.0)</f>
        <v>45809</v>
      </c>
      <c r="B85" s="9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8">
        <f>IFERROR(__xludf.DUMMYFUNCTION("""COMPUTED_VALUE"""),45809.0)</f>
        <v>45809</v>
      </c>
      <c r="B86" s="9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8">
        <f>IFERROR(__xludf.DUMMYFUNCTION("""COMPUTED_VALUE"""),45809.0)</f>
        <v>45809</v>
      </c>
      <c r="B87" s="9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8">
        <f>IFERROR(__xludf.DUMMYFUNCTION("""COMPUTED_VALUE"""),45809.0)</f>
        <v>45809</v>
      </c>
      <c r="B88" s="9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8">
        <f>IFERROR(__xludf.DUMMYFUNCTION("""COMPUTED_VALUE"""),45809.0)</f>
        <v>45809</v>
      </c>
      <c r="B89" s="9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">
        <f>IFERROR(__xludf.DUMMYFUNCTION("""COMPUTED_VALUE"""),45809.0)</f>
        <v>45809</v>
      </c>
      <c r="B90" s="9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">
        <f>IFERROR(__xludf.DUMMYFUNCTION("""COMPUTED_VALUE"""),45809.0)</f>
        <v>45809</v>
      </c>
      <c r="B91" s="9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">
        <f>IFERROR(__xludf.DUMMYFUNCTION("""COMPUTED_VALUE"""),45809.0)</f>
        <v>45809</v>
      </c>
      <c r="B92" s="9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8">
        <f>IFERROR(__xludf.DUMMYFUNCTION("""COMPUTED_VALUE"""),45809.0)</f>
        <v>45809</v>
      </c>
      <c r="B93" s="9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">
        <f>IFERROR(__xludf.DUMMYFUNCTION("""COMPUTED_VALUE"""),45809.0)</f>
        <v>45809</v>
      </c>
      <c r="B94" s="9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8">
        <f>IFERROR(__xludf.DUMMYFUNCTION("""COMPUTED_VALUE"""),45809.0)</f>
        <v>45809</v>
      </c>
      <c r="B95" s="9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8">
        <f>IFERROR(__xludf.DUMMYFUNCTION("""COMPUTED_VALUE"""),45809.0)</f>
        <v>45809</v>
      </c>
      <c r="B96" s="9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8">
        <f>IFERROR(__xludf.DUMMYFUNCTION("""COMPUTED_VALUE"""),45809.0)</f>
        <v>45809</v>
      </c>
      <c r="B97" s="9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8">
        <f>IFERROR(__xludf.DUMMYFUNCTION("""COMPUTED_VALUE"""),45809.0)</f>
        <v>45809</v>
      </c>
      <c r="B98" s="9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8">
        <f>IFERROR(__xludf.DUMMYFUNCTION("""COMPUTED_VALUE"""),45809.0)</f>
        <v>45809</v>
      </c>
      <c r="B99" s="9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8">
        <f>IFERROR(__xludf.DUMMYFUNCTION("""COMPUTED_VALUE"""),45809.0)</f>
        <v>45809</v>
      </c>
      <c r="B100" s="9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8">
        <f>IFERROR(__xludf.DUMMYFUNCTION("""COMPUTED_VALUE"""),45809.0)</f>
        <v>45809</v>
      </c>
      <c r="B101" s="9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8">
        <f>IFERROR(__xludf.DUMMYFUNCTION("""COMPUTED_VALUE"""),45809.0)</f>
        <v>45809</v>
      </c>
      <c r="B102" s="9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8">
        <f>IFERROR(__xludf.DUMMYFUNCTION("""COMPUTED_VALUE"""),45809.0)</f>
        <v>45809</v>
      </c>
      <c r="B103" s="9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8">
        <f>IFERROR(__xludf.DUMMYFUNCTION("""COMPUTED_VALUE"""),45809.0)</f>
        <v>45809</v>
      </c>
      <c r="B104" s="9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8">
        <f>IFERROR(__xludf.DUMMYFUNCTION("""COMPUTED_VALUE"""),45809.0)</f>
        <v>45809</v>
      </c>
      <c r="B105" s="9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8">
        <f>IFERROR(__xludf.DUMMYFUNCTION("""COMPUTED_VALUE"""),45809.0)</f>
        <v>45809</v>
      </c>
      <c r="B106" s="9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8">
        <f>IFERROR(__xludf.DUMMYFUNCTION("""COMPUTED_VALUE"""),45809.0)</f>
        <v>45809</v>
      </c>
      <c r="B107" s="9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8">
        <f>IFERROR(__xludf.DUMMYFUNCTION("""COMPUTED_VALUE"""),45809.0)</f>
        <v>45809</v>
      </c>
      <c r="B108" s="9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8">
        <f>IFERROR(__xludf.DUMMYFUNCTION("""COMPUTED_VALUE"""),45809.0)</f>
        <v>45809</v>
      </c>
      <c r="B109" s="9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8">
        <f>IFERROR(__xludf.DUMMYFUNCTION("""COMPUTED_VALUE"""),45809.0)</f>
        <v>45809</v>
      </c>
      <c r="B110" s="9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8">
        <f>IFERROR(__xludf.DUMMYFUNCTION("""COMPUTED_VALUE"""),45809.0)</f>
        <v>45809</v>
      </c>
      <c r="B111" s="9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8">
        <f>IFERROR(__xludf.DUMMYFUNCTION("""COMPUTED_VALUE"""),45809.0)</f>
        <v>45809</v>
      </c>
      <c r="B112" s="9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8">
        <f>IFERROR(__xludf.DUMMYFUNCTION("""COMPUTED_VALUE"""),45809.0)</f>
        <v>45809</v>
      </c>
      <c r="B113" s="9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8">
        <f>IFERROR(__xludf.DUMMYFUNCTION("""COMPUTED_VALUE"""),45809.0)</f>
        <v>45809</v>
      </c>
      <c r="B114" s="9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8">
        <f>IFERROR(__xludf.DUMMYFUNCTION("""COMPUTED_VALUE"""),45809.0)</f>
        <v>45809</v>
      </c>
      <c r="B115" s="9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8">
        <f>IFERROR(__xludf.DUMMYFUNCTION("""COMPUTED_VALUE"""),45809.0)</f>
        <v>45809</v>
      </c>
      <c r="B116" s="9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8">
        <f>IFERROR(__xludf.DUMMYFUNCTION("""COMPUTED_VALUE"""),45809.0)</f>
        <v>45809</v>
      </c>
      <c r="B117" s="9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8">
        <f>IFERROR(__xludf.DUMMYFUNCTION("""COMPUTED_VALUE"""),45809.0)</f>
        <v>45809</v>
      </c>
      <c r="B118" s="9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8">
        <f>IFERROR(__xludf.DUMMYFUNCTION("""COMPUTED_VALUE"""),45809.0)</f>
        <v>45809</v>
      </c>
      <c r="B119" s="9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8">
        <f>IFERROR(__xludf.DUMMYFUNCTION("""COMPUTED_VALUE"""),45809.0)</f>
        <v>45809</v>
      </c>
      <c r="B120" s="9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8">
        <f>IFERROR(__xludf.DUMMYFUNCTION("""COMPUTED_VALUE"""),45809.0)</f>
        <v>45809</v>
      </c>
      <c r="B121" s="9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">
        <f>IFERROR(__xludf.DUMMYFUNCTION("""COMPUTED_VALUE"""),45809.0)</f>
        <v>45809</v>
      </c>
      <c r="B122" s="9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">
        <f>IFERROR(__xludf.DUMMYFUNCTION("""COMPUTED_VALUE"""),45809.0)</f>
        <v>45809</v>
      </c>
      <c r="B123" s="9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">
        <f>IFERROR(__xludf.DUMMYFUNCTION("""COMPUTED_VALUE"""),45809.0)</f>
        <v>45809</v>
      </c>
      <c r="B124" s="9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8">
        <f>IFERROR(__xludf.DUMMYFUNCTION("""COMPUTED_VALUE"""),45809.0)</f>
        <v>45809</v>
      </c>
      <c r="B125" s="9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8">
        <f>IFERROR(__xludf.DUMMYFUNCTION("""COMPUTED_VALUE"""),45809.0)</f>
        <v>45809</v>
      </c>
      <c r="B126" s="9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8">
        <f>IFERROR(__xludf.DUMMYFUNCTION("""COMPUTED_VALUE"""),45809.0)</f>
        <v>45809</v>
      </c>
      <c r="B127" s="9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8">
        <f>IFERROR(__xludf.DUMMYFUNCTION("""COMPUTED_VALUE"""),45809.0)</f>
        <v>45809</v>
      </c>
      <c r="B128" s="9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8">
        <f>IFERROR(__xludf.DUMMYFUNCTION("""COMPUTED_VALUE"""),45809.0)</f>
        <v>45809</v>
      </c>
      <c r="B129" s="9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8">
        <f>IFERROR(__xludf.DUMMYFUNCTION("""COMPUTED_VALUE"""),45809.0)</f>
        <v>45809</v>
      </c>
      <c r="B130" s="9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8">
        <f>IFERROR(__xludf.DUMMYFUNCTION("""COMPUTED_VALUE"""),45809.0)</f>
        <v>45809</v>
      </c>
      <c r="B131" s="9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8">
        <f>IFERROR(__xludf.DUMMYFUNCTION("""COMPUTED_VALUE"""),45809.0)</f>
        <v>45809</v>
      </c>
      <c r="B132" s="9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8">
        <f>IFERROR(__xludf.DUMMYFUNCTION("""COMPUTED_VALUE"""),45809.0)</f>
        <v>45809</v>
      </c>
      <c r="B133" s="9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8">
        <f>IFERROR(__xludf.DUMMYFUNCTION("""COMPUTED_VALUE"""),45809.0)</f>
        <v>45809</v>
      </c>
      <c r="B134" s="9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8">
        <f>IFERROR(__xludf.DUMMYFUNCTION("""COMPUTED_VALUE"""),45809.0)</f>
        <v>45809</v>
      </c>
      <c r="B135" s="9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8">
        <f>IFERROR(__xludf.DUMMYFUNCTION("""COMPUTED_VALUE"""),45809.0)</f>
        <v>45809</v>
      </c>
      <c r="B136" s="9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8">
        <f>IFERROR(__xludf.DUMMYFUNCTION("""COMPUTED_VALUE"""),45809.0)</f>
        <v>45809</v>
      </c>
      <c r="B137" s="9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8">
        <f>IFERROR(__xludf.DUMMYFUNCTION("""COMPUTED_VALUE"""),45809.0)</f>
        <v>45809</v>
      </c>
      <c r="B138" s="9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8">
        <f>IFERROR(__xludf.DUMMYFUNCTION("""COMPUTED_VALUE"""),45809.0)</f>
        <v>45809</v>
      </c>
      <c r="B139" s="9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8">
        <f>IFERROR(__xludf.DUMMYFUNCTION("""COMPUTED_VALUE"""),45809.0)</f>
        <v>45809</v>
      </c>
      <c r="B140" s="9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8">
        <f>IFERROR(__xludf.DUMMYFUNCTION("""COMPUTED_VALUE"""),45809.0)</f>
        <v>45809</v>
      </c>
      <c r="B141" s="9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8">
        <f>IFERROR(__xludf.DUMMYFUNCTION("""COMPUTED_VALUE"""),45809.0)</f>
        <v>45809</v>
      </c>
      <c r="B142" s="9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8">
        <f>IFERROR(__xludf.DUMMYFUNCTION("""COMPUTED_VALUE"""),45809.0)</f>
        <v>45809</v>
      </c>
      <c r="B143" s="9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8">
        <f>IFERROR(__xludf.DUMMYFUNCTION("""COMPUTED_VALUE"""),45809.0)</f>
        <v>45809</v>
      </c>
      <c r="B144" s="9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8">
        <f>IFERROR(__xludf.DUMMYFUNCTION("""COMPUTED_VALUE"""),45809.0)</f>
        <v>45809</v>
      </c>
      <c r="B145" s="9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8">
        <f>IFERROR(__xludf.DUMMYFUNCTION("""COMPUTED_VALUE"""),45809.0)</f>
        <v>45809</v>
      </c>
      <c r="B146" s="9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8">
        <f>IFERROR(__xludf.DUMMYFUNCTION("""COMPUTED_VALUE"""),45809.0)</f>
        <v>45809</v>
      </c>
      <c r="B147" s="9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">
        <f>IFERROR(__xludf.DUMMYFUNCTION("""COMPUTED_VALUE"""),45809.0)</f>
        <v>45809</v>
      </c>
      <c r="B148" s="9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">
        <f>IFERROR(__xludf.DUMMYFUNCTION("""COMPUTED_VALUE"""),45809.0)</f>
        <v>45809</v>
      </c>
      <c r="B149" s="9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8">
        <f>IFERROR(__xludf.DUMMYFUNCTION("""COMPUTED_VALUE"""),45809.0)</f>
        <v>45809</v>
      </c>
      <c r="B150" s="9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8">
        <f>IFERROR(__xludf.DUMMYFUNCTION("""COMPUTED_VALUE"""),45809.0)</f>
        <v>45809</v>
      </c>
      <c r="B151" s="9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8">
        <f>IFERROR(__xludf.DUMMYFUNCTION("""COMPUTED_VALUE"""),45809.0)</f>
        <v>45809</v>
      </c>
      <c r="B152" s="9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8">
        <f>IFERROR(__xludf.DUMMYFUNCTION("""COMPUTED_VALUE"""),45809.0)</f>
        <v>45809</v>
      </c>
      <c r="B153" s="9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8">
        <f>IFERROR(__xludf.DUMMYFUNCTION("""COMPUTED_VALUE"""),45809.0)</f>
        <v>45809</v>
      </c>
      <c r="B154" s="9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8">
        <f>IFERROR(__xludf.DUMMYFUNCTION("""COMPUTED_VALUE"""),45809.0)</f>
        <v>45809</v>
      </c>
      <c r="B155" s="9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8">
        <f>IFERROR(__xludf.DUMMYFUNCTION("""COMPUTED_VALUE"""),45809.0)</f>
        <v>45809</v>
      </c>
      <c r="B156" s="9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8">
        <f>IFERROR(__xludf.DUMMYFUNCTION("""COMPUTED_VALUE"""),45809.0)</f>
        <v>45809</v>
      </c>
      <c r="B157" s="9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8">
        <f>IFERROR(__xludf.DUMMYFUNCTION("""COMPUTED_VALUE"""),45809.0)</f>
        <v>45809</v>
      </c>
      <c r="B158" s="9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8">
        <f>IFERROR(__xludf.DUMMYFUNCTION("""COMPUTED_VALUE"""),45809.0)</f>
        <v>45809</v>
      </c>
      <c r="B159" s="9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8">
        <f>IFERROR(__xludf.DUMMYFUNCTION("""COMPUTED_VALUE"""),45809.0)</f>
        <v>45809</v>
      </c>
      <c r="B160" s="9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8">
        <f>IFERROR(__xludf.DUMMYFUNCTION("""COMPUTED_VALUE"""),45809.0)</f>
        <v>45809</v>
      </c>
      <c r="B161" s="9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8">
        <f>IFERROR(__xludf.DUMMYFUNCTION("""COMPUTED_VALUE"""),45809.0)</f>
        <v>45809</v>
      </c>
      <c r="B162" s="9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8">
        <f>IFERROR(__xludf.DUMMYFUNCTION("""COMPUTED_VALUE"""),45809.0)</f>
        <v>45809</v>
      </c>
      <c r="B163" s="9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8">
        <f>IFERROR(__xludf.DUMMYFUNCTION("""COMPUTED_VALUE"""),45809.0)</f>
        <v>45809</v>
      </c>
      <c r="B164" s="9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8">
        <f>IFERROR(__xludf.DUMMYFUNCTION("""COMPUTED_VALUE"""),45809.0)</f>
        <v>45809</v>
      </c>
      <c r="B165" s="9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8">
        <f>IFERROR(__xludf.DUMMYFUNCTION("""COMPUTED_VALUE"""),45809.0)</f>
        <v>45809</v>
      </c>
      <c r="B166" s="9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8">
        <f>IFERROR(__xludf.DUMMYFUNCTION("""COMPUTED_VALUE"""),45809.0)</f>
        <v>45809</v>
      </c>
      <c r="B167" s="9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8">
        <f>IFERROR(__xludf.DUMMYFUNCTION("""COMPUTED_VALUE"""),45809.0)</f>
        <v>45809</v>
      </c>
      <c r="B168" s="9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8">
        <f>IFERROR(__xludf.DUMMYFUNCTION("""COMPUTED_VALUE"""),45809.0)</f>
        <v>45809</v>
      </c>
      <c r="B169" s="9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8">
        <f>IFERROR(__xludf.DUMMYFUNCTION("""COMPUTED_VALUE"""),45809.0)</f>
        <v>45809</v>
      </c>
      <c r="B170" s="9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8">
        <f>IFERROR(__xludf.DUMMYFUNCTION("""COMPUTED_VALUE"""),45809.0)</f>
        <v>45809</v>
      </c>
      <c r="B171" s="9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8">
        <f>IFERROR(__xludf.DUMMYFUNCTION("""COMPUTED_VALUE"""),45809.0)</f>
        <v>45809</v>
      </c>
      <c r="B172" s="9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8">
        <f>IFERROR(__xludf.DUMMYFUNCTION("""COMPUTED_VALUE"""),45809.0)</f>
        <v>45809</v>
      </c>
      <c r="B173" s="9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8">
        <f>IFERROR(__xludf.DUMMYFUNCTION("""COMPUTED_VALUE"""),45809.0)</f>
        <v>45809</v>
      </c>
      <c r="B174" s="9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8">
        <f>IFERROR(__xludf.DUMMYFUNCTION("""COMPUTED_VALUE"""),45809.0)</f>
        <v>45809</v>
      </c>
      <c r="B175" s="9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8">
        <f>IFERROR(__xludf.DUMMYFUNCTION("""COMPUTED_VALUE"""),45809.0)</f>
        <v>45809</v>
      </c>
      <c r="B176" s="9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8">
        <f>IFERROR(__xludf.DUMMYFUNCTION("""COMPUTED_VALUE"""),45809.0)</f>
        <v>45809</v>
      </c>
      <c r="B177" s="9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8">
        <f>IFERROR(__xludf.DUMMYFUNCTION("""COMPUTED_VALUE"""),45809.0)</f>
        <v>45809</v>
      </c>
      <c r="B178" s="9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8">
        <f>IFERROR(__xludf.DUMMYFUNCTION("""COMPUTED_VALUE"""),45809.0)</f>
        <v>45809</v>
      </c>
      <c r="B179" s="9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8">
        <f>IFERROR(__xludf.DUMMYFUNCTION("""COMPUTED_VALUE"""),45809.0)</f>
        <v>45809</v>
      </c>
      <c r="B180" s="9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8">
        <f>IFERROR(__xludf.DUMMYFUNCTION("""COMPUTED_VALUE"""),45809.0)</f>
        <v>45809</v>
      </c>
      <c r="B181" s="9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8">
        <f>IFERROR(__xludf.DUMMYFUNCTION("""COMPUTED_VALUE"""),45809.0)</f>
        <v>45809</v>
      </c>
      <c r="B182" s="9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8">
        <f>IFERROR(__xludf.DUMMYFUNCTION("""COMPUTED_VALUE"""),45809.0)</f>
        <v>45809</v>
      </c>
      <c r="B183" s="9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8">
        <f>IFERROR(__xludf.DUMMYFUNCTION("""COMPUTED_VALUE"""),45809.0)</f>
        <v>45809</v>
      </c>
      <c r="B184" s="9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8">
        <f>IFERROR(__xludf.DUMMYFUNCTION("""COMPUTED_VALUE"""),45809.0)</f>
        <v>45809</v>
      </c>
      <c r="B185" s="9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8">
        <f>IFERROR(__xludf.DUMMYFUNCTION("""COMPUTED_VALUE"""),45809.0)</f>
        <v>45809</v>
      </c>
      <c r="B186" s="9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8">
        <f>IFERROR(__xludf.DUMMYFUNCTION("""COMPUTED_VALUE"""),45809.0)</f>
        <v>45809</v>
      </c>
      <c r="B187" s="9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8">
        <f>IFERROR(__xludf.DUMMYFUNCTION("""COMPUTED_VALUE"""),45809.0)</f>
        <v>45809</v>
      </c>
      <c r="B188" s="9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8">
        <f>IFERROR(__xludf.DUMMYFUNCTION("""COMPUTED_VALUE"""),45809.0)</f>
        <v>45809</v>
      </c>
      <c r="B189" s="9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8">
        <f>IFERROR(__xludf.DUMMYFUNCTION("""COMPUTED_VALUE"""),45809.0)</f>
        <v>45809</v>
      </c>
      <c r="B190" s="9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8">
        <f>IFERROR(__xludf.DUMMYFUNCTION("""COMPUTED_VALUE"""),45809.0)</f>
        <v>45809</v>
      </c>
      <c r="B191" s="9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8">
        <f>IFERROR(__xludf.DUMMYFUNCTION("""COMPUTED_VALUE"""),45809.0)</f>
        <v>45809</v>
      </c>
      <c r="B192" s="9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8">
        <f>IFERROR(__xludf.DUMMYFUNCTION("""COMPUTED_VALUE"""),45809.0)</f>
        <v>45809</v>
      </c>
      <c r="B193" s="9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8">
        <f>IFERROR(__xludf.DUMMYFUNCTION("""COMPUTED_VALUE"""),45809.0)</f>
        <v>45809</v>
      </c>
      <c r="B194" s="9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8">
        <f>IFERROR(__xludf.DUMMYFUNCTION("""COMPUTED_VALUE"""),45809.0)</f>
        <v>45809</v>
      </c>
      <c r="B195" s="9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8">
        <f>IFERROR(__xludf.DUMMYFUNCTION("""COMPUTED_VALUE"""),45809.0)</f>
        <v>45809</v>
      </c>
      <c r="B196" s="9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8">
        <f>IFERROR(__xludf.DUMMYFUNCTION("""COMPUTED_VALUE"""),45809.0)</f>
        <v>45809</v>
      </c>
      <c r="B197" s="9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8">
        <f>IFERROR(__xludf.DUMMYFUNCTION("""COMPUTED_VALUE"""),45809.0)</f>
        <v>45809</v>
      </c>
      <c r="B198" s="9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8">
        <f>IFERROR(__xludf.DUMMYFUNCTION("""COMPUTED_VALUE"""),45809.0)</f>
        <v>45809</v>
      </c>
      <c r="B199" s="9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8">
        <f>IFERROR(__xludf.DUMMYFUNCTION("""COMPUTED_VALUE"""),45809.0)</f>
        <v>45809</v>
      </c>
      <c r="B200" s="9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8">
        <f>IFERROR(__xludf.DUMMYFUNCTION("""COMPUTED_VALUE"""),45809.0)</f>
        <v>45809</v>
      </c>
      <c r="B201" s="9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8">
        <f>IFERROR(__xludf.DUMMYFUNCTION("""COMPUTED_VALUE"""),45809.0)</f>
        <v>45809</v>
      </c>
      <c r="B202" s="9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8">
        <f>IFERROR(__xludf.DUMMYFUNCTION("""COMPUTED_VALUE"""),45809.0)</f>
        <v>45809</v>
      </c>
      <c r="B203" s="9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8">
        <f>IFERROR(__xludf.DUMMYFUNCTION("""COMPUTED_VALUE"""),45809.0)</f>
        <v>45809</v>
      </c>
      <c r="B204" s="9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8">
        <f>IFERROR(__xludf.DUMMYFUNCTION("""COMPUTED_VALUE"""),45809.0)</f>
        <v>45809</v>
      </c>
      <c r="B205" s="9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8">
        <f>IFERROR(__xludf.DUMMYFUNCTION("""COMPUTED_VALUE"""),45809.0)</f>
        <v>45809</v>
      </c>
      <c r="B206" s="9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8">
        <f>IFERROR(__xludf.DUMMYFUNCTION("""COMPUTED_VALUE"""),45809.0)</f>
        <v>45809</v>
      </c>
      <c r="B207" s="9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8">
        <f>IFERROR(__xludf.DUMMYFUNCTION("""COMPUTED_VALUE"""),45809.0)</f>
        <v>45809</v>
      </c>
      <c r="B208" s="9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8">
        <f>IFERROR(__xludf.DUMMYFUNCTION("""COMPUTED_VALUE"""),45809.0)</f>
        <v>45809</v>
      </c>
      <c r="B209" s="9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8">
        <f>IFERROR(__xludf.DUMMYFUNCTION("""COMPUTED_VALUE"""),45839.0)</f>
        <v>45839</v>
      </c>
      <c r="B210" s="9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8">
        <f>IFERROR(__xludf.DUMMYFUNCTION("""COMPUTED_VALUE"""),45839.0)</f>
        <v>45839</v>
      </c>
      <c r="B211" s="9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8">
        <f>IFERROR(__xludf.DUMMYFUNCTION("""COMPUTED_VALUE"""),45839.0)</f>
        <v>45839</v>
      </c>
      <c r="B212" s="9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8">
        <f>IFERROR(__xludf.DUMMYFUNCTION("""COMPUTED_VALUE"""),45839.0)</f>
        <v>45839</v>
      </c>
      <c r="B213" s="9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8">
        <f>IFERROR(__xludf.DUMMYFUNCTION("""COMPUTED_VALUE"""),45839.0)</f>
        <v>45839</v>
      </c>
      <c r="B214" s="9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8">
        <f>IFERROR(__xludf.DUMMYFUNCTION("""COMPUTED_VALUE"""),45839.0)</f>
        <v>45839</v>
      </c>
      <c r="B215" s="9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8">
        <f>IFERROR(__xludf.DUMMYFUNCTION("""COMPUTED_VALUE"""),45839.0)</f>
        <v>45839</v>
      </c>
      <c r="B216" s="9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8">
        <f>IFERROR(__xludf.DUMMYFUNCTION("""COMPUTED_VALUE"""),45839.0)</f>
        <v>45839</v>
      </c>
      <c r="B217" s="9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8">
        <f>IFERROR(__xludf.DUMMYFUNCTION("""COMPUTED_VALUE"""),45839.0)</f>
        <v>45839</v>
      </c>
      <c r="B218" s="9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8">
        <f>IFERROR(__xludf.DUMMYFUNCTION("""COMPUTED_VALUE"""),45839.0)</f>
        <v>45839</v>
      </c>
      <c r="B219" s="9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8">
        <f>IFERROR(__xludf.DUMMYFUNCTION("""COMPUTED_VALUE"""),45839.0)</f>
        <v>45839</v>
      </c>
      <c r="B220" s="9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8">
        <f>IFERROR(__xludf.DUMMYFUNCTION("""COMPUTED_VALUE"""),45839.0)</f>
        <v>45839</v>
      </c>
      <c r="B221" s="9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8">
        <f>IFERROR(__xludf.DUMMYFUNCTION("""COMPUTED_VALUE"""),45839.0)</f>
        <v>45839</v>
      </c>
      <c r="B222" s="9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8">
        <f>IFERROR(__xludf.DUMMYFUNCTION("""COMPUTED_VALUE"""),45839.0)</f>
        <v>45839</v>
      </c>
      <c r="B223" s="9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8">
        <f>IFERROR(__xludf.DUMMYFUNCTION("""COMPUTED_VALUE"""),45839.0)</f>
        <v>45839</v>
      </c>
      <c r="B224" s="9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8">
        <f>IFERROR(__xludf.DUMMYFUNCTION("""COMPUTED_VALUE"""),45839.0)</f>
        <v>45839</v>
      </c>
      <c r="B225" s="9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8">
        <f>IFERROR(__xludf.DUMMYFUNCTION("""COMPUTED_VALUE"""),45839.0)</f>
        <v>45839</v>
      </c>
      <c r="B226" s="9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8">
        <f>IFERROR(__xludf.DUMMYFUNCTION("""COMPUTED_VALUE"""),45839.0)</f>
        <v>45839</v>
      </c>
      <c r="B227" s="9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8">
        <f>IFERROR(__xludf.DUMMYFUNCTION("""COMPUTED_VALUE"""),45839.0)</f>
        <v>45839</v>
      </c>
      <c r="B228" s="9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8">
        <f>IFERROR(__xludf.DUMMYFUNCTION("""COMPUTED_VALUE"""),45839.0)</f>
        <v>45839</v>
      </c>
      <c r="B229" s="9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8">
        <f>IFERROR(__xludf.DUMMYFUNCTION("""COMPUTED_VALUE"""),45839.0)</f>
        <v>45839</v>
      </c>
      <c r="B230" s="9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8">
        <f>IFERROR(__xludf.DUMMYFUNCTION("""COMPUTED_VALUE"""),45839.0)</f>
        <v>45839</v>
      </c>
      <c r="B231" s="9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8">
        <f>IFERROR(__xludf.DUMMYFUNCTION("""COMPUTED_VALUE"""),45839.0)</f>
        <v>45839</v>
      </c>
      <c r="B232" s="9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8">
        <f>IFERROR(__xludf.DUMMYFUNCTION("""COMPUTED_VALUE"""),45839.0)</f>
        <v>45839</v>
      </c>
      <c r="B233" s="9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8">
        <f>IFERROR(__xludf.DUMMYFUNCTION("""COMPUTED_VALUE"""),45839.0)</f>
        <v>45839</v>
      </c>
      <c r="B234" s="9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8">
        <f>IFERROR(__xludf.DUMMYFUNCTION("""COMPUTED_VALUE"""),45839.0)</f>
        <v>45839</v>
      </c>
      <c r="B235" s="9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8">
        <f>IFERROR(__xludf.DUMMYFUNCTION("""COMPUTED_VALUE"""),45839.0)</f>
        <v>45839</v>
      </c>
      <c r="B236" s="9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8">
        <f>IFERROR(__xludf.DUMMYFUNCTION("""COMPUTED_VALUE"""),45839.0)</f>
        <v>45839</v>
      </c>
      <c r="B237" s="9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8">
        <f>IFERROR(__xludf.DUMMYFUNCTION("""COMPUTED_VALUE"""),45839.0)</f>
        <v>45839</v>
      </c>
      <c r="B238" s="9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8">
        <f>IFERROR(__xludf.DUMMYFUNCTION("""COMPUTED_VALUE"""),45839.0)</f>
        <v>45839</v>
      </c>
      <c r="B239" s="9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8">
        <f>IFERROR(__xludf.DUMMYFUNCTION("""COMPUTED_VALUE"""),45839.0)</f>
        <v>45839</v>
      </c>
      <c r="B240" s="9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8">
        <f>IFERROR(__xludf.DUMMYFUNCTION("""COMPUTED_VALUE"""),45839.0)</f>
        <v>45839</v>
      </c>
      <c r="B241" s="9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8">
        <f>IFERROR(__xludf.DUMMYFUNCTION("""COMPUTED_VALUE"""),45839.0)</f>
        <v>45839</v>
      </c>
      <c r="B242" s="9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8">
        <f>IFERROR(__xludf.DUMMYFUNCTION("""COMPUTED_VALUE"""),45839.0)</f>
        <v>45839</v>
      </c>
      <c r="B243" s="9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8">
        <f>IFERROR(__xludf.DUMMYFUNCTION("""COMPUTED_VALUE"""),45839.0)</f>
        <v>45839</v>
      </c>
      <c r="B244" s="9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8">
        <f>IFERROR(__xludf.DUMMYFUNCTION("""COMPUTED_VALUE"""),45839.0)</f>
        <v>45839</v>
      </c>
      <c r="B245" s="9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8">
        <f>IFERROR(__xludf.DUMMYFUNCTION("""COMPUTED_VALUE"""),45839.0)</f>
        <v>45839</v>
      </c>
      <c r="B246" s="9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8">
        <f>IFERROR(__xludf.DUMMYFUNCTION("""COMPUTED_VALUE"""),45839.0)</f>
        <v>45839</v>
      </c>
      <c r="B247" s="9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8">
        <f>IFERROR(__xludf.DUMMYFUNCTION("""COMPUTED_VALUE"""),45839.0)</f>
        <v>45839</v>
      </c>
      <c r="B248" s="9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8">
        <f>IFERROR(__xludf.DUMMYFUNCTION("""COMPUTED_VALUE"""),45839.0)</f>
        <v>45839</v>
      </c>
      <c r="B249" s="9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8">
        <f>IFERROR(__xludf.DUMMYFUNCTION("""COMPUTED_VALUE"""),45839.0)</f>
        <v>45839</v>
      </c>
      <c r="B250" s="9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8">
        <f>IFERROR(__xludf.DUMMYFUNCTION("""COMPUTED_VALUE"""),45839.0)</f>
        <v>45839</v>
      </c>
      <c r="B251" s="9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8">
        <f>IFERROR(__xludf.DUMMYFUNCTION("""COMPUTED_VALUE"""),45839.0)</f>
        <v>45839</v>
      </c>
      <c r="B252" s="9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8">
        <f>IFERROR(__xludf.DUMMYFUNCTION("""COMPUTED_VALUE"""),45839.0)</f>
        <v>45839</v>
      </c>
      <c r="B253" s="9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8">
        <f>IFERROR(__xludf.DUMMYFUNCTION("""COMPUTED_VALUE"""),45839.0)</f>
        <v>45839</v>
      </c>
      <c r="B254" s="9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8">
        <f>IFERROR(__xludf.DUMMYFUNCTION("""COMPUTED_VALUE"""),45839.0)</f>
        <v>45839</v>
      </c>
      <c r="B255" s="9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8">
        <f>IFERROR(__xludf.DUMMYFUNCTION("""COMPUTED_VALUE"""),45839.0)</f>
        <v>45839</v>
      </c>
      <c r="B256" s="9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8">
        <f>IFERROR(__xludf.DUMMYFUNCTION("""COMPUTED_VALUE"""),45839.0)</f>
        <v>45839</v>
      </c>
      <c r="B257" s="9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8">
        <f>IFERROR(__xludf.DUMMYFUNCTION("""COMPUTED_VALUE"""),45839.0)</f>
        <v>45839</v>
      </c>
      <c r="B258" s="9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8">
        <f>IFERROR(__xludf.DUMMYFUNCTION("""COMPUTED_VALUE"""),45839.0)</f>
        <v>45839</v>
      </c>
      <c r="B259" s="9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8">
        <f>IFERROR(__xludf.DUMMYFUNCTION("""COMPUTED_VALUE"""),45839.0)</f>
        <v>45839</v>
      </c>
      <c r="B260" s="9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8">
        <f>IFERROR(__xludf.DUMMYFUNCTION("""COMPUTED_VALUE"""),45839.0)</f>
        <v>45839</v>
      </c>
      <c r="B261" s="9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8">
        <f>IFERROR(__xludf.DUMMYFUNCTION("""COMPUTED_VALUE"""),45839.0)</f>
        <v>45839</v>
      </c>
      <c r="B262" s="9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8">
        <f>IFERROR(__xludf.DUMMYFUNCTION("""COMPUTED_VALUE"""),45839.0)</f>
        <v>45839</v>
      </c>
      <c r="B263" s="9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8">
        <f>IFERROR(__xludf.DUMMYFUNCTION("""COMPUTED_VALUE"""),45839.0)</f>
        <v>45839</v>
      </c>
      <c r="B264" s="9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8">
        <f>IFERROR(__xludf.DUMMYFUNCTION("""COMPUTED_VALUE"""),45839.0)</f>
        <v>45839</v>
      </c>
      <c r="B265" s="9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8">
        <f>IFERROR(__xludf.DUMMYFUNCTION("""COMPUTED_VALUE"""),45839.0)</f>
        <v>45839</v>
      </c>
      <c r="B266" s="9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8">
        <f>IFERROR(__xludf.DUMMYFUNCTION("""COMPUTED_VALUE"""),45839.0)</f>
        <v>45839</v>
      </c>
      <c r="B267" s="9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8">
        <f>IFERROR(__xludf.DUMMYFUNCTION("""COMPUTED_VALUE"""),45839.0)</f>
        <v>45839</v>
      </c>
      <c r="B268" s="9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8">
        <f>IFERROR(__xludf.DUMMYFUNCTION("""COMPUTED_VALUE"""),45839.0)</f>
        <v>45839</v>
      </c>
      <c r="B269" s="9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8">
        <f>IFERROR(__xludf.DUMMYFUNCTION("""COMPUTED_VALUE"""),45839.0)</f>
        <v>45839</v>
      </c>
      <c r="B270" s="9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8">
        <f>IFERROR(__xludf.DUMMYFUNCTION("""COMPUTED_VALUE"""),45839.0)</f>
        <v>45839</v>
      </c>
      <c r="B271" s="9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8">
        <f>IFERROR(__xludf.DUMMYFUNCTION("""COMPUTED_VALUE"""),45839.0)</f>
        <v>45839</v>
      </c>
      <c r="B272" s="9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8">
        <f>IFERROR(__xludf.DUMMYFUNCTION("""COMPUTED_VALUE"""),45839.0)</f>
        <v>45839</v>
      </c>
      <c r="B273" s="9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8">
        <f>IFERROR(__xludf.DUMMYFUNCTION("""COMPUTED_VALUE"""),45839.0)</f>
        <v>45839</v>
      </c>
      <c r="B274" s="9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8">
        <f>IFERROR(__xludf.DUMMYFUNCTION("""COMPUTED_VALUE"""),45839.0)</f>
        <v>45839</v>
      </c>
      <c r="B275" s="9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8">
        <f>IFERROR(__xludf.DUMMYFUNCTION("""COMPUTED_VALUE"""),45839.0)</f>
        <v>45839</v>
      </c>
      <c r="B276" s="9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8">
        <f>IFERROR(__xludf.DUMMYFUNCTION("""COMPUTED_VALUE"""),45839.0)</f>
        <v>45839</v>
      </c>
      <c r="B277" s="9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8">
        <f>IFERROR(__xludf.DUMMYFUNCTION("""COMPUTED_VALUE"""),45839.0)</f>
        <v>45839</v>
      </c>
      <c r="B278" s="9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8">
        <f>IFERROR(__xludf.DUMMYFUNCTION("""COMPUTED_VALUE"""),45839.0)</f>
        <v>45839</v>
      </c>
      <c r="B279" s="9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8">
        <f>IFERROR(__xludf.DUMMYFUNCTION("""COMPUTED_VALUE"""),45839.0)</f>
        <v>45839</v>
      </c>
      <c r="B280" s="9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8">
        <f>IFERROR(__xludf.DUMMYFUNCTION("""COMPUTED_VALUE"""),45839.0)</f>
        <v>45839</v>
      </c>
      <c r="B281" s="9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8">
        <f>IFERROR(__xludf.DUMMYFUNCTION("""COMPUTED_VALUE"""),45839.0)</f>
        <v>45839</v>
      </c>
      <c r="B282" s="9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8">
        <f>IFERROR(__xludf.DUMMYFUNCTION("""COMPUTED_VALUE"""),45839.0)</f>
        <v>45839</v>
      </c>
      <c r="B283" s="9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8">
        <f>IFERROR(__xludf.DUMMYFUNCTION("""COMPUTED_VALUE"""),45839.0)</f>
        <v>45839</v>
      </c>
      <c r="B284" s="9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8">
        <f>IFERROR(__xludf.DUMMYFUNCTION("""COMPUTED_VALUE"""),45839.0)</f>
        <v>45839</v>
      </c>
      <c r="B285" s="9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8">
        <f>IFERROR(__xludf.DUMMYFUNCTION("""COMPUTED_VALUE"""),45839.0)</f>
        <v>45839</v>
      </c>
      <c r="B286" s="9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8">
        <f>IFERROR(__xludf.DUMMYFUNCTION("""COMPUTED_VALUE"""),45839.0)</f>
        <v>45839</v>
      </c>
      <c r="B287" s="9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8">
        <f>IFERROR(__xludf.DUMMYFUNCTION("""COMPUTED_VALUE"""),45839.0)</f>
        <v>45839</v>
      </c>
      <c r="B288" s="9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8">
        <f>IFERROR(__xludf.DUMMYFUNCTION("""COMPUTED_VALUE"""),45839.0)</f>
        <v>45839</v>
      </c>
      <c r="B289" s="9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8">
        <f>IFERROR(__xludf.DUMMYFUNCTION("""COMPUTED_VALUE"""),45839.0)</f>
        <v>45839</v>
      </c>
      <c r="B290" s="9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8">
        <f>IFERROR(__xludf.DUMMYFUNCTION("""COMPUTED_VALUE"""),45839.0)</f>
        <v>45839</v>
      </c>
      <c r="B291" s="9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8">
        <f>IFERROR(__xludf.DUMMYFUNCTION("""COMPUTED_VALUE"""),45839.0)</f>
        <v>45839</v>
      </c>
      <c r="B292" s="9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8">
        <f>IFERROR(__xludf.DUMMYFUNCTION("""COMPUTED_VALUE"""),45839.0)</f>
        <v>45839</v>
      </c>
      <c r="B293" s="9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8">
        <f>IFERROR(__xludf.DUMMYFUNCTION("""COMPUTED_VALUE"""),45839.0)</f>
        <v>45839</v>
      </c>
      <c r="B294" s="9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8">
        <f>IFERROR(__xludf.DUMMYFUNCTION("""COMPUTED_VALUE"""),45839.0)</f>
        <v>45839</v>
      </c>
      <c r="B295" s="9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8">
        <f>IFERROR(__xludf.DUMMYFUNCTION("""COMPUTED_VALUE"""),45839.0)</f>
        <v>45839</v>
      </c>
      <c r="B296" s="9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8">
        <f>IFERROR(__xludf.DUMMYFUNCTION("""COMPUTED_VALUE"""),45839.0)</f>
        <v>45839</v>
      </c>
      <c r="B297" s="9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8">
        <f>IFERROR(__xludf.DUMMYFUNCTION("""COMPUTED_VALUE"""),45839.0)</f>
        <v>45839</v>
      </c>
      <c r="B298" s="9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8">
        <f>IFERROR(__xludf.DUMMYFUNCTION("""COMPUTED_VALUE"""),45839.0)</f>
        <v>45839</v>
      </c>
      <c r="B299" s="9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8">
        <f>IFERROR(__xludf.DUMMYFUNCTION("""COMPUTED_VALUE"""),45839.0)</f>
        <v>45839</v>
      </c>
      <c r="B300" s="9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8">
        <f>IFERROR(__xludf.DUMMYFUNCTION("""COMPUTED_VALUE"""),45839.0)</f>
        <v>45839</v>
      </c>
      <c r="B301" s="9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8">
        <f>IFERROR(__xludf.DUMMYFUNCTION("""COMPUTED_VALUE"""),45839.0)</f>
        <v>45839</v>
      </c>
      <c r="B302" s="9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8">
        <f>IFERROR(__xludf.DUMMYFUNCTION("""COMPUTED_VALUE"""),45839.0)</f>
        <v>45839</v>
      </c>
      <c r="B303" s="9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8">
        <f>IFERROR(__xludf.DUMMYFUNCTION("""COMPUTED_VALUE"""),45839.0)</f>
        <v>45839</v>
      </c>
      <c r="B304" s="9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8">
        <f>IFERROR(__xludf.DUMMYFUNCTION("""COMPUTED_VALUE"""),45839.0)</f>
        <v>45839</v>
      </c>
      <c r="B305" s="9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8">
        <f>IFERROR(__xludf.DUMMYFUNCTION("""COMPUTED_VALUE"""),45839.0)</f>
        <v>45839</v>
      </c>
      <c r="B306" s="9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8">
        <f>IFERROR(__xludf.DUMMYFUNCTION("""COMPUTED_VALUE"""),45839.0)</f>
        <v>45839</v>
      </c>
      <c r="B307" s="9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8">
        <f>IFERROR(__xludf.DUMMYFUNCTION("""COMPUTED_VALUE"""),45839.0)</f>
        <v>45839</v>
      </c>
      <c r="B308" s="9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8">
        <f>IFERROR(__xludf.DUMMYFUNCTION("""COMPUTED_VALUE"""),45839.0)</f>
        <v>45839</v>
      </c>
      <c r="B309" s="9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8">
        <f>IFERROR(__xludf.DUMMYFUNCTION("""COMPUTED_VALUE"""),45839.0)</f>
        <v>45839</v>
      </c>
      <c r="B310" s="9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8">
        <f>IFERROR(__xludf.DUMMYFUNCTION("""COMPUTED_VALUE"""),45839.0)</f>
        <v>45839</v>
      </c>
      <c r="B311" s="9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8">
        <f>IFERROR(__xludf.DUMMYFUNCTION("""COMPUTED_VALUE"""),45839.0)</f>
        <v>45839</v>
      </c>
      <c r="B312" s="9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8">
        <f>IFERROR(__xludf.DUMMYFUNCTION("""COMPUTED_VALUE"""),45839.0)</f>
        <v>45839</v>
      </c>
      <c r="B313" s="9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8">
        <f>IFERROR(__xludf.DUMMYFUNCTION("""COMPUTED_VALUE"""),45839.0)</f>
        <v>45839</v>
      </c>
      <c r="B314" s="9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8">
        <f>IFERROR(__xludf.DUMMYFUNCTION("""COMPUTED_VALUE"""),45839.0)</f>
        <v>45839</v>
      </c>
      <c r="B315" s="9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8">
        <f>IFERROR(__xludf.DUMMYFUNCTION("""COMPUTED_VALUE"""),45839.0)</f>
        <v>45839</v>
      </c>
      <c r="B316" s="9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8">
        <f>IFERROR(__xludf.DUMMYFUNCTION("""COMPUTED_VALUE"""),45839.0)</f>
        <v>45839</v>
      </c>
      <c r="B317" s="9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8">
        <f>IFERROR(__xludf.DUMMYFUNCTION("""COMPUTED_VALUE"""),45839.0)</f>
        <v>45839</v>
      </c>
      <c r="B318" s="9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8">
        <f>IFERROR(__xludf.DUMMYFUNCTION("""COMPUTED_VALUE"""),45839.0)</f>
        <v>45839</v>
      </c>
      <c r="B319" s="9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8">
        <f>IFERROR(__xludf.DUMMYFUNCTION("""COMPUTED_VALUE"""),45839.0)</f>
        <v>45839</v>
      </c>
      <c r="B320" s="9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8">
        <f>IFERROR(__xludf.DUMMYFUNCTION("""COMPUTED_VALUE"""),45839.0)</f>
        <v>45839</v>
      </c>
      <c r="B321" s="9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8">
        <f>IFERROR(__xludf.DUMMYFUNCTION("""COMPUTED_VALUE"""),45839.0)</f>
        <v>45839</v>
      </c>
      <c r="B322" s="9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8">
        <f>IFERROR(__xludf.DUMMYFUNCTION("""COMPUTED_VALUE"""),45839.0)</f>
        <v>45839</v>
      </c>
      <c r="B323" s="9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8">
        <f>IFERROR(__xludf.DUMMYFUNCTION("""COMPUTED_VALUE"""),45839.0)</f>
        <v>45839</v>
      </c>
      <c r="B324" s="9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8">
        <f>IFERROR(__xludf.DUMMYFUNCTION("""COMPUTED_VALUE"""),45839.0)</f>
        <v>45839</v>
      </c>
      <c r="B325" s="9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8">
        <f>IFERROR(__xludf.DUMMYFUNCTION("""COMPUTED_VALUE"""),45839.0)</f>
        <v>45839</v>
      </c>
      <c r="B326" s="9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8">
        <f>IFERROR(__xludf.DUMMYFUNCTION("""COMPUTED_VALUE"""),45839.0)</f>
        <v>45839</v>
      </c>
      <c r="B327" s="9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8">
        <f>IFERROR(__xludf.DUMMYFUNCTION("""COMPUTED_VALUE"""),45839.0)</f>
        <v>45839</v>
      </c>
      <c r="B328" s="9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8">
        <f>IFERROR(__xludf.DUMMYFUNCTION("""COMPUTED_VALUE"""),45839.0)</f>
        <v>45839</v>
      </c>
      <c r="B329" s="9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8">
        <f>IFERROR(__xludf.DUMMYFUNCTION("""COMPUTED_VALUE"""),45839.0)</f>
        <v>45839</v>
      </c>
      <c r="B330" s="9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8">
        <f>IFERROR(__xludf.DUMMYFUNCTION("""COMPUTED_VALUE"""),45839.0)</f>
        <v>45839</v>
      </c>
      <c r="B331" s="9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8">
        <f>IFERROR(__xludf.DUMMYFUNCTION("""COMPUTED_VALUE"""),45839.0)</f>
        <v>45839</v>
      </c>
      <c r="B332" s="9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8">
        <f>IFERROR(__xludf.DUMMYFUNCTION("""COMPUTED_VALUE"""),45839.0)</f>
        <v>45839</v>
      </c>
      <c r="B333" s="9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8">
        <f>IFERROR(__xludf.DUMMYFUNCTION("""COMPUTED_VALUE"""),45839.0)</f>
        <v>45839</v>
      </c>
      <c r="B334" s="9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8">
        <f>IFERROR(__xludf.DUMMYFUNCTION("""COMPUTED_VALUE"""),45839.0)</f>
        <v>45839</v>
      </c>
      <c r="B335" s="9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8">
        <f>IFERROR(__xludf.DUMMYFUNCTION("""COMPUTED_VALUE"""),45839.0)</f>
        <v>45839</v>
      </c>
      <c r="B336" s="9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8">
        <f>IFERROR(__xludf.DUMMYFUNCTION("""COMPUTED_VALUE"""),45839.0)</f>
        <v>45839</v>
      </c>
      <c r="B337" s="9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8">
        <f>IFERROR(__xludf.DUMMYFUNCTION("""COMPUTED_VALUE"""),45839.0)</f>
        <v>45839</v>
      </c>
      <c r="B338" s="9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8">
        <f>IFERROR(__xludf.DUMMYFUNCTION("""COMPUTED_VALUE"""),45839.0)</f>
        <v>45839</v>
      </c>
      <c r="B339" s="9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8">
        <f>IFERROR(__xludf.DUMMYFUNCTION("""COMPUTED_VALUE"""),45839.0)</f>
        <v>45839</v>
      </c>
      <c r="B340" s="9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8">
        <f>IFERROR(__xludf.DUMMYFUNCTION("""COMPUTED_VALUE"""),45839.0)</f>
        <v>45839</v>
      </c>
      <c r="B341" s="9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8">
        <f>IFERROR(__xludf.DUMMYFUNCTION("""COMPUTED_VALUE"""),45839.0)</f>
        <v>45839</v>
      </c>
      <c r="B342" s="9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8">
        <f>IFERROR(__xludf.DUMMYFUNCTION("""COMPUTED_VALUE"""),45839.0)</f>
        <v>45839</v>
      </c>
      <c r="B343" s="9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8">
        <f>IFERROR(__xludf.DUMMYFUNCTION("""COMPUTED_VALUE"""),45839.0)</f>
        <v>45839</v>
      </c>
      <c r="B344" s="9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8">
        <f>IFERROR(__xludf.DUMMYFUNCTION("""COMPUTED_VALUE"""),45839.0)</f>
        <v>45839</v>
      </c>
      <c r="B345" s="9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8">
        <f>IFERROR(__xludf.DUMMYFUNCTION("""COMPUTED_VALUE"""),45839.0)</f>
        <v>45839</v>
      </c>
      <c r="B346" s="9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8">
        <f>IFERROR(__xludf.DUMMYFUNCTION("""COMPUTED_VALUE"""),45839.0)</f>
        <v>45839</v>
      </c>
      <c r="B347" s="9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8">
        <f>IFERROR(__xludf.DUMMYFUNCTION("""COMPUTED_VALUE"""),45839.0)</f>
        <v>45839</v>
      </c>
      <c r="B348" s="9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8">
        <f>IFERROR(__xludf.DUMMYFUNCTION("""COMPUTED_VALUE"""),45839.0)</f>
        <v>45839</v>
      </c>
      <c r="B349" s="9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8">
        <f>IFERROR(__xludf.DUMMYFUNCTION("""COMPUTED_VALUE"""),45839.0)</f>
        <v>45839</v>
      </c>
      <c r="B350" s="9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8">
        <f>IFERROR(__xludf.DUMMYFUNCTION("""COMPUTED_VALUE"""),45839.0)</f>
        <v>45839</v>
      </c>
      <c r="B351" s="9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8">
        <f>IFERROR(__xludf.DUMMYFUNCTION("""COMPUTED_VALUE"""),45839.0)</f>
        <v>45839</v>
      </c>
      <c r="B352" s="9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8">
        <f>IFERROR(__xludf.DUMMYFUNCTION("""COMPUTED_VALUE"""),45839.0)</f>
        <v>45839</v>
      </c>
      <c r="B353" s="9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8">
        <f>IFERROR(__xludf.DUMMYFUNCTION("""COMPUTED_VALUE"""),45839.0)</f>
        <v>45839</v>
      </c>
      <c r="B354" s="9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8">
        <f>IFERROR(__xludf.DUMMYFUNCTION("""COMPUTED_VALUE"""),45839.0)</f>
        <v>45839</v>
      </c>
      <c r="B355" s="9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8">
        <f>IFERROR(__xludf.DUMMYFUNCTION("""COMPUTED_VALUE"""),45839.0)</f>
        <v>45839</v>
      </c>
      <c r="B356" s="9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8">
        <f>IFERROR(__xludf.DUMMYFUNCTION("""COMPUTED_VALUE"""),45839.0)</f>
        <v>45839</v>
      </c>
      <c r="B357" s="9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8">
        <f>IFERROR(__xludf.DUMMYFUNCTION("""COMPUTED_VALUE"""),45839.0)</f>
        <v>45839</v>
      </c>
      <c r="B358" s="9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8">
        <f>IFERROR(__xludf.DUMMYFUNCTION("""COMPUTED_VALUE"""),45839.0)</f>
        <v>45839</v>
      </c>
      <c r="B359" s="9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8">
        <f>IFERROR(__xludf.DUMMYFUNCTION("""COMPUTED_VALUE"""),45839.0)</f>
        <v>45839</v>
      </c>
      <c r="B360" s="9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8">
        <f>IFERROR(__xludf.DUMMYFUNCTION("""COMPUTED_VALUE"""),45839.0)</f>
        <v>45839</v>
      </c>
      <c r="B361" s="9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8">
        <f>IFERROR(__xludf.DUMMYFUNCTION("""COMPUTED_VALUE"""),45839.0)</f>
        <v>45839</v>
      </c>
      <c r="B362" s="9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8">
        <f>IFERROR(__xludf.DUMMYFUNCTION("""COMPUTED_VALUE"""),45839.0)</f>
        <v>45839</v>
      </c>
      <c r="B363" s="9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8">
        <f>IFERROR(__xludf.DUMMYFUNCTION("""COMPUTED_VALUE"""),45839.0)</f>
        <v>45839</v>
      </c>
      <c r="B364" s="9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8">
        <f>IFERROR(__xludf.DUMMYFUNCTION("""COMPUTED_VALUE"""),45839.0)</f>
        <v>45839</v>
      </c>
      <c r="B365" s="9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8">
        <f>IFERROR(__xludf.DUMMYFUNCTION("""COMPUTED_VALUE"""),45839.0)</f>
        <v>45839</v>
      </c>
      <c r="B366" s="9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8">
        <f>IFERROR(__xludf.DUMMYFUNCTION("""COMPUTED_VALUE"""),45839.0)</f>
        <v>45839</v>
      </c>
      <c r="B367" s="9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8">
        <f>IFERROR(__xludf.DUMMYFUNCTION("""COMPUTED_VALUE"""),45839.0)</f>
        <v>45839</v>
      </c>
      <c r="B368" s="9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8">
        <f>IFERROR(__xludf.DUMMYFUNCTION("""COMPUTED_VALUE"""),45839.0)</f>
        <v>45839</v>
      </c>
      <c r="B369" s="9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8">
        <f>IFERROR(__xludf.DUMMYFUNCTION("""COMPUTED_VALUE"""),45839.0)</f>
        <v>45839</v>
      </c>
      <c r="B370" s="9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8">
        <f>IFERROR(__xludf.DUMMYFUNCTION("""COMPUTED_VALUE"""),45839.0)</f>
        <v>45839</v>
      </c>
      <c r="B371" s="9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8">
        <f>IFERROR(__xludf.DUMMYFUNCTION("""COMPUTED_VALUE"""),45839.0)</f>
        <v>45839</v>
      </c>
      <c r="B372" s="9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8">
        <f>IFERROR(__xludf.DUMMYFUNCTION("""COMPUTED_VALUE"""),45839.0)</f>
        <v>45839</v>
      </c>
      <c r="B373" s="9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8">
        <f>IFERROR(__xludf.DUMMYFUNCTION("""COMPUTED_VALUE"""),45839.0)</f>
        <v>45839</v>
      </c>
      <c r="B374" s="9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8">
        <f>IFERROR(__xludf.DUMMYFUNCTION("""COMPUTED_VALUE"""),45839.0)</f>
        <v>45839</v>
      </c>
      <c r="B375" s="9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8">
        <f>IFERROR(__xludf.DUMMYFUNCTION("""COMPUTED_VALUE"""),45839.0)</f>
        <v>45839</v>
      </c>
      <c r="B376" s="9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8">
        <f>IFERROR(__xludf.DUMMYFUNCTION("""COMPUTED_VALUE"""),45839.0)</f>
        <v>45839</v>
      </c>
      <c r="B377" s="9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8">
        <f>IFERROR(__xludf.DUMMYFUNCTION("""COMPUTED_VALUE"""),45839.0)</f>
        <v>45839</v>
      </c>
      <c r="B378" s="9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8">
        <f>IFERROR(__xludf.DUMMYFUNCTION("""COMPUTED_VALUE"""),45839.0)</f>
        <v>45839</v>
      </c>
      <c r="B379" s="9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8">
        <f>IFERROR(__xludf.DUMMYFUNCTION("""COMPUTED_VALUE"""),45839.0)</f>
        <v>45839</v>
      </c>
      <c r="B380" s="9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8">
        <f>IFERROR(__xludf.DUMMYFUNCTION("""COMPUTED_VALUE"""),45839.0)</f>
        <v>45839</v>
      </c>
      <c r="B381" s="9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8">
        <f>IFERROR(__xludf.DUMMYFUNCTION("""COMPUTED_VALUE"""),45839.0)</f>
        <v>45839</v>
      </c>
      <c r="B382" s="9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8">
        <f>IFERROR(__xludf.DUMMYFUNCTION("""COMPUTED_VALUE"""),45839.0)</f>
        <v>45839</v>
      </c>
      <c r="B383" s="9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8">
        <f>IFERROR(__xludf.DUMMYFUNCTION("""COMPUTED_VALUE"""),45839.0)</f>
        <v>45839</v>
      </c>
      <c r="B384" s="9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8">
        <f>IFERROR(__xludf.DUMMYFUNCTION("""COMPUTED_VALUE"""),45839.0)</f>
        <v>45839</v>
      </c>
      <c r="B385" s="9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8">
        <f>IFERROR(__xludf.DUMMYFUNCTION("""COMPUTED_VALUE"""),45839.0)</f>
        <v>45839</v>
      </c>
      <c r="B386" s="9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8">
        <f>IFERROR(__xludf.DUMMYFUNCTION("""COMPUTED_VALUE"""),45839.0)</f>
        <v>45839</v>
      </c>
      <c r="B387" s="9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8">
        <f>IFERROR(__xludf.DUMMYFUNCTION("""COMPUTED_VALUE"""),45839.0)</f>
        <v>45839</v>
      </c>
      <c r="B388" s="9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8">
        <f>IFERROR(__xludf.DUMMYFUNCTION("""COMPUTED_VALUE"""),45839.0)</f>
        <v>45839</v>
      </c>
      <c r="B389" s="9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8">
        <f>IFERROR(__xludf.DUMMYFUNCTION("""COMPUTED_VALUE"""),45839.0)</f>
        <v>45839</v>
      </c>
      <c r="B390" s="9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8">
        <f>IFERROR(__xludf.DUMMYFUNCTION("""COMPUTED_VALUE"""),45839.0)</f>
        <v>45839</v>
      </c>
      <c r="B391" s="9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8">
        <f>IFERROR(__xludf.DUMMYFUNCTION("""COMPUTED_VALUE"""),45839.0)</f>
        <v>45839</v>
      </c>
      <c r="B392" s="9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8">
        <f>IFERROR(__xludf.DUMMYFUNCTION("""COMPUTED_VALUE"""),45839.0)</f>
        <v>45839</v>
      </c>
      <c r="B393" s="9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8">
        <f>IFERROR(__xludf.DUMMYFUNCTION("""COMPUTED_VALUE"""),45839.0)</f>
        <v>45839</v>
      </c>
      <c r="B394" s="9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8">
        <f>IFERROR(__xludf.DUMMYFUNCTION("""COMPUTED_VALUE"""),45839.0)</f>
        <v>45839</v>
      </c>
      <c r="B395" s="9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8">
        <f>IFERROR(__xludf.DUMMYFUNCTION("""COMPUTED_VALUE"""),45839.0)</f>
        <v>45839</v>
      </c>
      <c r="B396" s="9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8">
        <f>IFERROR(__xludf.DUMMYFUNCTION("""COMPUTED_VALUE"""),45839.0)</f>
        <v>45839</v>
      </c>
      <c r="B397" s="9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8">
        <f>IFERROR(__xludf.DUMMYFUNCTION("""COMPUTED_VALUE"""),45839.0)</f>
        <v>45839</v>
      </c>
      <c r="B398" s="9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8">
        <f>IFERROR(__xludf.DUMMYFUNCTION("""COMPUTED_VALUE"""),45839.0)</f>
        <v>45839</v>
      </c>
      <c r="B399" s="9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8">
        <f>IFERROR(__xludf.DUMMYFUNCTION("""COMPUTED_VALUE"""),45839.0)</f>
        <v>45839</v>
      </c>
      <c r="B400" s="9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8">
        <f>IFERROR(__xludf.DUMMYFUNCTION("""COMPUTED_VALUE"""),45839.0)</f>
        <v>45839</v>
      </c>
      <c r="B401" s="9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8">
        <f>IFERROR(__xludf.DUMMYFUNCTION("""COMPUTED_VALUE"""),45839.0)</f>
        <v>45839</v>
      </c>
      <c r="B402" s="9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8">
        <f>IFERROR(__xludf.DUMMYFUNCTION("""COMPUTED_VALUE"""),45839.0)</f>
        <v>45839</v>
      </c>
      <c r="B403" s="9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8">
        <f>IFERROR(__xludf.DUMMYFUNCTION("""COMPUTED_VALUE"""),45839.0)</f>
        <v>45839</v>
      </c>
      <c r="B404" s="9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8">
        <f>IFERROR(__xludf.DUMMYFUNCTION("""COMPUTED_VALUE"""),45839.0)</f>
        <v>45839</v>
      </c>
      <c r="B405" s="9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8">
        <f>IFERROR(__xludf.DUMMYFUNCTION("""COMPUTED_VALUE"""),45839.0)</f>
        <v>45839</v>
      </c>
      <c r="B406" s="9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8">
        <f>IFERROR(__xludf.DUMMYFUNCTION("""COMPUTED_VALUE"""),45839.0)</f>
        <v>45839</v>
      </c>
      <c r="B407" s="9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8">
        <f>IFERROR(__xludf.DUMMYFUNCTION("""COMPUTED_VALUE"""),45839.0)</f>
        <v>45839</v>
      </c>
      <c r="B408" s="9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8">
        <f>IFERROR(__xludf.DUMMYFUNCTION("""COMPUTED_VALUE"""),45839.0)</f>
        <v>45839</v>
      </c>
      <c r="B409" s="9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8">
        <f>IFERROR(__xludf.DUMMYFUNCTION("""COMPUTED_VALUE"""),45839.0)</f>
        <v>45839</v>
      </c>
      <c r="B410" s="9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8">
        <f>IFERROR(__xludf.DUMMYFUNCTION("""COMPUTED_VALUE"""),45839.0)</f>
        <v>45839</v>
      </c>
      <c r="B411" s="9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8">
        <f>IFERROR(__xludf.DUMMYFUNCTION("""COMPUTED_VALUE"""),45839.0)</f>
        <v>45839</v>
      </c>
      <c r="B412" s="9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8">
        <f>IFERROR(__xludf.DUMMYFUNCTION("""COMPUTED_VALUE"""),45839.0)</f>
        <v>45839</v>
      </c>
      <c r="B413" s="9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8">
        <f>IFERROR(__xludf.DUMMYFUNCTION("""COMPUTED_VALUE"""),45839.0)</f>
        <v>45839</v>
      </c>
      <c r="B414" s="9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8">
        <f>IFERROR(__xludf.DUMMYFUNCTION("""COMPUTED_VALUE"""),45839.0)</f>
        <v>45839</v>
      </c>
      <c r="B415" s="9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8">
        <f>IFERROR(__xludf.DUMMYFUNCTION("""COMPUTED_VALUE"""),45839.0)</f>
        <v>45839</v>
      </c>
      <c r="B416" s="9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8">
        <f>IFERROR(__xludf.DUMMYFUNCTION("""COMPUTED_VALUE"""),45839.0)</f>
        <v>45839</v>
      </c>
      <c r="B417" s="9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8">
        <f>IFERROR(__xludf.DUMMYFUNCTION("""COMPUTED_VALUE"""),45839.0)</f>
        <v>45839</v>
      </c>
      <c r="B418" s="9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8">
        <f>IFERROR(__xludf.DUMMYFUNCTION("""COMPUTED_VALUE"""),45839.0)</f>
        <v>45839</v>
      </c>
      <c r="B419" s="9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8">
        <f>IFERROR(__xludf.DUMMYFUNCTION("""COMPUTED_VALUE"""),45839.0)</f>
        <v>45839</v>
      </c>
      <c r="B420" s="9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8">
        <f>IFERROR(__xludf.DUMMYFUNCTION("""COMPUTED_VALUE"""),45839.0)</f>
        <v>45839</v>
      </c>
      <c r="B421" s="9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8">
        <f>IFERROR(__xludf.DUMMYFUNCTION("""COMPUTED_VALUE"""),45839.0)</f>
        <v>45839</v>
      </c>
      <c r="B422" s="9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8">
        <f>IFERROR(__xludf.DUMMYFUNCTION("""COMPUTED_VALUE"""),45839.0)</f>
        <v>45839</v>
      </c>
      <c r="B423" s="9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8">
        <f>IFERROR(__xludf.DUMMYFUNCTION("""COMPUTED_VALUE"""),45839.0)</f>
        <v>45839</v>
      </c>
      <c r="B424" s="9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8">
        <f>IFERROR(__xludf.DUMMYFUNCTION("""COMPUTED_VALUE"""),45839.0)</f>
        <v>45839</v>
      </c>
      <c r="B425" s="9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8">
        <f>IFERROR(__xludf.DUMMYFUNCTION("""COMPUTED_VALUE"""),45839.0)</f>
        <v>45839</v>
      </c>
      <c r="B426" s="9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8">
        <f>IFERROR(__xludf.DUMMYFUNCTION("""COMPUTED_VALUE"""),45839.0)</f>
        <v>45839</v>
      </c>
      <c r="B427" s="9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8">
        <f>IFERROR(__xludf.DUMMYFUNCTION("""COMPUTED_VALUE"""),45839.0)</f>
        <v>45839</v>
      </c>
      <c r="B428" s="9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8">
        <f>IFERROR(__xludf.DUMMYFUNCTION("""COMPUTED_VALUE"""),45839.0)</f>
        <v>45839</v>
      </c>
      <c r="B429" s="9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8">
        <f>IFERROR(__xludf.DUMMYFUNCTION("""COMPUTED_VALUE"""),45839.0)</f>
        <v>45839</v>
      </c>
      <c r="B430" s="9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8">
        <f>IFERROR(__xludf.DUMMYFUNCTION("""COMPUTED_VALUE"""),45839.0)</f>
        <v>45839</v>
      </c>
      <c r="B431" s="9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8">
        <f>IFERROR(__xludf.DUMMYFUNCTION("""COMPUTED_VALUE"""),45839.0)</f>
        <v>45839</v>
      </c>
      <c r="B432" s="9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8">
        <f>IFERROR(__xludf.DUMMYFUNCTION("""COMPUTED_VALUE"""),45839.0)</f>
        <v>45839</v>
      </c>
      <c r="B433" s="9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8">
        <f>IFERROR(__xludf.DUMMYFUNCTION("""COMPUTED_VALUE"""),45839.0)</f>
        <v>45839</v>
      </c>
      <c r="B434" s="9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8">
        <f>IFERROR(__xludf.DUMMYFUNCTION("""COMPUTED_VALUE"""),45839.0)</f>
        <v>45839</v>
      </c>
      <c r="B435" s="9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8">
        <f>IFERROR(__xludf.DUMMYFUNCTION("""COMPUTED_VALUE"""),45839.0)</f>
        <v>45839</v>
      </c>
      <c r="B436" s="9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8">
        <f>IFERROR(__xludf.DUMMYFUNCTION("""COMPUTED_VALUE"""),45839.0)</f>
        <v>45839</v>
      </c>
      <c r="B437" s="9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8">
        <f>IFERROR(__xludf.DUMMYFUNCTION("""COMPUTED_VALUE"""),45870.0)</f>
        <v>45870</v>
      </c>
      <c r="B438" s="9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8">
        <f>IFERROR(__xludf.DUMMYFUNCTION("""COMPUTED_VALUE"""),45870.0)</f>
        <v>45870</v>
      </c>
      <c r="B439" s="9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8">
        <f>IFERROR(__xludf.DUMMYFUNCTION("""COMPUTED_VALUE"""),45870.0)</f>
        <v>45870</v>
      </c>
      <c r="B440" s="9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8">
        <f>IFERROR(__xludf.DUMMYFUNCTION("""COMPUTED_VALUE"""),45870.0)</f>
        <v>45870</v>
      </c>
      <c r="B441" s="9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8">
        <f>IFERROR(__xludf.DUMMYFUNCTION("""COMPUTED_VALUE"""),45870.0)</f>
        <v>45870</v>
      </c>
      <c r="B442" s="9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8">
        <f>IFERROR(__xludf.DUMMYFUNCTION("""COMPUTED_VALUE"""),45870.0)</f>
        <v>45870</v>
      </c>
      <c r="B443" s="9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8">
        <f>IFERROR(__xludf.DUMMYFUNCTION("""COMPUTED_VALUE"""),45870.0)</f>
        <v>45870</v>
      </c>
      <c r="B444" s="9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8">
        <f>IFERROR(__xludf.DUMMYFUNCTION("""COMPUTED_VALUE"""),45870.0)</f>
        <v>45870</v>
      </c>
      <c r="B445" s="9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8">
        <f>IFERROR(__xludf.DUMMYFUNCTION("""COMPUTED_VALUE"""),45870.0)</f>
        <v>45870</v>
      </c>
      <c r="B446" s="9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8">
        <f>IFERROR(__xludf.DUMMYFUNCTION("""COMPUTED_VALUE"""),45870.0)</f>
        <v>45870</v>
      </c>
      <c r="B447" s="9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8">
        <f>IFERROR(__xludf.DUMMYFUNCTION("""COMPUTED_VALUE"""),45870.0)</f>
        <v>45870</v>
      </c>
      <c r="B448" s="9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8">
        <f>IFERROR(__xludf.DUMMYFUNCTION("""COMPUTED_VALUE"""),45870.0)</f>
        <v>45870</v>
      </c>
      <c r="B449" s="9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8">
        <f>IFERROR(__xludf.DUMMYFUNCTION("""COMPUTED_VALUE"""),45870.0)</f>
        <v>45870</v>
      </c>
      <c r="B450" s="9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8">
        <f>IFERROR(__xludf.DUMMYFUNCTION("""COMPUTED_VALUE"""),45870.0)</f>
        <v>45870</v>
      </c>
      <c r="B451" s="9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8">
        <f>IFERROR(__xludf.DUMMYFUNCTION("""COMPUTED_VALUE"""),45870.0)</f>
        <v>45870</v>
      </c>
      <c r="B452" s="9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8">
        <f>IFERROR(__xludf.DUMMYFUNCTION("""COMPUTED_VALUE"""),45870.0)</f>
        <v>45870</v>
      </c>
      <c r="B453" s="9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8">
        <f>IFERROR(__xludf.DUMMYFUNCTION("""COMPUTED_VALUE"""),45870.0)</f>
        <v>45870</v>
      </c>
      <c r="B454" s="9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8">
        <f>IFERROR(__xludf.DUMMYFUNCTION("""COMPUTED_VALUE"""),45870.0)</f>
        <v>45870</v>
      </c>
      <c r="B455" s="9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8">
        <f>IFERROR(__xludf.DUMMYFUNCTION("""COMPUTED_VALUE"""),45870.0)</f>
        <v>45870</v>
      </c>
      <c r="B456" s="9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8">
        <f>IFERROR(__xludf.DUMMYFUNCTION("""COMPUTED_VALUE"""),45870.0)</f>
        <v>45870</v>
      </c>
      <c r="B457" s="9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8">
        <f>IFERROR(__xludf.DUMMYFUNCTION("""COMPUTED_VALUE"""),45870.0)</f>
        <v>45870</v>
      </c>
      <c r="B458" s="9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8">
        <f>IFERROR(__xludf.DUMMYFUNCTION("""COMPUTED_VALUE"""),45870.0)</f>
        <v>45870</v>
      </c>
      <c r="B459" s="9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8">
        <f>IFERROR(__xludf.DUMMYFUNCTION("""COMPUTED_VALUE"""),45870.0)</f>
        <v>45870</v>
      </c>
      <c r="B460" s="9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8">
        <f>IFERROR(__xludf.DUMMYFUNCTION("""COMPUTED_VALUE"""),45870.0)</f>
        <v>45870</v>
      </c>
      <c r="B461" s="9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8">
        <f>IFERROR(__xludf.DUMMYFUNCTION("""COMPUTED_VALUE"""),45870.0)</f>
        <v>45870</v>
      </c>
      <c r="B462" s="9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8">
        <f>IFERROR(__xludf.DUMMYFUNCTION("""COMPUTED_VALUE"""),45870.0)</f>
        <v>45870</v>
      </c>
      <c r="B463" s="9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8">
        <f>IFERROR(__xludf.DUMMYFUNCTION("""COMPUTED_VALUE"""),45870.0)</f>
        <v>45870</v>
      </c>
      <c r="B464" s="9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8">
        <f>IFERROR(__xludf.DUMMYFUNCTION("""COMPUTED_VALUE"""),45870.0)</f>
        <v>45870</v>
      </c>
      <c r="B465" s="9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8">
        <f>IFERROR(__xludf.DUMMYFUNCTION("""COMPUTED_VALUE"""),45870.0)</f>
        <v>45870</v>
      </c>
      <c r="B466" s="9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8">
        <f>IFERROR(__xludf.DUMMYFUNCTION("""COMPUTED_VALUE"""),45870.0)</f>
        <v>45870</v>
      </c>
      <c r="B467" s="9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8">
        <f>IFERROR(__xludf.DUMMYFUNCTION("""COMPUTED_VALUE"""),45870.0)</f>
        <v>45870</v>
      </c>
      <c r="B468" s="9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8">
        <f>IFERROR(__xludf.DUMMYFUNCTION("""COMPUTED_VALUE"""),45870.0)</f>
        <v>45870</v>
      </c>
      <c r="B469" s="9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8">
        <f>IFERROR(__xludf.DUMMYFUNCTION("""COMPUTED_VALUE"""),45870.0)</f>
        <v>45870</v>
      </c>
      <c r="B470" s="9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8">
        <f>IFERROR(__xludf.DUMMYFUNCTION("""COMPUTED_VALUE"""),45870.0)</f>
        <v>45870</v>
      </c>
      <c r="B471" s="9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8">
        <f>IFERROR(__xludf.DUMMYFUNCTION("""COMPUTED_VALUE"""),45870.0)</f>
        <v>45870</v>
      </c>
      <c r="B472" s="9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8">
        <f>IFERROR(__xludf.DUMMYFUNCTION("""COMPUTED_VALUE"""),45870.0)</f>
        <v>45870</v>
      </c>
      <c r="B473" s="9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8">
        <f>IFERROR(__xludf.DUMMYFUNCTION("""COMPUTED_VALUE"""),45870.0)</f>
        <v>45870</v>
      </c>
      <c r="B474" s="9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8">
        <f>IFERROR(__xludf.DUMMYFUNCTION("""COMPUTED_VALUE"""),45870.0)</f>
        <v>45870</v>
      </c>
      <c r="B475" s="9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8">
        <f>IFERROR(__xludf.DUMMYFUNCTION("""COMPUTED_VALUE"""),45870.0)</f>
        <v>45870</v>
      </c>
      <c r="B476" s="9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8">
        <f>IFERROR(__xludf.DUMMYFUNCTION("""COMPUTED_VALUE"""),45870.0)</f>
        <v>45870</v>
      </c>
      <c r="B477" s="9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8">
        <f>IFERROR(__xludf.DUMMYFUNCTION("""COMPUTED_VALUE"""),45870.0)</f>
        <v>45870</v>
      </c>
      <c r="B478" s="9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8">
        <f>IFERROR(__xludf.DUMMYFUNCTION("""COMPUTED_VALUE"""),45870.0)</f>
        <v>45870</v>
      </c>
      <c r="B479" s="9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8">
        <f>IFERROR(__xludf.DUMMYFUNCTION("""COMPUTED_VALUE"""),45870.0)</f>
        <v>45870</v>
      </c>
      <c r="B480" s="9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8">
        <f>IFERROR(__xludf.DUMMYFUNCTION("""COMPUTED_VALUE"""),45870.0)</f>
        <v>45870</v>
      </c>
      <c r="B481" s="9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8">
        <f>IFERROR(__xludf.DUMMYFUNCTION("""COMPUTED_VALUE"""),45870.0)</f>
        <v>45870</v>
      </c>
      <c r="B482" s="9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8">
        <f>IFERROR(__xludf.DUMMYFUNCTION("""COMPUTED_VALUE"""),45870.0)</f>
        <v>45870</v>
      </c>
      <c r="B483" s="9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8">
        <f>IFERROR(__xludf.DUMMYFUNCTION("""COMPUTED_VALUE"""),45870.0)</f>
        <v>45870</v>
      </c>
      <c r="B484" s="9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8">
        <f>IFERROR(__xludf.DUMMYFUNCTION("""COMPUTED_VALUE"""),45870.0)</f>
        <v>45870</v>
      </c>
      <c r="B485" s="9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8">
        <f>IFERROR(__xludf.DUMMYFUNCTION("""COMPUTED_VALUE"""),45870.0)</f>
        <v>45870</v>
      </c>
      <c r="B486" s="9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8">
        <f>IFERROR(__xludf.DUMMYFUNCTION("""COMPUTED_VALUE"""),45870.0)</f>
        <v>45870</v>
      </c>
      <c r="B487" s="9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8">
        <f>IFERROR(__xludf.DUMMYFUNCTION("""COMPUTED_VALUE"""),45870.0)</f>
        <v>45870</v>
      </c>
      <c r="B488" s="9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8">
        <f>IFERROR(__xludf.DUMMYFUNCTION("""COMPUTED_VALUE"""),45870.0)</f>
        <v>45870</v>
      </c>
      <c r="B489" s="9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8">
        <f>IFERROR(__xludf.DUMMYFUNCTION("""COMPUTED_VALUE"""),45870.0)</f>
        <v>45870</v>
      </c>
      <c r="B490" s="9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8">
        <f>IFERROR(__xludf.DUMMYFUNCTION("""COMPUTED_VALUE"""),45870.0)</f>
        <v>45870</v>
      </c>
      <c r="B491" s="9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8">
        <f>IFERROR(__xludf.DUMMYFUNCTION("""COMPUTED_VALUE"""),45870.0)</f>
        <v>45870</v>
      </c>
      <c r="B492" s="9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8">
        <f>IFERROR(__xludf.DUMMYFUNCTION("""COMPUTED_VALUE"""),45870.0)</f>
        <v>45870</v>
      </c>
      <c r="B493" s="9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8">
        <f>IFERROR(__xludf.DUMMYFUNCTION("""COMPUTED_VALUE"""),45870.0)</f>
        <v>45870</v>
      </c>
      <c r="B494" s="9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8">
        <f>IFERROR(__xludf.DUMMYFUNCTION("""COMPUTED_VALUE"""),45870.0)</f>
        <v>45870</v>
      </c>
      <c r="B495" s="9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8">
        <f>IFERROR(__xludf.DUMMYFUNCTION("""COMPUTED_VALUE"""),45870.0)</f>
        <v>45870</v>
      </c>
      <c r="B496" s="9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8">
        <f>IFERROR(__xludf.DUMMYFUNCTION("""COMPUTED_VALUE"""),45870.0)</f>
        <v>45870</v>
      </c>
      <c r="B497" s="9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8">
        <f>IFERROR(__xludf.DUMMYFUNCTION("""COMPUTED_VALUE"""),45870.0)</f>
        <v>45870</v>
      </c>
      <c r="B498" s="9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8">
        <f>IFERROR(__xludf.DUMMYFUNCTION("""COMPUTED_VALUE"""),45870.0)</f>
        <v>45870</v>
      </c>
      <c r="B499" s="9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8">
        <f>IFERROR(__xludf.DUMMYFUNCTION("""COMPUTED_VALUE"""),45870.0)</f>
        <v>45870</v>
      </c>
      <c r="B500" s="9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8">
        <f>IFERROR(__xludf.DUMMYFUNCTION("""COMPUTED_VALUE"""),45870.0)</f>
        <v>45870</v>
      </c>
      <c r="B501" s="9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8">
        <f>IFERROR(__xludf.DUMMYFUNCTION("""COMPUTED_VALUE"""),45870.0)</f>
        <v>45870</v>
      </c>
      <c r="B502" s="9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8">
        <f>IFERROR(__xludf.DUMMYFUNCTION("""COMPUTED_VALUE"""),45870.0)</f>
        <v>45870</v>
      </c>
      <c r="B503" s="9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8">
        <f>IFERROR(__xludf.DUMMYFUNCTION("""COMPUTED_VALUE"""),45870.0)</f>
        <v>45870</v>
      </c>
      <c r="B504" s="9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8">
        <f>IFERROR(__xludf.DUMMYFUNCTION("""COMPUTED_VALUE"""),45870.0)</f>
        <v>45870</v>
      </c>
      <c r="B505" s="9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8">
        <f>IFERROR(__xludf.DUMMYFUNCTION("""COMPUTED_VALUE"""),45870.0)</f>
        <v>45870</v>
      </c>
      <c r="B506" s="9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8">
        <f>IFERROR(__xludf.DUMMYFUNCTION("""COMPUTED_VALUE"""),45870.0)</f>
        <v>45870</v>
      </c>
      <c r="B507" s="9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8">
        <f>IFERROR(__xludf.DUMMYFUNCTION("""COMPUTED_VALUE"""),45870.0)</f>
        <v>45870</v>
      </c>
      <c r="B508" s="9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8">
        <f>IFERROR(__xludf.DUMMYFUNCTION("""COMPUTED_VALUE"""),45870.0)</f>
        <v>45870</v>
      </c>
      <c r="B509" s="9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8">
        <f>IFERROR(__xludf.DUMMYFUNCTION("""COMPUTED_VALUE"""),45870.0)</f>
        <v>45870</v>
      </c>
      <c r="B510" s="9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8">
        <f>IFERROR(__xludf.DUMMYFUNCTION("""COMPUTED_VALUE"""),45870.0)</f>
        <v>45870</v>
      </c>
      <c r="B511" s="9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8">
        <f>IFERROR(__xludf.DUMMYFUNCTION("""COMPUTED_VALUE"""),45870.0)</f>
        <v>45870</v>
      </c>
      <c r="B512" s="9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8">
        <f>IFERROR(__xludf.DUMMYFUNCTION("""COMPUTED_VALUE"""),45870.0)</f>
        <v>45870</v>
      </c>
      <c r="B513" s="9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8">
        <f>IFERROR(__xludf.DUMMYFUNCTION("""COMPUTED_VALUE"""),45870.0)</f>
        <v>45870</v>
      </c>
      <c r="B514" s="9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8">
        <f>IFERROR(__xludf.DUMMYFUNCTION("""COMPUTED_VALUE"""),45870.0)</f>
        <v>45870</v>
      </c>
      <c r="B515" s="9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8">
        <f>IFERROR(__xludf.DUMMYFUNCTION("""COMPUTED_VALUE"""),45870.0)</f>
        <v>45870</v>
      </c>
      <c r="B516" s="9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8">
        <f>IFERROR(__xludf.DUMMYFUNCTION("""COMPUTED_VALUE"""),45870.0)</f>
        <v>45870</v>
      </c>
      <c r="B517" s="9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8">
        <f>IFERROR(__xludf.DUMMYFUNCTION("""COMPUTED_VALUE"""),45870.0)</f>
        <v>45870</v>
      </c>
      <c r="B518" s="9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8">
        <f>IFERROR(__xludf.DUMMYFUNCTION("""COMPUTED_VALUE"""),45870.0)</f>
        <v>45870</v>
      </c>
      <c r="B519" s="9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8">
        <f>IFERROR(__xludf.DUMMYFUNCTION("""COMPUTED_VALUE"""),45870.0)</f>
        <v>45870</v>
      </c>
      <c r="B520" s="9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8">
        <f>IFERROR(__xludf.DUMMYFUNCTION("""COMPUTED_VALUE"""),45870.0)</f>
        <v>45870</v>
      </c>
      <c r="B521" s="9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8">
        <f>IFERROR(__xludf.DUMMYFUNCTION("""COMPUTED_VALUE"""),45870.0)</f>
        <v>45870</v>
      </c>
      <c r="B522" s="9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8">
        <f>IFERROR(__xludf.DUMMYFUNCTION("""COMPUTED_VALUE"""),45870.0)</f>
        <v>45870</v>
      </c>
      <c r="B523" s="9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8">
        <f>IFERROR(__xludf.DUMMYFUNCTION("""COMPUTED_VALUE"""),45870.0)</f>
        <v>45870</v>
      </c>
      <c r="B524" s="9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8">
        <f>IFERROR(__xludf.DUMMYFUNCTION("""COMPUTED_VALUE"""),45870.0)</f>
        <v>45870</v>
      </c>
      <c r="B525" s="9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8">
        <f>IFERROR(__xludf.DUMMYFUNCTION("""COMPUTED_VALUE"""),45870.0)</f>
        <v>45870</v>
      </c>
      <c r="B526" s="9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8">
        <f>IFERROR(__xludf.DUMMYFUNCTION("""COMPUTED_VALUE"""),45870.0)</f>
        <v>45870</v>
      </c>
      <c r="B527" s="9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8">
        <f>IFERROR(__xludf.DUMMYFUNCTION("""COMPUTED_VALUE"""),45870.0)</f>
        <v>45870</v>
      </c>
      <c r="B528" s="9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8">
        <f>IFERROR(__xludf.DUMMYFUNCTION("""COMPUTED_VALUE"""),45870.0)</f>
        <v>45870</v>
      </c>
      <c r="B529" s="9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8">
        <f>IFERROR(__xludf.DUMMYFUNCTION("""COMPUTED_VALUE"""),45870.0)</f>
        <v>45870</v>
      </c>
      <c r="B530" s="9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8">
        <f>IFERROR(__xludf.DUMMYFUNCTION("""COMPUTED_VALUE"""),45870.0)</f>
        <v>45870</v>
      </c>
      <c r="B531" s="9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8">
        <f>IFERROR(__xludf.DUMMYFUNCTION("""COMPUTED_VALUE"""),45870.0)</f>
        <v>45870</v>
      </c>
      <c r="B532" s="9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8">
        <f>IFERROR(__xludf.DUMMYFUNCTION("""COMPUTED_VALUE"""),45870.0)</f>
        <v>45870</v>
      </c>
      <c r="B533" s="9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8">
        <f>IFERROR(__xludf.DUMMYFUNCTION("""COMPUTED_VALUE"""),45870.0)</f>
        <v>45870</v>
      </c>
      <c r="B534" s="9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8">
        <f>IFERROR(__xludf.DUMMYFUNCTION("""COMPUTED_VALUE"""),45870.0)</f>
        <v>45870</v>
      </c>
      <c r="B535" s="9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8">
        <f>IFERROR(__xludf.DUMMYFUNCTION("""COMPUTED_VALUE"""),45870.0)</f>
        <v>45870</v>
      </c>
      <c r="B536" s="9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8">
        <f>IFERROR(__xludf.DUMMYFUNCTION("""COMPUTED_VALUE"""),45870.0)</f>
        <v>45870</v>
      </c>
      <c r="B537" s="9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8">
        <f>IFERROR(__xludf.DUMMYFUNCTION("""COMPUTED_VALUE"""),45870.0)</f>
        <v>45870</v>
      </c>
      <c r="B538" s="9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8">
        <f>IFERROR(__xludf.DUMMYFUNCTION("""COMPUTED_VALUE"""),45870.0)</f>
        <v>45870</v>
      </c>
      <c r="B539" s="9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8">
        <f>IFERROR(__xludf.DUMMYFUNCTION("""COMPUTED_VALUE"""),45870.0)</f>
        <v>45870</v>
      </c>
      <c r="B540" s="9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8">
        <f>IFERROR(__xludf.DUMMYFUNCTION("""COMPUTED_VALUE"""),45870.0)</f>
        <v>45870</v>
      </c>
      <c r="B541" s="9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8">
        <f>IFERROR(__xludf.DUMMYFUNCTION("""COMPUTED_VALUE"""),45870.0)</f>
        <v>45870</v>
      </c>
      <c r="B542" s="9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8">
        <f>IFERROR(__xludf.DUMMYFUNCTION("""COMPUTED_VALUE"""),45870.0)</f>
        <v>45870</v>
      </c>
      <c r="B543" s="9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8">
        <f>IFERROR(__xludf.DUMMYFUNCTION("""COMPUTED_VALUE"""),45870.0)</f>
        <v>45870</v>
      </c>
      <c r="B544" s="9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8">
        <f>IFERROR(__xludf.DUMMYFUNCTION("""COMPUTED_VALUE"""),45870.0)</f>
        <v>45870</v>
      </c>
      <c r="B545" s="9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8">
        <f>IFERROR(__xludf.DUMMYFUNCTION("""COMPUTED_VALUE"""),45870.0)</f>
        <v>45870</v>
      </c>
      <c r="B546" s="9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8">
        <f>IFERROR(__xludf.DUMMYFUNCTION("""COMPUTED_VALUE"""),45870.0)</f>
        <v>45870</v>
      </c>
      <c r="B547" s="9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8">
        <f>IFERROR(__xludf.DUMMYFUNCTION("""COMPUTED_VALUE"""),45870.0)</f>
        <v>45870</v>
      </c>
      <c r="B548" s="9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8">
        <f>IFERROR(__xludf.DUMMYFUNCTION("""COMPUTED_VALUE"""),45870.0)</f>
        <v>45870</v>
      </c>
      <c r="B549" s="9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8">
        <f>IFERROR(__xludf.DUMMYFUNCTION("""COMPUTED_VALUE"""),45870.0)</f>
        <v>45870</v>
      </c>
      <c r="B550" s="9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8">
        <f>IFERROR(__xludf.DUMMYFUNCTION("""COMPUTED_VALUE"""),45870.0)</f>
        <v>45870</v>
      </c>
      <c r="B551" s="9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8">
        <f>IFERROR(__xludf.DUMMYFUNCTION("""COMPUTED_VALUE"""),45870.0)</f>
        <v>45870</v>
      </c>
      <c r="B552" s="9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8">
        <f>IFERROR(__xludf.DUMMYFUNCTION("""COMPUTED_VALUE"""),45870.0)</f>
        <v>45870</v>
      </c>
      <c r="B553" s="9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8">
        <f>IFERROR(__xludf.DUMMYFUNCTION("""COMPUTED_VALUE"""),45870.0)</f>
        <v>45870</v>
      </c>
      <c r="B554" s="9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8">
        <f>IFERROR(__xludf.DUMMYFUNCTION("""COMPUTED_VALUE"""),45870.0)</f>
        <v>45870</v>
      </c>
      <c r="B555" s="9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8">
        <f>IFERROR(__xludf.DUMMYFUNCTION("""COMPUTED_VALUE"""),45870.0)</f>
        <v>45870</v>
      </c>
      <c r="B556" s="9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8">
        <f>IFERROR(__xludf.DUMMYFUNCTION("""COMPUTED_VALUE"""),45870.0)</f>
        <v>45870</v>
      </c>
      <c r="B557" s="9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8">
        <f>IFERROR(__xludf.DUMMYFUNCTION("""COMPUTED_VALUE"""),45870.0)</f>
        <v>45870</v>
      </c>
      <c r="B558" s="9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8">
        <f>IFERROR(__xludf.DUMMYFUNCTION("""COMPUTED_VALUE"""),45870.0)</f>
        <v>45870</v>
      </c>
      <c r="B559" s="9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8">
        <f>IFERROR(__xludf.DUMMYFUNCTION("""COMPUTED_VALUE"""),45870.0)</f>
        <v>45870</v>
      </c>
      <c r="B560" s="9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8">
        <f>IFERROR(__xludf.DUMMYFUNCTION("""COMPUTED_VALUE"""),45870.0)</f>
        <v>45870</v>
      </c>
      <c r="B561" s="9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8">
        <f>IFERROR(__xludf.DUMMYFUNCTION("""COMPUTED_VALUE"""),45870.0)</f>
        <v>45870</v>
      </c>
      <c r="B562" s="9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8">
        <f>IFERROR(__xludf.DUMMYFUNCTION("""COMPUTED_VALUE"""),45870.0)</f>
        <v>45870</v>
      </c>
      <c r="B563" s="9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8">
        <f>IFERROR(__xludf.DUMMYFUNCTION("""COMPUTED_VALUE"""),45870.0)</f>
        <v>45870</v>
      </c>
      <c r="B564" s="9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8">
        <f>IFERROR(__xludf.DUMMYFUNCTION("""COMPUTED_VALUE"""),45870.0)</f>
        <v>45870</v>
      </c>
      <c r="B565" s="9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8">
        <f>IFERROR(__xludf.DUMMYFUNCTION("""COMPUTED_VALUE"""),45870.0)</f>
        <v>45870</v>
      </c>
      <c r="B566" s="9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8">
        <f>IFERROR(__xludf.DUMMYFUNCTION("""COMPUTED_VALUE"""),45870.0)</f>
        <v>45870</v>
      </c>
      <c r="B567" s="9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8">
        <f>IFERROR(__xludf.DUMMYFUNCTION("""COMPUTED_VALUE"""),45870.0)</f>
        <v>45870</v>
      </c>
      <c r="B568" s="9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8">
        <f>IFERROR(__xludf.DUMMYFUNCTION("""COMPUTED_VALUE"""),45870.0)</f>
        <v>45870</v>
      </c>
      <c r="B569" s="9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8">
        <f>IFERROR(__xludf.DUMMYFUNCTION("""COMPUTED_VALUE"""),45870.0)</f>
        <v>45870</v>
      </c>
      <c r="B570" s="9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8">
        <f>IFERROR(__xludf.DUMMYFUNCTION("""COMPUTED_VALUE"""),45870.0)</f>
        <v>45870</v>
      </c>
      <c r="B571" s="9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8">
        <f>IFERROR(__xludf.DUMMYFUNCTION("""COMPUTED_VALUE"""),45870.0)</f>
        <v>45870</v>
      </c>
      <c r="B572" s="9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8">
        <f>IFERROR(__xludf.DUMMYFUNCTION("""COMPUTED_VALUE"""),45870.0)</f>
        <v>45870</v>
      </c>
      <c r="B573" s="9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8">
        <f>IFERROR(__xludf.DUMMYFUNCTION("""COMPUTED_VALUE"""),45870.0)</f>
        <v>45870</v>
      </c>
      <c r="B574" s="9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8">
        <f>IFERROR(__xludf.DUMMYFUNCTION("""COMPUTED_VALUE"""),45870.0)</f>
        <v>45870</v>
      </c>
      <c r="B575" s="9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8">
        <f>IFERROR(__xludf.DUMMYFUNCTION("""COMPUTED_VALUE"""),45870.0)</f>
        <v>45870</v>
      </c>
      <c r="B576" s="9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8">
        <f>IFERROR(__xludf.DUMMYFUNCTION("""COMPUTED_VALUE"""),45870.0)</f>
        <v>45870</v>
      </c>
      <c r="B577" s="9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8">
        <f>IFERROR(__xludf.DUMMYFUNCTION("""COMPUTED_VALUE"""),45870.0)</f>
        <v>45870</v>
      </c>
      <c r="B578" s="9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8">
        <f>IFERROR(__xludf.DUMMYFUNCTION("""COMPUTED_VALUE"""),45870.0)</f>
        <v>45870</v>
      </c>
      <c r="B579" s="9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8">
        <f>IFERROR(__xludf.DUMMYFUNCTION("""COMPUTED_VALUE"""),45870.0)</f>
        <v>45870</v>
      </c>
      <c r="B580" s="9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8">
        <f>IFERROR(__xludf.DUMMYFUNCTION("""COMPUTED_VALUE"""),45870.0)</f>
        <v>45870</v>
      </c>
      <c r="B581" s="9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8">
        <f>IFERROR(__xludf.DUMMYFUNCTION("""COMPUTED_VALUE"""),45870.0)</f>
        <v>45870</v>
      </c>
      <c r="B582" s="9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8">
        <f>IFERROR(__xludf.DUMMYFUNCTION("""COMPUTED_VALUE"""),45901.0)</f>
        <v>45901</v>
      </c>
      <c r="B583" s="9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8">
        <f>IFERROR(__xludf.DUMMYFUNCTION("""COMPUTED_VALUE"""),45901.0)</f>
        <v>45901</v>
      </c>
      <c r="B584" s="9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8">
        <f>IFERROR(__xludf.DUMMYFUNCTION("""COMPUTED_VALUE"""),45901.0)</f>
        <v>45901</v>
      </c>
      <c r="B585" s="9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8">
        <f>IFERROR(__xludf.DUMMYFUNCTION("""COMPUTED_VALUE"""),45901.0)</f>
        <v>45901</v>
      </c>
      <c r="B586" s="9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8">
        <f>IFERROR(__xludf.DUMMYFUNCTION("""COMPUTED_VALUE"""),45901.0)</f>
        <v>45901</v>
      </c>
      <c r="B587" s="9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8">
        <f>IFERROR(__xludf.DUMMYFUNCTION("""COMPUTED_VALUE"""),45901.0)</f>
        <v>45901</v>
      </c>
      <c r="B588" s="9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8">
        <f>IFERROR(__xludf.DUMMYFUNCTION("""COMPUTED_VALUE"""),45901.0)</f>
        <v>45901</v>
      </c>
      <c r="B589" s="9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8">
        <f>IFERROR(__xludf.DUMMYFUNCTION("""COMPUTED_VALUE"""),45901.0)</f>
        <v>45901</v>
      </c>
      <c r="B590" s="9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8">
        <f>IFERROR(__xludf.DUMMYFUNCTION("""COMPUTED_VALUE"""),45901.0)</f>
        <v>45901</v>
      </c>
      <c r="B591" s="9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8">
        <f>IFERROR(__xludf.DUMMYFUNCTION("""COMPUTED_VALUE"""),45901.0)</f>
        <v>45901</v>
      </c>
      <c r="B592" s="9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8">
        <f>IFERROR(__xludf.DUMMYFUNCTION("""COMPUTED_VALUE"""),45901.0)</f>
        <v>45901</v>
      </c>
      <c r="B593" s="9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8">
        <f>IFERROR(__xludf.DUMMYFUNCTION("""COMPUTED_VALUE"""),45901.0)</f>
        <v>45901</v>
      </c>
      <c r="B594" s="9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8">
        <f>IFERROR(__xludf.DUMMYFUNCTION("""COMPUTED_VALUE"""),45901.0)</f>
        <v>45901</v>
      </c>
      <c r="B595" s="9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8">
        <f>IFERROR(__xludf.DUMMYFUNCTION("""COMPUTED_VALUE"""),45901.0)</f>
        <v>45901</v>
      </c>
      <c r="B596" s="9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8">
        <f>IFERROR(__xludf.DUMMYFUNCTION("""COMPUTED_VALUE"""),45901.0)</f>
        <v>45901</v>
      </c>
      <c r="B597" s="9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8">
        <f>IFERROR(__xludf.DUMMYFUNCTION("""COMPUTED_VALUE"""),45901.0)</f>
        <v>45901</v>
      </c>
      <c r="B598" s="9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8">
        <f>IFERROR(__xludf.DUMMYFUNCTION("""COMPUTED_VALUE"""),45901.0)</f>
        <v>45901</v>
      </c>
      <c r="B599" s="9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8">
        <f>IFERROR(__xludf.DUMMYFUNCTION("""COMPUTED_VALUE"""),45901.0)</f>
        <v>45901</v>
      </c>
      <c r="B600" s="9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8">
        <f>IFERROR(__xludf.DUMMYFUNCTION("""COMPUTED_VALUE"""),45901.0)</f>
        <v>45901</v>
      </c>
      <c r="B601" s="9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8">
        <f>IFERROR(__xludf.DUMMYFUNCTION("""COMPUTED_VALUE"""),45901.0)</f>
        <v>45901</v>
      </c>
      <c r="B602" s="9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8">
        <f>IFERROR(__xludf.DUMMYFUNCTION("""COMPUTED_VALUE"""),45901.0)</f>
        <v>45901</v>
      </c>
      <c r="B603" s="9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8">
        <f>IFERROR(__xludf.DUMMYFUNCTION("""COMPUTED_VALUE"""),45901.0)</f>
        <v>45901</v>
      </c>
      <c r="B604" s="9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8">
        <f>IFERROR(__xludf.DUMMYFUNCTION("""COMPUTED_VALUE"""),45901.0)</f>
        <v>45901</v>
      </c>
      <c r="B605" s="9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8">
        <f>IFERROR(__xludf.DUMMYFUNCTION("""COMPUTED_VALUE"""),45901.0)</f>
        <v>45901</v>
      </c>
      <c r="B606" s="9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8">
        <f>IFERROR(__xludf.DUMMYFUNCTION("""COMPUTED_VALUE"""),45901.0)</f>
        <v>45901</v>
      </c>
      <c r="B607" s="9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8">
        <f>IFERROR(__xludf.DUMMYFUNCTION("""COMPUTED_VALUE"""),45901.0)</f>
        <v>45901</v>
      </c>
      <c r="B608" s="9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8">
        <f>IFERROR(__xludf.DUMMYFUNCTION("""COMPUTED_VALUE"""),45901.0)</f>
        <v>45901</v>
      </c>
      <c r="B609" s="9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8">
        <f>IFERROR(__xludf.DUMMYFUNCTION("""COMPUTED_VALUE"""),45901.0)</f>
        <v>45901</v>
      </c>
      <c r="B610" s="9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8">
        <f>IFERROR(__xludf.DUMMYFUNCTION("""COMPUTED_VALUE"""),45901.0)</f>
        <v>45901</v>
      </c>
      <c r="B611" s="9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8">
        <f>IFERROR(__xludf.DUMMYFUNCTION("""COMPUTED_VALUE"""),45901.0)</f>
        <v>45901</v>
      </c>
      <c r="B612" s="9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8">
        <f>IFERROR(__xludf.DUMMYFUNCTION("""COMPUTED_VALUE"""),45901.0)</f>
        <v>45901</v>
      </c>
      <c r="B613" s="9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8">
        <f>IFERROR(__xludf.DUMMYFUNCTION("""COMPUTED_VALUE"""),45901.0)</f>
        <v>45901</v>
      </c>
      <c r="B614" s="9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8">
        <f>IFERROR(__xludf.DUMMYFUNCTION("""COMPUTED_VALUE"""),45901.0)</f>
        <v>45901</v>
      </c>
      <c r="B615" s="9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8">
        <f>IFERROR(__xludf.DUMMYFUNCTION("""COMPUTED_VALUE"""),45901.0)</f>
        <v>45901</v>
      </c>
      <c r="B616" s="9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8">
        <f>IFERROR(__xludf.DUMMYFUNCTION("""COMPUTED_VALUE"""),45901.0)</f>
        <v>45901</v>
      </c>
      <c r="B617" s="9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8">
        <f>IFERROR(__xludf.DUMMYFUNCTION("""COMPUTED_VALUE"""),45901.0)</f>
        <v>45901</v>
      </c>
      <c r="B618" s="9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8">
        <f>IFERROR(__xludf.DUMMYFUNCTION("""COMPUTED_VALUE"""),45901.0)</f>
        <v>45901</v>
      </c>
      <c r="B619" s="9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8">
        <f>IFERROR(__xludf.DUMMYFUNCTION("""COMPUTED_VALUE"""),45901.0)</f>
        <v>45901</v>
      </c>
      <c r="B620" s="9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8">
        <f>IFERROR(__xludf.DUMMYFUNCTION("""COMPUTED_VALUE"""),45901.0)</f>
        <v>45901</v>
      </c>
      <c r="B621" s="9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8">
        <f>IFERROR(__xludf.DUMMYFUNCTION("""COMPUTED_VALUE"""),45901.0)</f>
        <v>45901</v>
      </c>
      <c r="B622" s="9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8">
        <f>IFERROR(__xludf.DUMMYFUNCTION("""COMPUTED_VALUE"""),45901.0)</f>
        <v>45901</v>
      </c>
      <c r="B623" s="9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8">
        <f>IFERROR(__xludf.DUMMYFUNCTION("""COMPUTED_VALUE"""),45901.0)</f>
        <v>45901</v>
      </c>
      <c r="B624" s="9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8">
        <f>IFERROR(__xludf.DUMMYFUNCTION("""COMPUTED_VALUE"""),45901.0)</f>
        <v>45901</v>
      </c>
      <c r="B625" s="9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8">
        <f>IFERROR(__xludf.DUMMYFUNCTION("""COMPUTED_VALUE"""),45901.0)</f>
        <v>45901</v>
      </c>
      <c r="B626" s="9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8">
        <f>IFERROR(__xludf.DUMMYFUNCTION("""COMPUTED_VALUE"""),45901.0)</f>
        <v>45901</v>
      </c>
      <c r="B627" s="9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8">
        <f>IFERROR(__xludf.DUMMYFUNCTION("""COMPUTED_VALUE"""),45901.0)</f>
        <v>45901</v>
      </c>
      <c r="B628" s="9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8">
        <f>IFERROR(__xludf.DUMMYFUNCTION("""COMPUTED_VALUE"""),45901.0)</f>
        <v>45901</v>
      </c>
      <c r="B629" s="9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8">
        <f>IFERROR(__xludf.DUMMYFUNCTION("""COMPUTED_VALUE"""),45901.0)</f>
        <v>45901</v>
      </c>
      <c r="B630" s="9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8">
        <f>IFERROR(__xludf.DUMMYFUNCTION("""COMPUTED_VALUE"""),45901.0)</f>
        <v>45901</v>
      </c>
      <c r="B631" s="9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8">
        <f>IFERROR(__xludf.DUMMYFUNCTION("""COMPUTED_VALUE"""),45901.0)</f>
        <v>45901</v>
      </c>
      <c r="B632" s="9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8">
        <f>IFERROR(__xludf.DUMMYFUNCTION("""COMPUTED_VALUE"""),45901.0)</f>
        <v>45901</v>
      </c>
      <c r="B633" s="9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8">
        <f>IFERROR(__xludf.DUMMYFUNCTION("""COMPUTED_VALUE"""),45901.0)</f>
        <v>45901</v>
      </c>
      <c r="B634" s="9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8">
        <f>IFERROR(__xludf.DUMMYFUNCTION("""COMPUTED_VALUE"""),45901.0)</f>
        <v>45901</v>
      </c>
      <c r="B635" s="9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8">
        <f>IFERROR(__xludf.DUMMYFUNCTION("""COMPUTED_VALUE"""),45901.0)</f>
        <v>45901</v>
      </c>
      <c r="B636" s="9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8">
        <f>IFERROR(__xludf.DUMMYFUNCTION("""COMPUTED_VALUE"""),45901.0)</f>
        <v>45901</v>
      </c>
      <c r="B637" s="9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8">
        <f>IFERROR(__xludf.DUMMYFUNCTION("""COMPUTED_VALUE"""),45901.0)</f>
        <v>45901</v>
      </c>
      <c r="B638" s="9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8">
        <f>IFERROR(__xludf.DUMMYFUNCTION("""COMPUTED_VALUE"""),45901.0)</f>
        <v>45901</v>
      </c>
      <c r="B639" s="9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8">
        <f>IFERROR(__xludf.DUMMYFUNCTION("""COMPUTED_VALUE"""),45901.0)</f>
        <v>45901</v>
      </c>
      <c r="B640" s="9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8">
        <f>IFERROR(__xludf.DUMMYFUNCTION("""COMPUTED_VALUE"""),45901.0)</f>
        <v>45901</v>
      </c>
      <c r="B641" s="9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8">
        <f>IFERROR(__xludf.DUMMYFUNCTION("""COMPUTED_VALUE"""),45901.0)</f>
        <v>45901</v>
      </c>
      <c r="B642" s="9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8">
        <f>IFERROR(__xludf.DUMMYFUNCTION("""COMPUTED_VALUE"""),45901.0)</f>
        <v>45901</v>
      </c>
      <c r="B643" s="9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8">
        <f>IFERROR(__xludf.DUMMYFUNCTION("""COMPUTED_VALUE"""),45901.0)</f>
        <v>45901</v>
      </c>
      <c r="B644" s="9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8">
        <f>IFERROR(__xludf.DUMMYFUNCTION("""COMPUTED_VALUE"""),45901.0)</f>
        <v>45901</v>
      </c>
      <c r="B645" s="9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8">
        <f>IFERROR(__xludf.DUMMYFUNCTION("""COMPUTED_VALUE"""),45901.0)</f>
        <v>45901</v>
      </c>
      <c r="B646" s="9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8">
        <f>IFERROR(__xludf.DUMMYFUNCTION("""COMPUTED_VALUE"""),45901.0)</f>
        <v>45901</v>
      </c>
      <c r="B647" s="9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8">
        <f>IFERROR(__xludf.DUMMYFUNCTION("""COMPUTED_VALUE"""),45901.0)</f>
        <v>45901</v>
      </c>
      <c r="B648" s="9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8">
        <f>IFERROR(__xludf.DUMMYFUNCTION("""COMPUTED_VALUE"""),45901.0)</f>
        <v>45901</v>
      </c>
      <c r="B649" s="9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8">
        <f>IFERROR(__xludf.DUMMYFUNCTION("""COMPUTED_VALUE"""),45901.0)</f>
        <v>45901</v>
      </c>
      <c r="B650" s="9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8">
        <f>IFERROR(__xludf.DUMMYFUNCTION("""COMPUTED_VALUE"""),45901.0)</f>
        <v>45901</v>
      </c>
      <c r="B651" s="9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8">
        <f>IFERROR(__xludf.DUMMYFUNCTION("""COMPUTED_VALUE"""),45901.0)</f>
        <v>45901</v>
      </c>
      <c r="B652" s="9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8">
        <f>IFERROR(__xludf.DUMMYFUNCTION("""COMPUTED_VALUE"""),45901.0)</f>
        <v>45901</v>
      </c>
      <c r="B653" s="9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8">
        <f>IFERROR(__xludf.DUMMYFUNCTION("""COMPUTED_VALUE"""),45901.0)</f>
        <v>45901</v>
      </c>
      <c r="B654" s="9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8">
        <f>IFERROR(__xludf.DUMMYFUNCTION("""COMPUTED_VALUE"""),45901.0)</f>
        <v>45901</v>
      </c>
      <c r="B655" s="9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8">
        <f>IFERROR(__xludf.DUMMYFUNCTION("""COMPUTED_VALUE"""),45901.0)</f>
        <v>45901</v>
      </c>
      <c r="B656" s="9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8">
        <f>IFERROR(__xludf.DUMMYFUNCTION("""COMPUTED_VALUE"""),45901.0)</f>
        <v>45901</v>
      </c>
      <c r="B657" s="9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8">
        <f>IFERROR(__xludf.DUMMYFUNCTION("""COMPUTED_VALUE"""),45901.0)</f>
        <v>45901</v>
      </c>
      <c r="B658" s="9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8">
        <f>IFERROR(__xludf.DUMMYFUNCTION("""COMPUTED_VALUE"""),45901.0)</f>
        <v>45901</v>
      </c>
      <c r="B659" s="9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8">
        <f>IFERROR(__xludf.DUMMYFUNCTION("""COMPUTED_VALUE"""),45901.0)</f>
        <v>45901</v>
      </c>
      <c r="B660" s="9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8">
        <f>IFERROR(__xludf.DUMMYFUNCTION("""COMPUTED_VALUE"""),45901.0)</f>
        <v>45901</v>
      </c>
      <c r="B661" s="9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8">
        <f>IFERROR(__xludf.DUMMYFUNCTION("""COMPUTED_VALUE"""),45901.0)</f>
        <v>45901</v>
      </c>
      <c r="B662" s="9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8">
        <f>IFERROR(__xludf.DUMMYFUNCTION("""COMPUTED_VALUE"""),45901.0)</f>
        <v>45901</v>
      </c>
      <c r="B663" s="9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8">
        <f>IFERROR(__xludf.DUMMYFUNCTION("""COMPUTED_VALUE"""),45901.0)</f>
        <v>45901</v>
      </c>
      <c r="B664" s="9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8">
        <f>IFERROR(__xludf.DUMMYFUNCTION("""COMPUTED_VALUE"""),45901.0)</f>
        <v>45901</v>
      </c>
      <c r="B665" s="9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8">
        <f>IFERROR(__xludf.DUMMYFUNCTION("""COMPUTED_VALUE"""),45901.0)</f>
        <v>45901</v>
      </c>
      <c r="B666" s="9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8">
        <f>IFERROR(__xludf.DUMMYFUNCTION("""COMPUTED_VALUE"""),45901.0)</f>
        <v>45901</v>
      </c>
      <c r="B667" s="9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8">
        <f>IFERROR(__xludf.DUMMYFUNCTION("""COMPUTED_VALUE"""),45901.0)</f>
        <v>45901</v>
      </c>
      <c r="B668" s="9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8">
        <f>IFERROR(__xludf.DUMMYFUNCTION("""COMPUTED_VALUE"""),45901.0)</f>
        <v>45901</v>
      </c>
      <c r="B669" s="9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8">
        <f>IFERROR(__xludf.DUMMYFUNCTION("""COMPUTED_VALUE"""),45901.0)</f>
        <v>45901</v>
      </c>
      <c r="B670" s="9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8">
        <f>IFERROR(__xludf.DUMMYFUNCTION("""COMPUTED_VALUE"""),45901.0)</f>
        <v>45901</v>
      </c>
      <c r="B671" s="9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8">
        <f>IFERROR(__xludf.DUMMYFUNCTION("""COMPUTED_VALUE"""),45901.0)</f>
        <v>45901</v>
      </c>
      <c r="B672" s="9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8">
        <f>IFERROR(__xludf.DUMMYFUNCTION("""COMPUTED_VALUE"""),45901.0)</f>
        <v>45901</v>
      </c>
      <c r="B673" s="9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8">
        <f>IFERROR(__xludf.DUMMYFUNCTION("""COMPUTED_VALUE"""),45901.0)</f>
        <v>45901</v>
      </c>
      <c r="B674" s="9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8">
        <f>IFERROR(__xludf.DUMMYFUNCTION("""COMPUTED_VALUE"""),45901.0)</f>
        <v>45901</v>
      </c>
      <c r="B675" s="9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8">
        <f>IFERROR(__xludf.DUMMYFUNCTION("""COMPUTED_VALUE"""),45901.0)</f>
        <v>45901</v>
      </c>
      <c r="B676" s="9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8">
        <f>IFERROR(__xludf.DUMMYFUNCTION("""COMPUTED_VALUE"""),45901.0)</f>
        <v>45901</v>
      </c>
      <c r="B677" s="9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8">
        <f>IFERROR(__xludf.DUMMYFUNCTION("""COMPUTED_VALUE"""),45901.0)</f>
        <v>45901</v>
      </c>
      <c r="B678" s="9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8">
        <f>IFERROR(__xludf.DUMMYFUNCTION("""COMPUTED_VALUE"""),45901.0)</f>
        <v>45901</v>
      </c>
      <c r="B679" s="9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8">
        <f>IFERROR(__xludf.DUMMYFUNCTION("""COMPUTED_VALUE"""),45901.0)</f>
        <v>45901</v>
      </c>
      <c r="B680" s="9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8">
        <f>IFERROR(__xludf.DUMMYFUNCTION("""COMPUTED_VALUE"""),45901.0)</f>
        <v>45901</v>
      </c>
      <c r="B681" s="9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8">
        <f>IFERROR(__xludf.DUMMYFUNCTION("""COMPUTED_VALUE"""),45901.0)</f>
        <v>45901</v>
      </c>
      <c r="B682" s="9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8">
        <f>IFERROR(__xludf.DUMMYFUNCTION("""COMPUTED_VALUE"""),45901.0)</f>
        <v>45901</v>
      </c>
      <c r="B683" s="9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8">
        <f>IFERROR(__xludf.DUMMYFUNCTION("""COMPUTED_VALUE"""),45901.0)</f>
        <v>45901</v>
      </c>
      <c r="B684" s="9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8">
        <f>IFERROR(__xludf.DUMMYFUNCTION("""COMPUTED_VALUE"""),45901.0)</f>
        <v>45901</v>
      </c>
      <c r="B685" s="9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8">
        <f>IFERROR(__xludf.DUMMYFUNCTION("""COMPUTED_VALUE"""),45901.0)</f>
        <v>45901</v>
      </c>
      <c r="B686" s="9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8">
        <f>IFERROR(__xludf.DUMMYFUNCTION("""COMPUTED_VALUE"""),45901.0)</f>
        <v>45901</v>
      </c>
      <c r="B687" s="9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8">
        <f>IFERROR(__xludf.DUMMYFUNCTION("""COMPUTED_VALUE"""),45901.0)</f>
        <v>45901</v>
      </c>
      <c r="B688" s="9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8">
        <f>IFERROR(__xludf.DUMMYFUNCTION("""COMPUTED_VALUE"""),45901.0)</f>
        <v>45901</v>
      </c>
      <c r="B689" s="9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8">
        <f>IFERROR(__xludf.DUMMYFUNCTION("""COMPUTED_VALUE"""),45901.0)</f>
        <v>45901</v>
      </c>
      <c r="B690" s="9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8">
        <f>IFERROR(__xludf.DUMMYFUNCTION("""COMPUTED_VALUE"""),45901.0)</f>
        <v>45901</v>
      </c>
      <c r="B691" s="9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8">
        <f>IFERROR(__xludf.DUMMYFUNCTION("""COMPUTED_VALUE"""),45901.0)</f>
        <v>45901</v>
      </c>
      <c r="B692" s="9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8">
        <f>IFERROR(__xludf.DUMMYFUNCTION("""COMPUTED_VALUE"""),45901.0)</f>
        <v>45901</v>
      </c>
      <c r="B693" s="9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8">
        <f>IFERROR(__xludf.DUMMYFUNCTION("""COMPUTED_VALUE"""),45901.0)</f>
        <v>45901</v>
      </c>
      <c r="B694" s="9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8">
        <f>IFERROR(__xludf.DUMMYFUNCTION("""COMPUTED_VALUE"""),45901.0)</f>
        <v>45901</v>
      </c>
      <c r="B695" s="9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8">
        <f>IFERROR(__xludf.DUMMYFUNCTION("""COMPUTED_VALUE"""),45901.0)</f>
        <v>45901</v>
      </c>
      <c r="B696" s="9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8">
        <f>IFERROR(__xludf.DUMMYFUNCTION("""COMPUTED_VALUE"""),45901.0)</f>
        <v>45901</v>
      </c>
      <c r="B697" s="9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8">
        <f>IFERROR(__xludf.DUMMYFUNCTION("""COMPUTED_VALUE"""),45901.0)</f>
        <v>45901</v>
      </c>
      <c r="B698" s="9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8">
        <f>IFERROR(__xludf.DUMMYFUNCTION("""COMPUTED_VALUE"""),45901.0)</f>
        <v>45901</v>
      </c>
      <c r="B699" s="9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8">
        <f>IFERROR(__xludf.DUMMYFUNCTION("""COMPUTED_VALUE"""),45901.0)</f>
        <v>45901</v>
      </c>
      <c r="B700" s="9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8">
        <f>IFERROR(__xludf.DUMMYFUNCTION("""COMPUTED_VALUE"""),45901.0)</f>
        <v>45901</v>
      </c>
      <c r="B701" s="9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8">
        <f>IFERROR(__xludf.DUMMYFUNCTION("""COMPUTED_VALUE"""),45901.0)</f>
        <v>45901</v>
      </c>
      <c r="B702" s="9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8">
        <f>IFERROR(__xludf.DUMMYFUNCTION("""COMPUTED_VALUE"""),45901.0)</f>
        <v>45901</v>
      </c>
      <c r="B703" s="9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8">
        <f>IFERROR(__xludf.DUMMYFUNCTION("""COMPUTED_VALUE"""),45901.0)</f>
        <v>45901</v>
      </c>
      <c r="B704" s="9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8">
        <f>IFERROR(__xludf.DUMMYFUNCTION("""COMPUTED_VALUE"""),45901.0)</f>
        <v>45901</v>
      </c>
      <c r="B705" s="9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8">
        <f>IFERROR(__xludf.DUMMYFUNCTION("""COMPUTED_VALUE"""),45901.0)</f>
        <v>45901</v>
      </c>
      <c r="B706" s="9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8">
        <f>IFERROR(__xludf.DUMMYFUNCTION("""COMPUTED_VALUE"""),45901.0)</f>
        <v>45901</v>
      </c>
      <c r="B707" s="9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8">
        <f>IFERROR(__xludf.DUMMYFUNCTION("""COMPUTED_VALUE"""),45901.0)</f>
        <v>45901</v>
      </c>
      <c r="B708" s="9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8">
        <f>IFERROR(__xludf.DUMMYFUNCTION("""COMPUTED_VALUE"""),45901.0)</f>
        <v>45901</v>
      </c>
      <c r="B709" s="9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8">
        <f>IFERROR(__xludf.DUMMYFUNCTION("""COMPUTED_VALUE"""),45901.0)</f>
        <v>45901</v>
      </c>
      <c r="B710" s="9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2">
        <f>IFERROR(__xludf.DUMMYFUNCTION("""COMPUTED_VALUE"""),267.78)</f>
        <v>267.78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2">
        <f>IFERROR(__xludf.DUMMYFUNCTION("""COMPUTED_VALUE"""),696.0)</f>
        <v>696</v>
      </c>
      <c r="M17" s="2">
        <f>IFERROR(__xludf.DUMMYFUNCTION("""COMPUTED_VALUE"""),696.0)</f>
        <v>696</v>
      </c>
      <c r="N17" s="2">
        <f>IFERROR(__xludf.DUMMYFUNCTION("""COMPUTED_VALUE"""),696.0)</f>
        <v>696</v>
      </c>
      <c r="O17" s="2">
        <f>IFERROR(__xludf.DUMMYFUNCTION("""COMPUTED_VALUE"""),696.0)</f>
        <v>696</v>
      </c>
      <c r="P17" s="2">
        <f>IFERROR(__xludf.DUMMYFUNCTION("""COMPUTED_VALUE"""),696.0)</f>
        <v>696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2">
        <f>IFERROR(__xludf.DUMMYFUNCTION("""COMPUTED_VALUE"""),1350.0)</f>
        <v>1350</v>
      </c>
      <c r="M18" s="2">
        <f>IFERROR(__xludf.DUMMYFUNCTION("""COMPUTED_VALUE"""),1350.0)</f>
        <v>1350</v>
      </c>
      <c r="N18" s="2">
        <f>IFERROR(__xludf.DUMMYFUNCTION("""COMPUTED_VALUE"""),1350.0)</f>
        <v>1350</v>
      </c>
      <c r="O18" s="2">
        <f>IFERROR(__xludf.DUMMYFUNCTION("""COMPUTED_VALUE"""),1350.0)</f>
        <v>1350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IFERROR(__xludf.DUMMYFUNCTION("""COMPUTED_VALUE"""),7053.19)</f>
        <v>7053.19</v>
      </c>
      <c r="M31" s="2">
        <f>IFERROR(__xludf.DUMMYFUNCTION("""COMPUTED_VALUE"""),6785.41)</f>
        <v>6785.41</v>
      </c>
      <c r="N31" s="2">
        <f>IFERROR(__xludf.DUMMYFUNCTION("""COMPUTED_VALUE"""),6785.41)</f>
        <v>6785.41</v>
      </c>
      <c r="O31" s="2">
        <f>IFERROR(__xludf.DUMMYFUNCTION("""COMPUTED_VALUE"""),6785.41)</f>
        <v>6785.41</v>
      </c>
      <c r="P31" s="2">
        <f>IFERROR(__xludf.DUMMYFUNCTION("""COMPUTED_VALUE"""),5435.41)</f>
        <v>5435.41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