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dti\"/>
    </mc:Choice>
  </mc:AlternateContent>
  <xr:revisionPtr revIDLastSave="0" documentId="13_ncr:1_{6DFC7BB9-08FD-464E-A364-E9C12500C07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onsolidado" sheetId="1" r:id="rId1"/>
    <sheet name="Ações" sheetId="2" r:id="rId2"/>
    <sheet name="Proventos" sheetId="3" r:id="rId3"/>
    <sheet name="Cartão" sheetId="4" r:id="rId4"/>
    <sheet name="Cartão-Detalhe" sheetId="5" r:id="rId5"/>
    <sheet name="Cartão-Forecas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1" i="6" l="1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A31" i="6"/>
  <c r="O18" i="6"/>
  <c r="N18" i="6"/>
  <c r="M18" i="6"/>
  <c r="L18" i="6"/>
  <c r="K18" i="6"/>
  <c r="J18" i="6"/>
  <c r="I18" i="6"/>
  <c r="A18" i="6"/>
  <c r="P17" i="6"/>
  <c r="O17" i="6"/>
  <c r="N17" i="6"/>
  <c r="M17" i="6"/>
  <c r="L17" i="6"/>
  <c r="K17" i="6"/>
  <c r="J17" i="6"/>
  <c r="I17" i="6"/>
  <c r="H17" i="6"/>
  <c r="G17" i="6"/>
  <c r="A17" i="6"/>
  <c r="L16" i="6"/>
  <c r="K16" i="6"/>
  <c r="J16" i="6"/>
  <c r="I16" i="6"/>
  <c r="A16" i="6"/>
  <c r="G15" i="6"/>
  <c r="F15" i="6"/>
  <c r="E15" i="6"/>
  <c r="A15" i="6"/>
  <c r="F14" i="6"/>
  <c r="E14" i="6"/>
  <c r="A14" i="6"/>
  <c r="G13" i="6"/>
  <c r="F13" i="6"/>
  <c r="E13" i="6"/>
  <c r="A13" i="6"/>
  <c r="F12" i="6"/>
  <c r="E12" i="6"/>
  <c r="A12" i="6"/>
  <c r="F11" i="6"/>
  <c r="E11" i="6"/>
  <c r="A11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A10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A9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B8" i="6"/>
  <c r="A8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Y1" i="6"/>
  <c r="X1" i="6"/>
  <c r="W1" i="6"/>
  <c r="V1" i="6"/>
  <c r="U1" i="6"/>
  <c r="T1" i="6"/>
  <c r="S1" i="6"/>
  <c r="R1" i="6"/>
  <c r="Q1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A1" i="6"/>
  <c r="G582" i="5"/>
  <c r="F582" i="5"/>
  <c r="E582" i="5"/>
  <c r="D582" i="5"/>
  <c r="C582" i="5"/>
  <c r="B582" i="5"/>
  <c r="A582" i="5"/>
  <c r="G581" i="5"/>
  <c r="F581" i="5"/>
  <c r="E581" i="5"/>
  <c r="D581" i="5"/>
  <c r="C581" i="5"/>
  <c r="B581" i="5"/>
  <c r="A581" i="5"/>
  <c r="G580" i="5"/>
  <c r="F580" i="5"/>
  <c r="E580" i="5"/>
  <c r="D580" i="5"/>
  <c r="C580" i="5"/>
  <c r="B580" i="5"/>
  <c r="A580" i="5"/>
  <c r="G579" i="5"/>
  <c r="F579" i="5"/>
  <c r="E579" i="5"/>
  <c r="D579" i="5"/>
  <c r="C579" i="5"/>
  <c r="B579" i="5"/>
  <c r="A579" i="5"/>
  <c r="G578" i="5"/>
  <c r="F578" i="5"/>
  <c r="E578" i="5"/>
  <c r="D578" i="5"/>
  <c r="C578" i="5"/>
  <c r="B578" i="5"/>
  <c r="A578" i="5"/>
  <c r="G577" i="5"/>
  <c r="F577" i="5"/>
  <c r="E577" i="5"/>
  <c r="D577" i="5"/>
  <c r="C577" i="5"/>
  <c r="B577" i="5"/>
  <c r="A577" i="5"/>
  <c r="G576" i="5"/>
  <c r="F576" i="5"/>
  <c r="E576" i="5"/>
  <c r="D576" i="5"/>
  <c r="C576" i="5"/>
  <c r="B576" i="5"/>
  <c r="A576" i="5"/>
  <c r="G575" i="5"/>
  <c r="F575" i="5"/>
  <c r="E575" i="5"/>
  <c r="D575" i="5"/>
  <c r="C575" i="5"/>
  <c r="B575" i="5"/>
  <c r="A575" i="5"/>
  <c r="G574" i="5"/>
  <c r="F574" i="5"/>
  <c r="E574" i="5"/>
  <c r="D574" i="5"/>
  <c r="C574" i="5"/>
  <c r="B574" i="5"/>
  <c r="A574" i="5"/>
  <c r="G573" i="5"/>
  <c r="F573" i="5"/>
  <c r="E573" i="5"/>
  <c r="D573" i="5"/>
  <c r="C573" i="5"/>
  <c r="B573" i="5"/>
  <c r="A573" i="5"/>
  <c r="G572" i="5"/>
  <c r="F572" i="5"/>
  <c r="E572" i="5"/>
  <c r="D572" i="5"/>
  <c r="C572" i="5"/>
  <c r="B572" i="5"/>
  <c r="A572" i="5"/>
  <c r="G571" i="5"/>
  <c r="F571" i="5"/>
  <c r="E571" i="5"/>
  <c r="D571" i="5"/>
  <c r="C571" i="5"/>
  <c r="B571" i="5"/>
  <c r="A571" i="5"/>
  <c r="G570" i="5"/>
  <c r="F570" i="5"/>
  <c r="E570" i="5"/>
  <c r="D570" i="5"/>
  <c r="C570" i="5"/>
  <c r="B570" i="5"/>
  <c r="A570" i="5"/>
  <c r="G569" i="5"/>
  <c r="F569" i="5"/>
  <c r="E569" i="5"/>
  <c r="D569" i="5"/>
  <c r="C569" i="5"/>
  <c r="B569" i="5"/>
  <c r="A569" i="5"/>
  <c r="G568" i="5"/>
  <c r="F568" i="5"/>
  <c r="E568" i="5"/>
  <c r="D568" i="5"/>
  <c r="C568" i="5"/>
  <c r="B568" i="5"/>
  <c r="A568" i="5"/>
  <c r="G567" i="5"/>
  <c r="F567" i="5"/>
  <c r="E567" i="5"/>
  <c r="D567" i="5"/>
  <c r="C567" i="5"/>
  <c r="B567" i="5"/>
  <c r="A567" i="5"/>
  <c r="G566" i="5"/>
  <c r="F566" i="5"/>
  <c r="E566" i="5"/>
  <c r="D566" i="5"/>
  <c r="C566" i="5"/>
  <c r="B566" i="5"/>
  <c r="A566" i="5"/>
  <c r="G565" i="5"/>
  <c r="F565" i="5"/>
  <c r="E565" i="5"/>
  <c r="D565" i="5"/>
  <c r="C565" i="5"/>
  <c r="B565" i="5"/>
  <c r="A565" i="5"/>
  <c r="G564" i="5"/>
  <c r="F564" i="5"/>
  <c r="E564" i="5"/>
  <c r="D564" i="5"/>
  <c r="C564" i="5"/>
  <c r="B564" i="5"/>
  <c r="A564" i="5"/>
  <c r="G563" i="5"/>
  <c r="F563" i="5"/>
  <c r="E563" i="5"/>
  <c r="D563" i="5"/>
  <c r="C563" i="5"/>
  <c r="B563" i="5"/>
  <c r="A563" i="5"/>
  <c r="G562" i="5"/>
  <c r="F562" i="5"/>
  <c r="E562" i="5"/>
  <c r="D562" i="5"/>
  <c r="C562" i="5"/>
  <c r="B562" i="5"/>
  <c r="A562" i="5"/>
  <c r="G561" i="5"/>
  <c r="F561" i="5"/>
  <c r="E561" i="5"/>
  <c r="D561" i="5"/>
  <c r="C561" i="5"/>
  <c r="B561" i="5"/>
  <c r="A561" i="5"/>
  <c r="G560" i="5"/>
  <c r="F560" i="5"/>
  <c r="E560" i="5"/>
  <c r="D560" i="5"/>
  <c r="C560" i="5"/>
  <c r="B560" i="5"/>
  <c r="A560" i="5"/>
  <c r="G559" i="5"/>
  <c r="F559" i="5"/>
  <c r="E559" i="5"/>
  <c r="D559" i="5"/>
  <c r="C559" i="5"/>
  <c r="B559" i="5"/>
  <c r="A559" i="5"/>
  <c r="G558" i="5"/>
  <c r="F558" i="5"/>
  <c r="E558" i="5"/>
  <c r="D558" i="5"/>
  <c r="C558" i="5"/>
  <c r="B558" i="5"/>
  <c r="A558" i="5"/>
  <c r="G557" i="5"/>
  <c r="F557" i="5"/>
  <c r="E557" i="5"/>
  <c r="D557" i="5"/>
  <c r="C557" i="5"/>
  <c r="B557" i="5"/>
  <c r="A557" i="5"/>
  <c r="G556" i="5"/>
  <c r="F556" i="5"/>
  <c r="E556" i="5"/>
  <c r="D556" i="5"/>
  <c r="C556" i="5"/>
  <c r="B556" i="5"/>
  <c r="A556" i="5"/>
  <c r="G555" i="5"/>
  <c r="F555" i="5"/>
  <c r="E555" i="5"/>
  <c r="D555" i="5"/>
  <c r="C555" i="5"/>
  <c r="B555" i="5"/>
  <c r="A555" i="5"/>
  <c r="G554" i="5"/>
  <c r="F554" i="5"/>
  <c r="E554" i="5"/>
  <c r="D554" i="5"/>
  <c r="C554" i="5"/>
  <c r="B554" i="5"/>
  <c r="A554" i="5"/>
  <c r="G553" i="5"/>
  <c r="F553" i="5"/>
  <c r="E553" i="5"/>
  <c r="D553" i="5"/>
  <c r="C553" i="5"/>
  <c r="B553" i="5"/>
  <c r="A553" i="5"/>
  <c r="G552" i="5"/>
  <c r="F552" i="5"/>
  <c r="E552" i="5"/>
  <c r="D552" i="5"/>
  <c r="C552" i="5"/>
  <c r="B552" i="5"/>
  <c r="A552" i="5"/>
  <c r="G551" i="5"/>
  <c r="F551" i="5"/>
  <c r="E551" i="5"/>
  <c r="D551" i="5"/>
  <c r="C551" i="5"/>
  <c r="B551" i="5"/>
  <c r="A551" i="5"/>
  <c r="G550" i="5"/>
  <c r="F550" i="5"/>
  <c r="E550" i="5"/>
  <c r="D550" i="5"/>
  <c r="C550" i="5"/>
  <c r="B550" i="5"/>
  <c r="A550" i="5"/>
  <c r="G549" i="5"/>
  <c r="F549" i="5"/>
  <c r="E549" i="5"/>
  <c r="D549" i="5"/>
  <c r="C549" i="5"/>
  <c r="B549" i="5"/>
  <c r="A549" i="5"/>
  <c r="G548" i="5"/>
  <c r="F548" i="5"/>
  <c r="E548" i="5"/>
  <c r="D548" i="5"/>
  <c r="C548" i="5"/>
  <c r="B548" i="5"/>
  <c r="A548" i="5"/>
  <c r="G547" i="5"/>
  <c r="F547" i="5"/>
  <c r="E547" i="5"/>
  <c r="D547" i="5"/>
  <c r="C547" i="5"/>
  <c r="B547" i="5"/>
  <c r="A547" i="5"/>
  <c r="G546" i="5"/>
  <c r="F546" i="5"/>
  <c r="E546" i="5"/>
  <c r="D546" i="5"/>
  <c r="C546" i="5"/>
  <c r="B546" i="5"/>
  <c r="A546" i="5"/>
  <c r="G545" i="5"/>
  <c r="F545" i="5"/>
  <c r="E545" i="5"/>
  <c r="D545" i="5"/>
  <c r="C545" i="5"/>
  <c r="B545" i="5"/>
  <c r="A545" i="5"/>
  <c r="G544" i="5"/>
  <c r="F544" i="5"/>
  <c r="E544" i="5"/>
  <c r="D544" i="5"/>
  <c r="C544" i="5"/>
  <c r="B544" i="5"/>
  <c r="A544" i="5"/>
  <c r="G543" i="5"/>
  <c r="F543" i="5"/>
  <c r="E543" i="5"/>
  <c r="D543" i="5"/>
  <c r="C543" i="5"/>
  <c r="B543" i="5"/>
  <c r="A543" i="5"/>
  <c r="G542" i="5"/>
  <c r="F542" i="5"/>
  <c r="E542" i="5"/>
  <c r="D542" i="5"/>
  <c r="C542" i="5"/>
  <c r="B542" i="5"/>
  <c r="A542" i="5"/>
  <c r="G541" i="5"/>
  <c r="F541" i="5"/>
  <c r="E541" i="5"/>
  <c r="D541" i="5"/>
  <c r="C541" i="5"/>
  <c r="B541" i="5"/>
  <c r="A541" i="5"/>
  <c r="G540" i="5"/>
  <c r="F540" i="5"/>
  <c r="E540" i="5"/>
  <c r="D540" i="5"/>
  <c r="C540" i="5"/>
  <c r="B540" i="5"/>
  <c r="A540" i="5"/>
  <c r="G539" i="5"/>
  <c r="F539" i="5"/>
  <c r="E539" i="5"/>
  <c r="D539" i="5"/>
  <c r="C539" i="5"/>
  <c r="B539" i="5"/>
  <c r="A539" i="5"/>
  <c r="G538" i="5"/>
  <c r="F538" i="5"/>
  <c r="E538" i="5"/>
  <c r="D538" i="5"/>
  <c r="C538" i="5"/>
  <c r="B538" i="5"/>
  <c r="A538" i="5"/>
  <c r="G537" i="5"/>
  <c r="F537" i="5"/>
  <c r="E537" i="5"/>
  <c r="D537" i="5"/>
  <c r="C537" i="5"/>
  <c r="B537" i="5"/>
  <c r="A537" i="5"/>
  <c r="G536" i="5"/>
  <c r="F536" i="5"/>
  <c r="E536" i="5"/>
  <c r="D536" i="5"/>
  <c r="C536" i="5"/>
  <c r="B536" i="5"/>
  <c r="A536" i="5"/>
  <c r="G535" i="5"/>
  <c r="F535" i="5"/>
  <c r="E535" i="5"/>
  <c r="D535" i="5"/>
  <c r="C535" i="5"/>
  <c r="B535" i="5"/>
  <c r="A535" i="5"/>
  <c r="G534" i="5"/>
  <c r="F534" i="5"/>
  <c r="E534" i="5"/>
  <c r="D534" i="5"/>
  <c r="C534" i="5"/>
  <c r="B534" i="5"/>
  <c r="A534" i="5"/>
  <c r="G533" i="5"/>
  <c r="F533" i="5"/>
  <c r="E533" i="5"/>
  <c r="D533" i="5"/>
  <c r="C533" i="5"/>
  <c r="B533" i="5"/>
  <c r="A533" i="5"/>
  <c r="G532" i="5"/>
  <c r="F532" i="5"/>
  <c r="E532" i="5"/>
  <c r="D532" i="5"/>
  <c r="C532" i="5"/>
  <c r="B532" i="5"/>
  <c r="A532" i="5"/>
  <c r="G531" i="5"/>
  <c r="F531" i="5"/>
  <c r="E531" i="5"/>
  <c r="D531" i="5"/>
  <c r="C531" i="5"/>
  <c r="B531" i="5"/>
  <c r="A531" i="5"/>
  <c r="G530" i="5"/>
  <c r="F530" i="5"/>
  <c r="E530" i="5"/>
  <c r="D530" i="5"/>
  <c r="C530" i="5"/>
  <c r="B530" i="5"/>
  <c r="A530" i="5"/>
  <c r="G529" i="5"/>
  <c r="F529" i="5"/>
  <c r="E529" i="5"/>
  <c r="D529" i="5"/>
  <c r="C529" i="5"/>
  <c r="B529" i="5"/>
  <c r="A529" i="5"/>
  <c r="G528" i="5"/>
  <c r="F528" i="5"/>
  <c r="E528" i="5"/>
  <c r="D528" i="5"/>
  <c r="C528" i="5"/>
  <c r="B528" i="5"/>
  <c r="A528" i="5"/>
  <c r="G527" i="5"/>
  <c r="F527" i="5"/>
  <c r="E527" i="5"/>
  <c r="D527" i="5"/>
  <c r="C527" i="5"/>
  <c r="B527" i="5"/>
  <c r="A527" i="5"/>
  <c r="G526" i="5"/>
  <c r="F526" i="5"/>
  <c r="E526" i="5"/>
  <c r="D526" i="5"/>
  <c r="C526" i="5"/>
  <c r="B526" i="5"/>
  <c r="A526" i="5"/>
  <c r="G525" i="5"/>
  <c r="F525" i="5"/>
  <c r="E525" i="5"/>
  <c r="D525" i="5"/>
  <c r="C525" i="5"/>
  <c r="B525" i="5"/>
  <c r="A525" i="5"/>
  <c r="G524" i="5"/>
  <c r="F524" i="5"/>
  <c r="E524" i="5"/>
  <c r="D524" i="5"/>
  <c r="C524" i="5"/>
  <c r="B524" i="5"/>
  <c r="A524" i="5"/>
  <c r="G523" i="5"/>
  <c r="F523" i="5"/>
  <c r="E523" i="5"/>
  <c r="D523" i="5"/>
  <c r="C523" i="5"/>
  <c r="B523" i="5"/>
  <c r="A523" i="5"/>
  <c r="G522" i="5"/>
  <c r="F522" i="5"/>
  <c r="E522" i="5"/>
  <c r="D522" i="5"/>
  <c r="C522" i="5"/>
  <c r="B522" i="5"/>
  <c r="A522" i="5"/>
  <c r="G521" i="5"/>
  <c r="F521" i="5"/>
  <c r="E521" i="5"/>
  <c r="D521" i="5"/>
  <c r="C521" i="5"/>
  <c r="B521" i="5"/>
  <c r="A521" i="5"/>
  <c r="G520" i="5"/>
  <c r="F520" i="5"/>
  <c r="E520" i="5"/>
  <c r="D520" i="5"/>
  <c r="C520" i="5"/>
  <c r="B520" i="5"/>
  <c r="A520" i="5"/>
  <c r="G519" i="5"/>
  <c r="F519" i="5"/>
  <c r="E519" i="5"/>
  <c r="D519" i="5"/>
  <c r="C519" i="5"/>
  <c r="B519" i="5"/>
  <c r="A519" i="5"/>
  <c r="G518" i="5"/>
  <c r="F518" i="5"/>
  <c r="E518" i="5"/>
  <c r="D518" i="5"/>
  <c r="C518" i="5"/>
  <c r="B518" i="5"/>
  <c r="A518" i="5"/>
  <c r="G517" i="5"/>
  <c r="F517" i="5"/>
  <c r="E517" i="5"/>
  <c r="D517" i="5"/>
  <c r="C517" i="5"/>
  <c r="B517" i="5"/>
  <c r="A517" i="5"/>
  <c r="G516" i="5"/>
  <c r="F516" i="5"/>
  <c r="E516" i="5"/>
  <c r="D516" i="5"/>
  <c r="C516" i="5"/>
  <c r="B516" i="5"/>
  <c r="A516" i="5"/>
  <c r="G515" i="5"/>
  <c r="F515" i="5"/>
  <c r="E515" i="5"/>
  <c r="D515" i="5"/>
  <c r="C515" i="5"/>
  <c r="B515" i="5"/>
  <c r="A515" i="5"/>
  <c r="G514" i="5"/>
  <c r="F514" i="5"/>
  <c r="E514" i="5"/>
  <c r="D514" i="5"/>
  <c r="C514" i="5"/>
  <c r="B514" i="5"/>
  <c r="A514" i="5"/>
  <c r="G513" i="5"/>
  <c r="F513" i="5"/>
  <c r="E513" i="5"/>
  <c r="D513" i="5"/>
  <c r="C513" i="5"/>
  <c r="B513" i="5"/>
  <c r="A513" i="5"/>
  <c r="G512" i="5"/>
  <c r="F512" i="5"/>
  <c r="E512" i="5"/>
  <c r="D512" i="5"/>
  <c r="C512" i="5"/>
  <c r="B512" i="5"/>
  <c r="A512" i="5"/>
  <c r="G511" i="5"/>
  <c r="F511" i="5"/>
  <c r="E511" i="5"/>
  <c r="D511" i="5"/>
  <c r="C511" i="5"/>
  <c r="B511" i="5"/>
  <c r="A511" i="5"/>
  <c r="G510" i="5"/>
  <c r="F510" i="5"/>
  <c r="E510" i="5"/>
  <c r="D510" i="5"/>
  <c r="C510" i="5"/>
  <c r="B510" i="5"/>
  <c r="A510" i="5"/>
  <c r="G509" i="5"/>
  <c r="F509" i="5"/>
  <c r="E509" i="5"/>
  <c r="D509" i="5"/>
  <c r="C509" i="5"/>
  <c r="B509" i="5"/>
  <c r="A509" i="5"/>
  <c r="G508" i="5"/>
  <c r="F508" i="5"/>
  <c r="E508" i="5"/>
  <c r="D508" i="5"/>
  <c r="C508" i="5"/>
  <c r="B508" i="5"/>
  <c r="A508" i="5"/>
  <c r="G507" i="5"/>
  <c r="F507" i="5"/>
  <c r="E507" i="5"/>
  <c r="D507" i="5"/>
  <c r="C507" i="5"/>
  <c r="B507" i="5"/>
  <c r="A507" i="5"/>
  <c r="G506" i="5"/>
  <c r="F506" i="5"/>
  <c r="E506" i="5"/>
  <c r="D506" i="5"/>
  <c r="C506" i="5"/>
  <c r="B506" i="5"/>
  <c r="A506" i="5"/>
  <c r="G505" i="5"/>
  <c r="F505" i="5"/>
  <c r="E505" i="5"/>
  <c r="D505" i="5"/>
  <c r="C505" i="5"/>
  <c r="B505" i="5"/>
  <c r="A505" i="5"/>
  <c r="G504" i="5"/>
  <c r="F504" i="5"/>
  <c r="E504" i="5"/>
  <c r="D504" i="5"/>
  <c r="C504" i="5"/>
  <c r="B504" i="5"/>
  <c r="A504" i="5"/>
  <c r="G503" i="5"/>
  <c r="F503" i="5"/>
  <c r="E503" i="5"/>
  <c r="D503" i="5"/>
  <c r="C503" i="5"/>
  <c r="B503" i="5"/>
  <c r="A503" i="5"/>
  <c r="G502" i="5"/>
  <c r="F502" i="5"/>
  <c r="E502" i="5"/>
  <c r="D502" i="5"/>
  <c r="C502" i="5"/>
  <c r="B502" i="5"/>
  <c r="A502" i="5"/>
  <c r="G501" i="5"/>
  <c r="F501" i="5"/>
  <c r="E501" i="5"/>
  <c r="D501" i="5"/>
  <c r="C501" i="5"/>
  <c r="B501" i="5"/>
  <c r="A501" i="5"/>
  <c r="G500" i="5"/>
  <c r="F500" i="5"/>
  <c r="E500" i="5"/>
  <c r="D500" i="5"/>
  <c r="C500" i="5"/>
  <c r="B500" i="5"/>
  <c r="A500" i="5"/>
  <c r="G499" i="5"/>
  <c r="F499" i="5"/>
  <c r="E499" i="5"/>
  <c r="D499" i="5"/>
  <c r="C499" i="5"/>
  <c r="B499" i="5"/>
  <c r="A499" i="5"/>
  <c r="G498" i="5"/>
  <c r="F498" i="5"/>
  <c r="E498" i="5"/>
  <c r="D498" i="5"/>
  <c r="C498" i="5"/>
  <c r="B498" i="5"/>
  <c r="A498" i="5"/>
  <c r="G497" i="5"/>
  <c r="F497" i="5"/>
  <c r="E497" i="5"/>
  <c r="D497" i="5"/>
  <c r="C497" i="5"/>
  <c r="B497" i="5"/>
  <c r="A497" i="5"/>
  <c r="G496" i="5"/>
  <c r="F496" i="5"/>
  <c r="E496" i="5"/>
  <c r="D496" i="5"/>
  <c r="C496" i="5"/>
  <c r="B496" i="5"/>
  <c r="A496" i="5"/>
  <c r="G495" i="5"/>
  <c r="F495" i="5"/>
  <c r="E495" i="5"/>
  <c r="D495" i="5"/>
  <c r="C495" i="5"/>
  <c r="B495" i="5"/>
  <c r="A495" i="5"/>
  <c r="G494" i="5"/>
  <c r="F494" i="5"/>
  <c r="E494" i="5"/>
  <c r="D494" i="5"/>
  <c r="C494" i="5"/>
  <c r="B494" i="5"/>
  <c r="A494" i="5"/>
  <c r="G493" i="5"/>
  <c r="F493" i="5"/>
  <c r="E493" i="5"/>
  <c r="D493" i="5"/>
  <c r="C493" i="5"/>
  <c r="B493" i="5"/>
  <c r="A493" i="5"/>
  <c r="G492" i="5"/>
  <c r="F492" i="5"/>
  <c r="E492" i="5"/>
  <c r="D492" i="5"/>
  <c r="C492" i="5"/>
  <c r="B492" i="5"/>
  <c r="A492" i="5"/>
  <c r="G491" i="5"/>
  <c r="F491" i="5"/>
  <c r="E491" i="5"/>
  <c r="D491" i="5"/>
  <c r="C491" i="5"/>
  <c r="B491" i="5"/>
  <c r="A491" i="5"/>
  <c r="G490" i="5"/>
  <c r="F490" i="5"/>
  <c r="E490" i="5"/>
  <c r="D490" i="5"/>
  <c r="C490" i="5"/>
  <c r="B490" i="5"/>
  <c r="A490" i="5"/>
  <c r="G489" i="5"/>
  <c r="F489" i="5"/>
  <c r="E489" i="5"/>
  <c r="D489" i="5"/>
  <c r="C489" i="5"/>
  <c r="B489" i="5"/>
  <c r="A489" i="5"/>
  <c r="G488" i="5"/>
  <c r="F488" i="5"/>
  <c r="E488" i="5"/>
  <c r="D488" i="5"/>
  <c r="C488" i="5"/>
  <c r="B488" i="5"/>
  <c r="A488" i="5"/>
  <c r="G487" i="5"/>
  <c r="F487" i="5"/>
  <c r="E487" i="5"/>
  <c r="D487" i="5"/>
  <c r="C487" i="5"/>
  <c r="B487" i="5"/>
  <c r="A487" i="5"/>
  <c r="G486" i="5"/>
  <c r="F486" i="5"/>
  <c r="E486" i="5"/>
  <c r="D486" i="5"/>
  <c r="C486" i="5"/>
  <c r="B486" i="5"/>
  <c r="A486" i="5"/>
  <c r="G485" i="5"/>
  <c r="F485" i="5"/>
  <c r="E485" i="5"/>
  <c r="D485" i="5"/>
  <c r="C485" i="5"/>
  <c r="B485" i="5"/>
  <c r="A485" i="5"/>
  <c r="G484" i="5"/>
  <c r="F484" i="5"/>
  <c r="E484" i="5"/>
  <c r="D484" i="5"/>
  <c r="C484" i="5"/>
  <c r="B484" i="5"/>
  <c r="A484" i="5"/>
  <c r="G483" i="5"/>
  <c r="F483" i="5"/>
  <c r="E483" i="5"/>
  <c r="D483" i="5"/>
  <c r="C483" i="5"/>
  <c r="B483" i="5"/>
  <c r="A483" i="5"/>
  <c r="G482" i="5"/>
  <c r="F482" i="5"/>
  <c r="E482" i="5"/>
  <c r="D482" i="5"/>
  <c r="C482" i="5"/>
  <c r="B482" i="5"/>
  <c r="A482" i="5"/>
  <c r="G481" i="5"/>
  <c r="F481" i="5"/>
  <c r="E481" i="5"/>
  <c r="D481" i="5"/>
  <c r="C481" i="5"/>
  <c r="B481" i="5"/>
  <c r="A481" i="5"/>
  <c r="G480" i="5"/>
  <c r="F480" i="5"/>
  <c r="E480" i="5"/>
  <c r="D480" i="5"/>
  <c r="C480" i="5"/>
  <c r="B480" i="5"/>
  <c r="A480" i="5"/>
  <c r="G479" i="5"/>
  <c r="F479" i="5"/>
  <c r="E479" i="5"/>
  <c r="D479" i="5"/>
  <c r="C479" i="5"/>
  <c r="B479" i="5"/>
  <c r="A479" i="5"/>
  <c r="G478" i="5"/>
  <c r="F478" i="5"/>
  <c r="E478" i="5"/>
  <c r="D478" i="5"/>
  <c r="C478" i="5"/>
  <c r="B478" i="5"/>
  <c r="A478" i="5"/>
  <c r="G477" i="5"/>
  <c r="F477" i="5"/>
  <c r="E477" i="5"/>
  <c r="D477" i="5"/>
  <c r="C477" i="5"/>
  <c r="B477" i="5"/>
  <c r="A477" i="5"/>
  <c r="G476" i="5"/>
  <c r="F476" i="5"/>
  <c r="E476" i="5"/>
  <c r="D476" i="5"/>
  <c r="C476" i="5"/>
  <c r="B476" i="5"/>
  <c r="A476" i="5"/>
  <c r="G475" i="5"/>
  <c r="F475" i="5"/>
  <c r="E475" i="5"/>
  <c r="D475" i="5"/>
  <c r="C475" i="5"/>
  <c r="B475" i="5"/>
  <c r="A475" i="5"/>
  <c r="G474" i="5"/>
  <c r="F474" i="5"/>
  <c r="E474" i="5"/>
  <c r="D474" i="5"/>
  <c r="C474" i="5"/>
  <c r="B474" i="5"/>
  <c r="A474" i="5"/>
  <c r="G473" i="5"/>
  <c r="F473" i="5"/>
  <c r="E473" i="5"/>
  <c r="D473" i="5"/>
  <c r="C473" i="5"/>
  <c r="B473" i="5"/>
  <c r="A473" i="5"/>
  <c r="G472" i="5"/>
  <c r="F472" i="5"/>
  <c r="E472" i="5"/>
  <c r="D472" i="5"/>
  <c r="C472" i="5"/>
  <c r="B472" i="5"/>
  <c r="A472" i="5"/>
  <c r="G471" i="5"/>
  <c r="F471" i="5"/>
  <c r="E471" i="5"/>
  <c r="D471" i="5"/>
  <c r="C471" i="5"/>
  <c r="B471" i="5"/>
  <c r="A471" i="5"/>
  <c r="G470" i="5"/>
  <c r="F470" i="5"/>
  <c r="E470" i="5"/>
  <c r="D470" i="5"/>
  <c r="C470" i="5"/>
  <c r="B470" i="5"/>
  <c r="A470" i="5"/>
  <c r="G469" i="5"/>
  <c r="F469" i="5"/>
  <c r="E469" i="5"/>
  <c r="D469" i="5"/>
  <c r="C469" i="5"/>
  <c r="B469" i="5"/>
  <c r="A469" i="5"/>
  <c r="G468" i="5"/>
  <c r="F468" i="5"/>
  <c r="E468" i="5"/>
  <c r="D468" i="5"/>
  <c r="C468" i="5"/>
  <c r="B468" i="5"/>
  <c r="A468" i="5"/>
  <c r="G467" i="5"/>
  <c r="F467" i="5"/>
  <c r="E467" i="5"/>
  <c r="D467" i="5"/>
  <c r="C467" i="5"/>
  <c r="B467" i="5"/>
  <c r="A467" i="5"/>
  <c r="G466" i="5"/>
  <c r="F466" i="5"/>
  <c r="E466" i="5"/>
  <c r="D466" i="5"/>
  <c r="C466" i="5"/>
  <c r="B466" i="5"/>
  <c r="A466" i="5"/>
  <c r="G465" i="5"/>
  <c r="F465" i="5"/>
  <c r="E465" i="5"/>
  <c r="D465" i="5"/>
  <c r="C465" i="5"/>
  <c r="B465" i="5"/>
  <c r="A465" i="5"/>
  <c r="G464" i="5"/>
  <c r="F464" i="5"/>
  <c r="E464" i="5"/>
  <c r="D464" i="5"/>
  <c r="C464" i="5"/>
  <c r="B464" i="5"/>
  <c r="A464" i="5"/>
  <c r="G463" i="5"/>
  <c r="F463" i="5"/>
  <c r="E463" i="5"/>
  <c r="D463" i="5"/>
  <c r="C463" i="5"/>
  <c r="B463" i="5"/>
  <c r="A463" i="5"/>
  <c r="G462" i="5"/>
  <c r="F462" i="5"/>
  <c r="E462" i="5"/>
  <c r="D462" i="5"/>
  <c r="C462" i="5"/>
  <c r="B462" i="5"/>
  <c r="A462" i="5"/>
  <c r="G461" i="5"/>
  <c r="F461" i="5"/>
  <c r="E461" i="5"/>
  <c r="D461" i="5"/>
  <c r="C461" i="5"/>
  <c r="B461" i="5"/>
  <c r="A461" i="5"/>
  <c r="G460" i="5"/>
  <c r="F460" i="5"/>
  <c r="E460" i="5"/>
  <c r="D460" i="5"/>
  <c r="C460" i="5"/>
  <c r="B460" i="5"/>
  <c r="A460" i="5"/>
  <c r="G459" i="5"/>
  <c r="F459" i="5"/>
  <c r="E459" i="5"/>
  <c r="D459" i="5"/>
  <c r="C459" i="5"/>
  <c r="B459" i="5"/>
  <c r="A459" i="5"/>
  <c r="G458" i="5"/>
  <c r="F458" i="5"/>
  <c r="E458" i="5"/>
  <c r="D458" i="5"/>
  <c r="C458" i="5"/>
  <c r="B458" i="5"/>
  <c r="A458" i="5"/>
  <c r="G457" i="5"/>
  <c r="F457" i="5"/>
  <c r="E457" i="5"/>
  <c r="D457" i="5"/>
  <c r="C457" i="5"/>
  <c r="B457" i="5"/>
  <c r="A457" i="5"/>
  <c r="G456" i="5"/>
  <c r="F456" i="5"/>
  <c r="E456" i="5"/>
  <c r="D456" i="5"/>
  <c r="C456" i="5"/>
  <c r="B456" i="5"/>
  <c r="A456" i="5"/>
  <c r="G455" i="5"/>
  <c r="F455" i="5"/>
  <c r="E455" i="5"/>
  <c r="D455" i="5"/>
  <c r="C455" i="5"/>
  <c r="B455" i="5"/>
  <c r="A455" i="5"/>
  <c r="G454" i="5"/>
  <c r="F454" i="5"/>
  <c r="E454" i="5"/>
  <c r="D454" i="5"/>
  <c r="C454" i="5"/>
  <c r="B454" i="5"/>
  <c r="A454" i="5"/>
  <c r="G453" i="5"/>
  <c r="F453" i="5"/>
  <c r="E453" i="5"/>
  <c r="D453" i="5"/>
  <c r="C453" i="5"/>
  <c r="B453" i="5"/>
  <c r="A453" i="5"/>
  <c r="G452" i="5"/>
  <c r="F452" i="5"/>
  <c r="E452" i="5"/>
  <c r="D452" i="5"/>
  <c r="C452" i="5"/>
  <c r="B452" i="5"/>
  <c r="A452" i="5"/>
  <c r="G451" i="5"/>
  <c r="F451" i="5"/>
  <c r="E451" i="5"/>
  <c r="D451" i="5"/>
  <c r="C451" i="5"/>
  <c r="B451" i="5"/>
  <c r="A451" i="5"/>
  <c r="G450" i="5"/>
  <c r="F450" i="5"/>
  <c r="E450" i="5"/>
  <c r="D450" i="5"/>
  <c r="C450" i="5"/>
  <c r="B450" i="5"/>
  <c r="A450" i="5"/>
  <c r="G449" i="5"/>
  <c r="F449" i="5"/>
  <c r="E449" i="5"/>
  <c r="D449" i="5"/>
  <c r="C449" i="5"/>
  <c r="B449" i="5"/>
  <c r="A449" i="5"/>
  <c r="G448" i="5"/>
  <c r="F448" i="5"/>
  <c r="E448" i="5"/>
  <c r="D448" i="5"/>
  <c r="C448" i="5"/>
  <c r="B448" i="5"/>
  <c r="A448" i="5"/>
  <c r="G447" i="5"/>
  <c r="F447" i="5"/>
  <c r="E447" i="5"/>
  <c r="D447" i="5"/>
  <c r="C447" i="5"/>
  <c r="B447" i="5"/>
  <c r="A447" i="5"/>
  <c r="G446" i="5"/>
  <c r="F446" i="5"/>
  <c r="E446" i="5"/>
  <c r="D446" i="5"/>
  <c r="C446" i="5"/>
  <c r="B446" i="5"/>
  <c r="A446" i="5"/>
  <c r="G445" i="5"/>
  <c r="F445" i="5"/>
  <c r="E445" i="5"/>
  <c r="D445" i="5"/>
  <c r="C445" i="5"/>
  <c r="B445" i="5"/>
  <c r="A445" i="5"/>
  <c r="G444" i="5"/>
  <c r="F444" i="5"/>
  <c r="E444" i="5"/>
  <c r="D444" i="5"/>
  <c r="C444" i="5"/>
  <c r="B444" i="5"/>
  <c r="A444" i="5"/>
  <c r="G443" i="5"/>
  <c r="F443" i="5"/>
  <c r="E443" i="5"/>
  <c r="D443" i="5"/>
  <c r="C443" i="5"/>
  <c r="B443" i="5"/>
  <c r="A443" i="5"/>
  <c r="G442" i="5"/>
  <c r="F442" i="5"/>
  <c r="E442" i="5"/>
  <c r="D442" i="5"/>
  <c r="C442" i="5"/>
  <c r="B442" i="5"/>
  <c r="A442" i="5"/>
  <c r="G441" i="5"/>
  <c r="F441" i="5"/>
  <c r="E441" i="5"/>
  <c r="D441" i="5"/>
  <c r="C441" i="5"/>
  <c r="B441" i="5"/>
  <c r="A441" i="5"/>
  <c r="G440" i="5"/>
  <c r="F440" i="5"/>
  <c r="E440" i="5"/>
  <c r="D440" i="5"/>
  <c r="C440" i="5"/>
  <c r="B440" i="5"/>
  <c r="A440" i="5"/>
  <c r="G439" i="5"/>
  <c r="F439" i="5"/>
  <c r="E439" i="5"/>
  <c r="D439" i="5"/>
  <c r="C439" i="5"/>
  <c r="B439" i="5"/>
  <c r="A439" i="5"/>
  <c r="G438" i="5"/>
  <c r="F438" i="5"/>
  <c r="E438" i="5"/>
  <c r="D438" i="5"/>
  <c r="C438" i="5"/>
  <c r="B438" i="5"/>
  <c r="A438" i="5"/>
  <c r="G437" i="5"/>
  <c r="F437" i="5"/>
  <c r="E437" i="5"/>
  <c r="D437" i="5"/>
  <c r="C437" i="5"/>
  <c r="B437" i="5"/>
  <c r="A437" i="5"/>
  <c r="G436" i="5"/>
  <c r="F436" i="5"/>
  <c r="E436" i="5"/>
  <c r="D436" i="5"/>
  <c r="C436" i="5"/>
  <c r="B436" i="5"/>
  <c r="A436" i="5"/>
  <c r="G435" i="5"/>
  <c r="F435" i="5"/>
  <c r="E435" i="5"/>
  <c r="D435" i="5"/>
  <c r="C435" i="5"/>
  <c r="B435" i="5"/>
  <c r="A435" i="5"/>
  <c r="G434" i="5"/>
  <c r="F434" i="5"/>
  <c r="E434" i="5"/>
  <c r="D434" i="5"/>
  <c r="C434" i="5"/>
  <c r="B434" i="5"/>
  <c r="A434" i="5"/>
  <c r="G433" i="5"/>
  <c r="F433" i="5"/>
  <c r="E433" i="5"/>
  <c r="D433" i="5"/>
  <c r="C433" i="5"/>
  <c r="B433" i="5"/>
  <c r="A433" i="5"/>
  <c r="G432" i="5"/>
  <c r="F432" i="5"/>
  <c r="E432" i="5"/>
  <c r="D432" i="5"/>
  <c r="C432" i="5"/>
  <c r="B432" i="5"/>
  <c r="A432" i="5"/>
  <c r="G431" i="5"/>
  <c r="F431" i="5"/>
  <c r="E431" i="5"/>
  <c r="D431" i="5"/>
  <c r="C431" i="5"/>
  <c r="B431" i="5"/>
  <c r="A431" i="5"/>
  <c r="G430" i="5"/>
  <c r="F430" i="5"/>
  <c r="E430" i="5"/>
  <c r="D430" i="5"/>
  <c r="C430" i="5"/>
  <c r="B430" i="5"/>
  <c r="A430" i="5"/>
  <c r="G429" i="5"/>
  <c r="F429" i="5"/>
  <c r="E429" i="5"/>
  <c r="D429" i="5"/>
  <c r="C429" i="5"/>
  <c r="B429" i="5"/>
  <c r="A429" i="5"/>
  <c r="G428" i="5"/>
  <c r="F428" i="5"/>
  <c r="E428" i="5"/>
  <c r="D428" i="5"/>
  <c r="C428" i="5"/>
  <c r="B428" i="5"/>
  <c r="A428" i="5"/>
  <c r="G427" i="5"/>
  <c r="F427" i="5"/>
  <c r="E427" i="5"/>
  <c r="D427" i="5"/>
  <c r="C427" i="5"/>
  <c r="B427" i="5"/>
  <c r="A427" i="5"/>
  <c r="G426" i="5"/>
  <c r="F426" i="5"/>
  <c r="E426" i="5"/>
  <c r="D426" i="5"/>
  <c r="C426" i="5"/>
  <c r="B426" i="5"/>
  <c r="A426" i="5"/>
  <c r="G425" i="5"/>
  <c r="F425" i="5"/>
  <c r="E425" i="5"/>
  <c r="D425" i="5"/>
  <c r="C425" i="5"/>
  <c r="B425" i="5"/>
  <c r="A425" i="5"/>
  <c r="G424" i="5"/>
  <c r="F424" i="5"/>
  <c r="E424" i="5"/>
  <c r="D424" i="5"/>
  <c r="C424" i="5"/>
  <c r="B424" i="5"/>
  <c r="A424" i="5"/>
  <c r="G423" i="5"/>
  <c r="F423" i="5"/>
  <c r="E423" i="5"/>
  <c r="D423" i="5"/>
  <c r="C423" i="5"/>
  <c r="B423" i="5"/>
  <c r="A423" i="5"/>
  <c r="G422" i="5"/>
  <c r="F422" i="5"/>
  <c r="E422" i="5"/>
  <c r="D422" i="5"/>
  <c r="C422" i="5"/>
  <c r="B422" i="5"/>
  <c r="A422" i="5"/>
  <c r="G421" i="5"/>
  <c r="F421" i="5"/>
  <c r="E421" i="5"/>
  <c r="D421" i="5"/>
  <c r="C421" i="5"/>
  <c r="B421" i="5"/>
  <c r="A421" i="5"/>
  <c r="G420" i="5"/>
  <c r="F420" i="5"/>
  <c r="E420" i="5"/>
  <c r="D420" i="5"/>
  <c r="C420" i="5"/>
  <c r="B420" i="5"/>
  <c r="A420" i="5"/>
  <c r="G419" i="5"/>
  <c r="F419" i="5"/>
  <c r="E419" i="5"/>
  <c r="D419" i="5"/>
  <c r="C419" i="5"/>
  <c r="B419" i="5"/>
  <c r="A419" i="5"/>
  <c r="G418" i="5"/>
  <c r="F418" i="5"/>
  <c r="E418" i="5"/>
  <c r="D418" i="5"/>
  <c r="C418" i="5"/>
  <c r="B418" i="5"/>
  <c r="A418" i="5"/>
  <c r="G417" i="5"/>
  <c r="F417" i="5"/>
  <c r="E417" i="5"/>
  <c r="D417" i="5"/>
  <c r="C417" i="5"/>
  <c r="B417" i="5"/>
  <c r="A417" i="5"/>
  <c r="G416" i="5"/>
  <c r="F416" i="5"/>
  <c r="E416" i="5"/>
  <c r="D416" i="5"/>
  <c r="C416" i="5"/>
  <c r="B416" i="5"/>
  <c r="A416" i="5"/>
  <c r="G415" i="5"/>
  <c r="F415" i="5"/>
  <c r="E415" i="5"/>
  <c r="D415" i="5"/>
  <c r="C415" i="5"/>
  <c r="B415" i="5"/>
  <c r="A415" i="5"/>
  <c r="G414" i="5"/>
  <c r="F414" i="5"/>
  <c r="E414" i="5"/>
  <c r="D414" i="5"/>
  <c r="C414" i="5"/>
  <c r="B414" i="5"/>
  <c r="A414" i="5"/>
  <c r="G413" i="5"/>
  <c r="F413" i="5"/>
  <c r="E413" i="5"/>
  <c r="D413" i="5"/>
  <c r="C413" i="5"/>
  <c r="B413" i="5"/>
  <c r="A413" i="5"/>
  <c r="G412" i="5"/>
  <c r="F412" i="5"/>
  <c r="E412" i="5"/>
  <c r="D412" i="5"/>
  <c r="C412" i="5"/>
  <c r="B412" i="5"/>
  <c r="A412" i="5"/>
  <c r="G411" i="5"/>
  <c r="F411" i="5"/>
  <c r="E411" i="5"/>
  <c r="D411" i="5"/>
  <c r="C411" i="5"/>
  <c r="B411" i="5"/>
  <c r="A411" i="5"/>
  <c r="G410" i="5"/>
  <c r="F410" i="5"/>
  <c r="E410" i="5"/>
  <c r="D410" i="5"/>
  <c r="C410" i="5"/>
  <c r="B410" i="5"/>
  <c r="A410" i="5"/>
  <c r="G409" i="5"/>
  <c r="F409" i="5"/>
  <c r="E409" i="5"/>
  <c r="D409" i="5"/>
  <c r="C409" i="5"/>
  <c r="B409" i="5"/>
  <c r="A409" i="5"/>
  <c r="G408" i="5"/>
  <c r="F408" i="5"/>
  <c r="E408" i="5"/>
  <c r="D408" i="5"/>
  <c r="C408" i="5"/>
  <c r="B408" i="5"/>
  <c r="A408" i="5"/>
  <c r="G407" i="5"/>
  <c r="F407" i="5"/>
  <c r="E407" i="5"/>
  <c r="D407" i="5"/>
  <c r="C407" i="5"/>
  <c r="B407" i="5"/>
  <c r="A407" i="5"/>
  <c r="G406" i="5"/>
  <c r="F406" i="5"/>
  <c r="E406" i="5"/>
  <c r="D406" i="5"/>
  <c r="C406" i="5"/>
  <c r="B406" i="5"/>
  <c r="A406" i="5"/>
  <c r="G405" i="5"/>
  <c r="F405" i="5"/>
  <c r="E405" i="5"/>
  <c r="D405" i="5"/>
  <c r="C405" i="5"/>
  <c r="B405" i="5"/>
  <c r="A405" i="5"/>
  <c r="G404" i="5"/>
  <c r="F404" i="5"/>
  <c r="E404" i="5"/>
  <c r="D404" i="5"/>
  <c r="C404" i="5"/>
  <c r="B404" i="5"/>
  <c r="A404" i="5"/>
  <c r="G403" i="5"/>
  <c r="F403" i="5"/>
  <c r="E403" i="5"/>
  <c r="D403" i="5"/>
  <c r="C403" i="5"/>
  <c r="B403" i="5"/>
  <c r="A403" i="5"/>
  <c r="G402" i="5"/>
  <c r="F402" i="5"/>
  <c r="E402" i="5"/>
  <c r="D402" i="5"/>
  <c r="C402" i="5"/>
  <c r="B402" i="5"/>
  <c r="A402" i="5"/>
  <c r="G401" i="5"/>
  <c r="F401" i="5"/>
  <c r="E401" i="5"/>
  <c r="D401" i="5"/>
  <c r="C401" i="5"/>
  <c r="B401" i="5"/>
  <c r="A401" i="5"/>
  <c r="G400" i="5"/>
  <c r="F400" i="5"/>
  <c r="E400" i="5"/>
  <c r="D400" i="5"/>
  <c r="C400" i="5"/>
  <c r="B400" i="5"/>
  <c r="A400" i="5"/>
  <c r="G399" i="5"/>
  <c r="F399" i="5"/>
  <c r="E399" i="5"/>
  <c r="D399" i="5"/>
  <c r="C399" i="5"/>
  <c r="B399" i="5"/>
  <c r="A399" i="5"/>
  <c r="G398" i="5"/>
  <c r="F398" i="5"/>
  <c r="E398" i="5"/>
  <c r="D398" i="5"/>
  <c r="C398" i="5"/>
  <c r="B398" i="5"/>
  <c r="A398" i="5"/>
  <c r="G397" i="5"/>
  <c r="F397" i="5"/>
  <c r="E397" i="5"/>
  <c r="D397" i="5"/>
  <c r="C397" i="5"/>
  <c r="B397" i="5"/>
  <c r="A397" i="5"/>
  <c r="G396" i="5"/>
  <c r="F396" i="5"/>
  <c r="E396" i="5"/>
  <c r="D396" i="5"/>
  <c r="C396" i="5"/>
  <c r="B396" i="5"/>
  <c r="A396" i="5"/>
  <c r="G395" i="5"/>
  <c r="F395" i="5"/>
  <c r="E395" i="5"/>
  <c r="D395" i="5"/>
  <c r="C395" i="5"/>
  <c r="B395" i="5"/>
  <c r="A395" i="5"/>
  <c r="G394" i="5"/>
  <c r="F394" i="5"/>
  <c r="E394" i="5"/>
  <c r="D394" i="5"/>
  <c r="C394" i="5"/>
  <c r="B394" i="5"/>
  <c r="A394" i="5"/>
  <c r="G393" i="5"/>
  <c r="F393" i="5"/>
  <c r="E393" i="5"/>
  <c r="D393" i="5"/>
  <c r="C393" i="5"/>
  <c r="B393" i="5"/>
  <c r="A393" i="5"/>
  <c r="G392" i="5"/>
  <c r="F392" i="5"/>
  <c r="E392" i="5"/>
  <c r="D392" i="5"/>
  <c r="C392" i="5"/>
  <c r="B392" i="5"/>
  <c r="A392" i="5"/>
  <c r="G391" i="5"/>
  <c r="F391" i="5"/>
  <c r="E391" i="5"/>
  <c r="D391" i="5"/>
  <c r="C391" i="5"/>
  <c r="B391" i="5"/>
  <c r="A391" i="5"/>
  <c r="G390" i="5"/>
  <c r="F390" i="5"/>
  <c r="E390" i="5"/>
  <c r="D390" i="5"/>
  <c r="C390" i="5"/>
  <c r="B390" i="5"/>
  <c r="A390" i="5"/>
  <c r="G389" i="5"/>
  <c r="F389" i="5"/>
  <c r="E389" i="5"/>
  <c r="D389" i="5"/>
  <c r="C389" i="5"/>
  <c r="B389" i="5"/>
  <c r="A389" i="5"/>
  <c r="G388" i="5"/>
  <c r="F388" i="5"/>
  <c r="E388" i="5"/>
  <c r="D388" i="5"/>
  <c r="C388" i="5"/>
  <c r="B388" i="5"/>
  <c r="A388" i="5"/>
  <c r="G387" i="5"/>
  <c r="F387" i="5"/>
  <c r="E387" i="5"/>
  <c r="D387" i="5"/>
  <c r="C387" i="5"/>
  <c r="B387" i="5"/>
  <c r="A387" i="5"/>
  <c r="G386" i="5"/>
  <c r="F386" i="5"/>
  <c r="E386" i="5"/>
  <c r="D386" i="5"/>
  <c r="C386" i="5"/>
  <c r="B386" i="5"/>
  <c r="A386" i="5"/>
  <c r="G385" i="5"/>
  <c r="F385" i="5"/>
  <c r="E385" i="5"/>
  <c r="D385" i="5"/>
  <c r="C385" i="5"/>
  <c r="B385" i="5"/>
  <c r="A385" i="5"/>
  <c r="G384" i="5"/>
  <c r="F384" i="5"/>
  <c r="E384" i="5"/>
  <c r="D384" i="5"/>
  <c r="C384" i="5"/>
  <c r="B384" i="5"/>
  <c r="A384" i="5"/>
  <c r="G383" i="5"/>
  <c r="F383" i="5"/>
  <c r="E383" i="5"/>
  <c r="D383" i="5"/>
  <c r="C383" i="5"/>
  <c r="B383" i="5"/>
  <c r="A383" i="5"/>
  <c r="G382" i="5"/>
  <c r="F382" i="5"/>
  <c r="E382" i="5"/>
  <c r="D382" i="5"/>
  <c r="C382" i="5"/>
  <c r="B382" i="5"/>
  <c r="A382" i="5"/>
  <c r="G381" i="5"/>
  <c r="F381" i="5"/>
  <c r="E381" i="5"/>
  <c r="D381" i="5"/>
  <c r="C381" i="5"/>
  <c r="B381" i="5"/>
  <c r="A381" i="5"/>
  <c r="G380" i="5"/>
  <c r="F380" i="5"/>
  <c r="E380" i="5"/>
  <c r="D380" i="5"/>
  <c r="C380" i="5"/>
  <c r="B380" i="5"/>
  <c r="A380" i="5"/>
  <c r="G379" i="5"/>
  <c r="F379" i="5"/>
  <c r="E379" i="5"/>
  <c r="D379" i="5"/>
  <c r="C379" i="5"/>
  <c r="B379" i="5"/>
  <c r="A379" i="5"/>
  <c r="G378" i="5"/>
  <c r="F378" i="5"/>
  <c r="E378" i="5"/>
  <c r="D378" i="5"/>
  <c r="C378" i="5"/>
  <c r="B378" i="5"/>
  <c r="A378" i="5"/>
  <c r="G377" i="5"/>
  <c r="F377" i="5"/>
  <c r="E377" i="5"/>
  <c r="D377" i="5"/>
  <c r="C377" i="5"/>
  <c r="B377" i="5"/>
  <c r="A377" i="5"/>
  <c r="G376" i="5"/>
  <c r="F376" i="5"/>
  <c r="E376" i="5"/>
  <c r="D376" i="5"/>
  <c r="C376" i="5"/>
  <c r="B376" i="5"/>
  <c r="A376" i="5"/>
  <c r="G375" i="5"/>
  <c r="F375" i="5"/>
  <c r="E375" i="5"/>
  <c r="D375" i="5"/>
  <c r="C375" i="5"/>
  <c r="B375" i="5"/>
  <c r="A375" i="5"/>
  <c r="G374" i="5"/>
  <c r="F374" i="5"/>
  <c r="E374" i="5"/>
  <c r="D374" i="5"/>
  <c r="C374" i="5"/>
  <c r="B374" i="5"/>
  <c r="A374" i="5"/>
  <c r="G373" i="5"/>
  <c r="F373" i="5"/>
  <c r="E373" i="5"/>
  <c r="D373" i="5"/>
  <c r="C373" i="5"/>
  <c r="B373" i="5"/>
  <c r="A373" i="5"/>
  <c r="G372" i="5"/>
  <c r="F372" i="5"/>
  <c r="E372" i="5"/>
  <c r="D372" i="5"/>
  <c r="C372" i="5"/>
  <c r="B372" i="5"/>
  <c r="A372" i="5"/>
  <c r="G371" i="5"/>
  <c r="F371" i="5"/>
  <c r="E371" i="5"/>
  <c r="D371" i="5"/>
  <c r="C371" i="5"/>
  <c r="B371" i="5"/>
  <c r="A371" i="5"/>
  <c r="G370" i="5"/>
  <c r="F370" i="5"/>
  <c r="E370" i="5"/>
  <c r="D370" i="5"/>
  <c r="C370" i="5"/>
  <c r="B370" i="5"/>
  <c r="A370" i="5"/>
  <c r="G369" i="5"/>
  <c r="F369" i="5"/>
  <c r="E369" i="5"/>
  <c r="D369" i="5"/>
  <c r="C369" i="5"/>
  <c r="B369" i="5"/>
  <c r="A369" i="5"/>
  <c r="G368" i="5"/>
  <c r="F368" i="5"/>
  <c r="E368" i="5"/>
  <c r="D368" i="5"/>
  <c r="C368" i="5"/>
  <c r="B368" i="5"/>
  <c r="A368" i="5"/>
  <c r="G367" i="5"/>
  <c r="F367" i="5"/>
  <c r="E367" i="5"/>
  <c r="D367" i="5"/>
  <c r="C367" i="5"/>
  <c r="B367" i="5"/>
  <c r="A367" i="5"/>
  <c r="G366" i="5"/>
  <c r="F366" i="5"/>
  <c r="E366" i="5"/>
  <c r="D366" i="5"/>
  <c r="C366" i="5"/>
  <c r="B366" i="5"/>
  <c r="A366" i="5"/>
  <c r="G365" i="5"/>
  <c r="F365" i="5"/>
  <c r="E365" i="5"/>
  <c r="D365" i="5"/>
  <c r="C365" i="5"/>
  <c r="B365" i="5"/>
  <c r="A365" i="5"/>
  <c r="G364" i="5"/>
  <c r="F364" i="5"/>
  <c r="E364" i="5"/>
  <c r="D364" i="5"/>
  <c r="C364" i="5"/>
  <c r="B364" i="5"/>
  <c r="A364" i="5"/>
  <c r="G363" i="5"/>
  <c r="F363" i="5"/>
  <c r="E363" i="5"/>
  <c r="D363" i="5"/>
  <c r="C363" i="5"/>
  <c r="B363" i="5"/>
  <c r="A363" i="5"/>
  <c r="G362" i="5"/>
  <c r="F362" i="5"/>
  <c r="E362" i="5"/>
  <c r="D362" i="5"/>
  <c r="C362" i="5"/>
  <c r="B362" i="5"/>
  <c r="A362" i="5"/>
  <c r="G361" i="5"/>
  <c r="F361" i="5"/>
  <c r="E361" i="5"/>
  <c r="D361" i="5"/>
  <c r="C361" i="5"/>
  <c r="B361" i="5"/>
  <c r="A361" i="5"/>
  <c r="G360" i="5"/>
  <c r="F360" i="5"/>
  <c r="E360" i="5"/>
  <c r="D360" i="5"/>
  <c r="C360" i="5"/>
  <c r="B360" i="5"/>
  <c r="A360" i="5"/>
  <c r="G359" i="5"/>
  <c r="F359" i="5"/>
  <c r="E359" i="5"/>
  <c r="D359" i="5"/>
  <c r="C359" i="5"/>
  <c r="B359" i="5"/>
  <c r="A359" i="5"/>
  <c r="G358" i="5"/>
  <c r="F358" i="5"/>
  <c r="E358" i="5"/>
  <c r="D358" i="5"/>
  <c r="C358" i="5"/>
  <c r="B358" i="5"/>
  <c r="A358" i="5"/>
  <c r="G357" i="5"/>
  <c r="F357" i="5"/>
  <c r="E357" i="5"/>
  <c r="D357" i="5"/>
  <c r="C357" i="5"/>
  <c r="B357" i="5"/>
  <c r="A357" i="5"/>
  <c r="G356" i="5"/>
  <c r="F356" i="5"/>
  <c r="E356" i="5"/>
  <c r="D356" i="5"/>
  <c r="C356" i="5"/>
  <c r="B356" i="5"/>
  <c r="A356" i="5"/>
  <c r="G355" i="5"/>
  <c r="F355" i="5"/>
  <c r="E355" i="5"/>
  <c r="D355" i="5"/>
  <c r="C355" i="5"/>
  <c r="B355" i="5"/>
  <c r="A355" i="5"/>
  <c r="G354" i="5"/>
  <c r="F354" i="5"/>
  <c r="E354" i="5"/>
  <c r="D354" i="5"/>
  <c r="C354" i="5"/>
  <c r="B354" i="5"/>
  <c r="A354" i="5"/>
  <c r="G353" i="5"/>
  <c r="F353" i="5"/>
  <c r="E353" i="5"/>
  <c r="D353" i="5"/>
  <c r="C353" i="5"/>
  <c r="B353" i="5"/>
  <c r="A353" i="5"/>
  <c r="G352" i="5"/>
  <c r="F352" i="5"/>
  <c r="E352" i="5"/>
  <c r="D352" i="5"/>
  <c r="C352" i="5"/>
  <c r="B352" i="5"/>
  <c r="A352" i="5"/>
  <c r="G351" i="5"/>
  <c r="F351" i="5"/>
  <c r="E351" i="5"/>
  <c r="D351" i="5"/>
  <c r="C351" i="5"/>
  <c r="B351" i="5"/>
  <c r="A351" i="5"/>
  <c r="G350" i="5"/>
  <c r="F350" i="5"/>
  <c r="E350" i="5"/>
  <c r="D350" i="5"/>
  <c r="C350" i="5"/>
  <c r="B350" i="5"/>
  <c r="A350" i="5"/>
  <c r="G349" i="5"/>
  <c r="F349" i="5"/>
  <c r="E349" i="5"/>
  <c r="D349" i="5"/>
  <c r="C349" i="5"/>
  <c r="B349" i="5"/>
  <c r="A349" i="5"/>
  <c r="G348" i="5"/>
  <c r="F348" i="5"/>
  <c r="E348" i="5"/>
  <c r="D348" i="5"/>
  <c r="C348" i="5"/>
  <c r="B348" i="5"/>
  <c r="A348" i="5"/>
  <c r="G347" i="5"/>
  <c r="F347" i="5"/>
  <c r="E347" i="5"/>
  <c r="D347" i="5"/>
  <c r="C347" i="5"/>
  <c r="B347" i="5"/>
  <c r="A347" i="5"/>
  <c r="G346" i="5"/>
  <c r="F346" i="5"/>
  <c r="E346" i="5"/>
  <c r="D346" i="5"/>
  <c r="C346" i="5"/>
  <c r="B346" i="5"/>
  <c r="A346" i="5"/>
  <c r="G345" i="5"/>
  <c r="F345" i="5"/>
  <c r="E345" i="5"/>
  <c r="D345" i="5"/>
  <c r="C345" i="5"/>
  <c r="B345" i="5"/>
  <c r="A345" i="5"/>
  <c r="G344" i="5"/>
  <c r="F344" i="5"/>
  <c r="E344" i="5"/>
  <c r="D344" i="5"/>
  <c r="C344" i="5"/>
  <c r="B344" i="5"/>
  <c r="A344" i="5"/>
  <c r="G343" i="5"/>
  <c r="F343" i="5"/>
  <c r="E343" i="5"/>
  <c r="D343" i="5"/>
  <c r="C343" i="5"/>
  <c r="B343" i="5"/>
  <c r="A343" i="5"/>
  <c r="G342" i="5"/>
  <c r="F342" i="5"/>
  <c r="E342" i="5"/>
  <c r="D342" i="5"/>
  <c r="C342" i="5"/>
  <c r="B342" i="5"/>
  <c r="A342" i="5"/>
  <c r="G341" i="5"/>
  <c r="F341" i="5"/>
  <c r="E341" i="5"/>
  <c r="D341" i="5"/>
  <c r="C341" i="5"/>
  <c r="B341" i="5"/>
  <c r="A341" i="5"/>
  <c r="G340" i="5"/>
  <c r="F340" i="5"/>
  <c r="E340" i="5"/>
  <c r="D340" i="5"/>
  <c r="C340" i="5"/>
  <c r="B340" i="5"/>
  <c r="A340" i="5"/>
  <c r="G339" i="5"/>
  <c r="F339" i="5"/>
  <c r="E339" i="5"/>
  <c r="D339" i="5"/>
  <c r="C339" i="5"/>
  <c r="B339" i="5"/>
  <c r="A339" i="5"/>
  <c r="G338" i="5"/>
  <c r="F338" i="5"/>
  <c r="E338" i="5"/>
  <c r="D338" i="5"/>
  <c r="C338" i="5"/>
  <c r="B338" i="5"/>
  <c r="A338" i="5"/>
  <c r="G337" i="5"/>
  <c r="F337" i="5"/>
  <c r="E337" i="5"/>
  <c r="D337" i="5"/>
  <c r="C337" i="5"/>
  <c r="B337" i="5"/>
  <c r="A337" i="5"/>
  <c r="G336" i="5"/>
  <c r="F336" i="5"/>
  <c r="E336" i="5"/>
  <c r="D336" i="5"/>
  <c r="C336" i="5"/>
  <c r="B336" i="5"/>
  <c r="A336" i="5"/>
  <c r="G335" i="5"/>
  <c r="F335" i="5"/>
  <c r="E335" i="5"/>
  <c r="D335" i="5"/>
  <c r="C335" i="5"/>
  <c r="B335" i="5"/>
  <c r="A335" i="5"/>
  <c r="G334" i="5"/>
  <c r="F334" i="5"/>
  <c r="E334" i="5"/>
  <c r="D334" i="5"/>
  <c r="C334" i="5"/>
  <c r="B334" i="5"/>
  <c r="A334" i="5"/>
  <c r="G333" i="5"/>
  <c r="F333" i="5"/>
  <c r="E333" i="5"/>
  <c r="D333" i="5"/>
  <c r="C333" i="5"/>
  <c r="B333" i="5"/>
  <c r="A333" i="5"/>
  <c r="G332" i="5"/>
  <c r="F332" i="5"/>
  <c r="E332" i="5"/>
  <c r="D332" i="5"/>
  <c r="C332" i="5"/>
  <c r="B332" i="5"/>
  <c r="A332" i="5"/>
  <c r="G331" i="5"/>
  <c r="F331" i="5"/>
  <c r="E331" i="5"/>
  <c r="D331" i="5"/>
  <c r="C331" i="5"/>
  <c r="B331" i="5"/>
  <c r="A331" i="5"/>
  <c r="G330" i="5"/>
  <c r="F330" i="5"/>
  <c r="E330" i="5"/>
  <c r="D330" i="5"/>
  <c r="C330" i="5"/>
  <c r="B330" i="5"/>
  <c r="A330" i="5"/>
  <c r="G329" i="5"/>
  <c r="F329" i="5"/>
  <c r="E329" i="5"/>
  <c r="D329" i="5"/>
  <c r="C329" i="5"/>
  <c r="B329" i="5"/>
  <c r="A329" i="5"/>
  <c r="G328" i="5"/>
  <c r="F328" i="5"/>
  <c r="E328" i="5"/>
  <c r="D328" i="5"/>
  <c r="C328" i="5"/>
  <c r="B328" i="5"/>
  <c r="A328" i="5"/>
  <c r="G327" i="5"/>
  <c r="F327" i="5"/>
  <c r="E327" i="5"/>
  <c r="D327" i="5"/>
  <c r="C327" i="5"/>
  <c r="B327" i="5"/>
  <c r="A327" i="5"/>
  <c r="G326" i="5"/>
  <c r="F326" i="5"/>
  <c r="E326" i="5"/>
  <c r="D326" i="5"/>
  <c r="C326" i="5"/>
  <c r="B326" i="5"/>
  <c r="A326" i="5"/>
  <c r="G325" i="5"/>
  <c r="F325" i="5"/>
  <c r="E325" i="5"/>
  <c r="D325" i="5"/>
  <c r="C325" i="5"/>
  <c r="B325" i="5"/>
  <c r="A325" i="5"/>
  <c r="G324" i="5"/>
  <c r="F324" i="5"/>
  <c r="E324" i="5"/>
  <c r="D324" i="5"/>
  <c r="C324" i="5"/>
  <c r="B324" i="5"/>
  <c r="A324" i="5"/>
  <c r="G323" i="5"/>
  <c r="F323" i="5"/>
  <c r="E323" i="5"/>
  <c r="D323" i="5"/>
  <c r="C323" i="5"/>
  <c r="B323" i="5"/>
  <c r="A323" i="5"/>
  <c r="G322" i="5"/>
  <c r="F322" i="5"/>
  <c r="E322" i="5"/>
  <c r="D322" i="5"/>
  <c r="C322" i="5"/>
  <c r="B322" i="5"/>
  <c r="A322" i="5"/>
  <c r="G321" i="5"/>
  <c r="F321" i="5"/>
  <c r="E321" i="5"/>
  <c r="D321" i="5"/>
  <c r="C321" i="5"/>
  <c r="B321" i="5"/>
  <c r="A321" i="5"/>
  <c r="G320" i="5"/>
  <c r="F320" i="5"/>
  <c r="E320" i="5"/>
  <c r="D320" i="5"/>
  <c r="C320" i="5"/>
  <c r="B320" i="5"/>
  <c r="A320" i="5"/>
  <c r="G319" i="5"/>
  <c r="F319" i="5"/>
  <c r="E319" i="5"/>
  <c r="D319" i="5"/>
  <c r="C319" i="5"/>
  <c r="B319" i="5"/>
  <c r="A319" i="5"/>
  <c r="G318" i="5"/>
  <c r="F318" i="5"/>
  <c r="E318" i="5"/>
  <c r="D318" i="5"/>
  <c r="C318" i="5"/>
  <c r="B318" i="5"/>
  <c r="A318" i="5"/>
  <c r="G317" i="5"/>
  <c r="F317" i="5"/>
  <c r="E317" i="5"/>
  <c r="D317" i="5"/>
  <c r="C317" i="5"/>
  <c r="B317" i="5"/>
  <c r="A317" i="5"/>
  <c r="G316" i="5"/>
  <c r="F316" i="5"/>
  <c r="E316" i="5"/>
  <c r="D316" i="5"/>
  <c r="C316" i="5"/>
  <c r="B316" i="5"/>
  <c r="A316" i="5"/>
  <c r="G315" i="5"/>
  <c r="F315" i="5"/>
  <c r="E315" i="5"/>
  <c r="D315" i="5"/>
  <c r="C315" i="5"/>
  <c r="B315" i="5"/>
  <c r="A315" i="5"/>
  <c r="G314" i="5"/>
  <c r="F314" i="5"/>
  <c r="E314" i="5"/>
  <c r="D314" i="5"/>
  <c r="C314" i="5"/>
  <c r="B314" i="5"/>
  <c r="A314" i="5"/>
  <c r="G313" i="5"/>
  <c r="F313" i="5"/>
  <c r="E313" i="5"/>
  <c r="D313" i="5"/>
  <c r="C313" i="5"/>
  <c r="B313" i="5"/>
  <c r="A313" i="5"/>
  <c r="G312" i="5"/>
  <c r="F312" i="5"/>
  <c r="E312" i="5"/>
  <c r="D312" i="5"/>
  <c r="C312" i="5"/>
  <c r="B312" i="5"/>
  <c r="A312" i="5"/>
  <c r="G311" i="5"/>
  <c r="F311" i="5"/>
  <c r="E311" i="5"/>
  <c r="D311" i="5"/>
  <c r="C311" i="5"/>
  <c r="B311" i="5"/>
  <c r="A311" i="5"/>
  <c r="G310" i="5"/>
  <c r="F310" i="5"/>
  <c r="E310" i="5"/>
  <c r="D310" i="5"/>
  <c r="C310" i="5"/>
  <c r="B310" i="5"/>
  <c r="A310" i="5"/>
  <c r="G309" i="5"/>
  <c r="F309" i="5"/>
  <c r="E309" i="5"/>
  <c r="D309" i="5"/>
  <c r="C309" i="5"/>
  <c r="B309" i="5"/>
  <c r="A309" i="5"/>
  <c r="G308" i="5"/>
  <c r="F308" i="5"/>
  <c r="E308" i="5"/>
  <c r="D308" i="5"/>
  <c r="C308" i="5"/>
  <c r="B308" i="5"/>
  <c r="A308" i="5"/>
  <c r="G307" i="5"/>
  <c r="F307" i="5"/>
  <c r="E307" i="5"/>
  <c r="D307" i="5"/>
  <c r="C307" i="5"/>
  <c r="B307" i="5"/>
  <c r="A307" i="5"/>
  <c r="G306" i="5"/>
  <c r="F306" i="5"/>
  <c r="E306" i="5"/>
  <c r="D306" i="5"/>
  <c r="C306" i="5"/>
  <c r="B306" i="5"/>
  <c r="A306" i="5"/>
  <c r="G305" i="5"/>
  <c r="F305" i="5"/>
  <c r="E305" i="5"/>
  <c r="D305" i="5"/>
  <c r="C305" i="5"/>
  <c r="B305" i="5"/>
  <c r="A305" i="5"/>
  <c r="G304" i="5"/>
  <c r="F304" i="5"/>
  <c r="E304" i="5"/>
  <c r="D304" i="5"/>
  <c r="C304" i="5"/>
  <c r="B304" i="5"/>
  <c r="A304" i="5"/>
  <c r="G303" i="5"/>
  <c r="F303" i="5"/>
  <c r="E303" i="5"/>
  <c r="D303" i="5"/>
  <c r="C303" i="5"/>
  <c r="B303" i="5"/>
  <c r="A303" i="5"/>
  <c r="G302" i="5"/>
  <c r="F302" i="5"/>
  <c r="E302" i="5"/>
  <c r="D302" i="5"/>
  <c r="C302" i="5"/>
  <c r="B302" i="5"/>
  <c r="A302" i="5"/>
  <c r="G301" i="5"/>
  <c r="F301" i="5"/>
  <c r="E301" i="5"/>
  <c r="D301" i="5"/>
  <c r="C301" i="5"/>
  <c r="B301" i="5"/>
  <c r="A301" i="5"/>
  <c r="G300" i="5"/>
  <c r="F300" i="5"/>
  <c r="E300" i="5"/>
  <c r="D300" i="5"/>
  <c r="C300" i="5"/>
  <c r="B300" i="5"/>
  <c r="A300" i="5"/>
  <c r="G299" i="5"/>
  <c r="F299" i="5"/>
  <c r="E299" i="5"/>
  <c r="D299" i="5"/>
  <c r="C299" i="5"/>
  <c r="B299" i="5"/>
  <c r="A299" i="5"/>
  <c r="G298" i="5"/>
  <c r="F298" i="5"/>
  <c r="E298" i="5"/>
  <c r="D298" i="5"/>
  <c r="C298" i="5"/>
  <c r="B298" i="5"/>
  <c r="A298" i="5"/>
  <c r="G297" i="5"/>
  <c r="F297" i="5"/>
  <c r="E297" i="5"/>
  <c r="D297" i="5"/>
  <c r="C297" i="5"/>
  <c r="B297" i="5"/>
  <c r="A297" i="5"/>
  <c r="G296" i="5"/>
  <c r="F296" i="5"/>
  <c r="E296" i="5"/>
  <c r="D296" i="5"/>
  <c r="C296" i="5"/>
  <c r="B296" i="5"/>
  <c r="A296" i="5"/>
  <c r="G295" i="5"/>
  <c r="F295" i="5"/>
  <c r="E295" i="5"/>
  <c r="D295" i="5"/>
  <c r="C295" i="5"/>
  <c r="B295" i="5"/>
  <c r="A295" i="5"/>
  <c r="G294" i="5"/>
  <c r="F294" i="5"/>
  <c r="E294" i="5"/>
  <c r="D294" i="5"/>
  <c r="C294" i="5"/>
  <c r="B294" i="5"/>
  <c r="A294" i="5"/>
  <c r="G293" i="5"/>
  <c r="F293" i="5"/>
  <c r="E293" i="5"/>
  <c r="D293" i="5"/>
  <c r="C293" i="5"/>
  <c r="B293" i="5"/>
  <c r="A293" i="5"/>
  <c r="G292" i="5"/>
  <c r="F292" i="5"/>
  <c r="E292" i="5"/>
  <c r="D292" i="5"/>
  <c r="C292" i="5"/>
  <c r="B292" i="5"/>
  <c r="A292" i="5"/>
  <c r="G291" i="5"/>
  <c r="F291" i="5"/>
  <c r="E291" i="5"/>
  <c r="D291" i="5"/>
  <c r="C291" i="5"/>
  <c r="B291" i="5"/>
  <c r="A291" i="5"/>
  <c r="G290" i="5"/>
  <c r="F290" i="5"/>
  <c r="E290" i="5"/>
  <c r="D290" i="5"/>
  <c r="C290" i="5"/>
  <c r="B290" i="5"/>
  <c r="A290" i="5"/>
  <c r="G289" i="5"/>
  <c r="F289" i="5"/>
  <c r="E289" i="5"/>
  <c r="D289" i="5"/>
  <c r="C289" i="5"/>
  <c r="B289" i="5"/>
  <c r="A289" i="5"/>
  <c r="G288" i="5"/>
  <c r="F288" i="5"/>
  <c r="E288" i="5"/>
  <c r="D288" i="5"/>
  <c r="C288" i="5"/>
  <c r="B288" i="5"/>
  <c r="A288" i="5"/>
  <c r="G287" i="5"/>
  <c r="F287" i="5"/>
  <c r="E287" i="5"/>
  <c r="D287" i="5"/>
  <c r="C287" i="5"/>
  <c r="B287" i="5"/>
  <c r="A287" i="5"/>
  <c r="G286" i="5"/>
  <c r="F286" i="5"/>
  <c r="E286" i="5"/>
  <c r="D286" i="5"/>
  <c r="C286" i="5"/>
  <c r="B286" i="5"/>
  <c r="A286" i="5"/>
  <c r="G285" i="5"/>
  <c r="F285" i="5"/>
  <c r="E285" i="5"/>
  <c r="D285" i="5"/>
  <c r="C285" i="5"/>
  <c r="B285" i="5"/>
  <c r="A285" i="5"/>
  <c r="G284" i="5"/>
  <c r="F284" i="5"/>
  <c r="E284" i="5"/>
  <c r="D284" i="5"/>
  <c r="C284" i="5"/>
  <c r="B284" i="5"/>
  <c r="A284" i="5"/>
  <c r="G283" i="5"/>
  <c r="F283" i="5"/>
  <c r="E283" i="5"/>
  <c r="D283" i="5"/>
  <c r="C283" i="5"/>
  <c r="B283" i="5"/>
  <c r="A283" i="5"/>
  <c r="G282" i="5"/>
  <c r="F282" i="5"/>
  <c r="E282" i="5"/>
  <c r="D282" i="5"/>
  <c r="C282" i="5"/>
  <c r="B282" i="5"/>
  <c r="A282" i="5"/>
  <c r="G281" i="5"/>
  <c r="F281" i="5"/>
  <c r="E281" i="5"/>
  <c r="D281" i="5"/>
  <c r="C281" i="5"/>
  <c r="B281" i="5"/>
  <c r="A281" i="5"/>
  <c r="G280" i="5"/>
  <c r="F280" i="5"/>
  <c r="E280" i="5"/>
  <c r="D280" i="5"/>
  <c r="C280" i="5"/>
  <c r="B280" i="5"/>
  <c r="A280" i="5"/>
  <c r="G279" i="5"/>
  <c r="F279" i="5"/>
  <c r="E279" i="5"/>
  <c r="D279" i="5"/>
  <c r="C279" i="5"/>
  <c r="B279" i="5"/>
  <c r="A279" i="5"/>
  <c r="G278" i="5"/>
  <c r="F278" i="5"/>
  <c r="E278" i="5"/>
  <c r="D278" i="5"/>
  <c r="C278" i="5"/>
  <c r="B278" i="5"/>
  <c r="A278" i="5"/>
  <c r="G277" i="5"/>
  <c r="F277" i="5"/>
  <c r="E277" i="5"/>
  <c r="D277" i="5"/>
  <c r="C277" i="5"/>
  <c r="B277" i="5"/>
  <c r="A277" i="5"/>
  <c r="G276" i="5"/>
  <c r="F276" i="5"/>
  <c r="E276" i="5"/>
  <c r="D276" i="5"/>
  <c r="C276" i="5"/>
  <c r="B276" i="5"/>
  <c r="A276" i="5"/>
  <c r="G275" i="5"/>
  <c r="F275" i="5"/>
  <c r="E275" i="5"/>
  <c r="D275" i="5"/>
  <c r="C275" i="5"/>
  <c r="B275" i="5"/>
  <c r="A275" i="5"/>
  <c r="G274" i="5"/>
  <c r="F274" i="5"/>
  <c r="E274" i="5"/>
  <c r="D274" i="5"/>
  <c r="C274" i="5"/>
  <c r="B274" i="5"/>
  <c r="A274" i="5"/>
  <c r="G273" i="5"/>
  <c r="F273" i="5"/>
  <c r="E273" i="5"/>
  <c r="D273" i="5"/>
  <c r="C273" i="5"/>
  <c r="B273" i="5"/>
  <c r="A273" i="5"/>
  <c r="G272" i="5"/>
  <c r="F272" i="5"/>
  <c r="E272" i="5"/>
  <c r="D272" i="5"/>
  <c r="C272" i="5"/>
  <c r="B272" i="5"/>
  <c r="A272" i="5"/>
  <c r="G271" i="5"/>
  <c r="F271" i="5"/>
  <c r="E271" i="5"/>
  <c r="D271" i="5"/>
  <c r="C271" i="5"/>
  <c r="B271" i="5"/>
  <c r="A271" i="5"/>
  <c r="G270" i="5"/>
  <c r="F270" i="5"/>
  <c r="E270" i="5"/>
  <c r="D270" i="5"/>
  <c r="C270" i="5"/>
  <c r="B270" i="5"/>
  <c r="A270" i="5"/>
  <c r="G269" i="5"/>
  <c r="F269" i="5"/>
  <c r="E269" i="5"/>
  <c r="D269" i="5"/>
  <c r="C269" i="5"/>
  <c r="B269" i="5"/>
  <c r="A269" i="5"/>
  <c r="G268" i="5"/>
  <c r="F268" i="5"/>
  <c r="E268" i="5"/>
  <c r="D268" i="5"/>
  <c r="C268" i="5"/>
  <c r="B268" i="5"/>
  <c r="A268" i="5"/>
  <c r="G267" i="5"/>
  <c r="F267" i="5"/>
  <c r="E267" i="5"/>
  <c r="D267" i="5"/>
  <c r="C267" i="5"/>
  <c r="B267" i="5"/>
  <c r="A267" i="5"/>
  <c r="G266" i="5"/>
  <c r="F266" i="5"/>
  <c r="E266" i="5"/>
  <c r="D266" i="5"/>
  <c r="C266" i="5"/>
  <c r="B266" i="5"/>
  <c r="A266" i="5"/>
  <c r="G265" i="5"/>
  <c r="F265" i="5"/>
  <c r="E265" i="5"/>
  <c r="D265" i="5"/>
  <c r="C265" i="5"/>
  <c r="B265" i="5"/>
  <c r="A265" i="5"/>
  <c r="G264" i="5"/>
  <c r="F264" i="5"/>
  <c r="E264" i="5"/>
  <c r="D264" i="5"/>
  <c r="C264" i="5"/>
  <c r="B264" i="5"/>
  <c r="A264" i="5"/>
  <c r="G263" i="5"/>
  <c r="F263" i="5"/>
  <c r="E263" i="5"/>
  <c r="D263" i="5"/>
  <c r="C263" i="5"/>
  <c r="B263" i="5"/>
  <c r="A263" i="5"/>
  <c r="G262" i="5"/>
  <c r="F262" i="5"/>
  <c r="E262" i="5"/>
  <c r="D262" i="5"/>
  <c r="C262" i="5"/>
  <c r="B262" i="5"/>
  <c r="A262" i="5"/>
  <c r="G261" i="5"/>
  <c r="F261" i="5"/>
  <c r="E261" i="5"/>
  <c r="D261" i="5"/>
  <c r="C261" i="5"/>
  <c r="B261" i="5"/>
  <c r="A261" i="5"/>
  <c r="G260" i="5"/>
  <c r="F260" i="5"/>
  <c r="E260" i="5"/>
  <c r="D260" i="5"/>
  <c r="C260" i="5"/>
  <c r="B260" i="5"/>
  <c r="A260" i="5"/>
  <c r="G259" i="5"/>
  <c r="F259" i="5"/>
  <c r="E259" i="5"/>
  <c r="D259" i="5"/>
  <c r="C259" i="5"/>
  <c r="B259" i="5"/>
  <c r="A259" i="5"/>
  <c r="G258" i="5"/>
  <c r="F258" i="5"/>
  <c r="E258" i="5"/>
  <c r="D258" i="5"/>
  <c r="C258" i="5"/>
  <c r="B258" i="5"/>
  <c r="A258" i="5"/>
  <c r="G257" i="5"/>
  <c r="F257" i="5"/>
  <c r="E257" i="5"/>
  <c r="D257" i="5"/>
  <c r="C257" i="5"/>
  <c r="B257" i="5"/>
  <c r="A257" i="5"/>
  <c r="G256" i="5"/>
  <c r="F256" i="5"/>
  <c r="E256" i="5"/>
  <c r="D256" i="5"/>
  <c r="C256" i="5"/>
  <c r="B256" i="5"/>
  <c r="A256" i="5"/>
  <c r="G255" i="5"/>
  <c r="F255" i="5"/>
  <c r="E255" i="5"/>
  <c r="D255" i="5"/>
  <c r="C255" i="5"/>
  <c r="B255" i="5"/>
  <c r="A255" i="5"/>
  <c r="G254" i="5"/>
  <c r="F254" i="5"/>
  <c r="E254" i="5"/>
  <c r="D254" i="5"/>
  <c r="C254" i="5"/>
  <c r="B254" i="5"/>
  <c r="A254" i="5"/>
  <c r="G253" i="5"/>
  <c r="F253" i="5"/>
  <c r="E253" i="5"/>
  <c r="D253" i="5"/>
  <c r="C253" i="5"/>
  <c r="B253" i="5"/>
  <c r="A253" i="5"/>
  <c r="G252" i="5"/>
  <c r="F252" i="5"/>
  <c r="E252" i="5"/>
  <c r="D252" i="5"/>
  <c r="C252" i="5"/>
  <c r="B252" i="5"/>
  <c r="A252" i="5"/>
  <c r="G251" i="5"/>
  <c r="F251" i="5"/>
  <c r="E251" i="5"/>
  <c r="D251" i="5"/>
  <c r="C251" i="5"/>
  <c r="B251" i="5"/>
  <c r="A251" i="5"/>
  <c r="G250" i="5"/>
  <c r="F250" i="5"/>
  <c r="E250" i="5"/>
  <c r="D250" i="5"/>
  <c r="C250" i="5"/>
  <c r="B250" i="5"/>
  <c r="A250" i="5"/>
  <c r="G249" i="5"/>
  <c r="F249" i="5"/>
  <c r="E249" i="5"/>
  <c r="D249" i="5"/>
  <c r="C249" i="5"/>
  <c r="B249" i="5"/>
  <c r="A249" i="5"/>
  <c r="G248" i="5"/>
  <c r="F248" i="5"/>
  <c r="E248" i="5"/>
  <c r="D248" i="5"/>
  <c r="C248" i="5"/>
  <c r="B248" i="5"/>
  <c r="A248" i="5"/>
  <c r="G247" i="5"/>
  <c r="F247" i="5"/>
  <c r="E247" i="5"/>
  <c r="D247" i="5"/>
  <c r="C247" i="5"/>
  <c r="B247" i="5"/>
  <c r="A247" i="5"/>
  <c r="G246" i="5"/>
  <c r="F246" i="5"/>
  <c r="E246" i="5"/>
  <c r="D246" i="5"/>
  <c r="C246" i="5"/>
  <c r="B246" i="5"/>
  <c r="A246" i="5"/>
  <c r="G245" i="5"/>
  <c r="F245" i="5"/>
  <c r="E245" i="5"/>
  <c r="D245" i="5"/>
  <c r="C245" i="5"/>
  <c r="B245" i="5"/>
  <c r="A245" i="5"/>
  <c r="G244" i="5"/>
  <c r="F244" i="5"/>
  <c r="E244" i="5"/>
  <c r="D244" i="5"/>
  <c r="C244" i="5"/>
  <c r="B244" i="5"/>
  <c r="A244" i="5"/>
  <c r="G243" i="5"/>
  <c r="F243" i="5"/>
  <c r="E243" i="5"/>
  <c r="D243" i="5"/>
  <c r="C243" i="5"/>
  <c r="B243" i="5"/>
  <c r="A243" i="5"/>
  <c r="G242" i="5"/>
  <c r="F242" i="5"/>
  <c r="E242" i="5"/>
  <c r="D242" i="5"/>
  <c r="C242" i="5"/>
  <c r="B242" i="5"/>
  <c r="A242" i="5"/>
  <c r="G241" i="5"/>
  <c r="F241" i="5"/>
  <c r="E241" i="5"/>
  <c r="D241" i="5"/>
  <c r="C241" i="5"/>
  <c r="B241" i="5"/>
  <c r="A241" i="5"/>
  <c r="G240" i="5"/>
  <c r="F240" i="5"/>
  <c r="E240" i="5"/>
  <c r="D240" i="5"/>
  <c r="C240" i="5"/>
  <c r="B240" i="5"/>
  <c r="A240" i="5"/>
  <c r="G239" i="5"/>
  <c r="F239" i="5"/>
  <c r="E239" i="5"/>
  <c r="D239" i="5"/>
  <c r="C239" i="5"/>
  <c r="B239" i="5"/>
  <c r="A239" i="5"/>
  <c r="G238" i="5"/>
  <c r="F238" i="5"/>
  <c r="E238" i="5"/>
  <c r="D238" i="5"/>
  <c r="C238" i="5"/>
  <c r="B238" i="5"/>
  <c r="A238" i="5"/>
  <c r="G237" i="5"/>
  <c r="F237" i="5"/>
  <c r="E237" i="5"/>
  <c r="D237" i="5"/>
  <c r="C237" i="5"/>
  <c r="B237" i="5"/>
  <c r="A237" i="5"/>
  <c r="G236" i="5"/>
  <c r="F236" i="5"/>
  <c r="E236" i="5"/>
  <c r="D236" i="5"/>
  <c r="C236" i="5"/>
  <c r="B236" i="5"/>
  <c r="A236" i="5"/>
  <c r="G235" i="5"/>
  <c r="F235" i="5"/>
  <c r="E235" i="5"/>
  <c r="D235" i="5"/>
  <c r="C235" i="5"/>
  <c r="B235" i="5"/>
  <c r="A235" i="5"/>
  <c r="G234" i="5"/>
  <c r="F234" i="5"/>
  <c r="E234" i="5"/>
  <c r="D234" i="5"/>
  <c r="C234" i="5"/>
  <c r="B234" i="5"/>
  <c r="A234" i="5"/>
  <c r="G233" i="5"/>
  <c r="F233" i="5"/>
  <c r="E233" i="5"/>
  <c r="D233" i="5"/>
  <c r="C233" i="5"/>
  <c r="B233" i="5"/>
  <c r="A233" i="5"/>
  <c r="G232" i="5"/>
  <c r="F232" i="5"/>
  <c r="E232" i="5"/>
  <c r="D232" i="5"/>
  <c r="C232" i="5"/>
  <c r="B232" i="5"/>
  <c r="A232" i="5"/>
  <c r="G231" i="5"/>
  <c r="F231" i="5"/>
  <c r="E231" i="5"/>
  <c r="D231" i="5"/>
  <c r="C231" i="5"/>
  <c r="B231" i="5"/>
  <c r="A231" i="5"/>
  <c r="G230" i="5"/>
  <c r="F230" i="5"/>
  <c r="E230" i="5"/>
  <c r="D230" i="5"/>
  <c r="C230" i="5"/>
  <c r="B230" i="5"/>
  <c r="A230" i="5"/>
  <c r="G229" i="5"/>
  <c r="F229" i="5"/>
  <c r="E229" i="5"/>
  <c r="D229" i="5"/>
  <c r="C229" i="5"/>
  <c r="B229" i="5"/>
  <c r="A229" i="5"/>
  <c r="G228" i="5"/>
  <c r="F228" i="5"/>
  <c r="E228" i="5"/>
  <c r="D228" i="5"/>
  <c r="C228" i="5"/>
  <c r="B228" i="5"/>
  <c r="A228" i="5"/>
  <c r="G227" i="5"/>
  <c r="F227" i="5"/>
  <c r="E227" i="5"/>
  <c r="D227" i="5"/>
  <c r="C227" i="5"/>
  <c r="B227" i="5"/>
  <c r="A227" i="5"/>
  <c r="G226" i="5"/>
  <c r="F226" i="5"/>
  <c r="E226" i="5"/>
  <c r="D226" i="5"/>
  <c r="C226" i="5"/>
  <c r="B226" i="5"/>
  <c r="A226" i="5"/>
  <c r="G225" i="5"/>
  <c r="F225" i="5"/>
  <c r="E225" i="5"/>
  <c r="D225" i="5"/>
  <c r="C225" i="5"/>
  <c r="B225" i="5"/>
  <c r="A225" i="5"/>
  <c r="G224" i="5"/>
  <c r="F224" i="5"/>
  <c r="E224" i="5"/>
  <c r="D224" i="5"/>
  <c r="C224" i="5"/>
  <c r="B224" i="5"/>
  <c r="A224" i="5"/>
  <c r="G223" i="5"/>
  <c r="F223" i="5"/>
  <c r="E223" i="5"/>
  <c r="D223" i="5"/>
  <c r="C223" i="5"/>
  <c r="B223" i="5"/>
  <c r="A223" i="5"/>
  <c r="G222" i="5"/>
  <c r="F222" i="5"/>
  <c r="E222" i="5"/>
  <c r="D222" i="5"/>
  <c r="C222" i="5"/>
  <c r="B222" i="5"/>
  <c r="A222" i="5"/>
  <c r="G221" i="5"/>
  <c r="F221" i="5"/>
  <c r="E221" i="5"/>
  <c r="D221" i="5"/>
  <c r="C221" i="5"/>
  <c r="B221" i="5"/>
  <c r="A221" i="5"/>
  <c r="G220" i="5"/>
  <c r="F220" i="5"/>
  <c r="E220" i="5"/>
  <c r="D220" i="5"/>
  <c r="C220" i="5"/>
  <c r="B220" i="5"/>
  <c r="A220" i="5"/>
  <c r="G219" i="5"/>
  <c r="F219" i="5"/>
  <c r="E219" i="5"/>
  <c r="D219" i="5"/>
  <c r="C219" i="5"/>
  <c r="B219" i="5"/>
  <c r="A219" i="5"/>
  <c r="G218" i="5"/>
  <c r="F218" i="5"/>
  <c r="E218" i="5"/>
  <c r="D218" i="5"/>
  <c r="C218" i="5"/>
  <c r="B218" i="5"/>
  <c r="A218" i="5"/>
  <c r="G217" i="5"/>
  <c r="F217" i="5"/>
  <c r="E217" i="5"/>
  <c r="D217" i="5"/>
  <c r="C217" i="5"/>
  <c r="B217" i="5"/>
  <c r="A217" i="5"/>
  <c r="G216" i="5"/>
  <c r="F216" i="5"/>
  <c r="E216" i="5"/>
  <c r="D216" i="5"/>
  <c r="C216" i="5"/>
  <c r="B216" i="5"/>
  <c r="A216" i="5"/>
  <c r="G215" i="5"/>
  <c r="F215" i="5"/>
  <c r="E215" i="5"/>
  <c r="D215" i="5"/>
  <c r="C215" i="5"/>
  <c r="B215" i="5"/>
  <c r="A215" i="5"/>
  <c r="G214" i="5"/>
  <c r="F214" i="5"/>
  <c r="E214" i="5"/>
  <c r="D214" i="5"/>
  <c r="C214" i="5"/>
  <c r="B214" i="5"/>
  <c r="A214" i="5"/>
  <c r="G213" i="5"/>
  <c r="F213" i="5"/>
  <c r="E213" i="5"/>
  <c r="D213" i="5"/>
  <c r="C213" i="5"/>
  <c r="B213" i="5"/>
  <c r="A213" i="5"/>
  <c r="G212" i="5"/>
  <c r="F212" i="5"/>
  <c r="E212" i="5"/>
  <c r="D212" i="5"/>
  <c r="C212" i="5"/>
  <c r="B212" i="5"/>
  <c r="A212" i="5"/>
  <c r="G211" i="5"/>
  <c r="F211" i="5"/>
  <c r="E211" i="5"/>
  <c r="D211" i="5"/>
  <c r="C211" i="5"/>
  <c r="B211" i="5"/>
  <c r="A211" i="5"/>
  <c r="G210" i="5"/>
  <c r="F210" i="5"/>
  <c r="E210" i="5"/>
  <c r="D210" i="5"/>
  <c r="C210" i="5"/>
  <c r="B210" i="5"/>
  <c r="A210" i="5"/>
  <c r="G209" i="5"/>
  <c r="F209" i="5"/>
  <c r="E209" i="5"/>
  <c r="D209" i="5"/>
  <c r="C209" i="5"/>
  <c r="B209" i="5"/>
  <c r="A209" i="5"/>
  <c r="G208" i="5"/>
  <c r="F208" i="5"/>
  <c r="E208" i="5"/>
  <c r="D208" i="5"/>
  <c r="C208" i="5"/>
  <c r="B208" i="5"/>
  <c r="A208" i="5"/>
  <c r="G207" i="5"/>
  <c r="F207" i="5"/>
  <c r="E207" i="5"/>
  <c r="D207" i="5"/>
  <c r="C207" i="5"/>
  <c r="B207" i="5"/>
  <c r="A207" i="5"/>
  <c r="G206" i="5"/>
  <c r="F206" i="5"/>
  <c r="E206" i="5"/>
  <c r="D206" i="5"/>
  <c r="C206" i="5"/>
  <c r="B206" i="5"/>
  <c r="A206" i="5"/>
  <c r="G205" i="5"/>
  <c r="F205" i="5"/>
  <c r="E205" i="5"/>
  <c r="D205" i="5"/>
  <c r="C205" i="5"/>
  <c r="B205" i="5"/>
  <c r="A205" i="5"/>
  <c r="G204" i="5"/>
  <c r="F204" i="5"/>
  <c r="E204" i="5"/>
  <c r="D204" i="5"/>
  <c r="C204" i="5"/>
  <c r="B204" i="5"/>
  <c r="A204" i="5"/>
  <c r="G203" i="5"/>
  <c r="F203" i="5"/>
  <c r="E203" i="5"/>
  <c r="D203" i="5"/>
  <c r="C203" i="5"/>
  <c r="B203" i="5"/>
  <c r="A203" i="5"/>
  <c r="G202" i="5"/>
  <c r="F202" i="5"/>
  <c r="E202" i="5"/>
  <c r="D202" i="5"/>
  <c r="C202" i="5"/>
  <c r="B202" i="5"/>
  <c r="A202" i="5"/>
  <c r="G201" i="5"/>
  <c r="F201" i="5"/>
  <c r="E201" i="5"/>
  <c r="D201" i="5"/>
  <c r="C201" i="5"/>
  <c r="B201" i="5"/>
  <c r="A201" i="5"/>
  <c r="G200" i="5"/>
  <c r="F200" i="5"/>
  <c r="E200" i="5"/>
  <c r="D200" i="5"/>
  <c r="C200" i="5"/>
  <c r="B200" i="5"/>
  <c r="A200" i="5"/>
  <c r="G199" i="5"/>
  <c r="F199" i="5"/>
  <c r="E199" i="5"/>
  <c r="D199" i="5"/>
  <c r="C199" i="5"/>
  <c r="B199" i="5"/>
  <c r="A199" i="5"/>
  <c r="G198" i="5"/>
  <c r="F198" i="5"/>
  <c r="E198" i="5"/>
  <c r="D198" i="5"/>
  <c r="C198" i="5"/>
  <c r="B198" i="5"/>
  <c r="A198" i="5"/>
  <c r="G197" i="5"/>
  <c r="F197" i="5"/>
  <c r="E197" i="5"/>
  <c r="D197" i="5"/>
  <c r="C197" i="5"/>
  <c r="B197" i="5"/>
  <c r="A197" i="5"/>
  <c r="G196" i="5"/>
  <c r="F196" i="5"/>
  <c r="E196" i="5"/>
  <c r="D196" i="5"/>
  <c r="C196" i="5"/>
  <c r="B196" i="5"/>
  <c r="A196" i="5"/>
  <c r="G195" i="5"/>
  <c r="F195" i="5"/>
  <c r="E195" i="5"/>
  <c r="D195" i="5"/>
  <c r="C195" i="5"/>
  <c r="B195" i="5"/>
  <c r="A195" i="5"/>
  <c r="G194" i="5"/>
  <c r="F194" i="5"/>
  <c r="E194" i="5"/>
  <c r="D194" i="5"/>
  <c r="C194" i="5"/>
  <c r="B194" i="5"/>
  <c r="A194" i="5"/>
  <c r="G193" i="5"/>
  <c r="F193" i="5"/>
  <c r="E193" i="5"/>
  <c r="D193" i="5"/>
  <c r="C193" i="5"/>
  <c r="B193" i="5"/>
  <c r="A193" i="5"/>
  <c r="G192" i="5"/>
  <c r="F192" i="5"/>
  <c r="E192" i="5"/>
  <c r="D192" i="5"/>
  <c r="C192" i="5"/>
  <c r="B192" i="5"/>
  <c r="A192" i="5"/>
  <c r="G191" i="5"/>
  <c r="F191" i="5"/>
  <c r="E191" i="5"/>
  <c r="D191" i="5"/>
  <c r="C191" i="5"/>
  <c r="B191" i="5"/>
  <c r="A191" i="5"/>
  <c r="G190" i="5"/>
  <c r="F190" i="5"/>
  <c r="E190" i="5"/>
  <c r="D190" i="5"/>
  <c r="C190" i="5"/>
  <c r="B190" i="5"/>
  <c r="A190" i="5"/>
  <c r="G189" i="5"/>
  <c r="F189" i="5"/>
  <c r="E189" i="5"/>
  <c r="D189" i="5"/>
  <c r="C189" i="5"/>
  <c r="B189" i="5"/>
  <c r="A189" i="5"/>
  <c r="G188" i="5"/>
  <c r="F188" i="5"/>
  <c r="E188" i="5"/>
  <c r="D188" i="5"/>
  <c r="C188" i="5"/>
  <c r="B188" i="5"/>
  <c r="A188" i="5"/>
  <c r="G187" i="5"/>
  <c r="F187" i="5"/>
  <c r="E187" i="5"/>
  <c r="D187" i="5"/>
  <c r="C187" i="5"/>
  <c r="B187" i="5"/>
  <c r="A187" i="5"/>
  <c r="G186" i="5"/>
  <c r="F186" i="5"/>
  <c r="E186" i="5"/>
  <c r="D186" i="5"/>
  <c r="C186" i="5"/>
  <c r="B186" i="5"/>
  <c r="A186" i="5"/>
  <c r="G185" i="5"/>
  <c r="F185" i="5"/>
  <c r="E185" i="5"/>
  <c r="D185" i="5"/>
  <c r="C185" i="5"/>
  <c r="B185" i="5"/>
  <c r="A185" i="5"/>
  <c r="G184" i="5"/>
  <c r="F184" i="5"/>
  <c r="E184" i="5"/>
  <c r="D184" i="5"/>
  <c r="C184" i="5"/>
  <c r="B184" i="5"/>
  <c r="A184" i="5"/>
  <c r="G183" i="5"/>
  <c r="F183" i="5"/>
  <c r="E183" i="5"/>
  <c r="D183" i="5"/>
  <c r="C183" i="5"/>
  <c r="B183" i="5"/>
  <c r="A183" i="5"/>
  <c r="G182" i="5"/>
  <c r="F182" i="5"/>
  <c r="E182" i="5"/>
  <c r="D182" i="5"/>
  <c r="C182" i="5"/>
  <c r="B182" i="5"/>
  <c r="A182" i="5"/>
  <c r="G181" i="5"/>
  <c r="F181" i="5"/>
  <c r="E181" i="5"/>
  <c r="D181" i="5"/>
  <c r="C181" i="5"/>
  <c r="B181" i="5"/>
  <c r="A181" i="5"/>
  <c r="G180" i="5"/>
  <c r="F180" i="5"/>
  <c r="E180" i="5"/>
  <c r="D180" i="5"/>
  <c r="C180" i="5"/>
  <c r="B180" i="5"/>
  <c r="A180" i="5"/>
  <c r="G179" i="5"/>
  <c r="F179" i="5"/>
  <c r="E179" i="5"/>
  <c r="D179" i="5"/>
  <c r="C179" i="5"/>
  <c r="B179" i="5"/>
  <c r="A179" i="5"/>
  <c r="G178" i="5"/>
  <c r="F178" i="5"/>
  <c r="E178" i="5"/>
  <c r="D178" i="5"/>
  <c r="C178" i="5"/>
  <c r="B178" i="5"/>
  <c r="A178" i="5"/>
  <c r="G177" i="5"/>
  <c r="F177" i="5"/>
  <c r="E177" i="5"/>
  <c r="D177" i="5"/>
  <c r="C177" i="5"/>
  <c r="B177" i="5"/>
  <c r="A177" i="5"/>
  <c r="G176" i="5"/>
  <c r="F176" i="5"/>
  <c r="E176" i="5"/>
  <c r="D176" i="5"/>
  <c r="C176" i="5"/>
  <c r="B176" i="5"/>
  <c r="A176" i="5"/>
  <c r="G175" i="5"/>
  <c r="F175" i="5"/>
  <c r="E175" i="5"/>
  <c r="D175" i="5"/>
  <c r="C175" i="5"/>
  <c r="B175" i="5"/>
  <c r="A175" i="5"/>
  <c r="G174" i="5"/>
  <c r="F174" i="5"/>
  <c r="E174" i="5"/>
  <c r="D174" i="5"/>
  <c r="C174" i="5"/>
  <c r="B174" i="5"/>
  <c r="A174" i="5"/>
  <c r="G173" i="5"/>
  <c r="F173" i="5"/>
  <c r="E173" i="5"/>
  <c r="D173" i="5"/>
  <c r="C173" i="5"/>
  <c r="B173" i="5"/>
  <c r="A173" i="5"/>
  <c r="G172" i="5"/>
  <c r="F172" i="5"/>
  <c r="E172" i="5"/>
  <c r="D172" i="5"/>
  <c r="C172" i="5"/>
  <c r="B172" i="5"/>
  <c r="A172" i="5"/>
  <c r="G171" i="5"/>
  <c r="F171" i="5"/>
  <c r="E171" i="5"/>
  <c r="D171" i="5"/>
  <c r="C171" i="5"/>
  <c r="B171" i="5"/>
  <c r="A171" i="5"/>
  <c r="G170" i="5"/>
  <c r="F170" i="5"/>
  <c r="E170" i="5"/>
  <c r="D170" i="5"/>
  <c r="C170" i="5"/>
  <c r="B170" i="5"/>
  <c r="A170" i="5"/>
  <c r="G169" i="5"/>
  <c r="F169" i="5"/>
  <c r="E169" i="5"/>
  <c r="D169" i="5"/>
  <c r="C169" i="5"/>
  <c r="B169" i="5"/>
  <c r="A169" i="5"/>
  <c r="G168" i="5"/>
  <c r="F168" i="5"/>
  <c r="E168" i="5"/>
  <c r="D168" i="5"/>
  <c r="C168" i="5"/>
  <c r="B168" i="5"/>
  <c r="A168" i="5"/>
  <c r="G167" i="5"/>
  <c r="F167" i="5"/>
  <c r="E167" i="5"/>
  <c r="D167" i="5"/>
  <c r="C167" i="5"/>
  <c r="B167" i="5"/>
  <c r="A167" i="5"/>
  <c r="G166" i="5"/>
  <c r="F166" i="5"/>
  <c r="E166" i="5"/>
  <c r="D166" i="5"/>
  <c r="C166" i="5"/>
  <c r="B166" i="5"/>
  <c r="A166" i="5"/>
  <c r="G165" i="5"/>
  <c r="F165" i="5"/>
  <c r="E165" i="5"/>
  <c r="D165" i="5"/>
  <c r="C165" i="5"/>
  <c r="B165" i="5"/>
  <c r="A165" i="5"/>
  <c r="G164" i="5"/>
  <c r="F164" i="5"/>
  <c r="E164" i="5"/>
  <c r="D164" i="5"/>
  <c r="C164" i="5"/>
  <c r="B164" i="5"/>
  <c r="A164" i="5"/>
  <c r="G163" i="5"/>
  <c r="F163" i="5"/>
  <c r="E163" i="5"/>
  <c r="D163" i="5"/>
  <c r="C163" i="5"/>
  <c r="B163" i="5"/>
  <c r="A163" i="5"/>
  <c r="G162" i="5"/>
  <c r="F162" i="5"/>
  <c r="E162" i="5"/>
  <c r="D162" i="5"/>
  <c r="C162" i="5"/>
  <c r="B162" i="5"/>
  <c r="A162" i="5"/>
  <c r="G161" i="5"/>
  <c r="F161" i="5"/>
  <c r="E161" i="5"/>
  <c r="D161" i="5"/>
  <c r="C161" i="5"/>
  <c r="B161" i="5"/>
  <c r="A161" i="5"/>
  <c r="G160" i="5"/>
  <c r="F160" i="5"/>
  <c r="E160" i="5"/>
  <c r="D160" i="5"/>
  <c r="C160" i="5"/>
  <c r="B160" i="5"/>
  <c r="A160" i="5"/>
  <c r="G159" i="5"/>
  <c r="F159" i="5"/>
  <c r="E159" i="5"/>
  <c r="D159" i="5"/>
  <c r="C159" i="5"/>
  <c r="B159" i="5"/>
  <c r="A159" i="5"/>
  <c r="G158" i="5"/>
  <c r="F158" i="5"/>
  <c r="E158" i="5"/>
  <c r="D158" i="5"/>
  <c r="C158" i="5"/>
  <c r="B158" i="5"/>
  <c r="A158" i="5"/>
  <c r="G157" i="5"/>
  <c r="F157" i="5"/>
  <c r="E157" i="5"/>
  <c r="D157" i="5"/>
  <c r="C157" i="5"/>
  <c r="B157" i="5"/>
  <c r="A157" i="5"/>
  <c r="G156" i="5"/>
  <c r="F156" i="5"/>
  <c r="E156" i="5"/>
  <c r="D156" i="5"/>
  <c r="C156" i="5"/>
  <c r="B156" i="5"/>
  <c r="A156" i="5"/>
  <c r="G155" i="5"/>
  <c r="F155" i="5"/>
  <c r="E155" i="5"/>
  <c r="D155" i="5"/>
  <c r="C155" i="5"/>
  <c r="B155" i="5"/>
  <c r="A155" i="5"/>
  <c r="G154" i="5"/>
  <c r="F154" i="5"/>
  <c r="E154" i="5"/>
  <c r="D154" i="5"/>
  <c r="C154" i="5"/>
  <c r="B154" i="5"/>
  <c r="A154" i="5"/>
  <c r="G153" i="5"/>
  <c r="F153" i="5"/>
  <c r="E153" i="5"/>
  <c r="D153" i="5"/>
  <c r="C153" i="5"/>
  <c r="B153" i="5"/>
  <c r="A153" i="5"/>
  <c r="G152" i="5"/>
  <c r="F152" i="5"/>
  <c r="E152" i="5"/>
  <c r="D152" i="5"/>
  <c r="C152" i="5"/>
  <c r="B152" i="5"/>
  <c r="A152" i="5"/>
  <c r="G151" i="5"/>
  <c r="F151" i="5"/>
  <c r="E151" i="5"/>
  <c r="D151" i="5"/>
  <c r="C151" i="5"/>
  <c r="B151" i="5"/>
  <c r="A151" i="5"/>
  <c r="G150" i="5"/>
  <c r="F150" i="5"/>
  <c r="E150" i="5"/>
  <c r="D150" i="5"/>
  <c r="C150" i="5"/>
  <c r="B150" i="5"/>
  <c r="A150" i="5"/>
  <c r="G149" i="5"/>
  <c r="F149" i="5"/>
  <c r="E149" i="5"/>
  <c r="D149" i="5"/>
  <c r="C149" i="5"/>
  <c r="B149" i="5"/>
  <c r="A149" i="5"/>
  <c r="G148" i="5"/>
  <c r="F148" i="5"/>
  <c r="E148" i="5"/>
  <c r="D148" i="5"/>
  <c r="C148" i="5"/>
  <c r="B148" i="5"/>
  <c r="A148" i="5"/>
  <c r="G147" i="5"/>
  <c r="F147" i="5"/>
  <c r="E147" i="5"/>
  <c r="D147" i="5"/>
  <c r="C147" i="5"/>
  <c r="B147" i="5"/>
  <c r="A147" i="5"/>
  <c r="G146" i="5"/>
  <c r="F146" i="5"/>
  <c r="E146" i="5"/>
  <c r="D146" i="5"/>
  <c r="C146" i="5"/>
  <c r="B146" i="5"/>
  <c r="A146" i="5"/>
  <c r="G145" i="5"/>
  <c r="F145" i="5"/>
  <c r="E145" i="5"/>
  <c r="D145" i="5"/>
  <c r="C145" i="5"/>
  <c r="B145" i="5"/>
  <c r="A145" i="5"/>
  <c r="G144" i="5"/>
  <c r="F144" i="5"/>
  <c r="E144" i="5"/>
  <c r="D144" i="5"/>
  <c r="C144" i="5"/>
  <c r="B144" i="5"/>
  <c r="A144" i="5"/>
  <c r="G143" i="5"/>
  <c r="F143" i="5"/>
  <c r="E143" i="5"/>
  <c r="D143" i="5"/>
  <c r="C143" i="5"/>
  <c r="B143" i="5"/>
  <c r="A143" i="5"/>
  <c r="G142" i="5"/>
  <c r="F142" i="5"/>
  <c r="E142" i="5"/>
  <c r="D142" i="5"/>
  <c r="C142" i="5"/>
  <c r="B142" i="5"/>
  <c r="A142" i="5"/>
  <c r="G141" i="5"/>
  <c r="F141" i="5"/>
  <c r="E141" i="5"/>
  <c r="D141" i="5"/>
  <c r="C141" i="5"/>
  <c r="B141" i="5"/>
  <c r="A141" i="5"/>
  <c r="G140" i="5"/>
  <c r="F140" i="5"/>
  <c r="E140" i="5"/>
  <c r="D140" i="5"/>
  <c r="C140" i="5"/>
  <c r="B140" i="5"/>
  <c r="A140" i="5"/>
  <c r="G139" i="5"/>
  <c r="F139" i="5"/>
  <c r="E139" i="5"/>
  <c r="D139" i="5"/>
  <c r="C139" i="5"/>
  <c r="B139" i="5"/>
  <c r="A139" i="5"/>
  <c r="G138" i="5"/>
  <c r="F138" i="5"/>
  <c r="E138" i="5"/>
  <c r="D138" i="5"/>
  <c r="C138" i="5"/>
  <c r="B138" i="5"/>
  <c r="A138" i="5"/>
  <c r="G137" i="5"/>
  <c r="F137" i="5"/>
  <c r="E137" i="5"/>
  <c r="D137" i="5"/>
  <c r="C137" i="5"/>
  <c r="B137" i="5"/>
  <c r="A137" i="5"/>
  <c r="G136" i="5"/>
  <c r="F136" i="5"/>
  <c r="E136" i="5"/>
  <c r="D136" i="5"/>
  <c r="C136" i="5"/>
  <c r="B136" i="5"/>
  <c r="A136" i="5"/>
  <c r="G135" i="5"/>
  <c r="F135" i="5"/>
  <c r="E135" i="5"/>
  <c r="D135" i="5"/>
  <c r="C135" i="5"/>
  <c r="B135" i="5"/>
  <c r="A135" i="5"/>
  <c r="G134" i="5"/>
  <c r="F134" i="5"/>
  <c r="E134" i="5"/>
  <c r="D134" i="5"/>
  <c r="C134" i="5"/>
  <c r="B134" i="5"/>
  <c r="A134" i="5"/>
  <c r="G133" i="5"/>
  <c r="F133" i="5"/>
  <c r="E133" i="5"/>
  <c r="D133" i="5"/>
  <c r="C133" i="5"/>
  <c r="B133" i="5"/>
  <c r="A133" i="5"/>
  <c r="G132" i="5"/>
  <c r="F132" i="5"/>
  <c r="E132" i="5"/>
  <c r="D132" i="5"/>
  <c r="C132" i="5"/>
  <c r="B132" i="5"/>
  <c r="A132" i="5"/>
  <c r="G131" i="5"/>
  <c r="F131" i="5"/>
  <c r="E131" i="5"/>
  <c r="D131" i="5"/>
  <c r="C131" i="5"/>
  <c r="B131" i="5"/>
  <c r="A131" i="5"/>
  <c r="G130" i="5"/>
  <c r="F130" i="5"/>
  <c r="E130" i="5"/>
  <c r="D130" i="5"/>
  <c r="C130" i="5"/>
  <c r="B130" i="5"/>
  <c r="A130" i="5"/>
  <c r="G129" i="5"/>
  <c r="F129" i="5"/>
  <c r="E129" i="5"/>
  <c r="D129" i="5"/>
  <c r="C129" i="5"/>
  <c r="B129" i="5"/>
  <c r="A129" i="5"/>
  <c r="G128" i="5"/>
  <c r="F128" i="5"/>
  <c r="E128" i="5"/>
  <c r="D128" i="5"/>
  <c r="C128" i="5"/>
  <c r="B128" i="5"/>
  <c r="A128" i="5"/>
  <c r="G127" i="5"/>
  <c r="F127" i="5"/>
  <c r="E127" i="5"/>
  <c r="D127" i="5"/>
  <c r="C127" i="5"/>
  <c r="B127" i="5"/>
  <c r="A127" i="5"/>
  <c r="G126" i="5"/>
  <c r="F126" i="5"/>
  <c r="E126" i="5"/>
  <c r="D126" i="5"/>
  <c r="C126" i="5"/>
  <c r="B126" i="5"/>
  <c r="A126" i="5"/>
  <c r="G125" i="5"/>
  <c r="F125" i="5"/>
  <c r="E125" i="5"/>
  <c r="D125" i="5"/>
  <c r="C125" i="5"/>
  <c r="B125" i="5"/>
  <c r="A125" i="5"/>
  <c r="G124" i="5"/>
  <c r="F124" i="5"/>
  <c r="E124" i="5"/>
  <c r="D124" i="5"/>
  <c r="C124" i="5"/>
  <c r="B124" i="5"/>
  <c r="A124" i="5"/>
  <c r="G123" i="5"/>
  <c r="F123" i="5"/>
  <c r="E123" i="5"/>
  <c r="D123" i="5"/>
  <c r="C123" i="5"/>
  <c r="B123" i="5"/>
  <c r="A123" i="5"/>
  <c r="G122" i="5"/>
  <c r="F122" i="5"/>
  <c r="E122" i="5"/>
  <c r="D122" i="5"/>
  <c r="C122" i="5"/>
  <c r="B122" i="5"/>
  <c r="A122" i="5"/>
  <c r="G121" i="5"/>
  <c r="F121" i="5"/>
  <c r="E121" i="5"/>
  <c r="D121" i="5"/>
  <c r="C121" i="5"/>
  <c r="B121" i="5"/>
  <c r="A121" i="5"/>
  <c r="G120" i="5"/>
  <c r="F120" i="5"/>
  <c r="E120" i="5"/>
  <c r="D120" i="5"/>
  <c r="C120" i="5"/>
  <c r="B120" i="5"/>
  <c r="A120" i="5"/>
  <c r="G119" i="5"/>
  <c r="F119" i="5"/>
  <c r="E119" i="5"/>
  <c r="D119" i="5"/>
  <c r="C119" i="5"/>
  <c r="B119" i="5"/>
  <c r="A119" i="5"/>
  <c r="G118" i="5"/>
  <c r="F118" i="5"/>
  <c r="E118" i="5"/>
  <c r="D118" i="5"/>
  <c r="C118" i="5"/>
  <c r="B118" i="5"/>
  <c r="A118" i="5"/>
  <c r="G117" i="5"/>
  <c r="F117" i="5"/>
  <c r="E117" i="5"/>
  <c r="D117" i="5"/>
  <c r="C117" i="5"/>
  <c r="B117" i="5"/>
  <c r="A117" i="5"/>
  <c r="G116" i="5"/>
  <c r="F116" i="5"/>
  <c r="E116" i="5"/>
  <c r="D116" i="5"/>
  <c r="C116" i="5"/>
  <c r="B116" i="5"/>
  <c r="A116" i="5"/>
  <c r="G115" i="5"/>
  <c r="F115" i="5"/>
  <c r="E115" i="5"/>
  <c r="D115" i="5"/>
  <c r="C115" i="5"/>
  <c r="B115" i="5"/>
  <c r="A115" i="5"/>
  <c r="G114" i="5"/>
  <c r="F114" i="5"/>
  <c r="E114" i="5"/>
  <c r="D114" i="5"/>
  <c r="C114" i="5"/>
  <c r="B114" i="5"/>
  <c r="A114" i="5"/>
  <c r="G113" i="5"/>
  <c r="F113" i="5"/>
  <c r="E113" i="5"/>
  <c r="D113" i="5"/>
  <c r="C113" i="5"/>
  <c r="B113" i="5"/>
  <c r="A113" i="5"/>
  <c r="G112" i="5"/>
  <c r="F112" i="5"/>
  <c r="E112" i="5"/>
  <c r="D112" i="5"/>
  <c r="C112" i="5"/>
  <c r="B112" i="5"/>
  <c r="A112" i="5"/>
  <c r="G111" i="5"/>
  <c r="F111" i="5"/>
  <c r="E111" i="5"/>
  <c r="D111" i="5"/>
  <c r="C111" i="5"/>
  <c r="B111" i="5"/>
  <c r="A111" i="5"/>
  <c r="G110" i="5"/>
  <c r="F110" i="5"/>
  <c r="E110" i="5"/>
  <c r="D110" i="5"/>
  <c r="C110" i="5"/>
  <c r="B110" i="5"/>
  <c r="A110" i="5"/>
  <c r="G109" i="5"/>
  <c r="F109" i="5"/>
  <c r="E109" i="5"/>
  <c r="D109" i="5"/>
  <c r="C109" i="5"/>
  <c r="B109" i="5"/>
  <c r="A109" i="5"/>
  <c r="G108" i="5"/>
  <c r="F108" i="5"/>
  <c r="E108" i="5"/>
  <c r="D108" i="5"/>
  <c r="C108" i="5"/>
  <c r="B108" i="5"/>
  <c r="A108" i="5"/>
  <c r="G107" i="5"/>
  <c r="F107" i="5"/>
  <c r="E107" i="5"/>
  <c r="D107" i="5"/>
  <c r="C107" i="5"/>
  <c r="B107" i="5"/>
  <c r="A107" i="5"/>
  <c r="G106" i="5"/>
  <c r="F106" i="5"/>
  <c r="E106" i="5"/>
  <c r="D106" i="5"/>
  <c r="C106" i="5"/>
  <c r="B106" i="5"/>
  <c r="A106" i="5"/>
  <c r="G105" i="5"/>
  <c r="F105" i="5"/>
  <c r="E105" i="5"/>
  <c r="D105" i="5"/>
  <c r="C105" i="5"/>
  <c r="B105" i="5"/>
  <c r="A105" i="5"/>
  <c r="G104" i="5"/>
  <c r="F104" i="5"/>
  <c r="E104" i="5"/>
  <c r="D104" i="5"/>
  <c r="C104" i="5"/>
  <c r="B104" i="5"/>
  <c r="A104" i="5"/>
  <c r="G103" i="5"/>
  <c r="F103" i="5"/>
  <c r="E103" i="5"/>
  <c r="D103" i="5"/>
  <c r="C103" i="5"/>
  <c r="B103" i="5"/>
  <c r="A103" i="5"/>
  <c r="G102" i="5"/>
  <c r="F102" i="5"/>
  <c r="E102" i="5"/>
  <c r="D102" i="5"/>
  <c r="C102" i="5"/>
  <c r="B102" i="5"/>
  <c r="A102" i="5"/>
  <c r="G101" i="5"/>
  <c r="F101" i="5"/>
  <c r="E101" i="5"/>
  <c r="D101" i="5"/>
  <c r="C101" i="5"/>
  <c r="B101" i="5"/>
  <c r="A101" i="5"/>
  <c r="G100" i="5"/>
  <c r="F100" i="5"/>
  <c r="E100" i="5"/>
  <c r="D100" i="5"/>
  <c r="C100" i="5"/>
  <c r="B100" i="5"/>
  <c r="A100" i="5"/>
  <c r="G99" i="5"/>
  <c r="F99" i="5"/>
  <c r="E99" i="5"/>
  <c r="D99" i="5"/>
  <c r="C99" i="5"/>
  <c r="B99" i="5"/>
  <c r="A99" i="5"/>
  <c r="G98" i="5"/>
  <c r="F98" i="5"/>
  <c r="E98" i="5"/>
  <c r="D98" i="5"/>
  <c r="C98" i="5"/>
  <c r="B98" i="5"/>
  <c r="A98" i="5"/>
  <c r="G97" i="5"/>
  <c r="F97" i="5"/>
  <c r="E97" i="5"/>
  <c r="D97" i="5"/>
  <c r="C97" i="5"/>
  <c r="B97" i="5"/>
  <c r="A97" i="5"/>
  <c r="G96" i="5"/>
  <c r="F96" i="5"/>
  <c r="E96" i="5"/>
  <c r="D96" i="5"/>
  <c r="C96" i="5"/>
  <c r="B96" i="5"/>
  <c r="A96" i="5"/>
  <c r="G95" i="5"/>
  <c r="F95" i="5"/>
  <c r="E95" i="5"/>
  <c r="D95" i="5"/>
  <c r="C95" i="5"/>
  <c r="B95" i="5"/>
  <c r="A95" i="5"/>
  <c r="G94" i="5"/>
  <c r="F94" i="5"/>
  <c r="E94" i="5"/>
  <c r="D94" i="5"/>
  <c r="C94" i="5"/>
  <c r="B94" i="5"/>
  <c r="A94" i="5"/>
  <c r="G93" i="5"/>
  <c r="F93" i="5"/>
  <c r="E93" i="5"/>
  <c r="D93" i="5"/>
  <c r="C93" i="5"/>
  <c r="B93" i="5"/>
  <c r="A93" i="5"/>
  <c r="G92" i="5"/>
  <c r="F92" i="5"/>
  <c r="E92" i="5"/>
  <c r="D92" i="5"/>
  <c r="C92" i="5"/>
  <c r="B92" i="5"/>
  <c r="A92" i="5"/>
  <c r="G91" i="5"/>
  <c r="F91" i="5"/>
  <c r="E91" i="5"/>
  <c r="D91" i="5"/>
  <c r="C91" i="5"/>
  <c r="B91" i="5"/>
  <c r="A91" i="5"/>
  <c r="G90" i="5"/>
  <c r="F90" i="5"/>
  <c r="E90" i="5"/>
  <c r="D90" i="5"/>
  <c r="C90" i="5"/>
  <c r="B90" i="5"/>
  <c r="A90" i="5"/>
  <c r="G89" i="5"/>
  <c r="F89" i="5"/>
  <c r="E89" i="5"/>
  <c r="D89" i="5"/>
  <c r="C89" i="5"/>
  <c r="B89" i="5"/>
  <c r="A89" i="5"/>
  <c r="G88" i="5"/>
  <c r="F88" i="5"/>
  <c r="E88" i="5"/>
  <c r="D88" i="5"/>
  <c r="C88" i="5"/>
  <c r="B88" i="5"/>
  <c r="A88" i="5"/>
  <c r="G87" i="5"/>
  <c r="F87" i="5"/>
  <c r="E87" i="5"/>
  <c r="D87" i="5"/>
  <c r="C87" i="5"/>
  <c r="B87" i="5"/>
  <c r="A87" i="5"/>
  <c r="G86" i="5"/>
  <c r="F86" i="5"/>
  <c r="E86" i="5"/>
  <c r="D86" i="5"/>
  <c r="C86" i="5"/>
  <c r="B86" i="5"/>
  <c r="A86" i="5"/>
  <c r="G85" i="5"/>
  <c r="F85" i="5"/>
  <c r="E85" i="5"/>
  <c r="D85" i="5"/>
  <c r="C85" i="5"/>
  <c r="B85" i="5"/>
  <c r="A85" i="5"/>
  <c r="G84" i="5"/>
  <c r="F84" i="5"/>
  <c r="E84" i="5"/>
  <c r="D84" i="5"/>
  <c r="C84" i="5"/>
  <c r="B84" i="5"/>
  <c r="A84" i="5"/>
  <c r="G83" i="5"/>
  <c r="F83" i="5"/>
  <c r="E83" i="5"/>
  <c r="D83" i="5"/>
  <c r="C83" i="5"/>
  <c r="B83" i="5"/>
  <c r="A83" i="5"/>
  <c r="G82" i="5"/>
  <c r="F82" i="5"/>
  <c r="E82" i="5"/>
  <c r="D82" i="5"/>
  <c r="C82" i="5"/>
  <c r="B82" i="5"/>
  <c r="A82" i="5"/>
  <c r="G81" i="5"/>
  <c r="F81" i="5"/>
  <c r="E81" i="5"/>
  <c r="D81" i="5"/>
  <c r="C81" i="5"/>
  <c r="B81" i="5"/>
  <c r="A81" i="5"/>
  <c r="G80" i="5"/>
  <c r="F80" i="5"/>
  <c r="E80" i="5"/>
  <c r="D80" i="5"/>
  <c r="C80" i="5"/>
  <c r="B80" i="5"/>
  <c r="A80" i="5"/>
  <c r="G79" i="5"/>
  <c r="F79" i="5"/>
  <c r="E79" i="5"/>
  <c r="D79" i="5"/>
  <c r="C79" i="5"/>
  <c r="B79" i="5"/>
  <c r="A79" i="5"/>
  <c r="G78" i="5"/>
  <c r="F78" i="5"/>
  <c r="E78" i="5"/>
  <c r="D78" i="5"/>
  <c r="C78" i="5"/>
  <c r="B78" i="5"/>
  <c r="A78" i="5"/>
  <c r="G77" i="5"/>
  <c r="F77" i="5"/>
  <c r="E77" i="5"/>
  <c r="D77" i="5"/>
  <c r="C77" i="5"/>
  <c r="B77" i="5"/>
  <c r="A77" i="5"/>
  <c r="G76" i="5"/>
  <c r="F76" i="5"/>
  <c r="E76" i="5"/>
  <c r="D76" i="5"/>
  <c r="C76" i="5"/>
  <c r="B76" i="5"/>
  <c r="A76" i="5"/>
  <c r="G75" i="5"/>
  <c r="F75" i="5"/>
  <c r="E75" i="5"/>
  <c r="D75" i="5"/>
  <c r="C75" i="5"/>
  <c r="B75" i="5"/>
  <c r="A75" i="5"/>
  <c r="G74" i="5"/>
  <c r="F74" i="5"/>
  <c r="E74" i="5"/>
  <c r="D74" i="5"/>
  <c r="C74" i="5"/>
  <c r="B74" i="5"/>
  <c r="A74" i="5"/>
  <c r="G73" i="5"/>
  <c r="F73" i="5"/>
  <c r="E73" i="5"/>
  <c r="D73" i="5"/>
  <c r="C73" i="5"/>
  <c r="B73" i="5"/>
  <c r="A73" i="5"/>
  <c r="G72" i="5"/>
  <c r="F72" i="5"/>
  <c r="E72" i="5"/>
  <c r="D72" i="5"/>
  <c r="C72" i="5"/>
  <c r="B72" i="5"/>
  <c r="A72" i="5"/>
  <c r="G71" i="5"/>
  <c r="F71" i="5"/>
  <c r="E71" i="5"/>
  <c r="D71" i="5"/>
  <c r="C71" i="5"/>
  <c r="B71" i="5"/>
  <c r="A71" i="5"/>
  <c r="G70" i="5"/>
  <c r="F70" i="5"/>
  <c r="E70" i="5"/>
  <c r="D70" i="5"/>
  <c r="C70" i="5"/>
  <c r="B70" i="5"/>
  <c r="A70" i="5"/>
  <c r="G69" i="5"/>
  <c r="F69" i="5"/>
  <c r="E69" i="5"/>
  <c r="D69" i="5"/>
  <c r="C69" i="5"/>
  <c r="B69" i="5"/>
  <c r="A69" i="5"/>
  <c r="G68" i="5"/>
  <c r="F68" i="5"/>
  <c r="E68" i="5"/>
  <c r="D68" i="5"/>
  <c r="C68" i="5"/>
  <c r="B68" i="5"/>
  <c r="A68" i="5"/>
  <c r="G67" i="5"/>
  <c r="F67" i="5"/>
  <c r="E67" i="5"/>
  <c r="D67" i="5"/>
  <c r="C67" i="5"/>
  <c r="B67" i="5"/>
  <c r="A67" i="5"/>
  <c r="G66" i="5"/>
  <c r="F66" i="5"/>
  <c r="E66" i="5"/>
  <c r="D66" i="5"/>
  <c r="C66" i="5"/>
  <c r="B66" i="5"/>
  <c r="A66" i="5"/>
  <c r="G65" i="5"/>
  <c r="F65" i="5"/>
  <c r="E65" i="5"/>
  <c r="D65" i="5"/>
  <c r="C65" i="5"/>
  <c r="B65" i="5"/>
  <c r="A65" i="5"/>
  <c r="G64" i="5"/>
  <c r="F64" i="5"/>
  <c r="E64" i="5"/>
  <c r="D64" i="5"/>
  <c r="C64" i="5"/>
  <c r="B64" i="5"/>
  <c r="A64" i="5"/>
  <c r="G63" i="5"/>
  <c r="F63" i="5"/>
  <c r="E63" i="5"/>
  <c r="D63" i="5"/>
  <c r="C63" i="5"/>
  <c r="B63" i="5"/>
  <c r="A63" i="5"/>
  <c r="G62" i="5"/>
  <c r="F62" i="5"/>
  <c r="E62" i="5"/>
  <c r="D62" i="5"/>
  <c r="C62" i="5"/>
  <c r="B62" i="5"/>
  <c r="A62" i="5"/>
  <c r="G61" i="5"/>
  <c r="F61" i="5"/>
  <c r="E61" i="5"/>
  <c r="D61" i="5"/>
  <c r="C61" i="5"/>
  <c r="B61" i="5"/>
  <c r="A61" i="5"/>
  <c r="G60" i="5"/>
  <c r="F60" i="5"/>
  <c r="E60" i="5"/>
  <c r="D60" i="5"/>
  <c r="C60" i="5"/>
  <c r="B60" i="5"/>
  <c r="A60" i="5"/>
  <c r="G59" i="5"/>
  <c r="F59" i="5"/>
  <c r="E59" i="5"/>
  <c r="D59" i="5"/>
  <c r="C59" i="5"/>
  <c r="B59" i="5"/>
  <c r="A59" i="5"/>
  <c r="G58" i="5"/>
  <c r="F58" i="5"/>
  <c r="E58" i="5"/>
  <c r="D58" i="5"/>
  <c r="C58" i="5"/>
  <c r="B58" i="5"/>
  <c r="A58" i="5"/>
  <c r="G57" i="5"/>
  <c r="F57" i="5"/>
  <c r="E57" i="5"/>
  <c r="D57" i="5"/>
  <c r="C57" i="5"/>
  <c r="B57" i="5"/>
  <c r="A57" i="5"/>
  <c r="G56" i="5"/>
  <c r="F56" i="5"/>
  <c r="E56" i="5"/>
  <c r="D56" i="5"/>
  <c r="C56" i="5"/>
  <c r="B56" i="5"/>
  <c r="A56" i="5"/>
  <c r="G55" i="5"/>
  <c r="F55" i="5"/>
  <c r="E55" i="5"/>
  <c r="D55" i="5"/>
  <c r="C55" i="5"/>
  <c r="B55" i="5"/>
  <c r="A55" i="5"/>
  <c r="G54" i="5"/>
  <c r="F54" i="5"/>
  <c r="E54" i="5"/>
  <c r="D54" i="5"/>
  <c r="C54" i="5"/>
  <c r="B54" i="5"/>
  <c r="A54" i="5"/>
  <c r="G53" i="5"/>
  <c r="F53" i="5"/>
  <c r="E53" i="5"/>
  <c r="D53" i="5"/>
  <c r="C53" i="5"/>
  <c r="B53" i="5"/>
  <c r="A53" i="5"/>
  <c r="G52" i="5"/>
  <c r="F52" i="5"/>
  <c r="E52" i="5"/>
  <c r="D52" i="5"/>
  <c r="C52" i="5"/>
  <c r="B52" i="5"/>
  <c r="A52" i="5"/>
  <c r="G51" i="5"/>
  <c r="F51" i="5"/>
  <c r="E51" i="5"/>
  <c r="D51" i="5"/>
  <c r="C51" i="5"/>
  <c r="B51" i="5"/>
  <c r="A51" i="5"/>
  <c r="G50" i="5"/>
  <c r="F50" i="5"/>
  <c r="E50" i="5"/>
  <c r="D50" i="5"/>
  <c r="C50" i="5"/>
  <c r="B50" i="5"/>
  <c r="A50" i="5"/>
  <c r="G49" i="5"/>
  <c r="F49" i="5"/>
  <c r="E49" i="5"/>
  <c r="D49" i="5"/>
  <c r="C49" i="5"/>
  <c r="B49" i="5"/>
  <c r="A49" i="5"/>
  <c r="G48" i="5"/>
  <c r="F48" i="5"/>
  <c r="E48" i="5"/>
  <c r="D48" i="5"/>
  <c r="C48" i="5"/>
  <c r="B48" i="5"/>
  <c r="A48" i="5"/>
  <c r="G47" i="5"/>
  <c r="F47" i="5"/>
  <c r="E47" i="5"/>
  <c r="D47" i="5"/>
  <c r="C47" i="5"/>
  <c r="B47" i="5"/>
  <c r="A47" i="5"/>
  <c r="G46" i="5"/>
  <c r="F46" i="5"/>
  <c r="E46" i="5"/>
  <c r="D46" i="5"/>
  <c r="C46" i="5"/>
  <c r="B46" i="5"/>
  <c r="A46" i="5"/>
  <c r="G45" i="5"/>
  <c r="F45" i="5"/>
  <c r="E45" i="5"/>
  <c r="D45" i="5"/>
  <c r="C45" i="5"/>
  <c r="B45" i="5"/>
  <c r="A45" i="5"/>
  <c r="G44" i="5"/>
  <c r="F44" i="5"/>
  <c r="E44" i="5"/>
  <c r="D44" i="5"/>
  <c r="C44" i="5"/>
  <c r="B44" i="5"/>
  <c r="A44" i="5"/>
  <c r="G43" i="5"/>
  <c r="F43" i="5"/>
  <c r="E43" i="5"/>
  <c r="D43" i="5"/>
  <c r="C43" i="5"/>
  <c r="B43" i="5"/>
  <c r="A43" i="5"/>
  <c r="G42" i="5"/>
  <c r="F42" i="5"/>
  <c r="E42" i="5"/>
  <c r="D42" i="5"/>
  <c r="C42" i="5"/>
  <c r="B42" i="5"/>
  <c r="A42" i="5"/>
  <c r="G41" i="5"/>
  <c r="F41" i="5"/>
  <c r="E41" i="5"/>
  <c r="D41" i="5"/>
  <c r="C41" i="5"/>
  <c r="B41" i="5"/>
  <c r="A41" i="5"/>
  <c r="G40" i="5"/>
  <c r="F40" i="5"/>
  <c r="E40" i="5"/>
  <c r="D40" i="5"/>
  <c r="C40" i="5"/>
  <c r="B40" i="5"/>
  <c r="A40" i="5"/>
  <c r="G39" i="5"/>
  <c r="F39" i="5"/>
  <c r="E39" i="5"/>
  <c r="D39" i="5"/>
  <c r="C39" i="5"/>
  <c r="B39" i="5"/>
  <c r="A39" i="5"/>
  <c r="G38" i="5"/>
  <c r="F38" i="5"/>
  <c r="E38" i="5"/>
  <c r="D38" i="5"/>
  <c r="C38" i="5"/>
  <c r="B38" i="5"/>
  <c r="A38" i="5"/>
  <c r="G37" i="5"/>
  <c r="F37" i="5"/>
  <c r="E37" i="5"/>
  <c r="D37" i="5"/>
  <c r="C37" i="5"/>
  <c r="B37" i="5"/>
  <c r="A37" i="5"/>
  <c r="G36" i="5"/>
  <c r="F36" i="5"/>
  <c r="E36" i="5"/>
  <c r="D36" i="5"/>
  <c r="C36" i="5"/>
  <c r="B36" i="5"/>
  <c r="A36" i="5"/>
  <c r="G35" i="5"/>
  <c r="F35" i="5"/>
  <c r="E35" i="5"/>
  <c r="D35" i="5"/>
  <c r="C35" i="5"/>
  <c r="B35" i="5"/>
  <c r="A35" i="5"/>
  <c r="G34" i="5"/>
  <c r="F34" i="5"/>
  <c r="E34" i="5"/>
  <c r="D34" i="5"/>
  <c r="C34" i="5"/>
  <c r="B34" i="5"/>
  <c r="A34" i="5"/>
  <c r="G33" i="5"/>
  <c r="F33" i="5"/>
  <c r="E33" i="5"/>
  <c r="D33" i="5"/>
  <c r="C33" i="5"/>
  <c r="B33" i="5"/>
  <c r="A33" i="5"/>
  <c r="G32" i="5"/>
  <c r="F32" i="5"/>
  <c r="E32" i="5"/>
  <c r="D32" i="5"/>
  <c r="C32" i="5"/>
  <c r="B32" i="5"/>
  <c r="A32" i="5"/>
  <c r="G31" i="5"/>
  <c r="F31" i="5"/>
  <c r="E31" i="5"/>
  <c r="D31" i="5"/>
  <c r="C31" i="5"/>
  <c r="B31" i="5"/>
  <c r="A31" i="5"/>
  <c r="G30" i="5"/>
  <c r="F30" i="5"/>
  <c r="E30" i="5"/>
  <c r="D30" i="5"/>
  <c r="C30" i="5"/>
  <c r="B30" i="5"/>
  <c r="A30" i="5"/>
  <c r="G29" i="5"/>
  <c r="F29" i="5"/>
  <c r="E29" i="5"/>
  <c r="D29" i="5"/>
  <c r="C29" i="5"/>
  <c r="B29" i="5"/>
  <c r="A29" i="5"/>
  <c r="G28" i="5"/>
  <c r="F28" i="5"/>
  <c r="E28" i="5"/>
  <c r="D28" i="5"/>
  <c r="C28" i="5"/>
  <c r="B28" i="5"/>
  <c r="A28" i="5"/>
  <c r="G27" i="5"/>
  <c r="F27" i="5"/>
  <c r="E27" i="5"/>
  <c r="D27" i="5"/>
  <c r="C27" i="5"/>
  <c r="B27" i="5"/>
  <c r="A27" i="5"/>
  <c r="G26" i="5"/>
  <c r="F26" i="5"/>
  <c r="E26" i="5"/>
  <c r="D26" i="5"/>
  <c r="C26" i="5"/>
  <c r="B26" i="5"/>
  <c r="A26" i="5"/>
  <c r="G25" i="5"/>
  <c r="F25" i="5"/>
  <c r="E25" i="5"/>
  <c r="D25" i="5"/>
  <c r="C25" i="5"/>
  <c r="B25" i="5"/>
  <c r="A25" i="5"/>
  <c r="G24" i="5"/>
  <c r="F24" i="5"/>
  <c r="E24" i="5"/>
  <c r="D24" i="5"/>
  <c r="C24" i="5"/>
  <c r="B24" i="5"/>
  <c r="A24" i="5"/>
  <c r="G23" i="5"/>
  <c r="F23" i="5"/>
  <c r="E23" i="5"/>
  <c r="D23" i="5"/>
  <c r="C23" i="5"/>
  <c r="B23" i="5"/>
  <c r="A23" i="5"/>
  <c r="G22" i="5"/>
  <c r="F22" i="5"/>
  <c r="E22" i="5"/>
  <c r="D22" i="5"/>
  <c r="C22" i="5"/>
  <c r="B22" i="5"/>
  <c r="A22" i="5"/>
  <c r="G21" i="5"/>
  <c r="F21" i="5"/>
  <c r="E21" i="5"/>
  <c r="D21" i="5"/>
  <c r="C21" i="5"/>
  <c r="B21" i="5"/>
  <c r="A21" i="5"/>
  <c r="G20" i="5"/>
  <c r="F20" i="5"/>
  <c r="E20" i="5"/>
  <c r="D20" i="5"/>
  <c r="C20" i="5"/>
  <c r="B20" i="5"/>
  <c r="A20" i="5"/>
  <c r="G19" i="5"/>
  <c r="F19" i="5"/>
  <c r="E19" i="5"/>
  <c r="D19" i="5"/>
  <c r="C19" i="5"/>
  <c r="B19" i="5"/>
  <c r="A19" i="5"/>
  <c r="G18" i="5"/>
  <c r="F18" i="5"/>
  <c r="E18" i="5"/>
  <c r="D18" i="5"/>
  <c r="C18" i="5"/>
  <c r="B18" i="5"/>
  <c r="A18" i="5"/>
  <c r="G17" i="5"/>
  <c r="F17" i="5"/>
  <c r="E17" i="5"/>
  <c r="D17" i="5"/>
  <c r="C17" i="5"/>
  <c r="B17" i="5"/>
  <c r="A17" i="5"/>
  <c r="G16" i="5"/>
  <c r="F16" i="5"/>
  <c r="E16" i="5"/>
  <c r="D16" i="5"/>
  <c r="C16" i="5"/>
  <c r="B16" i="5"/>
  <c r="A16" i="5"/>
  <c r="G15" i="5"/>
  <c r="F15" i="5"/>
  <c r="E15" i="5"/>
  <c r="D15" i="5"/>
  <c r="C15" i="5"/>
  <c r="B15" i="5"/>
  <c r="A15" i="5"/>
  <c r="G14" i="5"/>
  <c r="F14" i="5"/>
  <c r="E14" i="5"/>
  <c r="D14" i="5"/>
  <c r="C14" i="5"/>
  <c r="B14" i="5"/>
  <c r="A14" i="5"/>
  <c r="G13" i="5"/>
  <c r="F13" i="5"/>
  <c r="E13" i="5"/>
  <c r="D13" i="5"/>
  <c r="C13" i="5"/>
  <c r="B13" i="5"/>
  <c r="A13" i="5"/>
  <c r="G12" i="5"/>
  <c r="F12" i="5"/>
  <c r="E12" i="5"/>
  <c r="D12" i="5"/>
  <c r="C12" i="5"/>
  <c r="B12" i="5"/>
  <c r="A12" i="5"/>
  <c r="G11" i="5"/>
  <c r="F11" i="5"/>
  <c r="E11" i="5"/>
  <c r="D11" i="5"/>
  <c r="C11" i="5"/>
  <c r="B11" i="5"/>
  <c r="A11" i="5"/>
  <c r="G10" i="5"/>
  <c r="F10" i="5"/>
  <c r="E10" i="5"/>
  <c r="D10" i="5"/>
  <c r="C10" i="5"/>
  <c r="B10" i="5"/>
  <c r="A10" i="5"/>
  <c r="G9" i="5"/>
  <c r="F9" i="5"/>
  <c r="E9" i="5"/>
  <c r="D9" i="5"/>
  <c r="C9" i="5"/>
  <c r="B9" i="5"/>
  <c r="A9" i="5"/>
  <c r="G8" i="5"/>
  <c r="F8" i="5"/>
  <c r="E8" i="5"/>
  <c r="D8" i="5"/>
  <c r="C8" i="5"/>
  <c r="B8" i="5"/>
  <c r="A8" i="5"/>
  <c r="G7" i="5"/>
  <c r="F7" i="5"/>
  <c r="E7" i="5"/>
  <c r="D7" i="5"/>
  <c r="C7" i="5"/>
  <c r="B7" i="5"/>
  <c r="A7" i="5"/>
  <c r="G6" i="5"/>
  <c r="F6" i="5"/>
  <c r="E6" i="5"/>
  <c r="D6" i="5"/>
  <c r="C6" i="5"/>
  <c r="B6" i="5"/>
  <c r="A6" i="5"/>
  <c r="G5" i="5"/>
  <c r="F5" i="5"/>
  <c r="E5" i="5"/>
  <c r="D5" i="5"/>
  <c r="C5" i="5"/>
  <c r="B5" i="5"/>
  <c r="A5" i="5"/>
  <c r="G4" i="5"/>
  <c r="F4" i="5"/>
  <c r="E4" i="5"/>
  <c r="D4" i="5"/>
  <c r="C4" i="5"/>
  <c r="B4" i="5"/>
  <c r="A4" i="5"/>
  <c r="G3" i="5"/>
  <c r="F3" i="5"/>
  <c r="E3" i="5"/>
  <c r="D3" i="5"/>
  <c r="C3" i="5"/>
  <c r="B3" i="5"/>
  <c r="A3" i="5"/>
  <c r="G2" i="5"/>
  <c r="F2" i="5"/>
  <c r="E2" i="5"/>
  <c r="D2" i="5"/>
  <c r="C2" i="5"/>
  <c r="B2" i="5"/>
  <c r="A2" i="5"/>
  <c r="G1" i="5"/>
  <c r="F1" i="5"/>
  <c r="E1" i="5"/>
  <c r="D1" i="5"/>
  <c r="C1" i="5"/>
  <c r="B1" i="5"/>
  <c r="A1" i="5"/>
  <c r="I15" i="4"/>
  <c r="H15" i="4"/>
  <c r="G15" i="4"/>
  <c r="F15" i="4"/>
  <c r="E15" i="4"/>
  <c r="D15" i="4"/>
  <c r="C15" i="4"/>
  <c r="B15" i="4"/>
  <c r="A15" i="4"/>
  <c r="I14" i="4"/>
  <c r="H14" i="4"/>
  <c r="G14" i="4"/>
  <c r="F14" i="4"/>
  <c r="E14" i="4"/>
  <c r="D14" i="4"/>
  <c r="C14" i="4"/>
  <c r="B14" i="4"/>
  <c r="A14" i="4"/>
  <c r="I13" i="4"/>
  <c r="H13" i="4"/>
  <c r="G13" i="4"/>
  <c r="F13" i="4"/>
  <c r="E13" i="4"/>
  <c r="D13" i="4"/>
  <c r="C13" i="4"/>
  <c r="B13" i="4"/>
  <c r="A13" i="4"/>
  <c r="I12" i="4"/>
  <c r="H12" i="4"/>
  <c r="G12" i="4"/>
  <c r="F12" i="4"/>
  <c r="E12" i="4"/>
  <c r="D12" i="4"/>
  <c r="C12" i="4"/>
  <c r="B12" i="4"/>
  <c r="A12" i="4"/>
  <c r="I11" i="4"/>
  <c r="H11" i="4"/>
  <c r="G11" i="4"/>
  <c r="F11" i="4"/>
  <c r="E11" i="4"/>
  <c r="D11" i="4"/>
  <c r="C11" i="4"/>
  <c r="B11" i="4"/>
  <c r="A11" i="4"/>
  <c r="I10" i="4"/>
  <c r="H10" i="4"/>
  <c r="G10" i="4"/>
  <c r="F10" i="4"/>
  <c r="E10" i="4"/>
  <c r="D10" i="4"/>
  <c r="C10" i="4"/>
  <c r="B10" i="4"/>
  <c r="I9" i="4"/>
  <c r="H9" i="4"/>
  <c r="G9" i="4"/>
  <c r="F9" i="4"/>
  <c r="E9" i="4"/>
  <c r="D9" i="4"/>
  <c r="C9" i="4"/>
  <c r="B9" i="4"/>
  <c r="A9" i="4"/>
  <c r="I8" i="4"/>
  <c r="H8" i="4"/>
  <c r="G8" i="4"/>
  <c r="F8" i="4"/>
  <c r="E8" i="4"/>
  <c r="D8" i="4"/>
  <c r="C8" i="4"/>
  <c r="B8" i="4"/>
  <c r="A8" i="4"/>
  <c r="I7" i="4"/>
  <c r="H7" i="4"/>
  <c r="G7" i="4"/>
  <c r="F7" i="4"/>
  <c r="E7" i="4"/>
  <c r="D7" i="4"/>
  <c r="C7" i="4"/>
  <c r="B7" i="4"/>
  <c r="A7" i="4"/>
  <c r="I6" i="4"/>
  <c r="H6" i="4"/>
  <c r="G6" i="4"/>
  <c r="F6" i="4"/>
  <c r="E6" i="4"/>
  <c r="D6" i="4"/>
  <c r="C6" i="4"/>
  <c r="B6" i="4"/>
  <c r="A6" i="4"/>
  <c r="I5" i="4"/>
  <c r="H5" i="4"/>
  <c r="G5" i="4"/>
  <c r="F5" i="4"/>
  <c r="E5" i="4"/>
  <c r="D5" i="4"/>
  <c r="C5" i="4"/>
  <c r="B5" i="4"/>
  <c r="A5" i="4"/>
  <c r="I4" i="4"/>
  <c r="H4" i="4"/>
  <c r="G4" i="4"/>
  <c r="F4" i="4"/>
  <c r="E4" i="4"/>
  <c r="D4" i="4"/>
  <c r="C4" i="4"/>
  <c r="B4" i="4"/>
  <c r="A4" i="4"/>
  <c r="I3" i="4"/>
  <c r="H3" i="4"/>
  <c r="G3" i="4"/>
  <c r="F3" i="4"/>
  <c r="E3" i="4"/>
  <c r="D3" i="4"/>
  <c r="C3" i="4"/>
  <c r="B3" i="4"/>
  <c r="A3" i="4"/>
  <c r="I2" i="4"/>
  <c r="H2" i="4"/>
  <c r="G2" i="4"/>
  <c r="F2" i="4"/>
  <c r="E2" i="4"/>
  <c r="D2" i="4"/>
  <c r="C2" i="4"/>
  <c r="B2" i="4"/>
  <c r="A2" i="4"/>
  <c r="I1" i="4"/>
  <c r="H1" i="4"/>
  <c r="G1" i="4"/>
  <c r="F1" i="4"/>
  <c r="E1" i="4"/>
  <c r="D1" i="4"/>
  <c r="C1" i="4"/>
  <c r="B1" i="4"/>
  <c r="A1" i="4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8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A5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4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A1" i="3"/>
  <c r="H14" i="2"/>
  <c r="F14" i="2"/>
  <c r="E14" i="2"/>
  <c r="D14" i="2"/>
  <c r="K11" i="2"/>
  <c r="J11" i="2"/>
  <c r="I11" i="2"/>
  <c r="H11" i="2"/>
  <c r="G11" i="2"/>
  <c r="F11" i="2"/>
  <c r="E11" i="2"/>
  <c r="D11" i="2"/>
  <c r="C11" i="2"/>
  <c r="B11" i="2"/>
  <c r="A11" i="2"/>
  <c r="K10" i="2"/>
  <c r="J10" i="2"/>
  <c r="I10" i="2"/>
  <c r="H10" i="2"/>
  <c r="G10" i="2"/>
  <c r="F10" i="2"/>
  <c r="E10" i="2"/>
  <c r="D10" i="2"/>
  <c r="C10" i="2"/>
  <c r="B10" i="2"/>
  <c r="A10" i="2"/>
  <c r="K9" i="2"/>
  <c r="J9" i="2"/>
  <c r="I9" i="2"/>
  <c r="H9" i="2"/>
  <c r="G9" i="2"/>
  <c r="F9" i="2"/>
  <c r="E9" i="2"/>
  <c r="D9" i="2"/>
  <c r="C9" i="2"/>
  <c r="B9" i="2"/>
  <c r="A9" i="2"/>
  <c r="K8" i="2"/>
  <c r="J8" i="2"/>
  <c r="I8" i="2"/>
  <c r="H8" i="2"/>
  <c r="G8" i="2"/>
  <c r="F8" i="2"/>
  <c r="E8" i="2"/>
  <c r="D8" i="2"/>
  <c r="C8" i="2"/>
  <c r="B8" i="2"/>
  <c r="A8" i="2"/>
  <c r="K7" i="2"/>
  <c r="J7" i="2"/>
  <c r="I7" i="2"/>
  <c r="H7" i="2"/>
  <c r="G7" i="2"/>
  <c r="F7" i="2"/>
  <c r="E7" i="2"/>
  <c r="D7" i="2"/>
  <c r="C7" i="2"/>
  <c r="B7" i="2"/>
  <c r="A7" i="2"/>
  <c r="K6" i="2"/>
  <c r="J6" i="2"/>
  <c r="I6" i="2"/>
  <c r="H6" i="2"/>
  <c r="G6" i="2"/>
  <c r="F6" i="2"/>
  <c r="E6" i="2"/>
  <c r="D6" i="2"/>
  <c r="C6" i="2"/>
  <c r="B6" i="2"/>
  <c r="A6" i="2"/>
  <c r="K5" i="2"/>
  <c r="J5" i="2"/>
  <c r="I5" i="2"/>
  <c r="H5" i="2"/>
  <c r="G5" i="2"/>
  <c r="F5" i="2"/>
  <c r="E5" i="2"/>
  <c r="D5" i="2"/>
  <c r="C5" i="2"/>
  <c r="B5" i="2"/>
  <c r="A5" i="2"/>
  <c r="K4" i="2"/>
  <c r="J4" i="2"/>
  <c r="I4" i="2"/>
  <c r="H4" i="2"/>
  <c r="G4" i="2"/>
  <c r="F4" i="2"/>
  <c r="E4" i="2"/>
  <c r="D4" i="2"/>
  <c r="C4" i="2"/>
  <c r="B4" i="2"/>
  <c r="A4" i="2"/>
  <c r="K3" i="2"/>
  <c r="J3" i="2"/>
  <c r="I3" i="2"/>
  <c r="H3" i="2"/>
  <c r="G3" i="2"/>
  <c r="F3" i="2"/>
  <c r="E3" i="2"/>
  <c r="D3" i="2"/>
  <c r="C3" i="2"/>
  <c r="B3" i="2"/>
  <c r="A3" i="2"/>
  <c r="K2" i="2"/>
  <c r="J2" i="2"/>
  <c r="I2" i="2"/>
  <c r="H2" i="2"/>
  <c r="G2" i="2"/>
  <c r="F2" i="2"/>
  <c r="E2" i="2"/>
  <c r="D2" i="2"/>
  <c r="C2" i="2"/>
  <c r="B2" i="2"/>
  <c r="A2" i="2"/>
  <c r="K1" i="2"/>
  <c r="J1" i="2"/>
  <c r="I1" i="2"/>
  <c r="H1" i="2"/>
  <c r="G1" i="2"/>
  <c r="F1" i="2"/>
  <c r="E1" i="2"/>
  <c r="D1" i="2"/>
  <c r="C1" i="2"/>
  <c r="B1" i="2"/>
  <c r="A1" i="2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J29" i="1"/>
  <c r="B29" i="1"/>
  <c r="A29" i="1"/>
  <c r="J28" i="1"/>
  <c r="B28" i="1"/>
  <c r="A28" i="1"/>
  <c r="B27" i="1"/>
  <c r="A27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I10" i="1"/>
  <c r="H10" i="1"/>
  <c r="G10" i="1"/>
  <c r="F10" i="1"/>
  <c r="E10" i="1"/>
  <c r="D10" i="1"/>
  <c r="C10" i="1"/>
  <c r="B10" i="1"/>
  <c r="A10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R$]#,##0.00"/>
    <numFmt numFmtId="165" formatCode="mmm"/>
    <numFmt numFmtId="166" formatCode="d&quot;/&quot;m&quot;/&quot;yy"/>
  </numFmts>
  <fonts count="2" x14ac:knownFonts="1">
    <font>
      <sz val="10"/>
      <color rgb="FF000000"/>
      <name val="Arial"/>
      <scheme val="minor"/>
    </font>
    <font>
      <sz val="9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1" fillId="0" borderId="0" xfId="0" applyNumberFormat="1" applyFont="1"/>
    <xf numFmtId="2" fontId="1" fillId="0" borderId="0" xfId="0" applyNumberFormat="1" applyFont="1"/>
    <xf numFmtId="3" fontId="1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topLeftCell="A22" workbookViewId="0">
      <selection activeCell="J28" sqref="J28"/>
    </sheetView>
  </sheetViews>
  <sheetFormatPr defaultColWidth="12.5703125" defaultRowHeight="15.75" customHeight="1" x14ac:dyDescent="0.2"/>
  <cols>
    <col min="1" max="1" width="18.7109375" customWidth="1"/>
    <col min="2" max="2" width="8.85546875" customWidth="1"/>
    <col min="3" max="26" width="8.5703125" customWidth="1"/>
  </cols>
  <sheetData>
    <row r="1" spans="1:26" x14ac:dyDescent="0.2">
      <c r="A1" s="1" t="str">
        <f ca="1">IFERROR(__xludf.DUMMYFUNCTION("IMPORTRANGE(""https://docs.google.com/spreadsheets/d/1QEICpkTEbV1Z_LWeaMjl4KVDsEDLt2EDAtqOvRWsWng/edit?gid=573951668#gid=573951668"",""Consolidado!A2:Z100"")"),"Alias")</f>
        <v>Alias</v>
      </c>
      <c r="B1" s="1" t="str">
        <f ca="1">IFERROR(__xludf.DUMMYFUNCTION("""COMPUTED_VALUE"""),"Id")</f>
        <v>Id</v>
      </c>
      <c r="C1" s="2" t="str">
        <f ca="1">IFERROR(__xludf.DUMMYFUNCTION("""COMPUTED_VALUE"""),"25-01")</f>
        <v>25-01</v>
      </c>
      <c r="D1" s="1" t="str">
        <f ca="1">IFERROR(__xludf.DUMMYFUNCTION("""COMPUTED_VALUE"""),"25-02")</f>
        <v>25-02</v>
      </c>
      <c r="E1" s="1" t="str">
        <f ca="1">IFERROR(__xludf.DUMMYFUNCTION("""COMPUTED_VALUE"""),"25-03")</f>
        <v>25-03</v>
      </c>
      <c r="F1" s="1" t="str">
        <f ca="1">IFERROR(__xludf.DUMMYFUNCTION("""COMPUTED_VALUE"""),"25-04")</f>
        <v>25-04</v>
      </c>
      <c r="G1" s="1" t="str">
        <f ca="1">IFERROR(__xludf.DUMMYFUNCTION("""COMPUTED_VALUE"""),"25-05")</f>
        <v>25-05</v>
      </c>
      <c r="H1" s="1" t="str">
        <f ca="1">IFERROR(__xludf.DUMMYFUNCTION("""COMPUTED_VALUE"""),"25-06")</f>
        <v>25-06</v>
      </c>
      <c r="I1" s="1" t="str">
        <f ca="1">IFERROR(__xludf.DUMMYFUNCTION("""COMPUTED_VALUE"""),"25-07")</f>
        <v>25-07</v>
      </c>
      <c r="J1" s="1" t="str">
        <f ca="1">IFERROR(__xludf.DUMMYFUNCTION("""COMPUTED_VALUE"""),"25-08")</f>
        <v>25-08</v>
      </c>
      <c r="K1" s="1" t="str">
        <f ca="1">IFERROR(__xludf.DUMMYFUNCTION("""COMPUTED_VALUE"""),"25-09")</f>
        <v>25-09</v>
      </c>
      <c r="L1" s="1" t="str">
        <f ca="1">IFERROR(__xludf.DUMMYFUNCTION("""COMPUTED_VALUE"""),"25-10")</f>
        <v>25-10</v>
      </c>
      <c r="M1" s="1" t="str">
        <f ca="1">IFERROR(__xludf.DUMMYFUNCTION("""COMPUTED_VALUE"""),"25-11")</f>
        <v>25-11</v>
      </c>
      <c r="N1" s="1" t="str">
        <f ca="1">IFERROR(__xludf.DUMMYFUNCTION("""COMPUTED_VALUE"""),"25-12")</f>
        <v>25-12</v>
      </c>
      <c r="O1" s="2" t="str">
        <f ca="1">IFERROR(__xludf.DUMMYFUNCTION("""COMPUTED_VALUE"""),"26-01")</f>
        <v>26-01</v>
      </c>
      <c r="P1" s="1" t="str">
        <f ca="1">IFERROR(__xludf.DUMMYFUNCTION("""COMPUTED_VALUE"""),"26-02")</f>
        <v>26-02</v>
      </c>
      <c r="Q1" s="1" t="str">
        <f ca="1">IFERROR(__xludf.DUMMYFUNCTION("""COMPUTED_VALUE"""),"26-03")</f>
        <v>26-03</v>
      </c>
      <c r="R1" s="1" t="str">
        <f ca="1">IFERROR(__xludf.DUMMYFUNCTION("""COMPUTED_VALUE"""),"26-04")</f>
        <v>26-04</v>
      </c>
      <c r="S1" s="1" t="str">
        <f ca="1">IFERROR(__xludf.DUMMYFUNCTION("""COMPUTED_VALUE"""),"26-05")</f>
        <v>26-05</v>
      </c>
      <c r="T1" s="1" t="str">
        <f ca="1">IFERROR(__xludf.DUMMYFUNCTION("""COMPUTED_VALUE"""),"26-06")</f>
        <v>26-06</v>
      </c>
      <c r="U1" s="1" t="str">
        <f ca="1">IFERROR(__xludf.DUMMYFUNCTION("""COMPUTED_VALUE"""),"26-07")</f>
        <v>26-07</v>
      </c>
      <c r="V1" s="1" t="str">
        <f ca="1">IFERROR(__xludf.DUMMYFUNCTION("""COMPUTED_VALUE"""),"26-08")</f>
        <v>26-08</v>
      </c>
      <c r="W1" s="1" t="str">
        <f ca="1">IFERROR(__xludf.DUMMYFUNCTION("""COMPUTED_VALUE"""),"26-09")</f>
        <v>26-09</v>
      </c>
      <c r="X1" s="1" t="str">
        <f ca="1">IFERROR(__xludf.DUMMYFUNCTION("""COMPUTED_VALUE"""),"26-10")</f>
        <v>26-10</v>
      </c>
      <c r="Y1" s="1" t="str">
        <f ca="1">IFERROR(__xludf.DUMMYFUNCTION("""COMPUTED_VALUE"""),"26-11")</f>
        <v>26-11</v>
      </c>
      <c r="Z1" s="1" t="str">
        <f ca="1">IFERROR(__xludf.DUMMYFUNCTION("""COMPUTED_VALUE"""),"26-12")</f>
        <v>26-12</v>
      </c>
    </row>
    <row r="2" spans="1:26" x14ac:dyDescent="0.2">
      <c r="A2" s="1" t="str">
        <f ca="1">IFERROR(__xludf.DUMMYFUNCTION("""COMPUTED_VALUE"""),"Créditos")</f>
        <v>Créditos</v>
      </c>
      <c r="B2" s="1" t="str">
        <f ca="1">IFERROR(__xludf.DUMMYFUNCTION("""COMPUTED_VALUE"""),"Créditos")</f>
        <v>Créditos</v>
      </c>
      <c r="C2" s="3">
        <f ca="1">IFERROR(__xludf.DUMMYFUNCTION("""COMPUTED_VALUE"""),-0.00175000001036096)</f>
        <v>-1.75000001036096E-3</v>
      </c>
      <c r="D2" s="3">
        <f ca="1">IFERROR(__xludf.DUMMYFUNCTION("""COMPUTED_VALUE"""),0.00634543899650452)</f>
        <v>6.3454389965045196E-3</v>
      </c>
      <c r="E2" s="3">
        <f ca="1">IFERROR(__xludf.DUMMYFUNCTION("""COMPUTED_VALUE"""),0.00363038549403427)</f>
        <v>3.63038549403427E-3</v>
      </c>
      <c r="F2" s="3">
        <f ca="1">IFERROR(__xludf.DUMMYFUNCTION("""COMPUTED_VALUE"""),0.000484143994981423)</f>
        <v>4.8414399498142302E-4</v>
      </c>
      <c r="G2" s="3">
        <f ca="1">IFERROR(__xludf.DUMMYFUNCTION("""COMPUTED_VALUE"""),0.000515956504386849)</f>
        <v>5.1595650438684905E-4</v>
      </c>
      <c r="H2" s="3">
        <f ca="1">IFERROR(__xludf.DUMMYFUNCTION("""COMPUTED_VALUE"""),-0.000620798495219787)</f>
        <v>-6.2079849521978704E-4</v>
      </c>
      <c r="I2" s="3">
        <f ca="1">IFERROR(__xludf.DUMMYFUNCTION("""COMPUTED_VALUE"""),0.00209867750163539)</f>
        <v>2.0986775016353901E-3</v>
      </c>
      <c r="J2" s="3">
        <f ca="1">IFERROR(__xludf.DUMMYFUNCTION("""COMPUTED_VALUE"""),117.309842577502)</f>
        <v>117.309842577502</v>
      </c>
      <c r="K2" s="3" t="str">
        <f ca="1">IFERROR(__xludf.DUMMYFUNCTION("""COMPUTED_VALUE"""),"")</f>
        <v/>
      </c>
      <c r="L2" s="3" t="str">
        <f ca="1">IFERROR(__xludf.DUMMYFUNCTION("""COMPUTED_VALUE"""),"")</f>
        <v/>
      </c>
      <c r="M2" s="3" t="str">
        <f ca="1">IFERROR(__xludf.DUMMYFUNCTION("""COMPUTED_VALUE"""),"")</f>
        <v/>
      </c>
      <c r="N2" s="3" t="str">
        <f ca="1">IFERROR(__xludf.DUMMYFUNCTION("""COMPUTED_VALUE"""),"")</f>
        <v/>
      </c>
      <c r="O2" s="3" t="str">
        <f ca="1">IFERROR(__xludf.DUMMYFUNCTION("""COMPUTED_VALUE"""),"")</f>
        <v/>
      </c>
      <c r="P2" s="3" t="str">
        <f ca="1">IFERROR(__xludf.DUMMYFUNCTION("""COMPUTED_VALUE"""),"")</f>
        <v/>
      </c>
      <c r="Q2" s="3" t="str">
        <f ca="1">IFERROR(__xludf.DUMMYFUNCTION("""COMPUTED_VALUE"""),"")</f>
        <v/>
      </c>
      <c r="R2" s="3" t="str">
        <f ca="1">IFERROR(__xludf.DUMMYFUNCTION("""COMPUTED_VALUE"""),"")</f>
        <v/>
      </c>
      <c r="S2" s="3" t="str">
        <f ca="1">IFERROR(__xludf.DUMMYFUNCTION("""COMPUTED_VALUE"""),"")</f>
        <v/>
      </c>
      <c r="T2" s="3" t="str">
        <f ca="1">IFERROR(__xludf.DUMMYFUNCTION("""COMPUTED_VALUE"""),"")</f>
        <v/>
      </c>
      <c r="U2" s="3" t="str">
        <f ca="1">IFERROR(__xludf.DUMMYFUNCTION("""COMPUTED_VALUE"""),"")</f>
        <v/>
      </c>
      <c r="V2" s="3" t="str">
        <f ca="1">IFERROR(__xludf.DUMMYFUNCTION("""COMPUTED_VALUE"""),"")</f>
        <v/>
      </c>
      <c r="W2" s="3" t="str">
        <f ca="1">IFERROR(__xludf.DUMMYFUNCTION("""COMPUTED_VALUE"""),"")</f>
        <v/>
      </c>
      <c r="X2" s="3" t="str">
        <f ca="1">IFERROR(__xludf.DUMMYFUNCTION("""COMPUTED_VALUE"""),"")</f>
        <v/>
      </c>
      <c r="Y2" s="3" t="str">
        <f ca="1">IFERROR(__xludf.DUMMYFUNCTION("""COMPUTED_VALUE"""),"")</f>
        <v/>
      </c>
      <c r="Z2" s="3" t="str">
        <f ca="1">IFERROR(__xludf.DUMMYFUNCTION("""COMPUTED_VALUE"""),"")</f>
        <v/>
      </c>
    </row>
    <row r="3" spans="1:26" x14ac:dyDescent="0.2">
      <c r="A3" s="1" t="str">
        <f ca="1">IFERROR(__xludf.DUMMYFUNCTION("""COMPUTED_VALUE"""),"Débidos")</f>
        <v>Débidos</v>
      </c>
      <c r="B3" s="1" t="str">
        <f ca="1">IFERROR(__xludf.DUMMYFUNCTION("""COMPUTED_VALUE"""),"Débidos")</f>
        <v>Débidos</v>
      </c>
      <c r="C3" s="3">
        <f ca="1">IFERROR(__xludf.DUMMYFUNCTION("""COMPUTED_VALUE"""),-0.0200000000040745)</f>
        <v>-2.0000000004074502E-2</v>
      </c>
      <c r="D3" s="3">
        <f ca="1">IFERROR(__xludf.DUMMYFUNCTION("""COMPUTED_VALUE"""),0)</f>
        <v>0</v>
      </c>
      <c r="E3" s="3">
        <f ca="1">IFERROR(__xludf.DUMMYFUNCTION("""COMPUTED_VALUE"""),-0.00271505350247025)</f>
        <v>-2.7150535024702501E-3</v>
      </c>
      <c r="F3" s="3">
        <f ca="1">IFERROR(__xludf.DUMMYFUNCTION("""COMPUTED_VALUE"""),0)</f>
        <v>0</v>
      </c>
      <c r="G3" s="3">
        <f ca="1">IFERROR(__xludf.DUMMYFUNCTION("""COMPUTED_VALUE"""),0)</f>
        <v>0</v>
      </c>
      <c r="H3" s="3">
        <f ca="1">IFERROR(__xludf.DUMMYFUNCTION("""COMPUTED_VALUE"""),0)</f>
        <v>0</v>
      </c>
      <c r="I3" s="3">
        <f ca="1">IFERROR(__xludf.DUMMYFUNCTION("""COMPUTED_VALUE"""),0)</f>
        <v>0</v>
      </c>
      <c r="J3" s="3">
        <f ca="1">IFERROR(__xludf.DUMMYFUNCTION("""COMPUTED_VALUE"""),7848.01999999999)</f>
        <v>7848.0199999999904</v>
      </c>
      <c r="K3" s="3" t="str">
        <f ca="1">IFERROR(__xludf.DUMMYFUNCTION("""COMPUTED_VALUE"""),"")</f>
        <v/>
      </c>
      <c r="L3" s="3" t="str">
        <f ca="1">IFERROR(__xludf.DUMMYFUNCTION("""COMPUTED_VALUE"""),"")</f>
        <v/>
      </c>
      <c r="M3" s="3" t="str">
        <f ca="1">IFERROR(__xludf.DUMMYFUNCTION("""COMPUTED_VALUE"""),"")</f>
        <v/>
      </c>
      <c r="N3" s="3" t="str">
        <f ca="1">IFERROR(__xludf.DUMMYFUNCTION("""COMPUTED_VALUE"""),"")</f>
        <v/>
      </c>
      <c r="O3" s="3" t="str">
        <f ca="1">IFERROR(__xludf.DUMMYFUNCTION("""COMPUTED_VALUE"""),"")</f>
        <v/>
      </c>
      <c r="P3" s="3" t="str">
        <f ca="1">IFERROR(__xludf.DUMMYFUNCTION("""COMPUTED_VALUE"""),"")</f>
        <v/>
      </c>
      <c r="Q3" s="3" t="str">
        <f ca="1">IFERROR(__xludf.DUMMYFUNCTION("""COMPUTED_VALUE"""),"")</f>
        <v/>
      </c>
      <c r="R3" s="3" t="str">
        <f ca="1">IFERROR(__xludf.DUMMYFUNCTION("""COMPUTED_VALUE"""),"")</f>
        <v/>
      </c>
      <c r="S3" s="3" t="str">
        <f ca="1">IFERROR(__xludf.DUMMYFUNCTION("""COMPUTED_VALUE"""),"")</f>
        <v/>
      </c>
      <c r="T3" s="3" t="str">
        <f ca="1">IFERROR(__xludf.DUMMYFUNCTION("""COMPUTED_VALUE"""),"")</f>
        <v/>
      </c>
      <c r="U3" s="3" t="str">
        <f ca="1">IFERROR(__xludf.DUMMYFUNCTION("""COMPUTED_VALUE"""),"")</f>
        <v/>
      </c>
      <c r="V3" s="3" t="str">
        <f ca="1">IFERROR(__xludf.DUMMYFUNCTION("""COMPUTED_VALUE"""),"")</f>
        <v/>
      </c>
      <c r="W3" s="3" t="str">
        <f ca="1">IFERROR(__xludf.DUMMYFUNCTION("""COMPUTED_VALUE"""),"")</f>
        <v/>
      </c>
      <c r="X3" s="3" t="str">
        <f ca="1">IFERROR(__xludf.DUMMYFUNCTION("""COMPUTED_VALUE"""),"")</f>
        <v/>
      </c>
      <c r="Y3" s="3" t="str">
        <f ca="1">IFERROR(__xludf.DUMMYFUNCTION("""COMPUTED_VALUE"""),"")</f>
        <v/>
      </c>
      <c r="Z3" s="3" t="str">
        <f ca="1">IFERROR(__xludf.DUMMYFUNCTION("""COMPUTED_VALUE"""),"")</f>
        <v/>
      </c>
    </row>
    <row r="4" spans="1:26" x14ac:dyDescent="0.2">
      <c r="A4" s="1" t="str">
        <f ca="1">IFERROR(__xludf.DUMMYFUNCTION("""COMPUTED_VALUE"""),"Salário Fabrício Previsto")</f>
        <v>Salário Fabrício Previsto</v>
      </c>
      <c r="B4" s="1" t="str">
        <f ca="1">IFERROR(__xludf.DUMMYFUNCTION("""COMPUTED_VALUE"""),"Salário")</f>
        <v>Salário</v>
      </c>
      <c r="C4" s="3">
        <f ca="1">IFERROR(__xludf.DUMMYFUNCTION("""COMPUTED_VALUE"""),17051.99)</f>
        <v>17051.990000000002</v>
      </c>
      <c r="D4" s="3">
        <f ca="1">IFERROR(__xludf.DUMMYFUNCTION("""COMPUTED_VALUE"""),17020.99)</f>
        <v>17020.990000000002</v>
      </c>
      <c r="E4" s="3">
        <f ca="1">IFERROR(__xludf.DUMMYFUNCTION("""COMPUTED_VALUE"""),17020.99)</f>
        <v>17020.990000000002</v>
      </c>
      <c r="F4" s="3">
        <f ca="1">IFERROR(__xludf.DUMMYFUNCTION("""COMPUTED_VALUE"""),18276.4)</f>
        <v>18276.400000000001</v>
      </c>
      <c r="G4" s="3">
        <f ca="1">IFERROR(__xludf.DUMMYFUNCTION("""COMPUTED_VALUE"""),18276.4)</f>
        <v>18276.400000000001</v>
      </c>
      <c r="H4" s="3">
        <f ca="1">IFERROR(__xludf.DUMMYFUNCTION("""COMPUTED_VALUE"""),18289.13)</f>
        <v>18289.13</v>
      </c>
      <c r="I4" s="3">
        <f ca="1">IFERROR(__xludf.DUMMYFUNCTION("""COMPUTED_VALUE"""),18341.26)</f>
        <v>18341.259999999998</v>
      </c>
      <c r="J4" s="3">
        <f ca="1">IFERROR(__xludf.DUMMYFUNCTION("""COMPUTED_VALUE"""),18178.86)</f>
        <v>18178.86</v>
      </c>
      <c r="K4" s="3" t="str">
        <f ca="1">IFERROR(__xludf.DUMMYFUNCTION("""COMPUTED_VALUE"""),"")</f>
        <v/>
      </c>
      <c r="L4" s="3" t="str">
        <f ca="1">IFERROR(__xludf.DUMMYFUNCTION("""COMPUTED_VALUE"""),"")</f>
        <v/>
      </c>
      <c r="M4" s="3" t="str">
        <f ca="1">IFERROR(__xludf.DUMMYFUNCTION("""COMPUTED_VALUE"""),"")</f>
        <v/>
      </c>
      <c r="N4" s="3" t="str">
        <f ca="1">IFERROR(__xludf.DUMMYFUNCTION("""COMPUTED_VALUE"""),"")</f>
        <v/>
      </c>
      <c r="O4" s="3" t="str">
        <f ca="1">IFERROR(__xludf.DUMMYFUNCTION("""COMPUTED_VALUE"""),"")</f>
        <v/>
      </c>
      <c r="P4" s="3" t="str">
        <f ca="1">IFERROR(__xludf.DUMMYFUNCTION("""COMPUTED_VALUE"""),"")</f>
        <v/>
      </c>
      <c r="Q4" s="3" t="str">
        <f ca="1">IFERROR(__xludf.DUMMYFUNCTION("""COMPUTED_VALUE"""),"")</f>
        <v/>
      </c>
      <c r="R4" s="3" t="str">
        <f ca="1">IFERROR(__xludf.DUMMYFUNCTION("""COMPUTED_VALUE"""),"")</f>
        <v/>
      </c>
      <c r="S4" s="3" t="str">
        <f ca="1">IFERROR(__xludf.DUMMYFUNCTION("""COMPUTED_VALUE"""),"")</f>
        <v/>
      </c>
      <c r="T4" s="3" t="str">
        <f ca="1">IFERROR(__xludf.DUMMYFUNCTION("""COMPUTED_VALUE"""),"")</f>
        <v/>
      </c>
      <c r="U4" s="3" t="str">
        <f ca="1">IFERROR(__xludf.DUMMYFUNCTION("""COMPUTED_VALUE"""),"")</f>
        <v/>
      </c>
      <c r="V4" s="3" t="str">
        <f ca="1">IFERROR(__xludf.DUMMYFUNCTION("""COMPUTED_VALUE"""),"")</f>
        <v/>
      </c>
      <c r="W4" s="3" t="str">
        <f ca="1">IFERROR(__xludf.DUMMYFUNCTION("""COMPUTED_VALUE"""),"")</f>
        <v/>
      </c>
      <c r="X4" s="3" t="str">
        <f ca="1">IFERROR(__xludf.DUMMYFUNCTION("""COMPUTED_VALUE"""),"")</f>
        <v/>
      </c>
      <c r="Y4" s="3" t="str">
        <f ca="1">IFERROR(__xludf.DUMMYFUNCTION("""COMPUTED_VALUE"""),"")</f>
        <v/>
      </c>
      <c r="Z4" s="3" t="str">
        <f ca="1">IFERROR(__xludf.DUMMYFUNCTION("""COMPUTED_VALUE"""),"")</f>
        <v/>
      </c>
    </row>
    <row r="5" spans="1:26" x14ac:dyDescent="0.2">
      <c r="A5" s="1" t="str">
        <f ca="1">IFERROR(__xludf.DUMMYFUNCTION("""COMPUTED_VALUE"""),"Salário Fabrício Realizado")</f>
        <v>Salário Fabrício Realizado</v>
      </c>
      <c r="B5" s="1" t="str">
        <f ca="1">IFERROR(__xludf.DUMMYFUNCTION("""COMPUTED_VALUE"""),"Salário")</f>
        <v>Salário</v>
      </c>
      <c r="C5" s="3">
        <f ca="1">IFERROR(__xludf.DUMMYFUNCTION("""COMPUTED_VALUE"""),17051.99)</f>
        <v>17051.990000000002</v>
      </c>
      <c r="D5" s="3">
        <f ca="1">IFERROR(__xludf.DUMMYFUNCTION("""COMPUTED_VALUE"""),17020.99)</f>
        <v>17020.990000000002</v>
      </c>
      <c r="E5" s="3">
        <f ca="1">IFERROR(__xludf.DUMMYFUNCTION("""COMPUTED_VALUE"""),17020.99)</f>
        <v>17020.990000000002</v>
      </c>
      <c r="F5" s="3">
        <f ca="1">IFERROR(__xludf.DUMMYFUNCTION("""COMPUTED_VALUE"""),18276.4)</f>
        <v>18276.400000000001</v>
      </c>
      <c r="G5" s="3">
        <f ca="1">IFERROR(__xludf.DUMMYFUNCTION("""COMPUTED_VALUE"""),18276.4)</f>
        <v>18276.400000000001</v>
      </c>
      <c r="H5" s="3">
        <f ca="1">IFERROR(__xludf.DUMMYFUNCTION("""COMPUTED_VALUE"""),18289.13)</f>
        <v>18289.13</v>
      </c>
      <c r="I5" s="3">
        <f ca="1">IFERROR(__xludf.DUMMYFUNCTION("""COMPUTED_VALUE"""),18341.26)</f>
        <v>18341.259999999998</v>
      </c>
      <c r="J5" s="3">
        <f ca="1">IFERROR(__xludf.DUMMYFUNCTION("""COMPUTED_VALUE"""),18178.86)</f>
        <v>18178.86</v>
      </c>
      <c r="K5" s="3" t="str">
        <f ca="1">IFERROR(__xludf.DUMMYFUNCTION("""COMPUTED_VALUE"""),"")</f>
        <v/>
      </c>
      <c r="L5" s="3" t="str">
        <f ca="1">IFERROR(__xludf.DUMMYFUNCTION("""COMPUTED_VALUE"""),"")</f>
        <v/>
      </c>
      <c r="M5" s="3" t="str">
        <f ca="1">IFERROR(__xludf.DUMMYFUNCTION("""COMPUTED_VALUE"""),"")</f>
        <v/>
      </c>
      <c r="N5" s="3" t="str">
        <f ca="1">IFERROR(__xludf.DUMMYFUNCTION("""COMPUTED_VALUE"""),"")</f>
        <v/>
      </c>
      <c r="O5" s="3" t="str">
        <f ca="1">IFERROR(__xludf.DUMMYFUNCTION("""COMPUTED_VALUE"""),"")</f>
        <v/>
      </c>
      <c r="P5" s="3" t="str">
        <f ca="1">IFERROR(__xludf.DUMMYFUNCTION("""COMPUTED_VALUE"""),"")</f>
        <v/>
      </c>
      <c r="Q5" s="3" t="str">
        <f ca="1">IFERROR(__xludf.DUMMYFUNCTION("""COMPUTED_VALUE"""),"")</f>
        <v/>
      </c>
      <c r="R5" s="3" t="str">
        <f ca="1">IFERROR(__xludf.DUMMYFUNCTION("""COMPUTED_VALUE"""),"")</f>
        <v/>
      </c>
      <c r="S5" s="3" t="str">
        <f ca="1">IFERROR(__xludf.DUMMYFUNCTION("""COMPUTED_VALUE"""),"")</f>
        <v/>
      </c>
      <c r="T5" s="3" t="str">
        <f ca="1">IFERROR(__xludf.DUMMYFUNCTION("""COMPUTED_VALUE"""),"")</f>
        <v/>
      </c>
      <c r="U5" s="3" t="str">
        <f ca="1">IFERROR(__xludf.DUMMYFUNCTION("""COMPUTED_VALUE"""),"")</f>
        <v/>
      </c>
      <c r="V5" s="3" t="str">
        <f ca="1">IFERROR(__xludf.DUMMYFUNCTION("""COMPUTED_VALUE"""),"")</f>
        <v/>
      </c>
      <c r="W5" s="3" t="str">
        <f ca="1">IFERROR(__xludf.DUMMYFUNCTION("""COMPUTED_VALUE"""),"")</f>
        <v/>
      </c>
      <c r="X5" s="3" t="str">
        <f ca="1">IFERROR(__xludf.DUMMYFUNCTION("""COMPUTED_VALUE"""),"")</f>
        <v/>
      </c>
      <c r="Y5" s="3" t="str">
        <f ca="1">IFERROR(__xludf.DUMMYFUNCTION("""COMPUTED_VALUE"""),"")</f>
        <v/>
      </c>
      <c r="Z5" s="3" t="str">
        <f ca="1">IFERROR(__xludf.DUMMYFUNCTION("""COMPUTED_VALUE"""),"")</f>
        <v/>
      </c>
    </row>
    <row r="6" spans="1:26" x14ac:dyDescent="0.2">
      <c r="A6" s="1" t="str">
        <f ca="1">IFERROR(__xludf.DUMMYFUNCTION("""COMPUTED_VALUE"""),"Salário Amanda Previsto")</f>
        <v>Salário Amanda Previsto</v>
      </c>
      <c r="B6" s="1" t="str">
        <f ca="1">IFERROR(__xludf.DUMMYFUNCTION("""COMPUTED_VALUE"""),"Amanda")</f>
        <v>Amanda</v>
      </c>
      <c r="C6" s="3">
        <f ca="1">IFERROR(__xludf.DUMMYFUNCTION("""COMPUTED_VALUE"""),4900)</f>
        <v>4900</v>
      </c>
      <c r="D6" s="3">
        <f ca="1">IFERROR(__xludf.DUMMYFUNCTION("""COMPUTED_VALUE"""),4594.67)</f>
        <v>4594.67</v>
      </c>
      <c r="E6" s="3">
        <f ca="1">IFERROR(__xludf.DUMMYFUNCTION("""COMPUTED_VALUE"""),5096.98)</f>
        <v>5096.9799999999996</v>
      </c>
      <c r="F6" s="3">
        <f ca="1">IFERROR(__xludf.DUMMYFUNCTION("""COMPUTED_VALUE"""),5096.98)</f>
        <v>5096.9799999999996</v>
      </c>
      <c r="G6" s="3">
        <f ca="1">IFERROR(__xludf.DUMMYFUNCTION("""COMPUTED_VALUE"""),4900)</f>
        <v>4900</v>
      </c>
      <c r="H6" s="3">
        <f ca="1">IFERROR(__xludf.DUMMYFUNCTION("""COMPUTED_VALUE"""),4900)</f>
        <v>4900</v>
      </c>
      <c r="I6" s="3">
        <f ca="1">IFERROR(__xludf.DUMMYFUNCTION("""COMPUTED_VALUE"""),4900)</f>
        <v>4900</v>
      </c>
      <c r="J6" s="3">
        <f ca="1">IFERROR(__xludf.DUMMYFUNCTION("""COMPUTED_VALUE"""),4900)</f>
        <v>4900</v>
      </c>
      <c r="K6" s="3" t="str">
        <f ca="1">IFERROR(__xludf.DUMMYFUNCTION("""COMPUTED_VALUE"""),"")</f>
        <v/>
      </c>
      <c r="L6" s="3" t="str">
        <f ca="1">IFERROR(__xludf.DUMMYFUNCTION("""COMPUTED_VALUE"""),"")</f>
        <v/>
      </c>
      <c r="M6" s="3" t="str">
        <f ca="1">IFERROR(__xludf.DUMMYFUNCTION("""COMPUTED_VALUE"""),"")</f>
        <v/>
      </c>
      <c r="N6" s="3" t="str">
        <f ca="1">IFERROR(__xludf.DUMMYFUNCTION("""COMPUTED_VALUE"""),"")</f>
        <v/>
      </c>
      <c r="O6" s="3" t="str">
        <f ca="1">IFERROR(__xludf.DUMMYFUNCTION("""COMPUTED_VALUE"""),"")</f>
        <v/>
      </c>
      <c r="P6" s="3" t="str">
        <f ca="1">IFERROR(__xludf.DUMMYFUNCTION("""COMPUTED_VALUE"""),"")</f>
        <v/>
      </c>
      <c r="Q6" s="3" t="str">
        <f ca="1">IFERROR(__xludf.DUMMYFUNCTION("""COMPUTED_VALUE"""),"")</f>
        <v/>
      </c>
      <c r="R6" s="3" t="str">
        <f ca="1">IFERROR(__xludf.DUMMYFUNCTION("""COMPUTED_VALUE"""),"")</f>
        <v/>
      </c>
      <c r="S6" s="3" t="str">
        <f ca="1">IFERROR(__xludf.DUMMYFUNCTION("""COMPUTED_VALUE"""),"")</f>
        <v/>
      </c>
      <c r="T6" s="3" t="str">
        <f ca="1">IFERROR(__xludf.DUMMYFUNCTION("""COMPUTED_VALUE"""),"")</f>
        <v/>
      </c>
      <c r="U6" s="3" t="str">
        <f ca="1">IFERROR(__xludf.DUMMYFUNCTION("""COMPUTED_VALUE"""),"")</f>
        <v/>
      </c>
      <c r="V6" s="3" t="str">
        <f ca="1">IFERROR(__xludf.DUMMYFUNCTION("""COMPUTED_VALUE"""),"")</f>
        <v/>
      </c>
      <c r="W6" s="3" t="str">
        <f ca="1">IFERROR(__xludf.DUMMYFUNCTION("""COMPUTED_VALUE"""),"")</f>
        <v/>
      </c>
      <c r="X6" s="3" t="str">
        <f ca="1">IFERROR(__xludf.DUMMYFUNCTION("""COMPUTED_VALUE"""),"")</f>
        <v/>
      </c>
      <c r="Y6" s="3" t="str">
        <f ca="1">IFERROR(__xludf.DUMMYFUNCTION("""COMPUTED_VALUE"""),"")</f>
        <v/>
      </c>
      <c r="Z6" s="3" t="str">
        <f ca="1">IFERROR(__xludf.DUMMYFUNCTION("""COMPUTED_VALUE"""),"")</f>
        <v/>
      </c>
    </row>
    <row r="7" spans="1:26" x14ac:dyDescent="0.2">
      <c r="A7" s="1" t="str">
        <f ca="1">IFERROR(__xludf.DUMMYFUNCTION("""COMPUTED_VALUE"""),"Salário Amanda Realizado")</f>
        <v>Salário Amanda Realizado</v>
      </c>
      <c r="B7" s="1" t="str">
        <f ca="1">IFERROR(__xludf.DUMMYFUNCTION("""COMPUTED_VALUE"""),"Amanda")</f>
        <v>Amanda</v>
      </c>
      <c r="C7" s="3">
        <f ca="1">IFERROR(__xludf.DUMMYFUNCTION("""COMPUTED_VALUE"""),4900)</f>
        <v>4900</v>
      </c>
      <c r="D7" s="3">
        <f ca="1">IFERROR(__xludf.DUMMYFUNCTION("""COMPUTED_VALUE"""),4594.67)</f>
        <v>4594.67</v>
      </c>
      <c r="E7" s="3">
        <f ca="1">IFERROR(__xludf.DUMMYFUNCTION("""COMPUTED_VALUE"""),5096.98)</f>
        <v>5096.9799999999996</v>
      </c>
      <c r="F7" s="3">
        <f ca="1">IFERROR(__xludf.DUMMYFUNCTION("""COMPUTED_VALUE"""),5096.98)</f>
        <v>5096.9799999999996</v>
      </c>
      <c r="G7" s="3">
        <f ca="1">IFERROR(__xludf.DUMMYFUNCTION("""COMPUTED_VALUE"""),4900)</f>
        <v>4900</v>
      </c>
      <c r="H7" s="3">
        <f ca="1">IFERROR(__xludf.DUMMYFUNCTION("""COMPUTED_VALUE"""),4900)</f>
        <v>4900</v>
      </c>
      <c r="I7" s="3">
        <f ca="1">IFERROR(__xludf.DUMMYFUNCTION("""COMPUTED_VALUE"""),4900)</f>
        <v>4900</v>
      </c>
      <c r="J7" s="3">
        <f ca="1">IFERROR(__xludf.DUMMYFUNCTION("""COMPUTED_VALUE"""),4900)</f>
        <v>4900</v>
      </c>
      <c r="K7" s="3" t="str">
        <f ca="1">IFERROR(__xludf.DUMMYFUNCTION("""COMPUTED_VALUE"""),"")</f>
        <v/>
      </c>
      <c r="L7" s="3" t="str">
        <f ca="1">IFERROR(__xludf.DUMMYFUNCTION("""COMPUTED_VALUE"""),"")</f>
        <v/>
      </c>
      <c r="M7" s="3" t="str">
        <f ca="1">IFERROR(__xludf.DUMMYFUNCTION("""COMPUTED_VALUE"""),"")</f>
        <v/>
      </c>
      <c r="N7" s="3" t="str">
        <f ca="1">IFERROR(__xludf.DUMMYFUNCTION("""COMPUTED_VALUE"""),"")</f>
        <v/>
      </c>
      <c r="O7" s="3" t="str">
        <f ca="1">IFERROR(__xludf.DUMMYFUNCTION("""COMPUTED_VALUE"""),"")</f>
        <v/>
      </c>
      <c r="P7" s="3" t="str">
        <f ca="1">IFERROR(__xludf.DUMMYFUNCTION("""COMPUTED_VALUE"""),"")</f>
        <v/>
      </c>
      <c r="Q7" s="3" t="str">
        <f ca="1">IFERROR(__xludf.DUMMYFUNCTION("""COMPUTED_VALUE"""),"")</f>
        <v/>
      </c>
      <c r="R7" s="3" t="str">
        <f ca="1">IFERROR(__xludf.DUMMYFUNCTION("""COMPUTED_VALUE"""),"")</f>
        <v/>
      </c>
      <c r="S7" s="3" t="str">
        <f ca="1">IFERROR(__xludf.DUMMYFUNCTION("""COMPUTED_VALUE"""),"")</f>
        <v/>
      </c>
      <c r="T7" s="3" t="str">
        <f ca="1">IFERROR(__xludf.DUMMYFUNCTION("""COMPUTED_VALUE"""),"")</f>
        <v/>
      </c>
      <c r="U7" s="3" t="str">
        <f ca="1">IFERROR(__xludf.DUMMYFUNCTION("""COMPUTED_VALUE"""),"")</f>
        <v/>
      </c>
      <c r="V7" s="3" t="str">
        <f ca="1">IFERROR(__xludf.DUMMYFUNCTION("""COMPUTED_VALUE"""),"")</f>
        <v/>
      </c>
      <c r="W7" s="3" t="str">
        <f ca="1">IFERROR(__xludf.DUMMYFUNCTION("""COMPUTED_VALUE"""),"")</f>
        <v/>
      </c>
      <c r="X7" s="3" t="str">
        <f ca="1">IFERROR(__xludf.DUMMYFUNCTION("""COMPUTED_VALUE"""),"")</f>
        <v/>
      </c>
      <c r="Y7" s="3" t="str">
        <f ca="1">IFERROR(__xludf.DUMMYFUNCTION("""COMPUTED_VALUE"""),"")</f>
        <v/>
      </c>
      <c r="Z7" s="3" t="str">
        <f ca="1">IFERROR(__xludf.DUMMYFUNCTION("""COMPUTED_VALUE"""),"")</f>
        <v/>
      </c>
    </row>
    <row r="8" spans="1:26" x14ac:dyDescent="0.2">
      <c r="A8" s="1" t="str">
        <f ca="1">IFERROR(__xludf.DUMMYFUNCTION("""COMPUTED_VALUE"""),"Apto. 7L AJS Previsto")</f>
        <v>Apto. 7L AJS Previsto</v>
      </c>
      <c r="B8" s="1" t="str">
        <f ca="1">IFERROR(__xludf.DUMMYFUNCTION("""COMPUTED_VALUE"""),"Apto. 7L")</f>
        <v>Apto. 7L</v>
      </c>
      <c r="C8" s="3">
        <f ca="1">IFERROR(__xludf.DUMMYFUNCTION("""COMPUTED_VALUE"""),7590.8475)</f>
        <v>7590.8474999999999</v>
      </c>
      <c r="D8" s="3">
        <f ca="1">IFERROR(__xludf.DUMMYFUNCTION("""COMPUTED_VALUE"""),11384.1375)</f>
        <v>11384.137500000001</v>
      </c>
      <c r="E8" s="3">
        <f ca="1">IFERROR(__xludf.DUMMYFUNCTION("""COMPUTED_VALUE"""),9730.15499999999)</f>
        <v>9730.1549999999897</v>
      </c>
      <c r="F8" s="3">
        <f ca="1">IFERROR(__xludf.DUMMYFUNCTION("""COMPUTED_VALUE"""),11820.96)</f>
        <v>11820.96</v>
      </c>
      <c r="G8" s="3">
        <f ca="1">IFERROR(__xludf.DUMMYFUNCTION("""COMPUTED_VALUE"""),7997.205)</f>
        <v>7997.2049999999999</v>
      </c>
      <c r="H8" s="3">
        <f ca="1">IFERROR(__xludf.DUMMYFUNCTION("""COMPUTED_VALUE"""),8905.7625)</f>
        <v>8905.7625000000007</v>
      </c>
      <c r="I8" s="3">
        <f ca="1">IFERROR(__xludf.DUMMYFUNCTION("""COMPUTED_VALUE"""),7500)</f>
        <v>7500</v>
      </c>
      <c r="J8" s="3">
        <f ca="1">IFERROR(__xludf.DUMMYFUNCTION("""COMPUTED_VALUE"""),7500)</f>
        <v>7500</v>
      </c>
      <c r="K8" s="3" t="str">
        <f ca="1">IFERROR(__xludf.DUMMYFUNCTION("""COMPUTED_VALUE"""),"")</f>
        <v/>
      </c>
      <c r="L8" s="3" t="str">
        <f ca="1">IFERROR(__xludf.DUMMYFUNCTION("""COMPUTED_VALUE"""),"")</f>
        <v/>
      </c>
      <c r="M8" s="3" t="str">
        <f ca="1">IFERROR(__xludf.DUMMYFUNCTION("""COMPUTED_VALUE"""),"")</f>
        <v/>
      </c>
      <c r="N8" s="3" t="str">
        <f ca="1">IFERROR(__xludf.DUMMYFUNCTION("""COMPUTED_VALUE"""),"")</f>
        <v/>
      </c>
      <c r="O8" s="3" t="str">
        <f ca="1">IFERROR(__xludf.DUMMYFUNCTION("""COMPUTED_VALUE"""),"")</f>
        <v/>
      </c>
      <c r="P8" s="3" t="str">
        <f ca="1">IFERROR(__xludf.DUMMYFUNCTION("""COMPUTED_VALUE"""),"")</f>
        <v/>
      </c>
      <c r="Q8" s="3" t="str">
        <f ca="1">IFERROR(__xludf.DUMMYFUNCTION("""COMPUTED_VALUE"""),"")</f>
        <v/>
      </c>
      <c r="R8" s="3" t="str">
        <f ca="1">IFERROR(__xludf.DUMMYFUNCTION("""COMPUTED_VALUE"""),"")</f>
        <v/>
      </c>
      <c r="S8" s="3" t="str">
        <f ca="1">IFERROR(__xludf.DUMMYFUNCTION("""COMPUTED_VALUE"""),"")</f>
        <v/>
      </c>
      <c r="T8" s="3" t="str">
        <f ca="1">IFERROR(__xludf.DUMMYFUNCTION("""COMPUTED_VALUE"""),"")</f>
        <v/>
      </c>
      <c r="U8" s="3" t="str">
        <f ca="1">IFERROR(__xludf.DUMMYFUNCTION("""COMPUTED_VALUE"""),"")</f>
        <v/>
      </c>
      <c r="V8" s="3" t="str">
        <f ca="1">IFERROR(__xludf.DUMMYFUNCTION("""COMPUTED_VALUE"""),"")</f>
        <v/>
      </c>
      <c r="W8" s="3" t="str">
        <f ca="1">IFERROR(__xludf.DUMMYFUNCTION("""COMPUTED_VALUE"""),"")</f>
        <v/>
      </c>
      <c r="X8" s="3" t="str">
        <f ca="1">IFERROR(__xludf.DUMMYFUNCTION("""COMPUTED_VALUE"""),"")</f>
        <v/>
      </c>
      <c r="Y8" s="3" t="str">
        <f ca="1">IFERROR(__xludf.DUMMYFUNCTION("""COMPUTED_VALUE"""),"")</f>
        <v/>
      </c>
      <c r="Z8" s="3" t="str">
        <f ca="1">IFERROR(__xludf.DUMMYFUNCTION("""COMPUTED_VALUE"""),"")</f>
        <v/>
      </c>
    </row>
    <row r="9" spans="1:26" x14ac:dyDescent="0.2">
      <c r="A9" s="1" t="str">
        <f ca="1">IFERROR(__xludf.DUMMYFUNCTION("""COMPUTED_VALUE"""),"Apto. 7L AJS Realizado")</f>
        <v>Apto. 7L AJS Realizado</v>
      </c>
      <c r="B9" s="1" t="str">
        <f ca="1">IFERROR(__xludf.DUMMYFUNCTION("""COMPUTED_VALUE"""),"Apto. 7L")</f>
        <v>Apto. 7L</v>
      </c>
      <c r="C9" s="3">
        <f ca="1">IFERROR(__xludf.DUMMYFUNCTION("""COMPUTED_VALUE"""),7590.8475)</f>
        <v>7590.8474999999999</v>
      </c>
      <c r="D9" s="3">
        <f ca="1">IFERROR(__xludf.DUMMYFUNCTION("""COMPUTED_VALUE"""),11384.1375)</f>
        <v>11384.137500000001</v>
      </c>
      <c r="E9" s="3">
        <f ca="1">IFERROR(__xludf.DUMMYFUNCTION("""COMPUTED_VALUE"""),9730.15499999999)</f>
        <v>9730.1549999999897</v>
      </c>
      <c r="F9" s="3">
        <f ca="1">IFERROR(__xludf.DUMMYFUNCTION("""COMPUTED_VALUE"""),11820.96)</f>
        <v>11820.96</v>
      </c>
      <c r="G9" s="3">
        <f ca="1">IFERROR(__xludf.DUMMYFUNCTION("""COMPUTED_VALUE"""),7997.205)</f>
        <v>7997.2049999999999</v>
      </c>
      <c r="H9" s="3">
        <f ca="1">IFERROR(__xludf.DUMMYFUNCTION("""COMPUTED_VALUE"""),8905.7625)</f>
        <v>8905.7625000000007</v>
      </c>
      <c r="I9" s="3">
        <f ca="1">IFERROR(__xludf.DUMMYFUNCTION("""COMPUTED_VALUE"""),7500)</f>
        <v>7500</v>
      </c>
      <c r="J9" s="3">
        <f ca="1">IFERROR(__xludf.DUMMYFUNCTION("""COMPUTED_VALUE"""),7500)</f>
        <v>7500</v>
      </c>
      <c r="K9" s="3" t="str">
        <f ca="1">IFERROR(__xludf.DUMMYFUNCTION("""COMPUTED_VALUE"""),"")</f>
        <v/>
      </c>
      <c r="L9" s="3" t="str">
        <f ca="1">IFERROR(__xludf.DUMMYFUNCTION("""COMPUTED_VALUE"""),"")</f>
        <v/>
      </c>
      <c r="M9" s="3" t="str">
        <f ca="1">IFERROR(__xludf.DUMMYFUNCTION("""COMPUTED_VALUE"""),"")</f>
        <v/>
      </c>
      <c r="N9" s="3" t="str">
        <f ca="1">IFERROR(__xludf.DUMMYFUNCTION("""COMPUTED_VALUE"""),"")</f>
        <v/>
      </c>
      <c r="O9" s="3" t="str">
        <f ca="1">IFERROR(__xludf.DUMMYFUNCTION("""COMPUTED_VALUE"""),"")</f>
        <v/>
      </c>
      <c r="P9" s="3" t="str">
        <f ca="1">IFERROR(__xludf.DUMMYFUNCTION("""COMPUTED_VALUE"""),"")</f>
        <v/>
      </c>
      <c r="Q9" s="3" t="str">
        <f ca="1">IFERROR(__xludf.DUMMYFUNCTION("""COMPUTED_VALUE"""),"")</f>
        <v/>
      </c>
      <c r="R9" s="3" t="str">
        <f ca="1">IFERROR(__xludf.DUMMYFUNCTION("""COMPUTED_VALUE"""),"")</f>
        <v/>
      </c>
      <c r="S9" s="3" t="str">
        <f ca="1">IFERROR(__xludf.DUMMYFUNCTION("""COMPUTED_VALUE"""),"")</f>
        <v/>
      </c>
      <c r="T9" s="3" t="str">
        <f ca="1">IFERROR(__xludf.DUMMYFUNCTION("""COMPUTED_VALUE"""),"")</f>
        <v/>
      </c>
      <c r="U9" s="3" t="str">
        <f ca="1">IFERROR(__xludf.DUMMYFUNCTION("""COMPUTED_VALUE"""),"")</f>
        <v/>
      </c>
      <c r="V9" s="3" t="str">
        <f ca="1">IFERROR(__xludf.DUMMYFUNCTION("""COMPUTED_VALUE"""),"")</f>
        <v/>
      </c>
      <c r="W9" s="3" t="str">
        <f ca="1">IFERROR(__xludf.DUMMYFUNCTION("""COMPUTED_VALUE"""),"")</f>
        <v/>
      </c>
      <c r="X9" s="3" t="str">
        <f ca="1">IFERROR(__xludf.DUMMYFUNCTION("""COMPUTED_VALUE"""),"")</f>
        <v/>
      </c>
      <c r="Y9" s="3" t="str">
        <f ca="1">IFERROR(__xludf.DUMMYFUNCTION("""COMPUTED_VALUE"""),"")</f>
        <v/>
      </c>
      <c r="Z9" s="3" t="str">
        <f ca="1">IFERROR(__xludf.DUMMYFUNCTION("""COMPUTED_VALUE"""),"")</f>
        <v/>
      </c>
    </row>
    <row r="10" spans="1:26" x14ac:dyDescent="0.2">
      <c r="A10" s="1" t="str">
        <f ca="1">IFERROR(__xludf.DUMMYFUNCTION("""COMPUTED_VALUE"""),"Cartão dti Realizado")</f>
        <v>Cartão dti Realizado</v>
      </c>
      <c r="B10" s="1" t="str">
        <f ca="1">IFERROR(__xludf.DUMMYFUNCTION("""COMPUTED_VALUE"""),"Cartão dti")</f>
        <v>Cartão dti</v>
      </c>
      <c r="C10" s="3">
        <f ca="1">IFERROR(__xludf.DUMMYFUNCTION("""COMPUTED_VALUE"""),154.66)</f>
        <v>154.66</v>
      </c>
      <c r="D10" s="3">
        <f ca="1">IFERROR(__xludf.DUMMYFUNCTION("""COMPUTED_VALUE"""),3597.29)</f>
        <v>3597.29</v>
      </c>
      <c r="E10" s="3">
        <f ca="1">IFERROR(__xludf.DUMMYFUNCTION("""COMPUTED_VALUE"""),1758.77)</f>
        <v>1758.77</v>
      </c>
      <c r="F10" s="3">
        <f ca="1">IFERROR(__xludf.DUMMYFUNCTION("""COMPUTED_VALUE"""),3866.24)</f>
        <v>3866.24</v>
      </c>
      <c r="G10" s="3">
        <f ca="1">IFERROR(__xludf.DUMMYFUNCTION("""COMPUTED_VALUE"""),2028.68)</f>
        <v>2028.68</v>
      </c>
      <c r="H10" s="3">
        <f ca="1">IFERROR(__xludf.DUMMYFUNCTION("""COMPUTED_VALUE"""),100.2)</f>
        <v>100.2</v>
      </c>
      <c r="I10" s="3">
        <f ca="1">IFERROR(__xludf.DUMMYFUNCTION("""COMPUTED_VALUE"""),100.2)</f>
        <v>100.2</v>
      </c>
      <c r="J10" s="1"/>
      <c r="K10" s="3" t="str">
        <f ca="1">IFERROR(__xludf.DUMMYFUNCTION("""COMPUTED_VALUE"""),"")</f>
        <v/>
      </c>
      <c r="L10" s="3" t="str">
        <f ca="1">IFERROR(__xludf.DUMMYFUNCTION("""COMPUTED_VALUE"""),"")</f>
        <v/>
      </c>
      <c r="M10" s="3" t="str">
        <f ca="1">IFERROR(__xludf.DUMMYFUNCTION("""COMPUTED_VALUE"""),"")</f>
        <v/>
      </c>
      <c r="N10" s="3" t="str">
        <f ca="1">IFERROR(__xludf.DUMMYFUNCTION("""COMPUTED_VALUE"""),"")</f>
        <v/>
      </c>
      <c r="O10" s="3" t="str">
        <f ca="1">IFERROR(__xludf.DUMMYFUNCTION("""COMPUTED_VALUE"""),"")</f>
        <v/>
      </c>
      <c r="P10" s="3" t="str">
        <f ca="1">IFERROR(__xludf.DUMMYFUNCTION("""COMPUTED_VALUE"""),"")</f>
        <v/>
      </c>
      <c r="Q10" s="3" t="str">
        <f ca="1">IFERROR(__xludf.DUMMYFUNCTION("""COMPUTED_VALUE"""),"")</f>
        <v/>
      </c>
      <c r="R10" s="3" t="str">
        <f ca="1">IFERROR(__xludf.DUMMYFUNCTION("""COMPUTED_VALUE"""),"")</f>
        <v/>
      </c>
      <c r="S10" s="3" t="str">
        <f ca="1">IFERROR(__xludf.DUMMYFUNCTION("""COMPUTED_VALUE"""),"")</f>
        <v/>
      </c>
      <c r="T10" s="3" t="str">
        <f ca="1">IFERROR(__xludf.DUMMYFUNCTION("""COMPUTED_VALUE"""),"")</f>
        <v/>
      </c>
      <c r="U10" s="3" t="str">
        <f ca="1">IFERROR(__xludf.DUMMYFUNCTION("""COMPUTED_VALUE"""),"")</f>
        <v/>
      </c>
      <c r="V10" s="3" t="str">
        <f ca="1">IFERROR(__xludf.DUMMYFUNCTION("""COMPUTED_VALUE"""),"")</f>
        <v/>
      </c>
      <c r="W10" s="3" t="str">
        <f ca="1">IFERROR(__xludf.DUMMYFUNCTION("""COMPUTED_VALUE"""),"")</f>
        <v/>
      </c>
      <c r="X10" s="3" t="str">
        <f ca="1">IFERROR(__xludf.DUMMYFUNCTION("""COMPUTED_VALUE"""),"")</f>
        <v/>
      </c>
      <c r="Y10" s="3" t="str">
        <f ca="1">IFERROR(__xludf.DUMMYFUNCTION("""COMPUTED_VALUE"""),"")</f>
        <v/>
      </c>
      <c r="Z10" s="3" t="str">
        <f ca="1">IFERROR(__xludf.DUMMYFUNCTION("""COMPUTED_VALUE"""),"")</f>
        <v/>
      </c>
    </row>
    <row r="11" spans="1:26" x14ac:dyDescent="0.2">
      <c r="A11" s="1" t="str">
        <f ca="1">IFERROR(__xludf.DUMMYFUNCTION("""COMPUTED_VALUE"""),"Créditos Previsto")</f>
        <v>Créditos Previsto</v>
      </c>
      <c r="B11" s="1" t="str">
        <f ca="1">IFERROR(__xludf.DUMMYFUNCTION("""COMPUTED_VALUE"""),"Total")</f>
        <v>Total</v>
      </c>
      <c r="C11" s="3">
        <f ca="1">IFERROR(__xludf.DUMMYFUNCTION("""COMPUTED_VALUE"""),29868.7757499999)</f>
        <v>29868.775749999899</v>
      </c>
      <c r="D11" s="3">
        <f ca="1">IFERROR(__xludf.DUMMYFUNCTION("""COMPUTED_VALUE"""),42707.603845439)</f>
        <v>42707.603845439</v>
      </c>
      <c r="E11" s="3">
        <f ca="1">IFERROR(__xludf.DUMMYFUNCTION("""COMPUTED_VALUE"""),39520.1286303854)</f>
        <v>39520.128630385399</v>
      </c>
      <c r="F11" s="3">
        <f ca="1">IFERROR(__xludf.DUMMYFUNCTION("""COMPUTED_VALUE"""),39440.2504841439)</f>
        <v>39440.2504841439</v>
      </c>
      <c r="G11" s="3">
        <f ca="1">IFERROR(__xludf.DUMMYFUNCTION("""COMPUTED_VALUE"""),105643.705515956)</f>
        <v>105643.705515956</v>
      </c>
      <c r="H11" s="3">
        <f ca="1">IFERROR(__xludf.DUMMYFUNCTION("""COMPUTED_VALUE"""),32355.9618792015)</f>
        <v>32355.961879201499</v>
      </c>
      <c r="I11" s="3">
        <f ca="1">IFERROR(__xludf.DUMMYFUNCTION("""COMPUTED_VALUE"""),31626.9420986775)</f>
        <v>31626.9420986775</v>
      </c>
      <c r="J11" s="3">
        <f ca="1">IFERROR(__xludf.DUMMYFUNCTION("""COMPUTED_VALUE"""),31464.5898425775)</f>
        <v>31464.589842577501</v>
      </c>
      <c r="K11" s="3" t="str">
        <f ca="1">IFERROR(__xludf.DUMMYFUNCTION("""COMPUTED_VALUE"""),"")</f>
        <v/>
      </c>
      <c r="L11" s="3" t="str">
        <f ca="1">IFERROR(__xludf.DUMMYFUNCTION("""COMPUTED_VALUE"""),"")</f>
        <v/>
      </c>
      <c r="M11" s="3" t="str">
        <f ca="1">IFERROR(__xludf.DUMMYFUNCTION("""COMPUTED_VALUE"""),"")</f>
        <v/>
      </c>
      <c r="N11" s="3" t="str">
        <f ca="1">IFERROR(__xludf.DUMMYFUNCTION("""COMPUTED_VALUE"""),"")</f>
        <v/>
      </c>
      <c r="O11" s="3" t="str">
        <f ca="1">IFERROR(__xludf.DUMMYFUNCTION("""COMPUTED_VALUE"""),"")</f>
        <v/>
      </c>
      <c r="P11" s="3" t="str">
        <f ca="1">IFERROR(__xludf.DUMMYFUNCTION("""COMPUTED_VALUE"""),"")</f>
        <v/>
      </c>
      <c r="Q11" s="3" t="str">
        <f ca="1">IFERROR(__xludf.DUMMYFUNCTION("""COMPUTED_VALUE"""),"")</f>
        <v/>
      </c>
      <c r="R11" s="3" t="str">
        <f ca="1">IFERROR(__xludf.DUMMYFUNCTION("""COMPUTED_VALUE"""),"")</f>
        <v/>
      </c>
      <c r="S11" s="3" t="str">
        <f ca="1">IFERROR(__xludf.DUMMYFUNCTION("""COMPUTED_VALUE"""),"")</f>
        <v/>
      </c>
      <c r="T11" s="3" t="str">
        <f ca="1">IFERROR(__xludf.DUMMYFUNCTION("""COMPUTED_VALUE"""),"")</f>
        <v/>
      </c>
      <c r="U11" s="3" t="str">
        <f ca="1">IFERROR(__xludf.DUMMYFUNCTION("""COMPUTED_VALUE"""),"")</f>
        <v/>
      </c>
      <c r="V11" s="3" t="str">
        <f ca="1">IFERROR(__xludf.DUMMYFUNCTION("""COMPUTED_VALUE"""),"")</f>
        <v/>
      </c>
      <c r="W11" s="3" t="str">
        <f ca="1">IFERROR(__xludf.DUMMYFUNCTION("""COMPUTED_VALUE"""),"")</f>
        <v/>
      </c>
      <c r="X11" s="3" t="str">
        <f ca="1">IFERROR(__xludf.DUMMYFUNCTION("""COMPUTED_VALUE"""),"")</f>
        <v/>
      </c>
      <c r="Y11" s="3" t="str">
        <f ca="1">IFERROR(__xludf.DUMMYFUNCTION("""COMPUTED_VALUE"""),"")</f>
        <v/>
      </c>
      <c r="Z11" s="3" t="str">
        <f ca="1">IFERROR(__xludf.DUMMYFUNCTION("""COMPUTED_VALUE"""),"")</f>
        <v/>
      </c>
    </row>
    <row r="12" spans="1:26" x14ac:dyDescent="0.2">
      <c r="A12" s="1" t="str">
        <f ca="1">IFERROR(__xludf.DUMMYFUNCTION("""COMPUTED_VALUE"""),"Créditos Realizado")</f>
        <v>Créditos Realizado</v>
      </c>
      <c r="B12" s="1" t="str">
        <f ca="1">IFERROR(__xludf.DUMMYFUNCTION("""COMPUTED_VALUE"""),"Total")</f>
        <v>Total</v>
      </c>
      <c r="C12" s="3">
        <f ca="1">IFERROR(__xludf.DUMMYFUNCTION("""COMPUTED_VALUE"""),29868.7775)</f>
        <v>29868.7775</v>
      </c>
      <c r="D12" s="3">
        <f ca="1">IFERROR(__xludf.DUMMYFUNCTION("""COMPUTED_VALUE"""),42707.5975)</f>
        <v>42707.597500000003</v>
      </c>
      <c r="E12" s="3">
        <f ca="1">IFERROR(__xludf.DUMMYFUNCTION("""COMPUTED_VALUE"""),39520.125)</f>
        <v>39520.125</v>
      </c>
      <c r="F12" s="3">
        <f ca="1">IFERROR(__xludf.DUMMYFUNCTION("""COMPUTED_VALUE"""),39440.25)</f>
        <v>39440.25</v>
      </c>
      <c r="G12" s="3">
        <f ca="1">IFERROR(__xludf.DUMMYFUNCTION("""COMPUTED_VALUE"""),105643.704999999)</f>
        <v>105643.704999999</v>
      </c>
      <c r="H12" s="3">
        <f ca="1">IFERROR(__xludf.DUMMYFUNCTION("""COMPUTED_VALUE"""),32355.9625)</f>
        <v>32355.962500000001</v>
      </c>
      <c r="I12" s="3">
        <f ca="1">IFERROR(__xludf.DUMMYFUNCTION("""COMPUTED_VALUE"""),31626.94)</f>
        <v>31626.94</v>
      </c>
      <c r="J12" s="3">
        <f ca="1">IFERROR(__xludf.DUMMYFUNCTION("""COMPUTED_VALUE"""),31347.28)</f>
        <v>31347.279999999999</v>
      </c>
      <c r="K12" s="3" t="str">
        <f ca="1">IFERROR(__xludf.DUMMYFUNCTION("""COMPUTED_VALUE"""),"")</f>
        <v/>
      </c>
      <c r="L12" s="3" t="str">
        <f ca="1">IFERROR(__xludf.DUMMYFUNCTION("""COMPUTED_VALUE"""),"")</f>
        <v/>
      </c>
      <c r="M12" s="3" t="str">
        <f ca="1">IFERROR(__xludf.DUMMYFUNCTION("""COMPUTED_VALUE"""),"")</f>
        <v/>
      </c>
      <c r="N12" s="3" t="str">
        <f ca="1">IFERROR(__xludf.DUMMYFUNCTION("""COMPUTED_VALUE"""),"")</f>
        <v/>
      </c>
      <c r="O12" s="3" t="str">
        <f ca="1">IFERROR(__xludf.DUMMYFUNCTION("""COMPUTED_VALUE"""),"")</f>
        <v/>
      </c>
      <c r="P12" s="3" t="str">
        <f ca="1">IFERROR(__xludf.DUMMYFUNCTION("""COMPUTED_VALUE"""),"")</f>
        <v/>
      </c>
      <c r="Q12" s="3" t="str">
        <f ca="1">IFERROR(__xludf.DUMMYFUNCTION("""COMPUTED_VALUE"""),"")</f>
        <v/>
      </c>
      <c r="R12" s="3" t="str">
        <f ca="1">IFERROR(__xludf.DUMMYFUNCTION("""COMPUTED_VALUE"""),"")</f>
        <v/>
      </c>
      <c r="S12" s="3" t="str">
        <f ca="1">IFERROR(__xludf.DUMMYFUNCTION("""COMPUTED_VALUE"""),"")</f>
        <v/>
      </c>
      <c r="T12" s="3" t="str">
        <f ca="1">IFERROR(__xludf.DUMMYFUNCTION("""COMPUTED_VALUE"""),"")</f>
        <v/>
      </c>
      <c r="U12" s="3" t="str">
        <f ca="1">IFERROR(__xludf.DUMMYFUNCTION("""COMPUTED_VALUE"""),"")</f>
        <v/>
      </c>
      <c r="V12" s="3" t="str">
        <f ca="1">IFERROR(__xludf.DUMMYFUNCTION("""COMPUTED_VALUE"""),"")</f>
        <v/>
      </c>
      <c r="W12" s="3" t="str">
        <f ca="1">IFERROR(__xludf.DUMMYFUNCTION("""COMPUTED_VALUE"""),"")</f>
        <v/>
      </c>
      <c r="X12" s="3" t="str">
        <f ca="1">IFERROR(__xludf.DUMMYFUNCTION("""COMPUTED_VALUE"""),"")</f>
        <v/>
      </c>
      <c r="Y12" s="3" t="str">
        <f ca="1">IFERROR(__xludf.DUMMYFUNCTION("""COMPUTED_VALUE"""),"")</f>
        <v/>
      </c>
      <c r="Z12" s="3" t="str">
        <f ca="1">IFERROR(__xludf.DUMMYFUNCTION("""COMPUTED_VALUE"""),"")</f>
        <v/>
      </c>
    </row>
    <row r="13" spans="1:26" x14ac:dyDescent="0.2">
      <c r="A13" s="1" t="str">
        <f ca="1">IFERROR(__xludf.DUMMYFUNCTION("""COMPUTED_VALUE"""),"Investimento Previsto")</f>
        <v>Investimento Previsto</v>
      </c>
      <c r="B13" s="1" t="str">
        <f ca="1">IFERROR(__xludf.DUMMYFUNCTION("""COMPUTED_VALUE"""),"-")</f>
        <v>-</v>
      </c>
      <c r="C13" s="3">
        <f ca="1">IFERROR(__xludf.DUMMYFUNCTION("""COMPUTED_VALUE"""),888.33)</f>
        <v>888.33</v>
      </c>
      <c r="D13" s="3">
        <f ca="1">IFERROR(__xludf.DUMMYFUNCTION("""COMPUTED_VALUE"""),0)</f>
        <v>0</v>
      </c>
      <c r="E13" s="3">
        <f ca="1">IFERROR(__xludf.DUMMYFUNCTION("""COMPUTED_VALUE"""),0)</f>
        <v>0</v>
      </c>
      <c r="F13" s="3">
        <f ca="1">IFERROR(__xludf.DUMMYFUNCTION("""COMPUTED_VALUE"""),6811.08)</f>
        <v>6811.08</v>
      </c>
      <c r="G13" s="3">
        <f ca="1">IFERROR(__xludf.DUMMYFUNCTION("""COMPUTED_VALUE"""),0)</f>
        <v>0</v>
      </c>
      <c r="H13" s="3">
        <f ca="1">IFERROR(__xludf.DUMMYFUNCTION("""COMPUTED_VALUE"""),1811.5)</f>
        <v>1811.5</v>
      </c>
      <c r="I13" s="3">
        <f ca="1">IFERROR(__xludf.DUMMYFUNCTION("""COMPUTED_VALUE"""),0)</f>
        <v>0</v>
      </c>
      <c r="J13" s="3">
        <f ca="1">IFERROR(__xludf.DUMMYFUNCTION("""COMPUTED_VALUE"""),0)</f>
        <v>0</v>
      </c>
      <c r="K13" s="3" t="str">
        <f ca="1">IFERROR(__xludf.DUMMYFUNCTION("""COMPUTED_VALUE"""),"")</f>
        <v/>
      </c>
      <c r="L13" s="3" t="str">
        <f ca="1">IFERROR(__xludf.DUMMYFUNCTION("""COMPUTED_VALUE"""),"")</f>
        <v/>
      </c>
      <c r="M13" s="3" t="str">
        <f ca="1">IFERROR(__xludf.DUMMYFUNCTION("""COMPUTED_VALUE"""),"")</f>
        <v/>
      </c>
      <c r="N13" s="3" t="str">
        <f ca="1">IFERROR(__xludf.DUMMYFUNCTION("""COMPUTED_VALUE"""),"")</f>
        <v/>
      </c>
      <c r="O13" s="3" t="str">
        <f ca="1">IFERROR(__xludf.DUMMYFUNCTION("""COMPUTED_VALUE"""),"")</f>
        <v/>
      </c>
      <c r="P13" s="3" t="str">
        <f ca="1">IFERROR(__xludf.DUMMYFUNCTION("""COMPUTED_VALUE"""),"")</f>
        <v/>
      </c>
      <c r="Q13" s="3" t="str">
        <f ca="1">IFERROR(__xludf.DUMMYFUNCTION("""COMPUTED_VALUE"""),"")</f>
        <v/>
      </c>
      <c r="R13" s="3" t="str">
        <f ca="1">IFERROR(__xludf.DUMMYFUNCTION("""COMPUTED_VALUE"""),"")</f>
        <v/>
      </c>
      <c r="S13" s="3" t="str">
        <f ca="1">IFERROR(__xludf.DUMMYFUNCTION("""COMPUTED_VALUE"""),"")</f>
        <v/>
      </c>
      <c r="T13" s="3" t="str">
        <f ca="1">IFERROR(__xludf.DUMMYFUNCTION("""COMPUTED_VALUE"""),"")</f>
        <v/>
      </c>
      <c r="U13" s="3" t="str">
        <f ca="1">IFERROR(__xludf.DUMMYFUNCTION("""COMPUTED_VALUE"""),"")</f>
        <v/>
      </c>
      <c r="V13" s="3" t="str">
        <f ca="1">IFERROR(__xludf.DUMMYFUNCTION("""COMPUTED_VALUE"""),"")</f>
        <v/>
      </c>
      <c r="W13" s="3" t="str">
        <f ca="1">IFERROR(__xludf.DUMMYFUNCTION("""COMPUTED_VALUE"""),"")</f>
        <v/>
      </c>
      <c r="X13" s="3" t="str">
        <f ca="1">IFERROR(__xludf.DUMMYFUNCTION("""COMPUTED_VALUE"""),"")</f>
        <v/>
      </c>
      <c r="Y13" s="3" t="str">
        <f ca="1">IFERROR(__xludf.DUMMYFUNCTION("""COMPUTED_VALUE"""),"")</f>
        <v/>
      </c>
      <c r="Z13" s="3" t="str">
        <f ca="1">IFERROR(__xludf.DUMMYFUNCTION("""COMPUTED_VALUE"""),"")</f>
        <v/>
      </c>
    </row>
    <row r="14" spans="1:26" x14ac:dyDescent="0.2">
      <c r="A14" s="1" t="str">
        <f ca="1">IFERROR(__xludf.DUMMYFUNCTION("""COMPUTED_VALUE"""),"Investimento Realizado")</f>
        <v>Investimento Realizado</v>
      </c>
      <c r="B14" s="1" t="str">
        <f ca="1">IFERROR(__xludf.DUMMYFUNCTION("""COMPUTED_VALUE"""),"-")</f>
        <v>-</v>
      </c>
      <c r="C14" s="3">
        <f ca="1">IFERROR(__xludf.DUMMYFUNCTION("""COMPUTED_VALUE"""),888.329999999999)</f>
        <v>888.32999999999902</v>
      </c>
      <c r="D14" s="3">
        <f ca="1">IFERROR(__xludf.DUMMYFUNCTION("""COMPUTED_VALUE"""),0)</f>
        <v>0</v>
      </c>
      <c r="E14" s="3">
        <f ca="1">IFERROR(__xludf.DUMMYFUNCTION("""COMPUTED_VALUE"""),0)</f>
        <v>0</v>
      </c>
      <c r="F14" s="3">
        <f ca="1">IFERROR(__xludf.DUMMYFUNCTION("""COMPUTED_VALUE"""),6811.08)</f>
        <v>6811.08</v>
      </c>
      <c r="G14" s="3">
        <f ca="1">IFERROR(__xludf.DUMMYFUNCTION("""COMPUTED_VALUE"""),0)</f>
        <v>0</v>
      </c>
      <c r="H14" s="3">
        <f ca="1">IFERROR(__xludf.DUMMYFUNCTION("""COMPUTED_VALUE"""),1811.5)</f>
        <v>1811.5</v>
      </c>
      <c r="I14" s="3">
        <f ca="1">IFERROR(__xludf.DUMMYFUNCTION("""COMPUTED_VALUE"""),0)</f>
        <v>0</v>
      </c>
      <c r="J14" s="3">
        <f ca="1">IFERROR(__xludf.DUMMYFUNCTION("""COMPUTED_VALUE"""),0)</f>
        <v>0</v>
      </c>
      <c r="K14" s="3" t="str">
        <f ca="1">IFERROR(__xludf.DUMMYFUNCTION("""COMPUTED_VALUE"""),"")</f>
        <v/>
      </c>
      <c r="L14" s="3" t="str">
        <f ca="1">IFERROR(__xludf.DUMMYFUNCTION("""COMPUTED_VALUE"""),"")</f>
        <v/>
      </c>
      <c r="M14" s="3" t="str">
        <f ca="1">IFERROR(__xludf.DUMMYFUNCTION("""COMPUTED_VALUE"""),"")</f>
        <v/>
      </c>
      <c r="N14" s="3" t="str">
        <f ca="1">IFERROR(__xludf.DUMMYFUNCTION("""COMPUTED_VALUE"""),"")</f>
        <v/>
      </c>
      <c r="O14" s="3" t="str">
        <f ca="1">IFERROR(__xludf.DUMMYFUNCTION("""COMPUTED_VALUE"""),"")</f>
        <v/>
      </c>
      <c r="P14" s="3" t="str">
        <f ca="1">IFERROR(__xludf.DUMMYFUNCTION("""COMPUTED_VALUE"""),"")</f>
        <v/>
      </c>
      <c r="Q14" s="3" t="str">
        <f ca="1">IFERROR(__xludf.DUMMYFUNCTION("""COMPUTED_VALUE"""),"")</f>
        <v/>
      </c>
      <c r="R14" s="3" t="str">
        <f ca="1">IFERROR(__xludf.DUMMYFUNCTION("""COMPUTED_VALUE"""),"")</f>
        <v/>
      </c>
      <c r="S14" s="3" t="str">
        <f ca="1">IFERROR(__xludf.DUMMYFUNCTION("""COMPUTED_VALUE"""),"")</f>
        <v/>
      </c>
      <c r="T14" s="3" t="str">
        <f ca="1">IFERROR(__xludf.DUMMYFUNCTION("""COMPUTED_VALUE"""),"")</f>
        <v/>
      </c>
      <c r="U14" s="3" t="str">
        <f ca="1">IFERROR(__xludf.DUMMYFUNCTION("""COMPUTED_VALUE"""),"")</f>
        <v/>
      </c>
      <c r="V14" s="3" t="str">
        <f ca="1">IFERROR(__xludf.DUMMYFUNCTION("""COMPUTED_VALUE"""),"")</f>
        <v/>
      </c>
      <c r="W14" s="3" t="str">
        <f ca="1">IFERROR(__xludf.DUMMYFUNCTION("""COMPUTED_VALUE"""),"")</f>
        <v/>
      </c>
      <c r="X14" s="3" t="str">
        <f ca="1">IFERROR(__xludf.DUMMYFUNCTION("""COMPUTED_VALUE"""),"")</f>
        <v/>
      </c>
      <c r="Y14" s="3" t="str">
        <f ca="1">IFERROR(__xludf.DUMMYFUNCTION("""COMPUTED_VALUE"""),"")</f>
        <v/>
      </c>
      <c r="Z14" s="3" t="str">
        <f ca="1">IFERROR(__xludf.DUMMYFUNCTION("""COMPUTED_VALUE"""),"")</f>
        <v/>
      </c>
    </row>
    <row r="15" spans="1:26" x14ac:dyDescent="0.2">
      <c r="A15" s="1" t="str">
        <f ca="1">IFERROR(__xludf.DUMMYFUNCTION("""COMPUTED_VALUE"""),"Meta Cartão Previsto")</f>
        <v>Meta Cartão Previsto</v>
      </c>
      <c r="B15" s="1" t="str">
        <f ca="1">IFERROR(__xludf.DUMMYFUNCTION("""COMPUTED_VALUE"""),"Meta cartão")</f>
        <v>Meta cartão</v>
      </c>
      <c r="C15" s="3">
        <f ca="1">IFERROR(__xludf.DUMMYFUNCTION("""COMPUTED_VALUE"""),0)</f>
        <v>0</v>
      </c>
      <c r="D15" s="3">
        <f ca="1">IFERROR(__xludf.DUMMYFUNCTION("""COMPUTED_VALUE"""),0)</f>
        <v>0</v>
      </c>
      <c r="E15" s="3">
        <f ca="1">IFERROR(__xludf.DUMMYFUNCTION("""COMPUTED_VALUE"""),0)</f>
        <v>0</v>
      </c>
      <c r="F15" s="3">
        <f ca="1">IFERROR(__xludf.DUMMYFUNCTION("""COMPUTED_VALUE"""),0)</f>
        <v>0</v>
      </c>
      <c r="G15" s="3">
        <f ca="1">IFERROR(__xludf.DUMMYFUNCTION("""COMPUTED_VALUE"""),0)</f>
        <v>0</v>
      </c>
      <c r="H15" s="3">
        <f ca="1">IFERROR(__xludf.DUMMYFUNCTION("""COMPUTED_VALUE"""),0)</f>
        <v>0</v>
      </c>
      <c r="I15" s="3">
        <f ca="1">IFERROR(__xludf.DUMMYFUNCTION("""COMPUTED_VALUE"""),0)</f>
        <v>0</v>
      </c>
      <c r="J15" s="3">
        <f ca="1">IFERROR(__xludf.DUMMYFUNCTION("""COMPUTED_VALUE"""),0)</f>
        <v>0</v>
      </c>
      <c r="K15" s="3" t="str">
        <f ca="1">IFERROR(__xludf.DUMMYFUNCTION("""COMPUTED_VALUE"""),"")</f>
        <v/>
      </c>
      <c r="L15" s="3" t="str">
        <f ca="1">IFERROR(__xludf.DUMMYFUNCTION("""COMPUTED_VALUE"""),"")</f>
        <v/>
      </c>
      <c r="M15" s="3" t="str">
        <f ca="1">IFERROR(__xludf.DUMMYFUNCTION("""COMPUTED_VALUE"""),"")</f>
        <v/>
      </c>
      <c r="N15" s="3" t="str">
        <f ca="1">IFERROR(__xludf.DUMMYFUNCTION("""COMPUTED_VALUE"""),"")</f>
        <v/>
      </c>
      <c r="O15" s="3" t="str">
        <f ca="1">IFERROR(__xludf.DUMMYFUNCTION("""COMPUTED_VALUE"""),"")</f>
        <v/>
      </c>
      <c r="P15" s="3" t="str">
        <f ca="1">IFERROR(__xludf.DUMMYFUNCTION("""COMPUTED_VALUE"""),"")</f>
        <v/>
      </c>
      <c r="Q15" s="3" t="str">
        <f ca="1">IFERROR(__xludf.DUMMYFUNCTION("""COMPUTED_VALUE"""),"")</f>
        <v/>
      </c>
      <c r="R15" s="3" t="str">
        <f ca="1">IFERROR(__xludf.DUMMYFUNCTION("""COMPUTED_VALUE"""),"")</f>
        <v/>
      </c>
      <c r="S15" s="3" t="str">
        <f ca="1">IFERROR(__xludf.DUMMYFUNCTION("""COMPUTED_VALUE"""),"")</f>
        <v/>
      </c>
      <c r="T15" s="3" t="str">
        <f ca="1">IFERROR(__xludf.DUMMYFUNCTION("""COMPUTED_VALUE"""),"")</f>
        <v/>
      </c>
      <c r="U15" s="3" t="str">
        <f ca="1">IFERROR(__xludf.DUMMYFUNCTION("""COMPUTED_VALUE"""),"")</f>
        <v/>
      </c>
      <c r="V15" s="3" t="str">
        <f ca="1">IFERROR(__xludf.DUMMYFUNCTION("""COMPUTED_VALUE"""),"")</f>
        <v/>
      </c>
      <c r="W15" s="3" t="str">
        <f ca="1">IFERROR(__xludf.DUMMYFUNCTION("""COMPUTED_VALUE"""),"")</f>
        <v/>
      </c>
      <c r="X15" s="3" t="str">
        <f ca="1">IFERROR(__xludf.DUMMYFUNCTION("""COMPUTED_VALUE"""),"")</f>
        <v/>
      </c>
      <c r="Y15" s="3" t="str">
        <f ca="1">IFERROR(__xludf.DUMMYFUNCTION("""COMPUTED_VALUE"""),"")</f>
        <v/>
      </c>
      <c r="Z15" s="3" t="str">
        <f ca="1">IFERROR(__xludf.DUMMYFUNCTION("""COMPUTED_VALUE"""),"")</f>
        <v/>
      </c>
    </row>
    <row r="16" spans="1:26" x14ac:dyDescent="0.2">
      <c r="A16" s="1" t="str">
        <f ca="1">IFERROR(__xludf.DUMMYFUNCTION("""COMPUTED_VALUE"""),"Meta Cartão Realizado")</f>
        <v>Meta Cartão Realizado</v>
      </c>
      <c r="B16" s="1" t="str">
        <f ca="1">IFERROR(__xludf.DUMMYFUNCTION("""COMPUTED_VALUE"""),"Meta cartão")</f>
        <v>Meta cartão</v>
      </c>
      <c r="C16" s="3">
        <f ca="1">IFERROR(__xludf.DUMMYFUNCTION("""COMPUTED_VALUE"""),0)</f>
        <v>0</v>
      </c>
      <c r="D16" s="3">
        <f ca="1">IFERROR(__xludf.DUMMYFUNCTION("""COMPUTED_VALUE"""),0)</f>
        <v>0</v>
      </c>
      <c r="E16" s="3">
        <f ca="1">IFERROR(__xludf.DUMMYFUNCTION("""COMPUTED_VALUE"""),0)</f>
        <v>0</v>
      </c>
      <c r="F16" s="3">
        <f ca="1">IFERROR(__xludf.DUMMYFUNCTION("""COMPUTED_VALUE"""),0)</f>
        <v>0</v>
      </c>
      <c r="G16" s="3">
        <f ca="1">IFERROR(__xludf.DUMMYFUNCTION("""COMPUTED_VALUE"""),0)</f>
        <v>0</v>
      </c>
      <c r="H16" s="3">
        <f ca="1">IFERROR(__xludf.DUMMYFUNCTION("""COMPUTED_VALUE"""),0)</f>
        <v>0</v>
      </c>
      <c r="I16" s="3">
        <f ca="1">IFERROR(__xludf.DUMMYFUNCTION("""COMPUTED_VALUE"""),0)</f>
        <v>0</v>
      </c>
      <c r="J16" s="3">
        <f ca="1">IFERROR(__xludf.DUMMYFUNCTION("""COMPUTED_VALUE"""),0)</f>
        <v>0</v>
      </c>
      <c r="K16" s="3" t="str">
        <f ca="1">IFERROR(__xludf.DUMMYFUNCTION("""COMPUTED_VALUE"""),"")</f>
        <v/>
      </c>
      <c r="L16" s="3" t="str">
        <f ca="1">IFERROR(__xludf.DUMMYFUNCTION("""COMPUTED_VALUE"""),"")</f>
        <v/>
      </c>
      <c r="M16" s="3" t="str">
        <f ca="1">IFERROR(__xludf.DUMMYFUNCTION("""COMPUTED_VALUE"""),"")</f>
        <v/>
      </c>
      <c r="N16" s="3" t="str">
        <f ca="1">IFERROR(__xludf.DUMMYFUNCTION("""COMPUTED_VALUE"""),"")</f>
        <v/>
      </c>
      <c r="O16" s="3" t="str">
        <f ca="1">IFERROR(__xludf.DUMMYFUNCTION("""COMPUTED_VALUE"""),"")</f>
        <v/>
      </c>
      <c r="P16" s="3" t="str">
        <f ca="1">IFERROR(__xludf.DUMMYFUNCTION("""COMPUTED_VALUE"""),"")</f>
        <v/>
      </c>
      <c r="Q16" s="3" t="str">
        <f ca="1">IFERROR(__xludf.DUMMYFUNCTION("""COMPUTED_VALUE"""),"")</f>
        <v/>
      </c>
      <c r="R16" s="3" t="str">
        <f ca="1">IFERROR(__xludf.DUMMYFUNCTION("""COMPUTED_VALUE"""),"")</f>
        <v/>
      </c>
      <c r="S16" s="3" t="str">
        <f ca="1">IFERROR(__xludf.DUMMYFUNCTION("""COMPUTED_VALUE"""),"")</f>
        <v/>
      </c>
      <c r="T16" s="3" t="str">
        <f ca="1">IFERROR(__xludf.DUMMYFUNCTION("""COMPUTED_VALUE"""),"")</f>
        <v/>
      </c>
      <c r="U16" s="3" t="str">
        <f ca="1">IFERROR(__xludf.DUMMYFUNCTION("""COMPUTED_VALUE"""),"")</f>
        <v/>
      </c>
      <c r="V16" s="3" t="str">
        <f ca="1">IFERROR(__xludf.DUMMYFUNCTION("""COMPUTED_VALUE"""),"")</f>
        <v/>
      </c>
      <c r="W16" s="3" t="str">
        <f ca="1">IFERROR(__xludf.DUMMYFUNCTION("""COMPUTED_VALUE"""),"")</f>
        <v/>
      </c>
      <c r="X16" s="3" t="str">
        <f ca="1">IFERROR(__xludf.DUMMYFUNCTION("""COMPUTED_VALUE"""),"")</f>
        <v/>
      </c>
      <c r="Y16" s="3" t="str">
        <f ca="1">IFERROR(__xludf.DUMMYFUNCTION("""COMPUTED_VALUE"""),"")</f>
        <v/>
      </c>
      <c r="Z16" s="3" t="str">
        <f ca="1">IFERROR(__xludf.DUMMYFUNCTION("""COMPUTED_VALUE"""),"")</f>
        <v/>
      </c>
    </row>
    <row r="17" spans="1:26" x14ac:dyDescent="0.2">
      <c r="A17" s="1" t="str">
        <f ca="1">IFERROR(__xludf.DUMMYFUNCTION("""COMPUTED_VALUE"""),"Sicredi Previsto")</f>
        <v>Sicredi Previsto</v>
      </c>
      <c r="B17" s="1" t="str">
        <f ca="1">IFERROR(__xludf.DUMMYFUNCTION("""COMPUTED_VALUE"""),"Sicredi")</f>
        <v>Sicredi</v>
      </c>
      <c r="C17" s="3">
        <f ca="1">IFERROR(__xludf.DUMMYFUNCTION("""COMPUTED_VALUE"""),6965.81)</f>
        <v>6965.81</v>
      </c>
      <c r="D17" s="3">
        <f ca="1">IFERROR(__xludf.DUMMYFUNCTION("""COMPUTED_VALUE"""),9659.1)</f>
        <v>9659.1</v>
      </c>
      <c r="E17" s="3">
        <f ca="1">IFERROR(__xludf.DUMMYFUNCTION("""COMPUTED_VALUE"""),5520.62)</f>
        <v>5520.62</v>
      </c>
      <c r="F17" s="3">
        <f ca="1">IFERROR(__xludf.DUMMYFUNCTION("""COMPUTED_VALUE"""),5242.68)</f>
        <v>5242.68</v>
      </c>
      <c r="G17" s="3">
        <f ca="1">IFERROR(__xludf.DUMMYFUNCTION("""COMPUTED_VALUE"""),1482.53)</f>
        <v>1482.53</v>
      </c>
      <c r="H17" s="3">
        <f ca="1">IFERROR(__xludf.DUMMYFUNCTION("""COMPUTED_VALUE"""),569.51)</f>
        <v>569.51</v>
      </c>
      <c r="I17" s="3">
        <f ca="1">IFERROR(__xludf.DUMMYFUNCTION("""COMPUTED_VALUE"""),431.56)</f>
        <v>431.56</v>
      </c>
      <c r="J17" s="3">
        <f ca="1">IFERROR(__xludf.DUMMYFUNCTION("""COMPUTED_VALUE"""),431.56)</f>
        <v>431.56</v>
      </c>
      <c r="K17" s="3" t="str">
        <f ca="1">IFERROR(__xludf.DUMMYFUNCTION("""COMPUTED_VALUE"""),"")</f>
        <v/>
      </c>
      <c r="L17" s="3" t="str">
        <f ca="1">IFERROR(__xludf.DUMMYFUNCTION("""COMPUTED_VALUE"""),"")</f>
        <v/>
      </c>
      <c r="M17" s="3" t="str">
        <f ca="1">IFERROR(__xludf.DUMMYFUNCTION("""COMPUTED_VALUE"""),"")</f>
        <v/>
      </c>
      <c r="N17" s="3" t="str">
        <f ca="1">IFERROR(__xludf.DUMMYFUNCTION("""COMPUTED_VALUE"""),"")</f>
        <v/>
      </c>
      <c r="O17" s="3" t="str">
        <f ca="1">IFERROR(__xludf.DUMMYFUNCTION("""COMPUTED_VALUE"""),"")</f>
        <v/>
      </c>
      <c r="P17" s="3" t="str">
        <f ca="1">IFERROR(__xludf.DUMMYFUNCTION("""COMPUTED_VALUE"""),"")</f>
        <v/>
      </c>
      <c r="Q17" s="3" t="str">
        <f ca="1">IFERROR(__xludf.DUMMYFUNCTION("""COMPUTED_VALUE"""),"")</f>
        <v/>
      </c>
      <c r="R17" s="3" t="str">
        <f ca="1">IFERROR(__xludf.DUMMYFUNCTION("""COMPUTED_VALUE"""),"")</f>
        <v/>
      </c>
      <c r="S17" s="3" t="str">
        <f ca="1">IFERROR(__xludf.DUMMYFUNCTION("""COMPUTED_VALUE"""),"")</f>
        <v/>
      </c>
      <c r="T17" s="3" t="str">
        <f ca="1">IFERROR(__xludf.DUMMYFUNCTION("""COMPUTED_VALUE"""),"")</f>
        <v/>
      </c>
      <c r="U17" s="3" t="str">
        <f ca="1">IFERROR(__xludf.DUMMYFUNCTION("""COMPUTED_VALUE"""),"")</f>
        <v/>
      </c>
      <c r="V17" s="3" t="str">
        <f ca="1">IFERROR(__xludf.DUMMYFUNCTION("""COMPUTED_VALUE"""),"")</f>
        <v/>
      </c>
      <c r="W17" s="3" t="str">
        <f ca="1">IFERROR(__xludf.DUMMYFUNCTION("""COMPUTED_VALUE"""),"")</f>
        <v/>
      </c>
      <c r="X17" s="3" t="str">
        <f ca="1">IFERROR(__xludf.DUMMYFUNCTION("""COMPUTED_VALUE"""),"")</f>
        <v/>
      </c>
      <c r="Y17" s="3" t="str">
        <f ca="1">IFERROR(__xludf.DUMMYFUNCTION("""COMPUTED_VALUE"""),"")</f>
        <v/>
      </c>
      <c r="Z17" s="3" t="str">
        <f ca="1">IFERROR(__xludf.DUMMYFUNCTION("""COMPUTED_VALUE"""),"")</f>
        <v/>
      </c>
    </row>
    <row r="18" spans="1:26" x14ac:dyDescent="0.2">
      <c r="A18" s="1" t="str">
        <f ca="1">IFERROR(__xludf.DUMMYFUNCTION("""COMPUTED_VALUE"""),"Sicredi Realizado")</f>
        <v>Sicredi Realizado</v>
      </c>
      <c r="B18" s="1" t="str">
        <f ca="1">IFERROR(__xludf.DUMMYFUNCTION("""COMPUTED_VALUE"""),"Sicredi")</f>
        <v>Sicredi</v>
      </c>
      <c r="C18" s="3">
        <f ca="1">IFERROR(__xludf.DUMMYFUNCTION("""COMPUTED_VALUE"""),6965.81)</f>
        <v>6965.81</v>
      </c>
      <c r="D18" s="3">
        <f ca="1">IFERROR(__xludf.DUMMYFUNCTION("""COMPUTED_VALUE"""),9659.1)</f>
        <v>9659.1</v>
      </c>
      <c r="E18" s="3">
        <f ca="1">IFERROR(__xludf.DUMMYFUNCTION("""COMPUTED_VALUE"""),5520.62)</f>
        <v>5520.62</v>
      </c>
      <c r="F18" s="3">
        <f ca="1">IFERROR(__xludf.DUMMYFUNCTION("""COMPUTED_VALUE"""),5242.68)</f>
        <v>5242.68</v>
      </c>
      <c r="G18" s="3">
        <f ca="1">IFERROR(__xludf.DUMMYFUNCTION("""COMPUTED_VALUE"""),1482.53)</f>
        <v>1482.53</v>
      </c>
      <c r="H18" s="3">
        <f ca="1">IFERROR(__xludf.DUMMYFUNCTION("""COMPUTED_VALUE"""),569.51)</f>
        <v>569.51</v>
      </c>
      <c r="I18" s="3">
        <f ca="1">IFERROR(__xludf.DUMMYFUNCTION("""COMPUTED_VALUE"""),431.56)</f>
        <v>431.56</v>
      </c>
      <c r="J18" s="3">
        <f ca="1">IFERROR(__xludf.DUMMYFUNCTION("""COMPUTED_VALUE"""),431.56)</f>
        <v>431.56</v>
      </c>
      <c r="K18" s="3" t="str">
        <f ca="1">IFERROR(__xludf.DUMMYFUNCTION("""COMPUTED_VALUE"""),"")</f>
        <v/>
      </c>
      <c r="L18" s="3" t="str">
        <f ca="1">IFERROR(__xludf.DUMMYFUNCTION("""COMPUTED_VALUE"""),"")</f>
        <v/>
      </c>
      <c r="M18" s="3" t="str">
        <f ca="1">IFERROR(__xludf.DUMMYFUNCTION("""COMPUTED_VALUE"""),"")</f>
        <v/>
      </c>
      <c r="N18" s="3" t="str">
        <f ca="1">IFERROR(__xludf.DUMMYFUNCTION("""COMPUTED_VALUE"""),"")</f>
        <v/>
      </c>
      <c r="O18" s="3" t="str">
        <f ca="1">IFERROR(__xludf.DUMMYFUNCTION("""COMPUTED_VALUE"""),"")</f>
        <v/>
      </c>
      <c r="P18" s="3" t="str">
        <f ca="1">IFERROR(__xludf.DUMMYFUNCTION("""COMPUTED_VALUE"""),"")</f>
        <v/>
      </c>
      <c r="Q18" s="3" t="str">
        <f ca="1">IFERROR(__xludf.DUMMYFUNCTION("""COMPUTED_VALUE"""),"")</f>
        <v/>
      </c>
      <c r="R18" s="3" t="str">
        <f ca="1">IFERROR(__xludf.DUMMYFUNCTION("""COMPUTED_VALUE"""),"")</f>
        <v/>
      </c>
      <c r="S18" s="3" t="str">
        <f ca="1">IFERROR(__xludf.DUMMYFUNCTION("""COMPUTED_VALUE"""),"")</f>
        <v/>
      </c>
      <c r="T18" s="3" t="str">
        <f ca="1">IFERROR(__xludf.DUMMYFUNCTION("""COMPUTED_VALUE"""),"")</f>
        <v/>
      </c>
      <c r="U18" s="3" t="str">
        <f ca="1">IFERROR(__xludf.DUMMYFUNCTION("""COMPUTED_VALUE"""),"")</f>
        <v/>
      </c>
      <c r="V18" s="3" t="str">
        <f ca="1">IFERROR(__xludf.DUMMYFUNCTION("""COMPUTED_VALUE"""),"")</f>
        <v/>
      </c>
      <c r="W18" s="3" t="str">
        <f ca="1">IFERROR(__xludf.DUMMYFUNCTION("""COMPUTED_VALUE"""),"")</f>
        <v/>
      </c>
      <c r="X18" s="3" t="str">
        <f ca="1">IFERROR(__xludf.DUMMYFUNCTION("""COMPUTED_VALUE"""),"")</f>
        <v/>
      </c>
      <c r="Y18" s="3" t="str">
        <f ca="1">IFERROR(__xludf.DUMMYFUNCTION("""COMPUTED_VALUE"""),"")</f>
        <v/>
      </c>
      <c r="Z18" s="3" t="str">
        <f ca="1">IFERROR(__xludf.DUMMYFUNCTION("""COMPUTED_VALUE"""),"")</f>
        <v/>
      </c>
    </row>
    <row r="19" spans="1:26" x14ac:dyDescent="0.2">
      <c r="A19" s="1" t="str">
        <f ca="1">IFERROR(__xludf.DUMMYFUNCTION("""COMPUTED_VALUE"""),"Porto Bank Previsto")</f>
        <v>Porto Bank Previsto</v>
      </c>
      <c r="B19" s="1" t="str">
        <f ca="1">IFERROR(__xludf.DUMMYFUNCTION("""COMPUTED_VALUE"""),"Porto Bank")</f>
        <v>Porto Bank</v>
      </c>
      <c r="C19" s="3">
        <f ca="1">IFERROR(__xludf.DUMMYFUNCTION("""COMPUTED_VALUE"""),0)</f>
        <v>0</v>
      </c>
      <c r="D19" s="3">
        <f ca="1">IFERROR(__xludf.DUMMYFUNCTION("""COMPUTED_VALUE"""),25.2)</f>
        <v>25.2</v>
      </c>
      <c r="E19" s="3">
        <f ca="1">IFERROR(__xludf.DUMMYFUNCTION("""COMPUTED_VALUE"""),30.65)</f>
        <v>30.65</v>
      </c>
      <c r="F19" s="3">
        <f ca="1">IFERROR(__xludf.DUMMYFUNCTION("""COMPUTED_VALUE"""),0)</f>
        <v>0</v>
      </c>
      <c r="G19" s="3">
        <f ca="1">IFERROR(__xludf.DUMMYFUNCTION("""COMPUTED_VALUE"""),0)</f>
        <v>0</v>
      </c>
      <c r="H19" s="3">
        <f ca="1">IFERROR(__xludf.DUMMYFUNCTION("""COMPUTED_VALUE"""),29.46)</f>
        <v>29.46</v>
      </c>
      <c r="I19" s="3">
        <f ca="1">IFERROR(__xludf.DUMMYFUNCTION("""COMPUTED_VALUE"""),24.14)</f>
        <v>24.14</v>
      </c>
      <c r="J19" s="3">
        <f ca="1">IFERROR(__xludf.DUMMYFUNCTION("""COMPUTED_VALUE"""),0)</f>
        <v>0</v>
      </c>
      <c r="K19" s="3" t="str">
        <f ca="1">IFERROR(__xludf.DUMMYFUNCTION("""COMPUTED_VALUE"""),"")</f>
        <v/>
      </c>
      <c r="L19" s="3" t="str">
        <f ca="1">IFERROR(__xludf.DUMMYFUNCTION("""COMPUTED_VALUE"""),"")</f>
        <v/>
      </c>
      <c r="M19" s="3" t="str">
        <f ca="1">IFERROR(__xludf.DUMMYFUNCTION("""COMPUTED_VALUE"""),"")</f>
        <v/>
      </c>
      <c r="N19" s="3" t="str">
        <f ca="1">IFERROR(__xludf.DUMMYFUNCTION("""COMPUTED_VALUE"""),"")</f>
        <v/>
      </c>
      <c r="O19" s="3" t="str">
        <f ca="1">IFERROR(__xludf.DUMMYFUNCTION("""COMPUTED_VALUE"""),"")</f>
        <v/>
      </c>
      <c r="P19" s="3" t="str">
        <f ca="1">IFERROR(__xludf.DUMMYFUNCTION("""COMPUTED_VALUE"""),"")</f>
        <v/>
      </c>
      <c r="Q19" s="3" t="str">
        <f ca="1">IFERROR(__xludf.DUMMYFUNCTION("""COMPUTED_VALUE"""),"")</f>
        <v/>
      </c>
      <c r="R19" s="3" t="str">
        <f ca="1">IFERROR(__xludf.DUMMYFUNCTION("""COMPUTED_VALUE"""),"")</f>
        <v/>
      </c>
      <c r="S19" s="3" t="str">
        <f ca="1">IFERROR(__xludf.DUMMYFUNCTION("""COMPUTED_VALUE"""),"")</f>
        <v/>
      </c>
      <c r="T19" s="3" t="str">
        <f ca="1">IFERROR(__xludf.DUMMYFUNCTION("""COMPUTED_VALUE"""),"")</f>
        <v/>
      </c>
      <c r="U19" s="3" t="str">
        <f ca="1">IFERROR(__xludf.DUMMYFUNCTION("""COMPUTED_VALUE"""),"")</f>
        <v/>
      </c>
      <c r="V19" s="3" t="str">
        <f ca="1">IFERROR(__xludf.DUMMYFUNCTION("""COMPUTED_VALUE"""),"")</f>
        <v/>
      </c>
      <c r="W19" s="3" t="str">
        <f ca="1">IFERROR(__xludf.DUMMYFUNCTION("""COMPUTED_VALUE"""),"")</f>
        <v/>
      </c>
      <c r="X19" s="3" t="str">
        <f ca="1">IFERROR(__xludf.DUMMYFUNCTION("""COMPUTED_VALUE"""),"")</f>
        <v/>
      </c>
      <c r="Y19" s="3" t="str">
        <f ca="1">IFERROR(__xludf.DUMMYFUNCTION("""COMPUTED_VALUE"""),"")</f>
        <v/>
      </c>
      <c r="Z19" s="3" t="str">
        <f ca="1">IFERROR(__xludf.DUMMYFUNCTION("""COMPUTED_VALUE"""),"")</f>
        <v/>
      </c>
    </row>
    <row r="20" spans="1:26" x14ac:dyDescent="0.2">
      <c r="A20" s="1" t="str">
        <f ca="1">IFERROR(__xludf.DUMMYFUNCTION("""COMPUTED_VALUE"""),"Porto Bank Realizado")</f>
        <v>Porto Bank Realizado</v>
      </c>
      <c r="B20" s="1" t="str">
        <f ca="1">IFERROR(__xludf.DUMMYFUNCTION("""COMPUTED_VALUE"""),"Porto Bank")</f>
        <v>Porto Bank</v>
      </c>
      <c r="C20" s="3">
        <f ca="1">IFERROR(__xludf.DUMMYFUNCTION("""COMPUTED_VALUE"""),0)</f>
        <v>0</v>
      </c>
      <c r="D20" s="3">
        <f ca="1">IFERROR(__xludf.DUMMYFUNCTION("""COMPUTED_VALUE"""),25.2)</f>
        <v>25.2</v>
      </c>
      <c r="E20" s="3">
        <f ca="1">IFERROR(__xludf.DUMMYFUNCTION("""COMPUTED_VALUE"""),30.65)</f>
        <v>30.65</v>
      </c>
      <c r="F20" s="3">
        <f ca="1">IFERROR(__xludf.DUMMYFUNCTION("""COMPUTED_VALUE"""),0)</f>
        <v>0</v>
      </c>
      <c r="G20" s="3">
        <f ca="1">IFERROR(__xludf.DUMMYFUNCTION("""COMPUTED_VALUE"""),0)</f>
        <v>0</v>
      </c>
      <c r="H20" s="3">
        <f ca="1">IFERROR(__xludf.DUMMYFUNCTION("""COMPUTED_VALUE"""),29.46)</f>
        <v>29.46</v>
      </c>
      <c r="I20" s="3">
        <f ca="1">IFERROR(__xludf.DUMMYFUNCTION("""COMPUTED_VALUE"""),24.14)</f>
        <v>24.14</v>
      </c>
      <c r="J20" s="3">
        <f ca="1">IFERROR(__xludf.DUMMYFUNCTION("""COMPUTED_VALUE"""),0)</f>
        <v>0</v>
      </c>
      <c r="K20" s="3" t="str">
        <f ca="1">IFERROR(__xludf.DUMMYFUNCTION("""COMPUTED_VALUE"""),"")</f>
        <v/>
      </c>
      <c r="L20" s="3" t="str">
        <f ca="1">IFERROR(__xludf.DUMMYFUNCTION("""COMPUTED_VALUE"""),"")</f>
        <v/>
      </c>
      <c r="M20" s="3" t="str">
        <f ca="1">IFERROR(__xludf.DUMMYFUNCTION("""COMPUTED_VALUE"""),"")</f>
        <v/>
      </c>
      <c r="N20" s="3" t="str">
        <f ca="1">IFERROR(__xludf.DUMMYFUNCTION("""COMPUTED_VALUE"""),"")</f>
        <v/>
      </c>
      <c r="O20" s="3" t="str">
        <f ca="1">IFERROR(__xludf.DUMMYFUNCTION("""COMPUTED_VALUE"""),"")</f>
        <v/>
      </c>
      <c r="P20" s="3" t="str">
        <f ca="1">IFERROR(__xludf.DUMMYFUNCTION("""COMPUTED_VALUE"""),"")</f>
        <v/>
      </c>
      <c r="Q20" s="3" t="str">
        <f ca="1">IFERROR(__xludf.DUMMYFUNCTION("""COMPUTED_VALUE"""),"")</f>
        <v/>
      </c>
      <c r="R20" s="3" t="str">
        <f ca="1">IFERROR(__xludf.DUMMYFUNCTION("""COMPUTED_VALUE"""),"")</f>
        <v/>
      </c>
      <c r="S20" s="3" t="str">
        <f ca="1">IFERROR(__xludf.DUMMYFUNCTION("""COMPUTED_VALUE"""),"")</f>
        <v/>
      </c>
      <c r="T20" s="3" t="str">
        <f ca="1">IFERROR(__xludf.DUMMYFUNCTION("""COMPUTED_VALUE"""),"")</f>
        <v/>
      </c>
      <c r="U20" s="3" t="str">
        <f ca="1">IFERROR(__xludf.DUMMYFUNCTION("""COMPUTED_VALUE"""),"")</f>
        <v/>
      </c>
      <c r="V20" s="3" t="str">
        <f ca="1">IFERROR(__xludf.DUMMYFUNCTION("""COMPUTED_VALUE"""),"")</f>
        <v/>
      </c>
      <c r="W20" s="3" t="str">
        <f ca="1">IFERROR(__xludf.DUMMYFUNCTION("""COMPUTED_VALUE"""),"")</f>
        <v/>
      </c>
      <c r="X20" s="3" t="str">
        <f ca="1">IFERROR(__xludf.DUMMYFUNCTION("""COMPUTED_VALUE"""),"")</f>
        <v/>
      </c>
      <c r="Y20" s="3" t="str">
        <f ca="1">IFERROR(__xludf.DUMMYFUNCTION("""COMPUTED_VALUE"""),"")</f>
        <v/>
      </c>
      <c r="Z20" s="3" t="str">
        <f ca="1">IFERROR(__xludf.DUMMYFUNCTION("""COMPUTED_VALUE"""),"")</f>
        <v/>
      </c>
    </row>
    <row r="21" spans="1:26" x14ac:dyDescent="0.2">
      <c r="A21" s="1" t="str">
        <f ca="1">IFERROR(__xludf.DUMMYFUNCTION("""COMPUTED_VALUE"""),"BTG Previsto")</f>
        <v>BTG Previsto</v>
      </c>
      <c r="B21" s="1" t="str">
        <f ca="1">IFERROR(__xludf.DUMMYFUNCTION("""COMPUTED_VALUE"""),"BTG")</f>
        <v>BTG</v>
      </c>
      <c r="C21" s="3" t="str">
        <f ca="1">IFERROR(__xludf.DUMMYFUNCTION("""COMPUTED_VALUE"""),"")</f>
        <v/>
      </c>
      <c r="D21" s="3" t="str">
        <f ca="1">IFERROR(__xludf.DUMMYFUNCTION("""COMPUTED_VALUE"""),"")</f>
        <v/>
      </c>
      <c r="E21" s="3" t="str">
        <f ca="1">IFERROR(__xludf.DUMMYFUNCTION("""COMPUTED_VALUE"""),"")</f>
        <v/>
      </c>
      <c r="F21" s="3">
        <f ca="1">IFERROR(__xludf.DUMMYFUNCTION("""COMPUTED_VALUE"""),5038.93)</f>
        <v>5038.93</v>
      </c>
      <c r="G21" s="3">
        <f ca="1">IFERROR(__xludf.DUMMYFUNCTION("""COMPUTED_VALUE"""),11097.26)</f>
        <v>11097.26</v>
      </c>
      <c r="H21" s="3">
        <f ca="1">IFERROR(__xludf.DUMMYFUNCTION("""COMPUTED_VALUE"""),11937.88)</f>
        <v>11937.88</v>
      </c>
      <c r="I21" s="3">
        <f ca="1">IFERROR(__xludf.DUMMYFUNCTION("""COMPUTED_VALUE"""),9023.31)</f>
        <v>9023.31</v>
      </c>
      <c r="J21" s="3">
        <f ca="1">IFERROR(__xludf.DUMMYFUNCTION("""COMPUTED_VALUE"""),6800)</f>
        <v>6800</v>
      </c>
      <c r="K21" s="3" t="str">
        <f ca="1">IFERROR(__xludf.DUMMYFUNCTION("""COMPUTED_VALUE"""),"")</f>
        <v/>
      </c>
      <c r="L21" s="3" t="str">
        <f ca="1">IFERROR(__xludf.DUMMYFUNCTION("""COMPUTED_VALUE"""),"")</f>
        <v/>
      </c>
      <c r="M21" s="3" t="str">
        <f ca="1">IFERROR(__xludf.DUMMYFUNCTION("""COMPUTED_VALUE"""),"")</f>
        <v/>
      </c>
      <c r="N21" s="3" t="str">
        <f ca="1">IFERROR(__xludf.DUMMYFUNCTION("""COMPUTED_VALUE"""),"")</f>
        <v/>
      </c>
      <c r="O21" s="3" t="str">
        <f ca="1">IFERROR(__xludf.DUMMYFUNCTION("""COMPUTED_VALUE"""),"")</f>
        <v/>
      </c>
      <c r="P21" s="3" t="str">
        <f ca="1">IFERROR(__xludf.DUMMYFUNCTION("""COMPUTED_VALUE"""),"")</f>
        <v/>
      </c>
      <c r="Q21" s="3" t="str">
        <f ca="1">IFERROR(__xludf.DUMMYFUNCTION("""COMPUTED_VALUE"""),"")</f>
        <v/>
      </c>
      <c r="R21" s="3" t="str">
        <f ca="1">IFERROR(__xludf.DUMMYFUNCTION("""COMPUTED_VALUE"""),"")</f>
        <v/>
      </c>
      <c r="S21" s="3" t="str">
        <f ca="1">IFERROR(__xludf.DUMMYFUNCTION("""COMPUTED_VALUE"""),"")</f>
        <v/>
      </c>
      <c r="T21" s="3" t="str">
        <f ca="1">IFERROR(__xludf.DUMMYFUNCTION("""COMPUTED_VALUE"""),"")</f>
        <v/>
      </c>
      <c r="U21" s="3" t="str">
        <f ca="1">IFERROR(__xludf.DUMMYFUNCTION("""COMPUTED_VALUE"""),"")</f>
        <v/>
      </c>
      <c r="V21" s="3" t="str">
        <f ca="1">IFERROR(__xludf.DUMMYFUNCTION("""COMPUTED_VALUE"""),"")</f>
        <v/>
      </c>
      <c r="W21" s="3" t="str">
        <f ca="1">IFERROR(__xludf.DUMMYFUNCTION("""COMPUTED_VALUE"""),"")</f>
        <v/>
      </c>
      <c r="X21" s="3" t="str">
        <f ca="1">IFERROR(__xludf.DUMMYFUNCTION("""COMPUTED_VALUE"""),"")</f>
        <v/>
      </c>
      <c r="Y21" s="3" t="str">
        <f ca="1">IFERROR(__xludf.DUMMYFUNCTION("""COMPUTED_VALUE"""),"")</f>
        <v/>
      </c>
      <c r="Z21" s="3" t="str">
        <f ca="1">IFERROR(__xludf.DUMMYFUNCTION("""COMPUTED_VALUE"""),"")</f>
        <v/>
      </c>
    </row>
    <row r="22" spans="1:26" x14ac:dyDescent="0.2">
      <c r="A22" s="1" t="str">
        <f ca="1">IFERROR(__xludf.DUMMYFUNCTION("""COMPUTED_VALUE"""),"BTG Realizado")</f>
        <v>BTG Realizado</v>
      </c>
      <c r="B22" s="1" t="str">
        <f ca="1">IFERROR(__xludf.DUMMYFUNCTION("""COMPUTED_VALUE"""),"BTG")</f>
        <v>BTG</v>
      </c>
      <c r="C22" s="3" t="str">
        <f ca="1">IFERROR(__xludf.DUMMYFUNCTION("""COMPUTED_VALUE"""),"")</f>
        <v/>
      </c>
      <c r="D22" s="3" t="str">
        <f ca="1">IFERROR(__xludf.DUMMYFUNCTION("""COMPUTED_VALUE"""),"")</f>
        <v/>
      </c>
      <c r="E22" s="3" t="str">
        <f ca="1">IFERROR(__xludf.DUMMYFUNCTION("""COMPUTED_VALUE"""),"")</f>
        <v/>
      </c>
      <c r="F22" s="3">
        <f ca="1">IFERROR(__xludf.DUMMYFUNCTION("""COMPUTED_VALUE"""),5038.93)</f>
        <v>5038.93</v>
      </c>
      <c r="G22" s="3">
        <f ca="1">IFERROR(__xludf.DUMMYFUNCTION("""COMPUTED_VALUE"""),11097.26)</f>
        <v>11097.26</v>
      </c>
      <c r="H22" s="3">
        <f ca="1">IFERROR(__xludf.DUMMYFUNCTION("""COMPUTED_VALUE"""),11937.88)</f>
        <v>11937.88</v>
      </c>
      <c r="I22" s="3">
        <f ca="1">IFERROR(__xludf.DUMMYFUNCTION("""COMPUTED_VALUE"""),9023.31)</f>
        <v>9023.31</v>
      </c>
      <c r="J22" s="3">
        <f ca="1">IFERROR(__xludf.DUMMYFUNCTION("""COMPUTED_VALUE"""),6800)</f>
        <v>6800</v>
      </c>
      <c r="K22" s="3" t="str">
        <f ca="1">IFERROR(__xludf.DUMMYFUNCTION("""COMPUTED_VALUE"""),"")</f>
        <v/>
      </c>
      <c r="L22" s="3" t="str">
        <f ca="1">IFERROR(__xludf.DUMMYFUNCTION("""COMPUTED_VALUE"""),"")</f>
        <v/>
      </c>
      <c r="M22" s="3" t="str">
        <f ca="1">IFERROR(__xludf.DUMMYFUNCTION("""COMPUTED_VALUE"""),"")</f>
        <v/>
      </c>
      <c r="N22" s="3" t="str">
        <f ca="1">IFERROR(__xludf.DUMMYFUNCTION("""COMPUTED_VALUE"""),"")</f>
        <v/>
      </c>
      <c r="O22" s="3" t="str">
        <f ca="1">IFERROR(__xludf.DUMMYFUNCTION("""COMPUTED_VALUE"""),"")</f>
        <v/>
      </c>
      <c r="P22" s="3" t="str">
        <f ca="1">IFERROR(__xludf.DUMMYFUNCTION("""COMPUTED_VALUE"""),"")</f>
        <v/>
      </c>
      <c r="Q22" s="3" t="str">
        <f ca="1">IFERROR(__xludf.DUMMYFUNCTION("""COMPUTED_VALUE"""),"")</f>
        <v/>
      </c>
      <c r="R22" s="3" t="str">
        <f ca="1">IFERROR(__xludf.DUMMYFUNCTION("""COMPUTED_VALUE"""),"")</f>
        <v/>
      </c>
      <c r="S22" s="3" t="str">
        <f ca="1">IFERROR(__xludf.DUMMYFUNCTION("""COMPUTED_VALUE"""),"")</f>
        <v/>
      </c>
      <c r="T22" s="3" t="str">
        <f ca="1">IFERROR(__xludf.DUMMYFUNCTION("""COMPUTED_VALUE"""),"")</f>
        <v/>
      </c>
      <c r="U22" s="3" t="str">
        <f ca="1">IFERROR(__xludf.DUMMYFUNCTION("""COMPUTED_VALUE"""),"")</f>
        <v/>
      </c>
      <c r="V22" s="3" t="str">
        <f ca="1">IFERROR(__xludf.DUMMYFUNCTION("""COMPUTED_VALUE"""),"")</f>
        <v/>
      </c>
      <c r="W22" s="3" t="str">
        <f ca="1">IFERROR(__xludf.DUMMYFUNCTION("""COMPUTED_VALUE"""),"")</f>
        <v/>
      </c>
      <c r="X22" s="3" t="str">
        <f ca="1">IFERROR(__xludf.DUMMYFUNCTION("""COMPUTED_VALUE"""),"")</f>
        <v/>
      </c>
      <c r="Y22" s="3" t="str">
        <f ca="1">IFERROR(__xludf.DUMMYFUNCTION("""COMPUTED_VALUE"""),"")</f>
        <v/>
      </c>
      <c r="Z22" s="3" t="str">
        <f ca="1">IFERROR(__xludf.DUMMYFUNCTION("""COMPUTED_VALUE"""),"")</f>
        <v/>
      </c>
    </row>
    <row r="23" spans="1:26" x14ac:dyDescent="0.2">
      <c r="A23" s="1" t="str">
        <f ca="1">IFERROR(__xludf.DUMMYFUNCTION("""COMPUTED_VALUE"""),"Apto. 7L Previsto")</f>
        <v>Apto. 7L Previsto</v>
      </c>
      <c r="B23" s="1" t="str">
        <f ca="1">IFERROR(__xludf.DUMMYFUNCTION("""COMPUTED_VALUE"""),"Apto. 7L")</f>
        <v>Apto. 7L</v>
      </c>
      <c r="C23" s="3">
        <f ca="1">IFERROR(__xludf.DUMMYFUNCTION("""COMPUTED_VALUE"""),10121.13)</f>
        <v>10121.129999999999</v>
      </c>
      <c r="D23" s="3">
        <f ca="1">IFERROR(__xludf.DUMMYFUNCTION("""COMPUTED_VALUE"""),15178.85)</f>
        <v>15178.85</v>
      </c>
      <c r="E23" s="3">
        <f ca="1">IFERROR(__xludf.DUMMYFUNCTION("""COMPUTED_VALUE"""),12973.5399999999)</f>
        <v>12973.539999999901</v>
      </c>
      <c r="F23" s="3">
        <f ca="1">IFERROR(__xludf.DUMMYFUNCTION("""COMPUTED_VALUE"""),15761.28)</f>
        <v>15761.28</v>
      </c>
      <c r="G23" s="3">
        <f ca="1">IFERROR(__xludf.DUMMYFUNCTION("""COMPUTED_VALUE"""),10662.94)</f>
        <v>10662.94</v>
      </c>
      <c r="H23" s="3">
        <f ca="1">IFERROR(__xludf.DUMMYFUNCTION("""COMPUTED_VALUE"""),11874.35)</f>
        <v>11874.35</v>
      </c>
      <c r="I23" s="3">
        <f ca="1">IFERROR(__xludf.DUMMYFUNCTION("""COMPUTED_VALUE"""),10000)</f>
        <v>10000</v>
      </c>
      <c r="J23" s="3">
        <f ca="1">IFERROR(__xludf.DUMMYFUNCTION("""COMPUTED_VALUE"""),10000)</f>
        <v>10000</v>
      </c>
      <c r="K23" s="3" t="str">
        <f ca="1">IFERROR(__xludf.DUMMYFUNCTION("""COMPUTED_VALUE"""),"")</f>
        <v/>
      </c>
      <c r="L23" s="3" t="str">
        <f ca="1">IFERROR(__xludf.DUMMYFUNCTION("""COMPUTED_VALUE"""),"")</f>
        <v/>
      </c>
      <c r="M23" s="3" t="str">
        <f ca="1">IFERROR(__xludf.DUMMYFUNCTION("""COMPUTED_VALUE"""),"")</f>
        <v/>
      </c>
      <c r="N23" s="3" t="str">
        <f ca="1">IFERROR(__xludf.DUMMYFUNCTION("""COMPUTED_VALUE"""),"")</f>
        <v/>
      </c>
      <c r="O23" s="3" t="str">
        <f ca="1">IFERROR(__xludf.DUMMYFUNCTION("""COMPUTED_VALUE"""),"")</f>
        <v/>
      </c>
      <c r="P23" s="3" t="str">
        <f ca="1">IFERROR(__xludf.DUMMYFUNCTION("""COMPUTED_VALUE"""),"")</f>
        <v/>
      </c>
      <c r="Q23" s="3" t="str">
        <f ca="1">IFERROR(__xludf.DUMMYFUNCTION("""COMPUTED_VALUE"""),"")</f>
        <v/>
      </c>
      <c r="R23" s="3" t="str">
        <f ca="1">IFERROR(__xludf.DUMMYFUNCTION("""COMPUTED_VALUE"""),"")</f>
        <v/>
      </c>
      <c r="S23" s="3" t="str">
        <f ca="1">IFERROR(__xludf.DUMMYFUNCTION("""COMPUTED_VALUE"""),"")</f>
        <v/>
      </c>
      <c r="T23" s="3" t="str">
        <f ca="1">IFERROR(__xludf.DUMMYFUNCTION("""COMPUTED_VALUE"""),"")</f>
        <v/>
      </c>
      <c r="U23" s="3" t="str">
        <f ca="1">IFERROR(__xludf.DUMMYFUNCTION("""COMPUTED_VALUE"""),"")</f>
        <v/>
      </c>
      <c r="V23" s="3" t="str">
        <f ca="1">IFERROR(__xludf.DUMMYFUNCTION("""COMPUTED_VALUE"""),"")</f>
        <v/>
      </c>
      <c r="W23" s="3" t="str">
        <f ca="1">IFERROR(__xludf.DUMMYFUNCTION("""COMPUTED_VALUE"""),"")</f>
        <v/>
      </c>
      <c r="X23" s="3" t="str">
        <f ca="1">IFERROR(__xludf.DUMMYFUNCTION("""COMPUTED_VALUE"""),"")</f>
        <v/>
      </c>
      <c r="Y23" s="3" t="str">
        <f ca="1">IFERROR(__xludf.DUMMYFUNCTION("""COMPUTED_VALUE"""),"")</f>
        <v/>
      </c>
      <c r="Z23" s="3" t="str">
        <f ca="1">IFERROR(__xludf.DUMMYFUNCTION("""COMPUTED_VALUE"""),"")</f>
        <v/>
      </c>
    </row>
    <row r="24" spans="1:26" x14ac:dyDescent="0.2">
      <c r="A24" s="1" t="str">
        <f ca="1">IFERROR(__xludf.DUMMYFUNCTION("""COMPUTED_VALUE"""),"Apto. 7L Realizado")</f>
        <v>Apto. 7L Realizado</v>
      </c>
      <c r="B24" s="1" t="str">
        <f ca="1">IFERROR(__xludf.DUMMYFUNCTION("""COMPUTED_VALUE"""),"Apto. 7L")</f>
        <v>Apto. 7L</v>
      </c>
      <c r="C24" s="3">
        <f ca="1">IFERROR(__xludf.DUMMYFUNCTION("""COMPUTED_VALUE"""),10121.13)</f>
        <v>10121.129999999999</v>
      </c>
      <c r="D24" s="3">
        <f ca="1">IFERROR(__xludf.DUMMYFUNCTION("""COMPUTED_VALUE"""),15178.85)</f>
        <v>15178.85</v>
      </c>
      <c r="E24" s="3">
        <f ca="1">IFERROR(__xludf.DUMMYFUNCTION("""COMPUTED_VALUE"""),12973.5399999999)</f>
        <v>12973.539999999901</v>
      </c>
      <c r="F24" s="3">
        <f ca="1">IFERROR(__xludf.DUMMYFUNCTION("""COMPUTED_VALUE"""),15761.28)</f>
        <v>15761.28</v>
      </c>
      <c r="G24" s="3">
        <f ca="1">IFERROR(__xludf.DUMMYFUNCTION("""COMPUTED_VALUE"""),10662.94)</f>
        <v>10662.94</v>
      </c>
      <c r="H24" s="3">
        <f ca="1">IFERROR(__xludf.DUMMYFUNCTION("""COMPUTED_VALUE"""),11874.35)</f>
        <v>11874.35</v>
      </c>
      <c r="I24" s="3">
        <f ca="1">IFERROR(__xludf.DUMMYFUNCTION("""COMPUTED_VALUE"""),10000)</f>
        <v>10000</v>
      </c>
      <c r="J24" s="3">
        <f ca="1">IFERROR(__xludf.DUMMYFUNCTION("""COMPUTED_VALUE"""),10000)</f>
        <v>10000</v>
      </c>
      <c r="K24" s="3" t="str">
        <f ca="1">IFERROR(__xludf.DUMMYFUNCTION("""COMPUTED_VALUE"""),"")</f>
        <v/>
      </c>
      <c r="L24" s="3" t="str">
        <f ca="1">IFERROR(__xludf.DUMMYFUNCTION("""COMPUTED_VALUE"""),"")</f>
        <v/>
      </c>
      <c r="M24" s="3" t="str">
        <f ca="1">IFERROR(__xludf.DUMMYFUNCTION("""COMPUTED_VALUE"""),"")</f>
        <v/>
      </c>
      <c r="N24" s="3" t="str">
        <f ca="1">IFERROR(__xludf.DUMMYFUNCTION("""COMPUTED_VALUE"""),"")</f>
        <v/>
      </c>
      <c r="O24" s="3" t="str">
        <f ca="1">IFERROR(__xludf.DUMMYFUNCTION("""COMPUTED_VALUE"""),"")</f>
        <v/>
      </c>
      <c r="P24" s="3" t="str">
        <f ca="1">IFERROR(__xludf.DUMMYFUNCTION("""COMPUTED_VALUE"""),"")</f>
        <v/>
      </c>
      <c r="Q24" s="3" t="str">
        <f ca="1">IFERROR(__xludf.DUMMYFUNCTION("""COMPUTED_VALUE"""),"")</f>
        <v/>
      </c>
      <c r="R24" s="3" t="str">
        <f ca="1">IFERROR(__xludf.DUMMYFUNCTION("""COMPUTED_VALUE"""),"")</f>
        <v/>
      </c>
      <c r="S24" s="3" t="str">
        <f ca="1">IFERROR(__xludf.DUMMYFUNCTION("""COMPUTED_VALUE"""),"")</f>
        <v/>
      </c>
      <c r="T24" s="3" t="str">
        <f ca="1">IFERROR(__xludf.DUMMYFUNCTION("""COMPUTED_VALUE"""),"")</f>
        <v/>
      </c>
      <c r="U24" s="3" t="str">
        <f ca="1">IFERROR(__xludf.DUMMYFUNCTION("""COMPUTED_VALUE"""),"")</f>
        <v/>
      </c>
      <c r="V24" s="3" t="str">
        <f ca="1">IFERROR(__xludf.DUMMYFUNCTION("""COMPUTED_VALUE"""),"")</f>
        <v/>
      </c>
      <c r="W24" s="3" t="str">
        <f ca="1">IFERROR(__xludf.DUMMYFUNCTION("""COMPUTED_VALUE"""),"")</f>
        <v/>
      </c>
      <c r="X24" s="3" t="str">
        <f ca="1">IFERROR(__xludf.DUMMYFUNCTION("""COMPUTED_VALUE"""),"")</f>
        <v/>
      </c>
      <c r="Y24" s="3" t="str">
        <f ca="1">IFERROR(__xludf.DUMMYFUNCTION("""COMPUTED_VALUE"""),"")</f>
        <v/>
      </c>
      <c r="Z24" s="3" t="str">
        <f ca="1">IFERROR(__xludf.DUMMYFUNCTION("""COMPUTED_VALUE"""),"")</f>
        <v/>
      </c>
    </row>
    <row r="25" spans="1:26" x14ac:dyDescent="0.2">
      <c r="A25" s="1" t="str">
        <f ca="1">IFERROR(__xludf.DUMMYFUNCTION("""COMPUTED_VALUE"""),"Débitos Previsto")</f>
        <v>Débitos Previsto</v>
      </c>
      <c r="B25" s="1" t="str">
        <f ca="1">IFERROR(__xludf.DUMMYFUNCTION("""COMPUTED_VALUE"""),"Total")</f>
        <v>Total</v>
      </c>
      <c r="C25" s="3">
        <f ca="1">IFERROR(__xludf.DUMMYFUNCTION("""COMPUTED_VALUE"""),35671.6)</f>
        <v>35671.599999999999</v>
      </c>
      <c r="D25" s="3">
        <f ca="1">IFERROR(__xludf.DUMMYFUNCTION("""COMPUTED_VALUE"""),44109.13)</f>
        <v>44109.13</v>
      </c>
      <c r="E25" s="3">
        <f ca="1">IFERROR(__xludf.DUMMYFUNCTION("""COMPUTED_VALUE"""),40893.4872849465)</f>
        <v>40893.487284946503</v>
      </c>
      <c r="F25" s="3">
        <f ca="1">IFERROR(__xludf.DUMMYFUNCTION("""COMPUTED_VALUE"""),48687.31)</f>
        <v>48687.31</v>
      </c>
      <c r="G25" s="3">
        <f ca="1">IFERROR(__xludf.DUMMYFUNCTION("""COMPUTED_VALUE"""),38593.39)</f>
        <v>38593.39</v>
      </c>
      <c r="H25" s="3">
        <f ca="1">IFERROR(__xludf.DUMMYFUNCTION("""COMPUTED_VALUE"""),37928.8999999999)</f>
        <v>37928.8999999999</v>
      </c>
      <c r="I25" s="3">
        <f ca="1">IFERROR(__xludf.DUMMYFUNCTION("""COMPUTED_VALUE"""),37325.73)</f>
        <v>37325.730000000003</v>
      </c>
      <c r="J25" s="3">
        <f ca="1">IFERROR(__xludf.DUMMYFUNCTION("""COMPUTED_VALUE"""),29903.3999999999)</f>
        <v>29903.3999999999</v>
      </c>
      <c r="K25" s="3" t="str">
        <f ca="1">IFERROR(__xludf.DUMMYFUNCTION("""COMPUTED_VALUE"""),"")</f>
        <v/>
      </c>
      <c r="L25" s="3" t="str">
        <f ca="1">IFERROR(__xludf.DUMMYFUNCTION("""COMPUTED_VALUE"""),"")</f>
        <v/>
      </c>
      <c r="M25" s="3" t="str">
        <f ca="1">IFERROR(__xludf.DUMMYFUNCTION("""COMPUTED_VALUE"""),"")</f>
        <v/>
      </c>
      <c r="N25" s="3" t="str">
        <f ca="1">IFERROR(__xludf.DUMMYFUNCTION("""COMPUTED_VALUE"""),"")</f>
        <v/>
      </c>
      <c r="O25" s="3" t="str">
        <f ca="1">IFERROR(__xludf.DUMMYFUNCTION("""COMPUTED_VALUE"""),"")</f>
        <v/>
      </c>
      <c r="P25" s="3" t="str">
        <f ca="1">IFERROR(__xludf.DUMMYFUNCTION("""COMPUTED_VALUE"""),"")</f>
        <v/>
      </c>
      <c r="Q25" s="3" t="str">
        <f ca="1">IFERROR(__xludf.DUMMYFUNCTION("""COMPUTED_VALUE"""),"")</f>
        <v/>
      </c>
      <c r="R25" s="3" t="str">
        <f ca="1">IFERROR(__xludf.DUMMYFUNCTION("""COMPUTED_VALUE"""),"")</f>
        <v/>
      </c>
      <c r="S25" s="3" t="str">
        <f ca="1">IFERROR(__xludf.DUMMYFUNCTION("""COMPUTED_VALUE"""),"")</f>
        <v/>
      </c>
      <c r="T25" s="3" t="str">
        <f ca="1">IFERROR(__xludf.DUMMYFUNCTION("""COMPUTED_VALUE"""),"")</f>
        <v/>
      </c>
      <c r="U25" s="3" t="str">
        <f ca="1">IFERROR(__xludf.DUMMYFUNCTION("""COMPUTED_VALUE"""),"")</f>
        <v/>
      </c>
      <c r="V25" s="3" t="str">
        <f ca="1">IFERROR(__xludf.DUMMYFUNCTION("""COMPUTED_VALUE"""),"")</f>
        <v/>
      </c>
      <c r="W25" s="3" t="str">
        <f ca="1">IFERROR(__xludf.DUMMYFUNCTION("""COMPUTED_VALUE"""),"")</f>
        <v/>
      </c>
      <c r="X25" s="3" t="str">
        <f ca="1">IFERROR(__xludf.DUMMYFUNCTION("""COMPUTED_VALUE"""),"")</f>
        <v/>
      </c>
      <c r="Y25" s="3" t="str">
        <f ca="1">IFERROR(__xludf.DUMMYFUNCTION("""COMPUTED_VALUE"""),"")</f>
        <v/>
      </c>
      <c r="Z25" s="3" t="str">
        <f ca="1">IFERROR(__xludf.DUMMYFUNCTION("""COMPUTED_VALUE"""),"")</f>
        <v/>
      </c>
    </row>
    <row r="26" spans="1:26" x14ac:dyDescent="0.2">
      <c r="A26" s="1" t="str">
        <f ca="1">IFERROR(__xludf.DUMMYFUNCTION("""COMPUTED_VALUE"""),"Débitos Realizado")</f>
        <v>Débitos Realizado</v>
      </c>
      <c r="B26" s="1" t="str">
        <f ca="1">IFERROR(__xludf.DUMMYFUNCTION("""COMPUTED_VALUE"""),"Total")</f>
        <v>Total</v>
      </c>
      <c r="C26" s="3">
        <f ca="1">IFERROR(__xludf.DUMMYFUNCTION("""COMPUTED_VALUE"""),35671.62)</f>
        <v>35671.620000000003</v>
      </c>
      <c r="D26" s="3">
        <f ca="1">IFERROR(__xludf.DUMMYFUNCTION("""COMPUTED_VALUE"""),44109.13)</f>
        <v>44109.13</v>
      </c>
      <c r="E26" s="3">
        <f ca="1">IFERROR(__xludf.DUMMYFUNCTION("""COMPUTED_VALUE"""),40893.49)</f>
        <v>40893.49</v>
      </c>
      <c r="F26" s="3">
        <f ca="1">IFERROR(__xludf.DUMMYFUNCTION("""COMPUTED_VALUE"""),48687.31)</f>
        <v>48687.31</v>
      </c>
      <c r="G26" s="3">
        <f ca="1">IFERROR(__xludf.DUMMYFUNCTION("""COMPUTED_VALUE"""),38593.39)</f>
        <v>38593.39</v>
      </c>
      <c r="H26" s="3">
        <f ca="1">IFERROR(__xludf.DUMMYFUNCTION("""COMPUTED_VALUE"""),37928.8999999999)</f>
        <v>37928.8999999999</v>
      </c>
      <c r="I26" s="3">
        <f ca="1">IFERROR(__xludf.DUMMYFUNCTION("""COMPUTED_VALUE"""),37325.73)</f>
        <v>37325.730000000003</v>
      </c>
      <c r="J26" s="3">
        <f ca="1">IFERROR(__xludf.DUMMYFUNCTION("""COMPUTED_VALUE"""),22055.38)</f>
        <v>22055.38</v>
      </c>
      <c r="K26" s="3" t="str">
        <f ca="1">IFERROR(__xludf.DUMMYFUNCTION("""COMPUTED_VALUE"""),"")</f>
        <v/>
      </c>
      <c r="L26" s="3" t="str">
        <f ca="1">IFERROR(__xludf.DUMMYFUNCTION("""COMPUTED_VALUE"""),"")</f>
        <v/>
      </c>
      <c r="M26" s="3" t="str">
        <f ca="1">IFERROR(__xludf.DUMMYFUNCTION("""COMPUTED_VALUE"""),"")</f>
        <v/>
      </c>
      <c r="N26" s="3" t="str">
        <f ca="1">IFERROR(__xludf.DUMMYFUNCTION("""COMPUTED_VALUE"""),"")</f>
        <v/>
      </c>
      <c r="O26" s="3" t="str">
        <f ca="1">IFERROR(__xludf.DUMMYFUNCTION("""COMPUTED_VALUE"""),"")</f>
        <v/>
      </c>
      <c r="P26" s="3" t="str">
        <f ca="1">IFERROR(__xludf.DUMMYFUNCTION("""COMPUTED_VALUE"""),"")</f>
        <v/>
      </c>
      <c r="Q26" s="3" t="str">
        <f ca="1">IFERROR(__xludf.DUMMYFUNCTION("""COMPUTED_VALUE"""),"")</f>
        <v/>
      </c>
      <c r="R26" s="3" t="str">
        <f ca="1">IFERROR(__xludf.DUMMYFUNCTION("""COMPUTED_VALUE"""),"")</f>
        <v/>
      </c>
      <c r="S26" s="3" t="str">
        <f ca="1">IFERROR(__xludf.DUMMYFUNCTION("""COMPUTED_VALUE"""),"")</f>
        <v/>
      </c>
      <c r="T26" s="3" t="str">
        <f ca="1">IFERROR(__xludf.DUMMYFUNCTION("""COMPUTED_VALUE"""),"")</f>
        <v/>
      </c>
      <c r="U26" s="3" t="str">
        <f ca="1">IFERROR(__xludf.DUMMYFUNCTION("""COMPUTED_VALUE"""),"")</f>
        <v/>
      </c>
      <c r="V26" s="3" t="str">
        <f ca="1">IFERROR(__xludf.DUMMYFUNCTION("""COMPUTED_VALUE"""),"")</f>
        <v/>
      </c>
      <c r="W26" s="3" t="str">
        <f ca="1">IFERROR(__xludf.DUMMYFUNCTION("""COMPUTED_VALUE"""),"")</f>
        <v/>
      </c>
      <c r="X26" s="3" t="str">
        <f ca="1">IFERROR(__xludf.DUMMYFUNCTION("""COMPUTED_VALUE"""),"")</f>
        <v/>
      </c>
      <c r="Y26" s="3" t="str">
        <f ca="1">IFERROR(__xludf.DUMMYFUNCTION("""COMPUTED_VALUE"""),"")</f>
        <v/>
      </c>
      <c r="Z26" s="3" t="str">
        <f ca="1">IFERROR(__xludf.DUMMYFUNCTION("""COMPUTED_VALUE"""),"")</f>
        <v/>
      </c>
    </row>
    <row r="27" spans="1:26" x14ac:dyDescent="0.2">
      <c r="A27" s="1" t="str">
        <f ca="1">IFERROR(__xludf.DUMMYFUNCTION("""COMPUTED_VALUE"""),"Investimento Ações")</f>
        <v>Investimento Ações</v>
      </c>
      <c r="B27" s="1" t="str">
        <f ca="1"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v>100000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 t="str">
        <f ca="1">IFERROR(__xludf.DUMMYFUNCTION("""COMPUTED_VALUE"""),"Investimento Renda Fixa")</f>
        <v>Investimento Renda Fixa</v>
      </c>
      <c r="B28" s="1" t="str">
        <f ca="1"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 ca="1">IFERROR(__xludf.DUMMYFUNCTION("""COMPUTED_VALUE"""),134231.2)</f>
        <v>134231.20000000001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 t="str">
        <f ca="1">IFERROR(__xludf.DUMMYFUNCTION("""COMPUTED_VALUE"""),"Previdência Privada")</f>
        <v>Previdência Privada</v>
      </c>
      <c r="B29" s="1" t="str">
        <f ca="1"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 ca="1">IFERROR(__xludf.DUMMYFUNCTION("""COMPUTED_VALUE"""),213938)</f>
        <v>213938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 t="str">
        <f ca="1">IFERROR(__xludf.DUMMYFUNCTION("""COMPUTED_VALUE"""),"[C] Salário")</f>
        <v>[C] Salário</v>
      </c>
      <c r="B30" s="1" t="str">
        <f ca="1">IFERROR(__xludf.DUMMYFUNCTION("""COMPUTED_VALUE"""),"-")</f>
        <v>-</v>
      </c>
      <c r="C30" s="1">
        <f ca="1">IFERROR(__xludf.DUMMYFUNCTION("""COMPUTED_VALUE"""),21951.99)</f>
        <v>21951.99</v>
      </c>
      <c r="D30" s="1">
        <f ca="1">IFERROR(__xludf.DUMMYFUNCTION("""COMPUTED_VALUE"""),21615.66)</f>
        <v>21615.66</v>
      </c>
      <c r="E30" s="1">
        <f ca="1">IFERROR(__xludf.DUMMYFUNCTION("""COMPUTED_VALUE"""),22117.97)</f>
        <v>22117.97</v>
      </c>
      <c r="F30" s="1">
        <f ca="1">IFERROR(__xludf.DUMMYFUNCTION("""COMPUTED_VALUE"""),23373.38)</f>
        <v>23373.38</v>
      </c>
      <c r="G30" s="1">
        <f ca="1">IFERROR(__xludf.DUMMYFUNCTION("""COMPUTED_VALUE"""),23176.4)</f>
        <v>23176.400000000001</v>
      </c>
      <c r="H30" s="1">
        <f ca="1">IFERROR(__xludf.DUMMYFUNCTION("""COMPUTED_VALUE"""),23189.13)</f>
        <v>23189.13</v>
      </c>
      <c r="I30" s="1">
        <f ca="1">IFERROR(__xludf.DUMMYFUNCTION("""COMPUTED_VALUE"""),23241.26)</f>
        <v>23241.26</v>
      </c>
      <c r="J30" s="1">
        <f ca="1">IFERROR(__xludf.DUMMYFUNCTION("""COMPUTED_VALUE"""),23078.86)</f>
        <v>23078.86</v>
      </c>
      <c r="K30" s="1" t="str">
        <f ca="1">IFERROR(__xludf.DUMMYFUNCTION("""COMPUTED_VALUE"""),"")</f>
        <v/>
      </c>
      <c r="L30" s="1" t="str">
        <f ca="1">IFERROR(__xludf.DUMMYFUNCTION("""COMPUTED_VALUE"""),"")</f>
        <v/>
      </c>
      <c r="M30" s="1" t="str">
        <f ca="1">IFERROR(__xludf.DUMMYFUNCTION("""COMPUTED_VALUE"""),"")</f>
        <v/>
      </c>
      <c r="N30" s="1" t="str">
        <f ca="1">IFERROR(__xludf.DUMMYFUNCTION("""COMPUTED_VALUE"""),"")</f>
        <v/>
      </c>
      <c r="O30" s="1" t="str">
        <f ca="1">IFERROR(__xludf.DUMMYFUNCTION("""COMPUTED_VALUE"""),"")</f>
        <v/>
      </c>
      <c r="P30" s="1" t="str">
        <f ca="1">IFERROR(__xludf.DUMMYFUNCTION("""COMPUTED_VALUE"""),"")</f>
        <v/>
      </c>
      <c r="Q30" s="1" t="str">
        <f ca="1">IFERROR(__xludf.DUMMYFUNCTION("""COMPUTED_VALUE"""),"")</f>
        <v/>
      </c>
      <c r="R30" s="1" t="str">
        <f ca="1">IFERROR(__xludf.DUMMYFUNCTION("""COMPUTED_VALUE"""),"")</f>
        <v/>
      </c>
      <c r="S30" s="1" t="str">
        <f ca="1">IFERROR(__xludf.DUMMYFUNCTION("""COMPUTED_VALUE"""),"")</f>
        <v/>
      </c>
      <c r="T30" s="1" t="str">
        <f ca="1">IFERROR(__xludf.DUMMYFUNCTION("""COMPUTED_VALUE"""),"")</f>
        <v/>
      </c>
      <c r="U30" s="1" t="str">
        <f ca="1">IFERROR(__xludf.DUMMYFUNCTION("""COMPUTED_VALUE"""),"")</f>
        <v/>
      </c>
      <c r="V30" s="1" t="str">
        <f ca="1">IFERROR(__xludf.DUMMYFUNCTION("""COMPUTED_VALUE"""),"")</f>
        <v/>
      </c>
      <c r="W30" s="1" t="str">
        <f ca="1">IFERROR(__xludf.DUMMYFUNCTION("""COMPUTED_VALUE"""),"")</f>
        <v/>
      </c>
      <c r="X30" s="1" t="str">
        <f ca="1">IFERROR(__xludf.DUMMYFUNCTION("""COMPUTED_VALUE"""),"")</f>
        <v/>
      </c>
      <c r="Y30" s="1" t="str">
        <f ca="1">IFERROR(__xludf.DUMMYFUNCTION("""COMPUTED_VALUE"""),"")</f>
        <v/>
      </c>
      <c r="Z30" s="1" t="str">
        <f ca="1">IFERROR(__xludf.DUMMYFUNCTION("""COMPUTED_VALUE"""),"")</f>
        <v/>
      </c>
    </row>
    <row r="31" spans="1:26" x14ac:dyDescent="0.2">
      <c r="A31" s="1" t="str">
        <f ca="1">IFERROR(__xludf.DUMMYFUNCTION("""COMPUTED_VALUE"""),"[C] Cartão")</f>
        <v>[C] Cartão</v>
      </c>
      <c r="B31" s="1" t="str">
        <f ca="1">IFERROR(__xludf.DUMMYFUNCTION("""COMPUTED_VALUE"""),"-")</f>
        <v>-</v>
      </c>
      <c r="C31" s="1">
        <f ca="1">IFERROR(__xludf.DUMMYFUNCTION("""COMPUTED_VALUE"""),6965.81)</f>
        <v>6965.81</v>
      </c>
      <c r="D31" s="1">
        <f ca="1">IFERROR(__xludf.DUMMYFUNCTION("""COMPUTED_VALUE"""),9684.3)</f>
        <v>9684.2999999999993</v>
      </c>
      <c r="E31" s="1">
        <f ca="1">IFERROR(__xludf.DUMMYFUNCTION("""COMPUTED_VALUE"""),5551.26999999999)</f>
        <v>5551.2699999999904</v>
      </c>
      <c r="F31" s="1">
        <f ca="1">IFERROR(__xludf.DUMMYFUNCTION("""COMPUTED_VALUE"""),10281.61)</f>
        <v>10281.61</v>
      </c>
      <c r="G31" s="1">
        <f ca="1">IFERROR(__xludf.DUMMYFUNCTION("""COMPUTED_VALUE"""),12579.79)</f>
        <v>12579.79</v>
      </c>
      <c r="H31" s="1">
        <f ca="1">IFERROR(__xludf.DUMMYFUNCTION("""COMPUTED_VALUE"""),12536.8499999999)</f>
        <v>12536.8499999999</v>
      </c>
      <c r="I31" s="1">
        <f ca="1">IFERROR(__xludf.DUMMYFUNCTION("""COMPUTED_VALUE"""),9479.01)</f>
        <v>9479.01</v>
      </c>
      <c r="J31" s="1">
        <f ca="1">IFERROR(__xludf.DUMMYFUNCTION("""COMPUTED_VALUE"""),7231.56)</f>
        <v>7231.56</v>
      </c>
      <c r="K31" s="1">
        <f ca="1">IFERROR(__xludf.DUMMYFUNCTION("""COMPUTED_VALUE"""),7053.19)</f>
        <v>7053.19</v>
      </c>
      <c r="L31" s="1">
        <f ca="1">IFERROR(__xludf.DUMMYFUNCTION("""COMPUTED_VALUE"""),7053.19)</f>
        <v>7053.19</v>
      </c>
      <c r="M31" s="1">
        <f ca="1">IFERROR(__xludf.DUMMYFUNCTION("""COMPUTED_VALUE"""),7053.19)</f>
        <v>7053.19</v>
      </c>
      <c r="N31" s="1">
        <f ca="1">IFERROR(__xludf.DUMMYFUNCTION("""COMPUTED_VALUE"""),6785.41)</f>
        <v>6785.41</v>
      </c>
      <c r="O31" s="1">
        <f ca="1">IFERROR(__xludf.DUMMYFUNCTION("""COMPUTED_VALUE"""),6785.41)</f>
        <v>6785.41</v>
      </c>
      <c r="P31" s="1">
        <f ca="1">IFERROR(__xludf.DUMMYFUNCTION("""COMPUTED_VALUE"""),6785.41)</f>
        <v>6785.41</v>
      </c>
      <c r="Q31" s="1">
        <f ca="1">IFERROR(__xludf.DUMMYFUNCTION("""COMPUTED_VALUE"""),5435.41)</f>
        <v>5435.41</v>
      </c>
      <c r="R31" s="1">
        <f ca="1">IFERROR(__xludf.DUMMYFUNCTION("""COMPUTED_VALUE"""),5213.351)</f>
        <v>5213.3509999999997</v>
      </c>
      <c r="S31" s="1">
        <f ca="1">IFERROR(__xludf.DUMMYFUNCTION("""COMPUTED_VALUE"""),5213.351)</f>
        <v>5213.3509999999997</v>
      </c>
      <c r="T31" s="1">
        <f ca="1">IFERROR(__xludf.DUMMYFUNCTION("""COMPUTED_VALUE"""),5213.351)</f>
        <v>5213.3509999999997</v>
      </c>
      <c r="U31" s="1">
        <f ca="1">IFERROR(__xludf.DUMMYFUNCTION("""COMPUTED_VALUE"""),5213.351)</f>
        <v>5213.3509999999997</v>
      </c>
      <c r="V31" s="1">
        <f ca="1">IFERROR(__xludf.DUMMYFUNCTION("""COMPUTED_VALUE"""),5213.351)</f>
        <v>5213.3509999999997</v>
      </c>
      <c r="W31" s="1">
        <f ca="1">IFERROR(__xludf.DUMMYFUNCTION("""COMPUTED_VALUE"""),5213.351)</f>
        <v>5213.3509999999997</v>
      </c>
      <c r="X31" s="1">
        <f ca="1">IFERROR(__xludf.DUMMYFUNCTION("""COMPUTED_VALUE"""),5213.351)</f>
        <v>5213.3509999999997</v>
      </c>
      <c r="Y31" s="1">
        <f ca="1">IFERROR(__xludf.DUMMYFUNCTION("""COMPUTED_VALUE"""),5213.351)</f>
        <v>5213.3509999999997</v>
      </c>
      <c r="Z31" s="1">
        <f ca="1">IFERROR(__xludf.DUMMYFUNCTION("""COMPUTED_VALUE"""),5213.351)</f>
        <v>5213.3509999999997</v>
      </c>
    </row>
    <row r="32" spans="1:26" x14ac:dyDescent="0.2">
      <c r="A32" s="1" t="str">
        <f ca="1">IFERROR(__xludf.DUMMYFUNCTION("""COMPUTED_VALUE"""),"[C] Investimento")</f>
        <v>[C] Investimento</v>
      </c>
      <c r="B32" s="1" t="str">
        <f ca="1">IFERROR(__xludf.DUMMYFUNCTION("""COMPUTED_VALUE"""),"-")</f>
        <v>-</v>
      </c>
      <c r="C32" s="1">
        <f ca="1">IFERROR(__xludf.DUMMYFUNCTION("""COMPUTED_VALUE"""),888.329999999999)</f>
        <v>888.32999999999902</v>
      </c>
      <c r="D32" s="1" t="str">
        <f ca="1">IFERROR(__xludf.DUMMYFUNCTION("""COMPUTED_VALUE"""),"")</f>
        <v/>
      </c>
      <c r="E32" s="1" t="str">
        <f ca="1">IFERROR(__xludf.DUMMYFUNCTION("""COMPUTED_VALUE"""),"")</f>
        <v/>
      </c>
      <c r="F32" s="1">
        <f ca="1">IFERROR(__xludf.DUMMYFUNCTION("""COMPUTED_VALUE"""),6811.08)</f>
        <v>6811.08</v>
      </c>
      <c r="G32" s="1" t="str">
        <f ca="1">IFERROR(__xludf.DUMMYFUNCTION("""COMPUTED_VALUE"""),"")</f>
        <v/>
      </c>
      <c r="H32" s="1">
        <f ca="1">IFERROR(__xludf.DUMMYFUNCTION("""COMPUTED_VALUE"""),1811.5)</f>
        <v>1811.5</v>
      </c>
      <c r="I32" s="1" t="str">
        <f ca="1">IFERROR(__xludf.DUMMYFUNCTION("""COMPUTED_VALUE"""),"")</f>
        <v/>
      </c>
      <c r="J32" s="1" t="str">
        <f ca="1">IFERROR(__xludf.DUMMYFUNCTION("""COMPUTED_VALUE"""),"")</f>
        <v/>
      </c>
      <c r="K32" s="1" t="str">
        <f ca="1">IFERROR(__xludf.DUMMYFUNCTION("""COMPUTED_VALUE"""),"")</f>
        <v/>
      </c>
      <c r="L32" s="1" t="str">
        <f ca="1">IFERROR(__xludf.DUMMYFUNCTION("""COMPUTED_VALUE"""),"")</f>
        <v/>
      </c>
      <c r="M32" s="1" t="str">
        <f ca="1">IFERROR(__xludf.DUMMYFUNCTION("""COMPUTED_VALUE"""),"")</f>
        <v/>
      </c>
      <c r="N32" s="1" t="str">
        <f ca="1">IFERROR(__xludf.DUMMYFUNCTION("""COMPUTED_VALUE"""),"")</f>
        <v/>
      </c>
      <c r="O32" s="1" t="str">
        <f ca="1">IFERROR(__xludf.DUMMYFUNCTION("""COMPUTED_VALUE"""),"")</f>
        <v/>
      </c>
      <c r="P32" s="1" t="str">
        <f ca="1">IFERROR(__xludf.DUMMYFUNCTION("""COMPUTED_VALUE"""),"")</f>
        <v/>
      </c>
      <c r="Q32" s="1" t="str">
        <f ca="1">IFERROR(__xludf.DUMMYFUNCTION("""COMPUTED_VALUE"""),"")</f>
        <v/>
      </c>
      <c r="R32" s="1" t="str">
        <f ca="1">IFERROR(__xludf.DUMMYFUNCTION("""COMPUTED_VALUE"""),"")</f>
        <v/>
      </c>
      <c r="S32" s="1" t="str">
        <f ca="1">IFERROR(__xludf.DUMMYFUNCTION("""COMPUTED_VALUE"""),"")</f>
        <v/>
      </c>
      <c r="T32" s="1" t="str">
        <f ca="1">IFERROR(__xludf.DUMMYFUNCTION("""COMPUTED_VALUE"""),"")</f>
        <v/>
      </c>
      <c r="U32" s="1" t="str">
        <f ca="1">IFERROR(__xludf.DUMMYFUNCTION("""COMPUTED_VALUE"""),"")</f>
        <v/>
      </c>
      <c r="V32" s="1" t="str">
        <f ca="1">IFERROR(__xludf.DUMMYFUNCTION("""COMPUTED_VALUE"""),"")</f>
        <v/>
      </c>
      <c r="W32" s="1" t="str">
        <f ca="1">IFERROR(__xludf.DUMMYFUNCTION("""COMPUTED_VALUE"""),"")</f>
        <v/>
      </c>
      <c r="X32" s="1" t="str">
        <f ca="1">IFERROR(__xludf.DUMMYFUNCTION("""COMPUTED_VALUE"""),"")</f>
        <v/>
      </c>
      <c r="Y32" s="1" t="str">
        <f ca="1">IFERROR(__xludf.DUMMYFUNCTION("""COMPUTED_VALUE"""),"")</f>
        <v/>
      </c>
      <c r="Z32" s="1" t="str">
        <f ca="1">IFERROR(__xludf.DUMMYFUNCTION("""COMPUTED_VALUE"""),"")</f>
        <v/>
      </c>
    </row>
    <row r="33" spans="1:26" x14ac:dyDescent="0.2">
      <c r="A33" s="1" t="str">
        <f ca="1">IFERROR(__xludf.DUMMYFUNCTION("""COMPUTED_VALUE"""),"[C] Consolidado")</f>
        <v>[C] Consolidado</v>
      </c>
      <c r="B33" s="1" t="str">
        <f ca="1">IFERROR(__xludf.DUMMYFUNCTION("""COMPUTED_VALUE"""),"-")</f>
        <v>-</v>
      </c>
      <c r="C33" s="1">
        <f ca="1">IFERROR(__xludf.DUMMYFUNCTION("""COMPUTED_VALUE"""),-5802.8425)</f>
        <v>-5802.8424999999997</v>
      </c>
      <c r="D33" s="1">
        <f ca="1">IFERROR(__xludf.DUMMYFUNCTION("""COMPUTED_VALUE"""),-1401.53249999999)</f>
        <v>-1401.53249999999</v>
      </c>
      <c r="E33" s="1">
        <f ca="1">IFERROR(__xludf.DUMMYFUNCTION("""COMPUTED_VALUE"""),-1373.365)</f>
        <v>-1373.365</v>
      </c>
      <c r="F33" s="1">
        <f ca="1">IFERROR(__xludf.DUMMYFUNCTION("""COMPUTED_VALUE"""),-9247.05999999999)</f>
        <v>-9247.0599999999904</v>
      </c>
      <c r="G33" s="1">
        <f ca="1">IFERROR(__xludf.DUMMYFUNCTION("""COMPUTED_VALUE"""),67050.3149999999)</f>
        <v>67050.3149999999</v>
      </c>
      <c r="H33" s="1">
        <f ca="1">IFERROR(__xludf.DUMMYFUNCTION("""COMPUTED_VALUE"""),-5572.93749999999)</f>
        <v>-5572.93749999999</v>
      </c>
      <c r="I33" s="1">
        <f ca="1">IFERROR(__xludf.DUMMYFUNCTION("""COMPUTED_VALUE"""),-5698.79)</f>
        <v>-5698.79</v>
      </c>
      <c r="J33" s="1">
        <f ca="1">IFERROR(__xludf.DUMMYFUNCTION("""COMPUTED_VALUE"""),9291.89999999999)</f>
        <v>9291.8999999999905</v>
      </c>
      <c r="K33" s="1" t="str">
        <f ca="1">IFERROR(__xludf.DUMMYFUNCTION("""COMPUTED_VALUE"""),"")</f>
        <v/>
      </c>
      <c r="L33" s="1" t="str">
        <f ca="1">IFERROR(__xludf.DUMMYFUNCTION("""COMPUTED_VALUE"""),"")</f>
        <v/>
      </c>
      <c r="M33" s="1" t="str">
        <f ca="1">IFERROR(__xludf.DUMMYFUNCTION("""COMPUTED_VALUE"""),"")</f>
        <v/>
      </c>
      <c r="N33" s="1" t="str">
        <f ca="1">IFERROR(__xludf.DUMMYFUNCTION("""COMPUTED_VALUE"""),"")</f>
        <v/>
      </c>
      <c r="O33" s="1" t="str">
        <f ca="1">IFERROR(__xludf.DUMMYFUNCTION("""COMPUTED_VALUE"""),"")</f>
        <v/>
      </c>
      <c r="P33" s="1" t="str">
        <f ca="1">IFERROR(__xludf.DUMMYFUNCTION("""COMPUTED_VALUE"""),"")</f>
        <v/>
      </c>
      <c r="Q33" s="1" t="str">
        <f ca="1">IFERROR(__xludf.DUMMYFUNCTION("""COMPUTED_VALUE"""),"")</f>
        <v/>
      </c>
      <c r="R33" s="1" t="str">
        <f ca="1">IFERROR(__xludf.DUMMYFUNCTION("""COMPUTED_VALUE"""),"")</f>
        <v/>
      </c>
      <c r="S33" s="1" t="str">
        <f ca="1">IFERROR(__xludf.DUMMYFUNCTION("""COMPUTED_VALUE"""),"")</f>
        <v/>
      </c>
      <c r="T33" s="1" t="str">
        <f ca="1">IFERROR(__xludf.DUMMYFUNCTION("""COMPUTED_VALUE"""),"")</f>
        <v/>
      </c>
      <c r="U33" s="1" t="str">
        <f ca="1">IFERROR(__xludf.DUMMYFUNCTION("""COMPUTED_VALUE"""),"")</f>
        <v/>
      </c>
      <c r="V33" s="1" t="str">
        <f ca="1">IFERROR(__xludf.DUMMYFUNCTION("""COMPUTED_VALUE"""),"")</f>
        <v/>
      </c>
      <c r="W33" s="1" t="str">
        <f ca="1">IFERROR(__xludf.DUMMYFUNCTION("""COMPUTED_VALUE"""),"")</f>
        <v/>
      </c>
      <c r="X33" s="1" t="str">
        <f ca="1">IFERROR(__xludf.DUMMYFUNCTION("""COMPUTED_VALUE"""),"")</f>
        <v/>
      </c>
      <c r="Y33" s="1" t="str">
        <f ca="1">IFERROR(__xludf.DUMMYFUNCTION("""COMPUTED_VALUE"""),"")</f>
        <v/>
      </c>
      <c r="Z33" s="1" t="str">
        <f ca="1">IFERROR(__xludf.DUMMYFUNCTION("""COMPUTED_VALUE"""),"")</f>
        <v/>
      </c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6.140625" customWidth="1"/>
    <col min="2" max="2" width="4.42578125" customWidth="1"/>
    <col min="3" max="3" width="10.28515625" customWidth="1"/>
    <col min="4" max="4" width="12.28515625" customWidth="1"/>
    <col min="5" max="5" width="10.42578125" customWidth="1"/>
    <col min="6" max="6" width="17.42578125" customWidth="1"/>
    <col min="7" max="7" width="14.42578125" customWidth="1"/>
    <col min="8" max="8" width="11.42578125" customWidth="1"/>
    <col min="9" max="9" width="7.140625" customWidth="1"/>
    <col min="10" max="10" width="8.140625" customWidth="1"/>
    <col min="11" max="11" width="11" customWidth="1"/>
  </cols>
  <sheetData>
    <row r="1" spans="1:26" x14ac:dyDescent="0.2">
      <c r="A1" s="1" t="str">
        <f ca="1">IFERROR(__xludf.DUMMYFUNCTION("IMPORTRANGE(""https://docs.google.com/spreadsheets/d/1iYr1ABX5E5xD5hdpo7T57xV80Bd6YZfcnip7j3Ia3No/edit?gid=153321439#gid=153321439"",""'Renda'!A1:K14"")"),"Ticker")</f>
        <v>Ticker</v>
      </c>
      <c r="B1" s="1" t="str">
        <f ca="1">IFERROR(__xludf.DUMMYFUNCTION("""COMPUTED_VALUE"""),"Qtd")</f>
        <v>Qtd</v>
      </c>
      <c r="C1" s="1" t="str">
        <f ca="1">IFERROR(__xludf.DUMMYFUNCTION("""COMPUTED_VALUE"""),"Div. Esperado
2025")</f>
        <v>Div. Esperado
2025</v>
      </c>
      <c r="D1" s="1" t="str">
        <f ca="1">IFERROR(__xludf.DUMMYFUNCTION("""COMPUTED_VALUE"""),"Renda Esperada")</f>
        <v>Renda Esperada</v>
      </c>
      <c r="E1" s="1" t="str">
        <f ca="1">IFERROR(__xludf.DUMMYFUNCTION("""COMPUTED_VALUE"""),"Capital Atual")</f>
        <v>Capital Atual</v>
      </c>
      <c r="F1" s="1" t="str">
        <f ca="1">IFERROR(__xludf.DUMMYFUNCTION("""COMPUTED_VALUE"""),"Dividend Yield Esperado")</f>
        <v>Dividend Yield Esperado</v>
      </c>
      <c r="G1" s="1" t="str">
        <f ca="1">IFERROR(__xludf.DUMMYFUNCTION("""COMPUTED_VALUE"""),"Dividend Yield Pago")</f>
        <v>Dividend Yield Pago</v>
      </c>
      <c r="H1" s="1" t="str">
        <f ca="1">IFERROR(__xludf.DUMMYFUNCTION("""COMPUTED_VALUE"""),"Proporção Hoje")</f>
        <v>Proporção Hoje</v>
      </c>
      <c r="I1" s="4" t="str">
        <f ca="1">IFERROR(__xludf.DUMMYFUNCTION("""COMPUTED_VALUE"""),"Meta 28k")</f>
        <v>Meta 28k</v>
      </c>
      <c r="J1" s="1" t="str">
        <f ca="1">IFERROR(__xludf.DUMMYFUNCTION("""COMPUTED_VALUE"""),"Meta +1.a.")</f>
        <v>Meta +1.a.</v>
      </c>
      <c r="K1" s="1" t="str">
        <f ca="1">IFERROR(__xludf.DUMMYFUNCTION("""COMPUTED_VALUE"""),"Meta qtd. 2033")</f>
        <v>Meta qtd. 2033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 t="str">
        <f ca="1">IFERROR(__xludf.DUMMYFUNCTION("""COMPUTED_VALUE"""),"BBAS3")</f>
        <v>BBAS3</v>
      </c>
      <c r="B2" s="1">
        <f ca="1">IFERROR(__xludf.DUMMYFUNCTION("""COMPUTED_VALUE"""),5037)</f>
        <v>5037</v>
      </c>
      <c r="C2" s="2">
        <f ca="1">IFERROR(__xludf.DUMMYFUNCTION("""COMPUTED_VALUE"""),1.10363942683903)</f>
        <v>1.1036394268390299</v>
      </c>
      <c r="D2" s="2">
        <f ca="1">IFERROR(__xludf.DUMMYFUNCTION("""COMPUTED_VALUE"""),5559.0317929882)</f>
        <v>5559.0317929882003</v>
      </c>
      <c r="E2" s="2">
        <f ca="1">IFERROR(__xludf.DUMMYFUNCTION("""COMPUTED_VALUE"""),103258.5)</f>
        <v>103258.5</v>
      </c>
      <c r="F2" s="5">
        <f ca="1">IFERROR(__xludf.DUMMYFUNCTION("""COMPUTED_VALUE"""),0.053836069601904)</f>
        <v>5.3836069601903999E-2</v>
      </c>
      <c r="G2" s="2">
        <f ca="1">IFERROR(__xludf.DUMMYFUNCTION("""COMPUTED_VALUE"""),5302.4499)</f>
        <v>5302.4498999999996</v>
      </c>
      <c r="H2" s="5">
        <f ca="1">IFERROR(__xludf.DUMMYFUNCTION("""COMPUTED_VALUE"""),0.33154055030045)</f>
        <v>0.33154055030044999</v>
      </c>
      <c r="I2" s="4">
        <f ca="1">IFERROR(__xludf.DUMMYFUNCTION("""COMPUTED_VALUE"""),-42.4636489547447)</f>
        <v>-42.463648954744698</v>
      </c>
      <c r="J2" s="4">
        <f ca="1">IFERROR(__xludf.DUMMYFUNCTION("""COMPUTED_VALUE"""),-2518.49999999999)</f>
        <v>-2518.49999999999</v>
      </c>
      <c r="K2" s="4">
        <f ca="1">IFERROR(__xludf.DUMMYFUNCTION("""COMPUTED_VALUE"""),-45417.1058111999)</f>
        <v>-45417.105811199901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 t="str">
        <f ca="1">IFERROR(__xludf.DUMMYFUNCTION("""COMPUTED_VALUE"""),"BBSE3")</f>
        <v>BBSE3</v>
      </c>
      <c r="B3" s="1">
        <f ca="1">IFERROR(__xludf.DUMMYFUNCTION("""COMPUTED_VALUE"""),3276)</f>
        <v>3276</v>
      </c>
      <c r="C3" s="2">
        <f ca="1">IFERROR(__xludf.DUMMYFUNCTION("""COMPUTED_VALUE"""),3.80792459697722)</f>
        <v>3.80792459697722</v>
      </c>
      <c r="D3" s="2">
        <f ca="1">IFERROR(__xludf.DUMMYFUNCTION("""COMPUTED_VALUE"""),12474.7609796973)</f>
        <v>12474.760979697299</v>
      </c>
      <c r="E3" s="2">
        <f ca="1">IFERROR(__xludf.DUMMYFUNCTION("""COMPUTED_VALUE"""),104176.8)</f>
        <v>104176.8</v>
      </c>
      <c r="F3" s="5">
        <f ca="1">IFERROR(__xludf.DUMMYFUNCTION("""COMPUTED_VALUE"""),0.119746056508717)</f>
        <v>0.119746056508717</v>
      </c>
      <c r="G3" s="2">
        <f ca="1">IFERROR(__xludf.DUMMYFUNCTION("""COMPUTED_VALUE"""),7444.0548)</f>
        <v>7444.0547999999999</v>
      </c>
      <c r="H3" s="5">
        <f ca="1">IFERROR(__xludf.DUMMYFUNCTION("""COMPUTED_VALUE"""),0.334489011563599)</f>
        <v>0.334489011563599</v>
      </c>
      <c r="I3" s="4">
        <f ca="1">IFERROR(__xludf.DUMMYFUNCTION("""COMPUTED_VALUE"""),-27.617810993795)</f>
        <v>-27.617810993795</v>
      </c>
      <c r="J3" s="4">
        <f ca="1">IFERROR(__xludf.DUMMYFUNCTION("""COMPUTED_VALUE"""),-1638)</f>
        <v>-1638</v>
      </c>
      <c r="K3" s="4">
        <f ca="1">IFERROR(__xludf.DUMMYFUNCTION("""COMPUTED_VALUE"""),-29538.7013376)</f>
        <v>-29538.7013376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 t="str">
        <f ca="1">IFERROR(__xludf.DUMMYFUNCTION("""COMPUTED_VALUE"""),"BRSR6")</f>
        <v>BRSR6</v>
      </c>
      <c r="B4" s="1">
        <f ca="1">IFERROR(__xludf.DUMMYFUNCTION("""COMPUTED_VALUE"""),1314)</f>
        <v>1314</v>
      </c>
      <c r="C4" s="2">
        <f ca="1">IFERROR(__xludf.DUMMYFUNCTION("""COMPUTED_VALUE"""),1.10031444541706)</f>
        <v>1.1003144454170599</v>
      </c>
      <c r="D4" s="2">
        <f ca="1">IFERROR(__xludf.DUMMYFUNCTION("""COMPUTED_VALUE"""),1445.81318127802)</f>
        <v>1445.81318127802</v>
      </c>
      <c r="E4" s="2">
        <f ca="1">IFERROR(__xludf.DUMMYFUNCTION("""COMPUTED_VALUE"""),14953.32)</f>
        <v>14953.32</v>
      </c>
      <c r="F4" s="5">
        <f ca="1">IFERROR(__xludf.DUMMYFUNCTION("""COMPUTED_VALUE"""),0.0966884398433275)</f>
        <v>9.6688439843327506E-2</v>
      </c>
      <c r="G4" s="2">
        <f ca="1">IFERROR(__xludf.DUMMYFUNCTION("""COMPUTED_VALUE"""),692.7408)</f>
        <v>692.74080000000004</v>
      </c>
      <c r="H4" s="5">
        <f ca="1">IFERROR(__xludf.DUMMYFUNCTION("""COMPUTED_VALUE"""),0.048011853180307)</f>
        <v>4.8011853180306999E-2</v>
      </c>
      <c r="I4" s="4">
        <f ca="1">IFERROR(__xludf.DUMMYFUNCTION("""COMPUTED_VALUE"""),-11.0774736403679)</f>
        <v>-11.0774736403679</v>
      </c>
      <c r="J4" s="4">
        <f ca="1">IFERROR(__xludf.DUMMYFUNCTION("""COMPUTED_VALUE"""),-657)</f>
        <v>-657</v>
      </c>
      <c r="K4" s="4">
        <f ca="1">IFERROR(__xludf.DUMMYFUNCTION("""COMPUTED_VALUE"""),-11847.9406463999)</f>
        <v>-11847.9406463999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 t="str">
        <f ca="1">IFERROR(__xludf.DUMMYFUNCTION("""COMPUTED_VALUE"""),"CEBR6")</f>
        <v>CEBR6</v>
      </c>
      <c r="B5" s="1">
        <f ca="1">IFERROR(__xludf.DUMMYFUNCTION("""COMPUTED_VALUE"""),645)</f>
        <v>645</v>
      </c>
      <c r="C5" s="2">
        <f ca="1">IFERROR(__xludf.DUMMYFUNCTION("""COMPUTED_VALUE"""),2.2890596820288)</f>
        <v>2.2890596820288001</v>
      </c>
      <c r="D5" s="2">
        <f ca="1">IFERROR(__xludf.DUMMYFUNCTION("""COMPUTED_VALUE"""),1476.44349490857)</f>
        <v>1476.4434949085701</v>
      </c>
      <c r="E5" s="2">
        <f ca="1">IFERROR(__xludf.DUMMYFUNCTION("""COMPUTED_VALUE"""),16086.3)</f>
        <v>16086.3</v>
      </c>
      <c r="F5" s="5">
        <f ca="1">IFERROR(__xludf.DUMMYFUNCTION("""COMPUTED_VALUE"""),0.091782665678781)</f>
        <v>9.1782665678781003E-2</v>
      </c>
      <c r="G5" s="2">
        <f ca="1">IFERROR(__xludf.DUMMYFUNCTION("""COMPUTED_VALUE"""),815.666999999999)</f>
        <v>815.66699999999901</v>
      </c>
      <c r="H5" s="5">
        <f ca="1">IFERROR(__xludf.DUMMYFUNCTION("""COMPUTED_VALUE"""),0.0516496051588792)</f>
        <v>5.1649605158879203E-2</v>
      </c>
      <c r="I5" s="4">
        <f ca="1">IFERROR(__xludf.DUMMYFUNCTION("""COMPUTED_VALUE"""),-5.43757267734974)</f>
        <v>-5.4375726773497401</v>
      </c>
      <c r="J5" s="4">
        <f ca="1">IFERROR(__xludf.DUMMYFUNCTION("""COMPUTED_VALUE"""),-322.5)</f>
        <v>-322.5</v>
      </c>
      <c r="K5" s="4">
        <f ca="1">IFERROR(__xludf.DUMMYFUNCTION("""COMPUTED_VALUE"""),-5815.769952)</f>
        <v>-5815.7699519999996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 t="str">
        <f ca="1">IFERROR(__xludf.DUMMYFUNCTION("""COMPUTED_VALUE"""),"CXSE3")</f>
        <v>CXSE3</v>
      </c>
      <c r="B6" s="1">
        <f ca="1">IFERROR(__xludf.DUMMYFUNCTION("""COMPUTED_VALUE"""),1435)</f>
        <v>1435</v>
      </c>
      <c r="C6" s="2">
        <f ca="1">IFERROR(__xludf.DUMMYFUNCTION("""COMPUTED_VALUE"""),1.31999999999999)</f>
        <v>1.3199999999999901</v>
      </c>
      <c r="D6" s="2">
        <f ca="1">IFERROR(__xludf.DUMMYFUNCTION("""COMPUTED_VALUE"""),1894.19999999999)</f>
        <v>1894.19999999999</v>
      </c>
      <c r="E6" s="2">
        <f ca="1">IFERROR(__xludf.DUMMYFUNCTION("""COMPUTED_VALUE"""),19688.2)</f>
        <v>19688.2</v>
      </c>
      <c r="F6" s="5">
        <f ca="1">IFERROR(__xludf.DUMMYFUNCTION("""COMPUTED_VALUE"""),0.0962099125364431)</f>
        <v>9.6209912536443107E-2</v>
      </c>
      <c r="G6" s="2">
        <f ca="1">IFERROR(__xludf.DUMMYFUNCTION("""COMPUTED_VALUE"""),1348.89999999999)</f>
        <v>1348.8999999999901</v>
      </c>
      <c r="H6" s="5">
        <f ca="1">IFERROR(__xludf.DUMMYFUNCTION("""COMPUTED_VALUE"""),0.063214521443032)</f>
        <v>6.3214521443031996E-2</v>
      </c>
      <c r="I6" s="4">
        <f ca="1">IFERROR(__xludf.DUMMYFUNCTION("""COMPUTED_VALUE"""),-12.0975454139486)</f>
        <v>-12.0975454139486</v>
      </c>
      <c r="J6" s="4">
        <f ca="1">IFERROR(__xludf.DUMMYFUNCTION("""COMPUTED_VALUE"""),-717.5)</f>
        <v>-717.5</v>
      </c>
      <c r="K6" s="4">
        <f ca="1">IFERROR(__xludf.DUMMYFUNCTION("""COMPUTED_VALUE"""),-12938.961056)</f>
        <v>-12938.961056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 t="str">
        <f ca="1">IFERROR(__xludf.DUMMYFUNCTION("""COMPUTED_VALUE"""),"LEVE3")</f>
        <v>LEVE3</v>
      </c>
      <c r="B7" s="1">
        <f ca="1">IFERROR(__xludf.DUMMYFUNCTION("""COMPUTED_VALUE"""),634)</f>
        <v>634</v>
      </c>
      <c r="C7" s="2">
        <f ca="1">IFERROR(__xludf.DUMMYFUNCTION("""COMPUTED_VALUE"""),2.73721954566582)</f>
        <v>2.7372195456658202</v>
      </c>
      <c r="D7" s="2">
        <f ca="1">IFERROR(__xludf.DUMMYFUNCTION("""COMPUTED_VALUE"""),1735.39719195213)</f>
        <v>1735.39719195213</v>
      </c>
      <c r="E7" s="2">
        <f ca="1">IFERROR(__xludf.DUMMYFUNCTION("""COMPUTED_VALUE"""),17219.44)</f>
        <v>17219.439999999999</v>
      </c>
      <c r="F7" s="5">
        <f ca="1">IFERROR(__xludf.DUMMYFUNCTION("""COMPUTED_VALUE"""),0.100781279295501)</f>
        <v>0.100781279295501</v>
      </c>
      <c r="G7" s="2">
        <f ca="1">IFERROR(__xludf.DUMMYFUNCTION("""COMPUTED_VALUE"""),1329.7516)</f>
        <v>1329.7516000000001</v>
      </c>
      <c r="H7" s="5">
        <f ca="1">IFERROR(__xludf.DUMMYFUNCTION("""COMPUTED_VALUE"""),0.0552878708625981)</f>
        <v>5.52878708625981E-2</v>
      </c>
      <c r="I7" s="4">
        <f ca="1">IFERROR(__xludf.DUMMYFUNCTION("""COMPUTED_VALUE"""),-5.34483887975147)</f>
        <v>-5.3448388797514701</v>
      </c>
      <c r="J7" s="4">
        <f ca="1">IFERROR(__xludf.DUMMYFUNCTION("""COMPUTED_VALUE"""),-317)</f>
        <v>-317</v>
      </c>
      <c r="K7" s="4">
        <f ca="1">IFERROR(__xludf.DUMMYFUNCTION("""COMPUTED_VALUE"""),-5716.58627839999)</f>
        <v>-5716.5862783999901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 t="str">
        <f ca="1">IFERROR(__xludf.DUMMYFUNCTION("""COMPUTED_VALUE"""),"PETR4")</f>
        <v>PETR4</v>
      </c>
      <c r="B8" s="1">
        <f ca="1">IFERROR(__xludf.DUMMYFUNCTION("""COMPUTED_VALUE"""),289)</f>
        <v>289</v>
      </c>
      <c r="C8" s="2">
        <f ca="1">IFERROR(__xludf.DUMMYFUNCTION("""COMPUTED_VALUE"""),2.9677083627446)</f>
        <v>2.9677083627446001</v>
      </c>
      <c r="D8" s="2">
        <f ca="1">IFERROR(__xludf.DUMMYFUNCTION("""COMPUTED_VALUE"""),857.667716833189)</f>
        <v>857.66771683318905</v>
      </c>
      <c r="E8" s="2">
        <f ca="1">IFERROR(__xludf.DUMMYFUNCTION("""COMPUTED_VALUE"""),8805.83)</f>
        <v>8805.83</v>
      </c>
      <c r="F8" s="5">
        <f ca="1">IFERROR(__xludf.DUMMYFUNCTION("""COMPUTED_VALUE"""),0.0973977145633278)</f>
        <v>9.7397714563327797E-2</v>
      </c>
      <c r="G8" s="2">
        <f ca="1">IFERROR(__xludf.DUMMYFUNCTION("""COMPUTED_VALUE"""),720.3036)</f>
        <v>720.30359999999996</v>
      </c>
      <c r="H8" s="5">
        <f ca="1">IFERROR(__xludf.DUMMYFUNCTION("""COMPUTED_VALUE"""),0.0282736019218971)</f>
        <v>2.8273601921897099E-2</v>
      </c>
      <c r="I8" s="4">
        <f ca="1">IFERROR(__xludf.DUMMYFUNCTION("""COMPUTED_VALUE"""),-2.43636977326212)</f>
        <v>-2.4363697732621201</v>
      </c>
      <c r="J8" s="4">
        <f ca="1">IFERROR(__xludf.DUMMYFUNCTION("""COMPUTED_VALUE"""),-144.5)</f>
        <v>-144.5</v>
      </c>
      <c r="K8" s="4">
        <f ca="1">IFERROR(__xludf.DUMMYFUNCTION("""COMPUTED_VALUE"""),-2605.82560639999)</f>
        <v>-2605.8256063999902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 t="str">
        <f ca="1">IFERROR(__xludf.DUMMYFUNCTION("""COMPUTED_VALUE"""),"RANI3")</f>
        <v>RANI3</v>
      </c>
      <c r="B9" s="1">
        <f ca="1">IFERROR(__xludf.DUMMYFUNCTION("""COMPUTED_VALUE"""),1460)</f>
        <v>1460</v>
      </c>
      <c r="C9" s="2">
        <f ca="1">IFERROR(__xludf.DUMMYFUNCTION("""COMPUTED_VALUE"""),0.760004451763968)</f>
        <v>0.76000445176396803</v>
      </c>
      <c r="D9" s="2">
        <f ca="1">IFERROR(__xludf.DUMMYFUNCTION("""COMPUTED_VALUE"""),1109.60649957539)</f>
        <v>1109.60649957539</v>
      </c>
      <c r="E9" s="2">
        <f ca="1">IFERROR(__xludf.DUMMYFUNCTION("""COMPUTED_VALUE"""),11081.4)</f>
        <v>11081.4</v>
      </c>
      <c r="F9" s="5">
        <f ca="1">IFERROR(__xludf.DUMMYFUNCTION("""COMPUTED_VALUE"""),0.100132338835832)</f>
        <v>0.100132338835832</v>
      </c>
      <c r="G9" s="2">
        <f ca="1">IFERROR(__xludf.DUMMYFUNCTION("""COMPUTED_VALUE"""),1005.64799999999)</f>
        <v>1005.64799999999</v>
      </c>
      <c r="H9" s="5">
        <f ca="1">IFERROR(__xludf.DUMMYFUNCTION("""COMPUTED_VALUE"""),0.0355799614956581)</f>
        <v>3.5579961495658098E-2</v>
      </c>
      <c r="I9" s="4">
        <f ca="1">IFERROR(__xludf.DUMMYFUNCTION("""COMPUTED_VALUE"""),-12.3083040448536)</f>
        <v>-12.3083040448536</v>
      </c>
      <c r="J9" s="4">
        <f ca="1">IFERROR(__xludf.DUMMYFUNCTION("""COMPUTED_VALUE"""),-730)</f>
        <v>-730</v>
      </c>
      <c r="K9" s="4">
        <f ca="1">IFERROR(__xludf.DUMMYFUNCTION("""COMPUTED_VALUE"""),-13164.3784959999)</f>
        <v>-13164.378495999899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 t="str">
        <f ca="1">IFERROR(__xludf.DUMMYFUNCTION("""COMPUTED_VALUE"""),"ISAE4")</f>
        <v>ISAE4</v>
      </c>
      <c r="B10" s="1">
        <f ca="1">IFERROR(__xludf.DUMMYFUNCTION("""COMPUTED_VALUE"""),496)</f>
        <v>496</v>
      </c>
      <c r="C10" s="2">
        <f ca="1">IFERROR(__xludf.DUMMYFUNCTION("""COMPUTED_VALUE"""),1.59360541331913)</f>
        <v>1.59360541331913</v>
      </c>
      <c r="D10" s="2">
        <f ca="1">IFERROR(__xludf.DUMMYFUNCTION("""COMPUTED_VALUE"""),790.428285006293)</f>
        <v>790.42828500629298</v>
      </c>
      <c r="E10" s="2">
        <f ca="1">IFERROR(__xludf.DUMMYFUNCTION("""COMPUTED_VALUE"""),11110.4)</f>
        <v>11110.4</v>
      </c>
      <c r="F10" s="5">
        <f ca="1">IFERROR(__xludf.DUMMYFUNCTION("""COMPUTED_VALUE"""),0.0711430988088901)</f>
        <v>7.1143098808890096E-2</v>
      </c>
      <c r="G10" s="2">
        <f ca="1">IFERROR(__xludf.DUMMYFUNCTION("""COMPUTED_VALUE"""),1170.9072)</f>
        <v>1170.9072000000001</v>
      </c>
      <c r="H10" s="5">
        <f ca="1">IFERROR(__xludf.DUMMYFUNCTION("""COMPUTED_VALUE"""),0.0356730741784756)</f>
        <v>3.5673074178475601E-2</v>
      </c>
      <c r="I10" s="4">
        <f ca="1">IFERROR(__xludf.DUMMYFUNCTION("""COMPUTED_VALUE"""),-4.18145123715578)</f>
        <v>-4.1814512371557804</v>
      </c>
      <c r="J10" s="4">
        <f ca="1">IFERROR(__xludf.DUMMYFUNCTION("""COMPUTED_VALUE"""),-248)</f>
        <v>-248</v>
      </c>
      <c r="K10" s="4">
        <f ca="1">IFERROR(__xludf.DUMMYFUNCTION("""COMPUTED_VALUE"""),-4472.2820096)</f>
        <v>-4472.2820095999996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 t="str">
        <f ca="1">IFERROR(__xludf.DUMMYFUNCTION("""COMPUTED_VALUE"""),"CGAS5")</f>
        <v>CGAS5</v>
      </c>
      <c r="B11" s="1">
        <f ca="1">IFERROR(__xludf.DUMMYFUNCTION("""COMPUTED_VALUE"""),40)</f>
        <v>40</v>
      </c>
      <c r="C11" s="2">
        <f ca="1">IFERROR(__xludf.DUMMYFUNCTION("""COMPUTED_VALUE"""),10.5643633839165)</f>
        <v>10.564363383916501</v>
      </c>
      <c r="D11" s="2">
        <f ca="1">IFERROR(__xludf.DUMMYFUNCTION("""COMPUTED_VALUE"""),422.57453535666)</f>
        <v>422.57453535666002</v>
      </c>
      <c r="E11" s="2">
        <f ca="1">IFERROR(__xludf.DUMMYFUNCTION("""COMPUTED_VALUE"""),5070.4)</f>
        <v>5070.3999999999996</v>
      </c>
      <c r="F11" s="5">
        <f ca="1">IFERROR(__xludf.DUMMYFUNCTION("""COMPUTED_VALUE"""),0.0833414593240494)</f>
        <v>8.3341459324049405E-2</v>
      </c>
      <c r="G11" s="2">
        <f ca="1">IFERROR(__xludf.DUMMYFUNCTION("""COMPUTED_VALUE"""),30.628)</f>
        <v>30.628</v>
      </c>
      <c r="H11" s="5">
        <f ca="1">IFERROR(__xludf.DUMMYFUNCTION("""COMPUTED_VALUE"""),0.0162799498951021)</f>
        <v>1.6279949895102099E-2</v>
      </c>
      <c r="I11" s="4">
        <f ca="1">IFERROR(__xludf.DUMMYFUNCTION("""COMPUTED_VALUE"""),-0.337213809448044)</f>
        <v>-0.33721380944804402</v>
      </c>
      <c r="J11" s="4">
        <f ca="1">IFERROR(__xludf.DUMMYFUNCTION("""COMPUTED_VALUE"""),-20)</f>
        <v>-20</v>
      </c>
      <c r="K11" s="4">
        <f ca="1">IFERROR(__xludf.DUMMYFUNCTION("""COMPUTED_VALUE"""),-360.667903999999)</f>
        <v>-360.667903999999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1"/>
      <c r="D14" s="2">
        <f ca="1">IFERROR(__xludf.DUMMYFUNCTION("""COMPUTED_VALUE"""),27765.9236775958)</f>
        <v>27765.923677595802</v>
      </c>
      <c r="E14" s="2">
        <f ca="1">IFERROR(__xludf.DUMMYFUNCTION("""COMPUTED_VALUE"""),311450.59)</f>
        <v>311450.59000000003</v>
      </c>
      <c r="F14" s="5">
        <f ca="1">IFERROR(__xludf.DUMMYFUNCTION("""COMPUTED_VALUE"""),0.0891503325699137)</f>
        <v>8.9150332569913698E-2</v>
      </c>
      <c r="G14" s="1"/>
      <c r="H14" s="5">
        <f ca="1">IFERROR(__xludf.DUMMYFUNCTION("""COMPUTED_VALUE"""),1)</f>
        <v>1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4.42578125" customWidth="1"/>
    <col min="2" max="7" width="8.7109375" customWidth="1"/>
    <col min="8" max="8" width="7.42578125" customWidth="1"/>
    <col min="9" max="9" width="8.7109375" customWidth="1"/>
    <col min="10" max="11" width="7.42578125" customWidth="1"/>
    <col min="12" max="12" width="8.5703125" customWidth="1"/>
    <col min="13" max="13" width="8.7109375" customWidth="1"/>
    <col min="14" max="14" width="9.5703125" customWidth="1"/>
    <col min="15" max="15" width="8.7109375" customWidth="1"/>
    <col min="16" max="16" width="11.28515625" customWidth="1"/>
    <col min="17" max="17" width="6.85546875" customWidth="1"/>
  </cols>
  <sheetData>
    <row r="1" spans="1:26" x14ac:dyDescent="0.2">
      <c r="A1" s="1" t="str">
        <f ca="1">IFERROR(__xludf.DUMMYFUNCTION("IMPORTRANGE(""https://docs.google.com/spreadsheets/d/1iYr1ABX5E5xD5hdpo7T57xV80Bd6YZfcnip7j3Ia3No/edit?gid=153321439#gid=153321439"",""'Prov.B3'!A2:Q13"")"),"")</f>
        <v/>
      </c>
      <c r="B1" s="6">
        <f ca="1">IFERROR(__xludf.DUMMYFUNCTION("""COMPUTED_VALUE"""),45658)</f>
        <v>45658</v>
      </c>
      <c r="C1" s="6">
        <f ca="1">IFERROR(__xludf.DUMMYFUNCTION("""COMPUTED_VALUE"""),45689)</f>
        <v>45689</v>
      </c>
      <c r="D1" s="6">
        <f ca="1">IFERROR(__xludf.DUMMYFUNCTION("""COMPUTED_VALUE"""),45717)</f>
        <v>45717</v>
      </c>
      <c r="E1" s="6">
        <f ca="1">IFERROR(__xludf.DUMMYFUNCTION("""COMPUTED_VALUE"""),45748)</f>
        <v>45748</v>
      </c>
      <c r="F1" s="6">
        <f ca="1">IFERROR(__xludf.DUMMYFUNCTION("""COMPUTED_VALUE"""),45778)</f>
        <v>45778</v>
      </c>
      <c r="G1" s="6">
        <f ca="1">IFERROR(__xludf.DUMMYFUNCTION("""COMPUTED_VALUE"""),45809)</f>
        <v>45809</v>
      </c>
      <c r="H1" s="6">
        <f ca="1">IFERROR(__xludf.DUMMYFUNCTION("""COMPUTED_VALUE"""),45839)</f>
        <v>45839</v>
      </c>
      <c r="I1" s="6">
        <f ca="1">IFERROR(__xludf.DUMMYFUNCTION("""COMPUTED_VALUE"""),45870)</f>
        <v>45870</v>
      </c>
      <c r="J1" s="6">
        <f ca="1">IFERROR(__xludf.DUMMYFUNCTION("""COMPUTED_VALUE"""),45901)</f>
        <v>45901</v>
      </c>
      <c r="K1" s="6">
        <f ca="1">IFERROR(__xludf.DUMMYFUNCTION("""COMPUTED_VALUE"""),45931)</f>
        <v>45931</v>
      </c>
      <c r="L1" s="6">
        <f ca="1">IFERROR(__xludf.DUMMYFUNCTION("""COMPUTED_VALUE"""),45962)</f>
        <v>45962</v>
      </c>
      <c r="M1" s="6">
        <f ca="1">IFERROR(__xludf.DUMMYFUNCTION("""COMPUTED_VALUE"""),45992)</f>
        <v>45992</v>
      </c>
      <c r="N1" s="1" t="str">
        <f ca="1">IFERROR(__xludf.DUMMYFUNCTION("""COMPUTED_VALUE"""),"Total")</f>
        <v>Total</v>
      </c>
      <c r="O1" s="2" t="str">
        <f ca="1">IFERROR(__xludf.DUMMYFUNCTION("""COMPUTED_VALUE"""),"Média")</f>
        <v>Média</v>
      </c>
      <c r="P1" s="2" t="str">
        <f ca="1">IFERROR(__xludf.DUMMYFUNCTION("""COMPUTED_VALUE"""),"~ Mensal (Ano)")</f>
        <v>~ Mensal (Ano)</v>
      </c>
      <c r="Q1" s="5" t="str">
        <f ca="1"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>
        <f ca="1">IFERROR(__xludf.DUMMYFUNCTION("""COMPUTED_VALUE"""),2019)</f>
        <v>2019</v>
      </c>
      <c r="B2" s="2">
        <f ca="1">IFERROR(__xludf.DUMMYFUNCTION("""COMPUTED_VALUE"""),0)</f>
        <v>0</v>
      </c>
      <c r="C2" s="2">
        <f ca="1">IFERROR(__xludf.DUMMYFUNCTION("""COMPUTED_VALUE"""),0)</f>
        <v>0</v>
      </c>
      <c r="D2" s="2">
        <f ca="1">IFERROR(__xludf.DUMMYFUNCTION("""COMPUTED_VALUE"""),0)</f>
        <v>0</v>
      </c>
      <c r="E2" s="2">
        <f ca="1">IFERROR(__xludf.DUMMYFUNCTION("""COMPUTED_VALUE"""),0)</f>
        <v>0</v>
      </c>
      <c r="F2" s="2">
        <f ca="1">IFERROR(__xludf.DUMMYFUNCTION("""COMPUTED_VALUE"""),0)</f>
        <v>0</v>
      </c>
      <c r="G2" s="2">
        <f ca="1">IFERROR(__xludf.DUMMYFUNCTION("""COMPUTED_VALUE"""),0)</f>
        <v>0</v>
      </c>
      <c r="H2" s="2">
        <f ca="1">IFERROR(__xludf.DUMMYFUNCTION("""COMPUTED_VALUE"""),0)</f>
        <v>0</v>
      </c>
      <c r="I2" s="2">
        <f ca="1">IFERROR(__xludf.DUMMYFUNCTION("""COMPUTED_VALUE"""),0)</f>
        <v>0</v>
      </c>
      <c r="J2" s="2">
        <f ca="1">IFERROR(__xludf.DUMMYFUNCTION("""COMPUTED_VALUE"""),0)</f>
        <v>0</v>
      </c>
      <c r="K2" s="2">
        <f ca="1">IFERROR(__xludf.DUMMYFUNCTION("""COMPUTED_VALUE"""),0)</f>
        <v>0</v>
      </c>
      <c r="L2" s="2">
        <f ca="1">IFERROR(__xludf.DUMMYFUNCTION("""COMPUTED_VALUE"""),27.7999999999999)</f>
        <v>27.799999999999901</v>
      </c>
      <c r="M2" s="2">
        <f ca="1">IFERROR(__xludf.DUMMYFUNCTION("""COMPUTED_VALUE"""),88.2899999999999)</f>
        <v>88.289999999999907</v>
      </c>
      <c r="N2" s="2">
        <f ca="1">IFERROR(__xludf.DUMMYFUNCTION("""COMPUTED_VALUE"""),116.089999999999)</f>
        <v>116.08999999999899</v>
      </c>
      <c r="O2" s="2">
        <f ca="1">IFERROR(__xludf.DUMMYFUNCTION("""COMPUTED_VALUE"""),9.67416666666666)</f>
        <v>9.6741666666666593</v>
      </c>
      <c r="P2" s="2">
        <f ca="1">IFERROR(__xludf.DUMMYFUNCTION("""COMPUTED_VALUE"""),9.67416666666666)</f>
        <v>9.6741666666666593</v>
      </c>
      <c r="Q2" s="5" t="str">
        <f ca="1"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>
        <f ca="1">IFERROR(__xludf.DUMMYFUNCTION("""COMPUTED_VALUE"""),2020)</f>
        <v>2020</v>
      </c>
      <c r="B3" s="2">
        <f ca="1">IFERROR(__xludf.DUMMYFUNCTION("""COMPUTED_VALUE"""),9.30999999999999)</f>
        <v>9.3099999999999898</v>
      </c>
      <c r="C3" s="2">
        <f ca="1">IFERROR(__xludf.DUMMYFUNCTION("""COMPUTED_VALUE"""),55.22)</f>
        <v>55.22</v>
      </c>
      <c r="D3" s="2">
        <f ca="1">IFERROR(__xludf.DUMMYFUNCTION("""COMPUTED_VALUE"""),28.13)</f>
        <v>28.13</v>
      </c>
      <c r="E3" s="2">
        <f ca="1">IFERROR(__xludf.DUMMYFUNCTION("""COMPUTED_VALUE"""),18.85)</f>
        <v>18.850000000000001</v>
      </c>
      <c r="F3" s="2">
        <f ca="1">IFERROR(__xludf.DUMMYFUNCTION("""COMPUTED_VALUE"""),57.44)</f>
        <v>57.44</v>
      </c>
      <c r="G3" s="2">
        <f ca="1">IFERROR(__xludf.DUMMYFUNCTION("""COMPUTED_VALUE"""),5.55)</f>
        <v>5.55</v>
      </c>
      <c r="H3" s="2">
        <f ca="1">IFERROR(__xludf.DUMMYFUNCTION("""COMPUTED_VALUE"""),1.77)</f>
        <v>1.77</v>
      </c>
      <c r="I3" s="2">
        <f ca="1">IFERROR(__xludf.DUMMYFUNCTION("""COMPUTED_VALUE"""),145.489999999999)</f>
        <v>145.48999999999899</v>
      </c>
      <c r="J3" s="2">
        <f ca="1">IFERROR(__xludf.DUMMYFUNCTION("""COMPUTED_VALUE"""),162.07)</f>
        <v>162.07</v>
      </c>
      <c r="K3" s="2">
        <f ca="1">IFERROR(__xludf.DUMMYFUNCTION("""COMPUTED_VALUE"""),97.23)</f>
        <v>97.23</v>
      </c>
      <c r="L3" s="2">
        <f ca="1">IFERROR(__xludf.DUMMYFUNCTION("""COMPUTED_VALUE"""),16.89)</f>
        <v>16.89</v>
      </c>
      <c r="M3" s="2">
        <f ca="1">IFERROR(__xludf.DUMMYFUNCTION("""COMPUTED_VALUE"""),14.84)</f>
        <v>14.84</v>
      </c>
      <c r="N3" s="2">
        <f ca="1">IFERROR(__xludf.DUMMYFUNCTION("""COMPUTED_VALUE"""),612.79)</f>
        <v>612.79</v>
      </c>
      <c r="O3" s="2">
        <f ca="1">IFERROR(__xludf.DUMMYFUNCTION("""COMPUTED_VALUE"""),51.0658333333333)</f>
        <v>51.065833333333302</v>
      </c>
      <c r="P3" s="2">
        <f ca="1">IFERROR(__xludf.DUMMYFUNCTION("""COMPUTED_VALUE"""),51.0658333333333)</f>
        <v>51.065833333333302</v>
      </c>
      <c r="Q3" s="5">
        <f ca="1">IFERROR(__xludf.DUMMYFUNCTION("""COMPUTED_VALUE"""),4.27857696614695)</f>
        <v>4.2785769661469502</v>
      </c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>
        <f ca="1">IFERROR(__xludf.DUMMYFUNCTION("""COMPUTED_VALUE"""),2021)</f>
        <v>2021</v>
      </c>
      <c r="B4" s="2">
        <f ca="1">IFERROR(__xludf.DUMMYFUNCTION("""COMPUTED_VALUE"""),59.42)</f>
        <v>59.42</v>
      </c>
      <c r="C4" s="2">
        <f ca="1">IFERROR(__xludf.DUMMYFUNCTION("""COMPUTED_VALUE"""),163.059999999999)</f>
        <v>163.05999999999901</v>
      </c>
      <c r="D4" s="2">
        <f ca="1">IFERROR(__xludf.DUMMYFUNCTION("""COMPUTED_VALUE"""),37.59)</f>
        <v>37.590000000000003</v>
      </c>
      <c r="E4" s="2">
        <f ca="1">IFERROR(__xludf.DUMMYFUNCTION("""COMPUTED_VALUE"""),91.96)</f>
        <v>91.96</v>
      </c>
      <c r="F4" s="2">
        <f ca="1">IFERROR(__xludf.DUMMYFUNCTION("""COMPUTED_VALUE"""),642.55)</f>
        <v>642.54999999999995</v>
      </c>
      <c r="G4" s="2">
        <f ca="1">IFERROR(__xludf.DUMMYFUNCTION("""COMPUTED_VALUE"""),414.909999999999)</f>
        <v>414.909999999999</v>
      </c>
      <c r="H4" s="2">
        <f ca="1">IFERROR(__xludf.DUMMYFUNCTION("""COMPUTED_VALUE"""),173.16)</f>
        <v>173.16</v>
      </c>
      <c r="I4" s="2">
        <f ca="1">IFERROR(__xludf.DUMMYFUNCTION("""COMPUTED_VALUE"""),157.78)</f>
        <v>157.78</v>
      </c>
      <c r="J4" s="2">
        <f ca="1">IFERROR(__xludf.DUMMYFUNCTION("""COMPUTED_VALUE"""),401.66)</f>
        <v>401.66</v>
      </c>
      <c r="K4" s="2">
        <f ca="1">IFERROR(__xludf.DUMMYFUNCTION("""COMPUTED_VALUE"""),181.54)</f>
        <v>181.54</v>
      </c>
      <c r="L4" s="2">
        <f ca="1">IFERROR(__xludf.DUMMYFUNCTION("""COMPUTED_VALUE"""),273.22)</f>
        <v>273.22000000000003</v>
      </c>
      <c r="M4" s="2">
        <f ca="1">IFERROR(__xludf.DUMMYFUNCTION("""COMPUTED_VALUE"""),270.01)</f>
        <v>270.01</v>
      </c>
      <c r="N4" s="2">
        <f ca="1">IFERROR(__xludf.DUMMYFUNCTION("""COMPUTED_VALUE"""),2866.85999999999)</f>
        <v>2866.8599999999901</v>
      </c>
      <c r="O4" s="2">
        <f ca="1">IFERROR(__xludf.DUMMYFUNCTION("""COMPUTED_VALUE"""),238.904999999999)</f>
        <v>238.90499999999901</v>
      </c>
      <c r="P4" s="2">
        <f ca="1">IFERROR(__xludf.DUMMYFUNCTION("""COMPUTED_VALUE"""),238.904999999999)</f>
        <v>238.90499999999901</v>
      </c>
      <c r="Q4" s="5">
        <f ca="1">IFERROR(__xludf.DUMMYFUNCTION("""COMPUTED_VALUE"""),3.67837268884936)</f>
        <v>3.6783726888493602</v>
      </c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>
        <f ca="1">IFERROR(__xludf.DUMMYFUNCTION("""COMPUTED_VALUE"""),2022)</f>
        <v>2022</v>
      </c>
      <c r="B5" s="2">
        <f ca="1">IFERROR(__xludf.DUMMYFUNCTION("""COMPUTED_VALUE"""),50.77)</f>
        <v>50.77</v>
      </c>
      <c r="C5" s="2">
        <f ca="1">IFERROR(__xludf.DUMMYFUNCTION("""COMPUTED_VALUE"""),275.5)</f>
        <v>275.5</v>
      </c>
      <c r="D5" s="2">
        <f ca="1">IFERROR(__xludf.DUMMYFUNCTION("""COMPUTED_VALUE"""),490.78)</f>
        <v>490.78</v>
      </c>
      <c r="E5" s="2">
        <f ca="1">IFERROR(__xludf.DUMMYFUNCTION("""COMPUTED_VALUE"""),40.42)</f>
        <v>40.42</v>
      </c>
      <c r="F5" s="2">
        <f ca="1">IFERROR(__xludf.DUMMYFUNCTION("""COMPUTED_VALUE"""),815.75)</f>
        <v>815.75</v>
      </c>
      <c r="G5" s="2">
        <f ca="1">IFERROR(__xludf.DUMMYFUNCTION("""COMPUTED_VALUE"""),540.439999999999)</f>
        <v>540.43999999999903</v>
      </c>
      <c r="H5" s="2">
        <f ca="1">IFERROR(__xludf.DUMMYFUNCTION("""COMPUTED_VALUE"""),137.11)</f>
        <v>137.11000000000001</v>
      </c>
      <c r="I5" s="2">
        <f ca="1">IFERROR(__xludf.DUMMYFUNCTION("""COMPUTED_VALUE"""),869.319999999999)</f>
        <v>869.31999999999903</v>
      </c>
      <c r="J5" s="2">
        <f ca="1">IFERROR(__xludf.DUMMYFUNCTION("""COMPUTED_VALUE"""),452.4)</f>
        <v>452.4</v>
      </c>
      <c r="K5" s="2">
        <f ca="1">IFERROR(__xludf.DUMMYFUNCTION("""COMPUTED_VALUE"""),303.349999999999)</f>
        <v>303.349999999999</v>
      </c>
      <c r="L5" s="2">
        <f ca="1">IFERROR(__xludf.DUMMYFUNCTION("""COMPUTED_VALUE"""),755.02)</f>
        <v>755.02</v>
      </c>
      <c r="M5" s="2">
        <f ca="1">IFERROR(__xludf.DUMMYFUNCTION("""COMPUTED_VALUE"""),779.689999999999)</f>
        <v>779.68999999999903</v>
      </c>
      <c r="N5" s="2">
        <f ca="1">IFERROR(__xludf.DUMMYFUNCTION("""COMPUTED_VALUE"""),5510.55)</f>
        <v>5510.55</v>
      </c>
      <c r="O5" s="2">
        <f ca="1">IFERROR(__xludf.DUMMYFUNCTION("""COMPUTED_VALUE"""),459.2125)</f>
        <v>459.21249999999998</v>
      </c>
      <c r="P5" s="2">
        <f ca="1">IFERROR(__xludf.DUMMYFUNCTION("""COMPUTED_VALUE"""),459.2125)</f>
        <v>459.21249999999998</v>
      </c>
      <c r="Q5" s="5">
        <f ca="1">IFERROR(__xludf.DUMMYFUNCTION("""COMPUTED_VALUE"""),0.922155249994768)</f>
        <v>0.92215524999476794</v>
      </c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>
        <f ca="1">IFERROR(__xludf.DUMMYFUNCTION("""COMPUTED_VALUE"""),2023)</f>
        <v>2023</v>
      </c>
      <c r="B6" s="2">
        <f ca="1">IFERROR(__xludf.DUMMYFUNCTION("""COMPUTED_VALUE"""),816.71)</f>
        <v>816.71</v>
      </c>
      <c r="C6" s="2">
        <f ca="1">IFERROR(__xludf.DUMMYFUNCTION("""COMPUTED_VALUE"""),9.89)</f>
        <v>9.89</v>
      </c>
      <c r="D6" s="2">
        <f ca="1">IFERROR(__xludf.DUMMYFUNCTION("""COMPUTED_VALUE"""),1368.77)</f>
        <v>1368.77</v>
      </c>
      <c r="E6" s="2">
        <f ca="1">IFERROR(__xludf.DUMMYFUNCTION("""COMPUTED_VALUE"""),718.329999999999)</f>
        <v>718.32999999999902</v>
      </c>
      <c r="F6" s="2">
        <f ca="1">IFERROR(__xludf.DUMMYFUNCTION("""COMPUTED_VALUE"""),500.15)</f>
        <v>500.15</v>
      </c>
      <c r="G6" s="2">
        <f ca="1">IFERROR(__xludf.DUMMYFUNCTION("""COMPUTED_VALUE"""),1835.00999999999)</f>
        <v>1835.00999999999</v>
      </c>
      <c r="H6" s="2">
        <f ca="1">IFERROR(__xludf.DUMMYFUNCTION("""COMPUTED_VALUE"""),400.719999999999)</f>
        <v>400.719999999999</v>
      </c>
      <c r="I6" s="2">
        <f ca="1">IFERROR(__xludf.DUMMYFUNCTION("""COMPUTED_VALUE"""),1702.19)</f>
        <v>1702.19</v>
      </c>
      <c r="J6" s="2">
        <f ca="1">IFERROR(__xludf.DUMMYFUNCTION("""COMPUTED_VALUE"""),587.1)</f>
        <v>587.1</v>
      </c>
      <c r="K6" s="2">
        <f ca="1">IFERROR(__xludf.DUMMYFUNCTION("""COMPUTED_VALUE"""),60.39)</f>
        <v>60.39</v>
      </c>
      <c r="L6" s="2">
        <f ca="1">IFERROR(__xludf.DUMMYFUNCTION("""COMPUTED_VALUE"""),1112.53)</f>
        <v>1112.53</v>
      </c>
      <c r="M6" s="2">
        <f ca="1">IFERROR(__xludf.DUMMYFUNCTION("""COMPUTED_VALUE"""),928.53)</f>
        <v>928.53</v>
      </c>
      <c r="N6" s="2">
        <f ca="1">IFERROR(__xludf.DUMMYFUNCTION("""COMPUTED_VALUE"""),10040.32)</f>
        <v>10040.32</v>
      </c>
      <c r="O6" s="2">
        <f ca="1">IFERROR(__xludf.DUMMYFUNCTION("""COMPUTED_VALUE"""),836.693333333333)</f>
        <v>836.69333333333304</v>
      </c>
      <c r="P6" s="2">
        <f ca="1">IFERROR(__xludf.DUMMYFUNCTION("""COMPUTED_VALUE"""),836.693333333333)</f>
        <v>836.69333333333304</v>
      </c>
      <c r="Q6" s="5">
        <f ca="1">IFERROR(__xludf.DUMMYFUNCTION("""COMPUTED_VALUE"""),0.822017765921732)</f>
        <v>0.82201776592173204</v>
      </c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>
        <f ca="1">IFERROR(__xludf.DUMMYFUNCTION("""COMPUTED_VALUE"""),2024)</f>
        <v>2024</v>
      </c>
      <c r="B7" s="2">
        <f ca="1">IFERROR(__xludf.DUMMYFUNCTION("""COMPUTED_VALUE"""),643.529999999999)</f>
        <v>643.52999999999895</v>
      </c>
      <c r="C7" s="2">
        <f ca="1">IFERROR(__xludf.DUMMYFUNCTION("""COMPUTED_VALUE"""),2324.41)</f>
        <v>2324.41</v>
      </c>
      <c r="D7" s="2">
        <f ca="1">IFERROR(__xludf.DUMMYFUNCTION("""COMPUTED_VALUE"""),544.74)</f>
        <v>544.74</v>
      </c>
      <c r="E7" s="2">
        <f ca="1">IFERROR(__xludf.DUMMYFUNCTION("""COMPUTED_VALUE"""),1343.22)</f>
        <v>1343.22</v>
      </c>
      <c r="F7" s="2">
        <f ca="1">IFERROR(__xludf.DUMMYFUNCTION("""COMPUTED_VALUE"""),1932.13)</f>
        <v>1932.13</v>
      </c>
      <c r="G7" s="2">
        <f ca="1">IFERROR(__xludf.DUMMYFUNCTION("""COMPUTED_VALUE"""),2713.79999999999)</f>
        <v>2713.7999999999902</v>
      </c>
      <c r="H7" s="2">
        <f ca="1">IFERROR(__xludf.DUMMYFUNCTION("""COMPUTED_VALUE"""),111.49)</f>
        <v>111.49</v>
      </c>
      <c r="I7" s="2">
        <f ca="1">IFERROR(__xludf.DUMMYFUNCTION("""COMPUTED_VALUE"""),2656.72)</f>
        <v>2656.72</v>
      </c>
      <c r="J7" s="2">
        <f ca="1">IFERROR(__xludf.DUMMYFUNCTION("""COMPUTED_VALUE"""),516.53)</f>
        <v>516.53</v>
      </c>
      <c r="K7" s="2">
        <f ca="1">IFERROR(__xludf.DUMMYFUNCTION("""COMPUTED_VALUE"""),13.4)</f>
        <v>13.4</v>
      </c>
      <c r="L7" s="2">
        <f ca="1">IFERROR(__xludf.DUMMYFUNCTION("""COMPUTED_VALUE"""),703.9)</f>
        <v>703.9</v>
      </c>
      <c r="M7" s="2">
        <f ca="1">IFERROR(__xludf.DUMMYFUNCTION("""COMPUTED_VALUE"""),2277.8)</f>
        <v>2277.8000000000002</v>
      </c>
      <c r="N7" s="2">
        <f ca="1">IFERROR(__xludf.DUMMYFUNCTION("""COMPUTED_VALUE"""),15781.6699999999)</f>
        <v>15781.6699999999</v>
      </c>
      <c r="O7" s="2">
        <f ca="1">IFERROR(__xludf.DUMMYFUNCTION("""COMPUTED_VALUE"""),1315.13916666666)</f>
        <v>1315.13916666666</v>
      </c>
      <c r="P7" s="2">
        <f ca="1">IFERROR(__xludf.DUMMYFUNCTION("""COMPUTED_VALUE"""),1315.13916666666)</f>
        <v>1315.13916666666</v>
      </c>
      <c r="Q7" s="5">
        <f ca="1">IFERROR(__xludf.DUMMYFUNCTION("""COMPUTED_VALUE"""),0.571829383924018)</f>
        <v>0.57182938392401805</v>
      </c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>
        <f ca="1">IFERROR(__xludf.DUMMYFUNCTION("""COMPUTED_VALUE"""),2025)</f>
        <v>2025</v>
      </c>
      <c r="B8" s="2">
        <f ca="1">IFERROR(__xludf.DUMMYFUNCTION("""COMPUTED_VALUE"""),1659.7)</f>
        <v>1659.7</v>
      </c>
      <c r="C8" s="2">
        <f ca="1">IFERROR(__xludf.DUMMYFUNCTION("""COMPUTED_VALUE"""),599.55)</f>
        <v>599.54999999999995</v>
      </c>
      <c r="D8" s="2">
        <f ca="1">IFERROR(__xludf.DUMMYFUNCTION("""COMPUTED_VALUE"""),7358.46)</f>
        <v>7358.46</v>
      </c>
      <c r="E8" s="2">
        <f ca="1">IFERROR(__xludf.DUMMYFUNCTION("""COMPUTED_VALUE"""),2.35)</f>
        <v>2.35</v>
      </c>
      <c r="F8" s="2">
        <f ca="1">IFERROR(__xludf.DUMMYFUNCTION("""COMPUTED_VALUE"""),2734.14)</f>
        <v>2734.14</v>
      </c>
      <c r="G8" s="2">
        <f ca="1">IFERROR(__xludf.DUMMYFUNCTION("""COMPUTED_VALUE"""),2702.12)</f>
        <v>2702.12</v>
      </c>
      <c r="H8" s="2">
        <f ca="1">IFERROR(__xludf.DUMMYFUNCTION("""COMPUTED_VALUE"""),3.18)</f>
        <v>3.18</v>
      </c>
      <c r="I8" s="2">
        <f ca="1">IFERROR(__xludf.DUMMYFUNCTION("""COMPUTED_VALUE"""),6962.55)</f>
        <v>6962.55</v>
      </c>
      <c r="J8" s="2">
        <f ca="1">IFERROR(__xludf.DUMMYFUNCTION("""COMPUTED_VALUE"""),125.039999999999)</f>
        <v>125.039999999999</v>
      </c>
      <c r="K8" s="2">
        <f ca="1">IFERROR(__xludf.DUMMYFUNCTION("""COMPUTED_VALUE"""),2.46)</f>
        <v>2.46</v>
      </c>
      <c r="L8" s="2">
        <f ca="1">IFERROR(__xludf.DUMMYFUNCTION("""COMPUTED_VALUE"""),0)</f>
        <v>0</v>
      </c>
      <c r="M8" s="2">
        <f ca="1">IFERROR(__xludf.DUMMYFUNCTION("""COMPUTED_VALUE"""),0)</f>
        <v>0</v>
      </c>
      <c r="N8" s="2">
        <f ca="1">IFERROR(__xludf.DUMMYFUNCTION("""COMPUTED_VALUE"""),22149.55)</f>
        <v>22149.55</v>
      </c>
      <c r="O8" s="2">
        <f ca="1">IFERROR(__xludf.DUMMYFUNCTION("""COMPUTED_VALUE"""),2752.75625)</f>
        <v>2752.7562499999999</v>
      </c>
      <c r="P8" s="2">
        <f ca="1">IFERROR(__xludf.DUMMYFUNCTION("""COMPUTED_VALUE"""),1845.79583333333)</f>
        <v>1845.7958333333299</v>
      </c>
      <c r="Q8" s="5">
        <f ca="1">IFERROR(__xludf.DUMMYFUNCTION("""COMPUTED_VALUE"""),0.403498489069914)</f>
        <v>0.40349848906991398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10.85546875" customWidth="1"/>
    <col min="2" max="2" width="8.7109375" customWidth="1"/>
    <col min="3" max="3" width="9.42578125" customWidth="1"/>
    <col min="4" max="4" width="9.5703125" customWidth="1"/>
    <col min="5" max="5" width="8.7109375" customWidth="1"/>
    <col min="6" max="6" width="5.85546875" customWidth="1"/>
    <col min="7" max="7" width="6" customWidth="1"/>
    <col min="8" max="8" width="5.85546875" customWidth="1"/>
    <col min="9" max="9" width="6" customWidth="1"/>
  </cols>
  <sheetData>
    <row r="1" spans="1:26" x14ac:dyDescent="0.2">
      <c r="A1" s="1" t="str">
        <f ca="1">IFERROR(__xludf.DUMMYFUNCTION("IMPORTRANGE(""https://docs.google.com/spreadsheets/d/1QEICpkTEbV1Z_LWeaMjl4KVDsEDLt2EDAtqOvRWsWng/edit?gid=520531123#gid=520531123"",""'BTG'!N1:V15"")"),"Grupo")</f>
        <v>Grupo</v>
      </c>
      <c r="B1" s="7">
        <f ca="1">IFERROR(__xludf.DUMMYFUNCTION("""COMPUTED_VALUE"""),45778)</f>
        <v>45778</v>
      </c>
      <c r="C1" s="7">
        <f ca="1">IFERROR(__xludf.DUMMYFUNCTION("""COMPUTED_VALUE"""),45809)</f>
        <v>45809</v>
      </c>
      <c r="D1" s="7">
        <f ca="1">IFERROR(__xludf.DUMMYFUNCTION("""COMPUTED_VALUE"""),45839)</f>
        <v>45839</v>
      </c>
      <c r="E1" s="7">
        <f ca="1">IFERROR(__xludf.DUMMYFUNCTION("""COMPUTED_VALUE"""),45870)</f>
        <v>45870</v>
      </c>
      <c r="F1" s="7">
        <f ca="1">IFERROR(__xludf.DUMMYFUNCTION("""COMPUTED_VALUE"""),45901)</f>
        <v>45901</v>
      </c>
      <c r="G1" s="7">
        <f ca="1">IFERROR(__xludf.DUMMYFUNCTION("""COMPUTED_VALUE"""),45931)</f>
        <v>45931</v>
      </c>
      <c r="H1" s="7">
        <f ca="1">IFERROR(__xludf.DUMMYFUNCTION("""COMPUTED_VALUE"""),45962)</f>
        <v>45962</v>
      </c>
      <c r="I1" s="7">
        <f ca="1">IFERROR(__xludf.DUMMYFUNCTION("""COMPUTED_VALUE"""),45992)</f>
        <v>45992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 t="str">
        <f ca="1">IFERROR(__xludf.DUMMYFUNCTION("""COMPUTED_VALUE"""),"Brave")</f>
        <v>Brave</v>
      </c>
      <c r="B2" s="2">
        <f ca="1">IFERROR(__xludf.DUMMYFUNCTION("""COMPUTED_VALUE"""),9)</f>
        <v>9</v>
      </c>
      <c r="C2" s="2">
        <f ca="1">IFERROR(__xludf.DUMMYFUNCTION("""COMPUTED_VALUE"""),0)</f>
        <v>0</v>
      </c>
      <c r="D2" s="2">
        <f ca="1">IFERROR(__xludf.DUMMYFUNCTION("""COMPUTED_VALUE"""),0)</f>
        <v>0</v>
      </c>
      <c r="E2" s="2">
        <f ca="1">IFERROR(__xludf.DUMMYFUNCTION("""COMPUTED_VALUE"""),0)</f>
        <v>0</v>
      </c>
      <c r="F2" s="2">
        <f ca="1">IFERROR(__xludf.DUMMYFUNCTION("""COMPUTED_VALUE"""),0)</f>
        <v>0</v>
      </c>
      <c r="G2" s="2">
        <f ca="1">IFERROR(__xludf.DUMMYFUNCTION("""COMPUTED_VALUE"""),0)</f>
        <v>0</v>
      </c>
      <c r="H2" s="2">
        <f ca="1">IFERROR(__xludf.DUMMYFUNCTION("""COMPUTED_VALUE"""),0)</f>
        <v>0</v>
      </c>
      <c r="I2" s="2">
        <f ca="1">IFERROR(__xludf.DUMMYFUNCTION("""COMPUTED_VALUE"""),0)</f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 t="str">
        <f ca="1">IFERROR(__xludf.DUMMYFUNCTION("""COMPUTED_VALUE"""),"Hulk")</f>
        <v>Hulk</v>
      </c>
      <c r="B3" s="2">
        <f ca="1">IFERROR(__xludf.DUMMYFUNCTION("""COMPUTED_VALUE"""),329.02)</f>
        <v>329.02</v>
      </c>
      <c r="C3" s="2">
        <f ca="1">IFERROR(__xludf.DUMMYFUNCTION("""COMPUTED_VALUE"""),566.88)</f>
        <v>566.88</v>
      </c>
      <c r="D3" s="2">
        <f ca="1">IFERROR(__xludf.DUMMYFUNCTION("""COMPUTED_VALUE"""),289.5)</f>
        <v>289.5</v>
      </c>
      <c r="E3" s="2">
        <f ca="1">IFERROR(__xludf.DUMMYFUNCTION("""COMPUTED_VALUE"""),357.35)</f>
        <v>357.35</v>
      </c>
      <c r="F3" s="2">
        <f ca="1">IFERROR(__xludf.DUMMYFUNCTION("""COMPUTED_VALUE"""),0)</f>
        <v>0</v>
      </c>
      <c r="G3" s="2">
        <f ca="1">IFERROR(__xludf.DUMMYFUNCTION("""COMPUTED_VALUE"""),0)</f>
        <v>0</v>
      </c>
      <c r="H3" s="2">
        <f ca="1">IFERROR(__xludf.DUMMYFUNCTION("""COMPUTED_VALUE"""),0)</f>
        <v>0</v>
      </c>
      <c r="I3" s="2">
        <f ca="1">IFERROR(__xludf.DUMMYFUNCTION("""COMPUTED_VALUE"""),0)</f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 t="str">
        <f ca="1">IFERROR(__xludf.DUMMYFUNCTION("""COMPUTED_VALUE"""),"Comida")</f>
        <v>Comida</v>
      </c>
      <c r="B4" s="2">
        <f ca="1">IFERROR(__xludf.DUMMYFUNCTION("""COMPUTED_VALUE"""),1057.76)</f>
        <v>1057.76</v>
      </c>
      <c r="C4" s="2">
        <f ca="1">IFERROR(__xludf.DUMMYFUNCTION("""COMPUTED_VALUE"""),1057.37)</f>
        <v>1057.3699999999999</v>
      </c>
      <c r="D4" s="2">
        <f ca="1">IFERROR(__xludf.DUMMYFUNCTION("""COMPUTED_VALUE"""),839.78)</f>
        <v>839.78</v>
      </c>
      <c r="E4" s="2">
        <f ca="1">IFERROR(__xludf.DUMMYFUNCTION("""COMPUTED_VALUE"""),655.459999999999)</f>
        <v>655.45999999999901</v>
      </c>
      <c r="F4" s="2">
        <f ca="1">IFERROR(__xludf.DUMMYFUNCTION("""COMPUTED_VALUE"""),0)</f>
        <v>0</v>
      </c>
      <c r="G4" s="2">
        <f ca="1">IFERROR(__xludf.DUMMYFUNCTION("""COMPUTED_VALUE"""),0)</f>
        <v>0</v>
      </c>
      <c r="H4" s="2">
        <f ca="1">IFERROR(__xludf.DUMMYFUNCTION("""COMPUTED_VALUE"""),0)</f>
        <v>0</v>
      </c>
      <c r="I4" s="2">
        <f ca="1">IFERROR(__xludf.DUMMYFUNCTION("""COMPUTED_VALUE"""),0)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 t="str">
        <f ca="1">IFERROR(__xludf.DUMMYFUNCTION("""COMPUTED_VALUE"""),"Supermercado")</f>
        <v>Supermercado</v>
      </c>
      <c r="B5" s="2">
        <f ca="1">IFERROR(__xludf.DUMMYFUNCTION("""COMPUTED_VALUE"""),345.719999999999)</f>
        <v>345.719999999999</v>
      </c>
      <c r="C5" s="2">
        <f ca="1">IFERROR(__xludf.DUMMYFUNCTION("""COMPUTED_VALUE"""),111.74)</f>
        <v>111.74</v>
      </c>
      <c r="D5" s="2">
        <f ca="1">IFERROR(__xludf.DUMMYFUNCTION("""COMPUTED_VALUE"""),18.27)</f>
        <v>18.27</v>
      </c>
      <c r="E5" s="2">
        <f ca="1">IFERROR(__xludf.DUMMYFUNCTION("""COMPUTED_VALUE"""),557.29)</f>
        <v>557.29</v>
      </c>
      <c r="F5" s="2">
        <f ca="1">IFERROR(__xludf.DUMMYFUNCTION("""COMPUTED_VALUE"""),0)</f>
        <v>0</v>
      </c>
      <c r="G5" s="2">
        <f ca="1">IFERROR(__xludf.DUMMYFUNCTION("""COMPUTED_VALUE"""),0)</f>
        <v>0</v>
      </c>
      <c r="H5" s="2">
        <f ca="1">IFERROR(__xludf.DUMMYFUNCTION("""COMPUTED_VALUE"""),0)</f>
        <v>0</v>
      </c>
      <c r="I5" s="2">
        <f ca="1">IFERROR(__xludf.DUMMYFUNCTION("""COMPUTED_VALUE"""),0)</f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 t="str">
        <f ca="1">IFERROR(__xludf.DUMMYFUNCTION("""COMPUTED_VALUE"""),"Carro")</f>
        <v>Carro</v>
      </c>
      <c r="B6" s="2">
        <f ca="1">IFERROR(__xludf.DUMMYFUNCTION("""COMPUTED_VALUE"""),261.44)</f>
        <v>261.44</v>
      </c>
      <c r="C6" s="2">
        <f ca="1">IFERROR(__xludf.DUMMYFUNCTION("""COMPUTED_VALUE"""),195.8)</f>
        <v>195.8</v>
      </c>
      <c r="D6" s="2">
        <f ca="1">IFERROR(__xludf.DUMMYFUNCTION("""COMPUTED_VALUE"""),278.06)</f>
        <v>278.06</v>
      </c>
      <c r="E6" s="2">
        <f ca="1">IFERROR(__xludf.DUMMYFUNCTION("""COMPUTED_VALUE"""),0)</f>
        <v>0</v>
      </c>
      <c r="F6" s="2">
        <f ca="1">IFERROR(__xludf.DUMMYFUNCTION("""COMPUTED_VALUE"""),0)</f>
        <v>0</v>
      </c>
      <c r="G6" s="2">
        <f ca="1">IFERROR(__xludf.DUMMYFUNCTION("""COMPUTED_VALUE"""),0)</f>
        <v>0</v>
      </c>
      <c r="H6" s="2">
        <f ca="1">IFERROR(__xludf.DUMMYFUNCTION("""COMPUTED_VALUE"""),0)</f>
        <v>0</v>
      </c>
      <c r="I6" s="2">
        <f ca="1">IFERROR(__xludf.DUMMYFUNCTION("""COMPUTED_VALUE"""),0)</f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 t="str">
        <f ca="1">IFERROR(__xludf.DUMMYFUNCTION("""COMPUTED_VALUE"""),"Compras")</f>
        <v>Compras</v>
      </c>
      <c r="B7" s="2">
        <f ca="1">IFERROR(__xludf.DUMMYFUNCTION("""COMPUTED_VALUE"""),1937.61)</f>
        <v>1937.61</v>
      </c>
      <c r="C7" s="2">
        <f ca="1">IFERROR(__xludf.DUMMYFUNCTION("""COMPUTED_VALUE"""),3905.01)</f>
        <v>3905.01</v>
      </c>
      <c r="D7" s="2">
        <f ca="1">IFERROR(__xludf.DUMMYFUNCTION("""COMPUTED_VALUE"""),4321.97999999999)</f>
        <v>4321.9799999999896</v>
      </c>
      <c r="E7" s="2">
        <f ca="1">IFERROR(__xludf.DUMMYFUNCTION("""COMPUTED_VALUE"""),2448.95999999999)</f>
        <v>2448.95999999999</v>
      </c>
      <c r="F7" s="2">
        <f ca="1">IFERROR(__xludf.DUMMYFUNCTION("""COMPUTED_VALUE"""),0)</f>
        <v>0</v>
      </c>
      <c r="G7" s="2">
        <f ca="1">IFERROR(__xludf.DUMMYFUNCTION("""COMPUTED_VALUE"""),0)</f>
        <v>0</v>
      </c>
      <c r="H7" s="2">
        <f ca="1">IFERROR(__xludf.DUMMYFUNCTION("""COMPUTED_VALUE"""),0)</f>
        <v>0</v>
      </c>
      <c r="I7" s="2">
        <f ca="1">IFERROR(__xludf.DUMMYFUNCTION("""COMPUTED_VALUE"""),0)</f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 t="str">
        <f ca="1">IFERROR(__xludf.DUMMYFUNCTION("""COMPUTED_VALUE"""),"Uber/99")</f>
        <v>Uber/99</v>
      </c>
      <c r="B8" s="2">
        <f ca="1">IFERROR(__xludf.DUMMYFUNCTION("""COMPUTED_VALUE"""),0)</f>
        <v>0</v>
      </c>
      <c r="C8" s="2">
        <f ca="1">IFERROR(__xludf.DUMMYFUNCTION("""COMPUTED_VALUE"""),75.52)</f>
        <v>75.52</v>
      </c>
      <c r="D8" s="2">
        <f ca="1">IFERROR(__xludf.DUMMYFUNCTION("""COMPUTED_VALUE"""),82.69)</f>
        <v>82.69</v>
      </c>
      <c r="E8" s="2">
        <f ca="1">IFERROR(__xludf.DUMMYFUNCTION("""COMPUTED_VALUE"""),51.75)</f>
        <v>51.75</v>
      </c>
      <c r="F8" s="2">
        <f ca="1">IFERROR(__xludf.DUMMYFUNCTION("""COMPUTED_VALUE"""),0)</f>
        <v>0</v>
      </c>
      <c r="G8" s="2">
        <f ca="1">IFERROR(__xludf.DUMMYFUNCTION("""COMPUTED_VALUE"""),0)</f>
        <v>0</v>
      </c>
      <c r="H8" s="2">
        <f ca="1">IFERROR(__xludf.DUMMYFUNCTION("""COMPUTED_VALUE"""),0)</f>
        <v>0</v>
      </c>
      <c r="I8" s="2">
        <f ca="1">IFERROR(__xludf.DUMMYFUNCTION("""COMPUTED_VALUE"""),0)</f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 t="str">
        <f ca="1">IFERROR(__xludf.DUMMYFUNCTION("""COMPUTED_VALUE"""),"Assinatura")</f>
        <v>Assinatura</v>
      </c>
      <c r="B9" s="2">
        <f ca="1">IFERROR(__xludf.DUMMYFUNCTION("""COMPUTED_VALUE"""),0)</f>
        <v>0</v>
      </c>
      <c r="C9" s="2">
        <f ca="1">IFERROR(__xludf.DUMMYFUNCTION("""COMPUTED_VALUE"""),100.64)</f>
        <v>100.64</v>
      </c>
      <c r="D9" s="2">
        <f ca="1">IFERROR(__xludf.DUMMYFUNCTION("""COMPUTED_VALUE"""),207.79)</f>
        <v>207.79</v>
      </c>
      <c r="E9" s="2">
        <f ca="1">IFERROR(__xludf.DUMMYFUNCTION("""COMPUTED_VALUE"""),54.89)</f>
        <v>54.89</v>
      </c>
      <c r="F9" s="2">
        <f ca="1">IFERROR(__xludf.DUMMYFUNCTION("""COMPUTED_VALUE"""),0)</f>
        <v>0</v>
      </c>
      <c r="G9" s="2">
        <f ca="1">IFERROR(__xludf.DUMMYFUNCTION("""COMPUTED_VALUE"""),0)</f>
        <v>0</v>
      </c>
      <c r="H9" s="2">
        <f ca="1">IFERROR(__xludf.DUMMYFUNCTION("""COMPUTED_VALUE"""),0)</f>
        <v>0</v>
      </c>
      <c r="I9" s="2">
        <f ca="1">IFERROR(__xludf.DUMMYFUNCTION("""COMPUTED_VALUE"""),0)</f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2">
        <f ca="1">IFERROR(__xludf.DUMMYFUNCTION("""COMPUTED_VALUE"""),0)</f>
        <v>0</v>
      </c>
      <c r="C10" s="2">
        <f ca="1">IFERROR(__xludf.DUMMYFUNCTION("""COMPUTED_VALUE"""),0)</f>
        <v>0</v>
      </c>
      <c r="D10" s="2">
        <f ca="1">IFERROR(__xludf.DUMMYFUNCTION("""COMPUTED_VALUE"""),0)</f>
        <v>0</v>
      </c>
      <c r="E10" s="2">
        <f ca="1">IFERROR(__xludf.DUMMYFUNCTION("""COMPUTED_VALUE"""),0)</f>
        <v>0</v>
      </c>
      <c r="F10" s="2">
        <f ca="1">IFERROR(__xludf.DUMMYFUNCTION("""COMPUTED_VALUE"""),0)</f>
        <v>0</v>
      </c>
      <c r="G10" s="2">
        <f ca="1">IFERROR(__xludf.DUMMYFUNCTION("""COMPUTED_VALUE"""),0)</f>
        <v>0</v>
      </c>
      <c r="H10" s="2">
        <f ca="1">IFERROR(__xludf.DUMMYFUNCTION("""COMPUTED_VALUE"""),0)</f>
        <v>0</v>
      </c>
      <c r="I10" s="2">
        <f ca="1">IFERROR(__xludf.DUMMYFUNCTION("""COMPUTED_VALUE"""),0)</f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 t="str">
        <f ca="1">IFERROR(__xludf.DUMMYFUNCTION("""COMPUTED_VALUE"""),"dti")</f>
        <v>dti</v>
      </c>
      <c r="B11" s="2">
        <f ca="1">IFERROR(__xludf.DUMMYFUNCTION("""COMPUTED_VALUE"""),0)</f>
        <v>0</v>
      </c>
      <c r="C11" s="2">
        <f ca="1">IFERROR(__xludf.DUMMYFUNCTION("""COMPUTED_VALUE"""),536.97)</f>
        <v>536.97</v>
      </c>
      <c r="D11" s="2">
        <f ca="1">IFERROR(__xludf.DUMMYFUNCTION("""COMPUTED_VALUE"""),0)</f>
        <v>0</v>
      </c>
      <c r="E11" s="2">
        <f ca="1">IFERROR(__xludf.DUMMYFUNCTION("""COMPUTED_VALUE"""),0)</f>
        <v>0</v>
      </c>
      <c r="F11" s="2">
        <f ca="1">IFERROR(__xludf.DUMMYFUNCTION("""COMPUTED_VALUE"""),0)</f>
        <v>0</v>
      </c>
      <c r="G11" s="2">
        <f ca="1">IFERROR(__xludf.DUMMYFUNCTION("""COMPUTED_VALUE"""),0)</f>
        <v>0</v>
      </c>
      <c r="H11" s="2">
        <f ca="1">IFERROR(__xludf.DUMMYFUNCTION("""COMPUTED_VALUE"""),0)</f>
        <v>0</v>
      </c>
      <c r="I11" s="2">
        <f ca="1">IFERROR(__xludf.DUMMYFUNCTION("""COMPUTED_VALUE"""),0)</f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 t="str">
        <f ca="1">IFERROR(__xludf.DUMMYFUNCTION("""COMPUTED_VALUE"""),"Viagem")</f>
        <v>Viagem</v>
      </c>
      <c r="B12" s="2">
        <f ca="1">IFERROR(__xludf.DUMMYFUNCTION("""COMPUTED_VALUE"""),0)</f>
        <v>0</v>
      </c>
      <c r="C12" s="2">
        <f ca="1">IFERROR(__xludf.DUMMYFUNCTION("""COMPUTED_VALUE"""),2836.08)</f>
        <v>2836.08</v>
      </c>
      <c r="D12" s="2">
        <f ca="1">IFERROR(__xludf.DUMMYFUNCTION("""COMPUTED_VALUE"""),0)</f>
        <v>0</v>
      </c>
      <c r="E12" s="2">
        <f ca="1">IFERROR(__xludf.DUMMYFUNCTION("""COMPUTED_VALUE"""),0)</f>
        <v>0</v>
      </c>
      <c r="F12" s="2">
        <f ca="1">IFERROR(__xludf.DUMMYFUNCTION("""COMPUTED_VALUE"""),0)</f>
        <v>0</v>
      </c>
      <c r="G12" s="2">
        <f ca="1">IFERROR(__xludf.DUMMYFUNCTION("""COMPUTED_VALUE"""),0)</f>
        <v>0</v>
      </c>
      <c r="H12" s="2">
        <f ca="1">IFERROR(__xludf.DUMMYFUNCTION("""COMPUTED_VALUE"""),0)</f>
        <v>0</v>
      </c>
      <c r="I12" s="2">
        <f ca="1">IFERROR(__xludf.DUMMYFUNCTION("""COMPUTED_VALUE"""),0)</f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 t="str">
        <f ca="1">IFERROR(__xludf.DUMMYFUNCTION("""COMPUTED_VALUE"""),"Bypass")</f>
        <v>Bypass</v>
      </c>
      <c r="B13" s="2">
        <f ca="1">IFERROR(__xludf.DUMMYFUNCTION("""COMPUTED_VALUE"""),1098.38)</f>
        <v>1098.3800000000001</v>
      </c>
      <c r="C13" s="2">
        <f ca="1">IFERROR(__xludf.DUMMYFUNCTION("""COMPUTED_VALUE"""),0)</f>
        <v>0</v>
      </c>
      <c r="D13" s="2">
        <f ca="1">IFERROR(__xludf.DUMMYFUNCTION("""COMPUTED_VALUE"""),0)</f>
        <v>0</v>
      </c>
      <c r="E13" s="2">
        <f ca="1">IFERROR(__xludf.DUMMYFUNCTION("""COMPUTED_VALUE"""),0)</f>
        <v>0</v>
      </c>
      <c r="F13" s="2">
        <f ca="1">IFERROR(__xludf.DUMMYFUNCTION("""COMPUTED_VALUE"""),0)</f>
        <v>0</v>
      </c>
      <c r="G13" s="2">
        <f ca="1">IFERROR(__xludf.DUMMYFUNCTION("""COMPUTED_VALUE"""),0)</f>
        <v>0</v>
      </c>
      <c r="H13" s="2">
        <f ca="1">IFERROR(__xludf.DUMMYFUNCTION("""COMPUTED_VALUE"""),0)</f>
        <v>0</v>
      </c>
      <c r="I13" s="2">
        <f ca="1">IFERROR(__xludf.DUMMYFUNCTION("""COMPUTED_VALUE"""),0)</f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 t="str">
        <f ca="1">IFERROR(__xludf.DUMMYFUNCTION("""COMPUTED_VALUE"""),"-")</f>
        <v>-</v>
      </c>
      <c r="B14" s="2">
        <f ca="1">IFERROR(__xludf.DUMMYFUNCTION("""COMPUTED_VALUE"""),0)</f>
        <v>0</v>
      </c>
      <c r="C14" s="2">
        <f ca="1">IFERROR(__xludf.DUMMYFUNCTION("""COMPUTED_VALUE"""),1711.25)</f>
        <v>1711.25</v>
      </c>
      <c r="D14" s="2">
        <f ca="1">IFERROR(__xludf.DUMMYFUNCTION("""COMPUTED_VALUE"""),6238.46999999999)</f>
        <v>6238.4699999999903</v>
      </c>
      <c r="E14" s="2">
        <f ca="1">IFERROR(__xludf.DUMMYFUNCTION("""COMPUTED_VALUE"""),4897.61)</f>
        <v>4897.6099999999997</v>
      </c>
      <c r="F14" s="2">
        <f ca="1">IFERROR(__xludf.DUMMYFUNCTION("""COMPUTED_VALUE"""),0)</f>
        <v>0</v>
      </c>
      <c r="G14" s="2">
        <f ca="1">IFERROR(__xludf.DUMMYFUNCTION("""COMPUTED_VALUE"""),0)</f>
        <v>0</v>
      </c>
      <c r="H14" s="2">
        <f ca="1">IFERROR(__xludf.DUMMYFUNCTION("""COMPUTED_VALUE"""),0)</f>
        <v>0</v>
      </c>
      <c r="I14" s="2">
        <f ca="1">IFERROR(__xludf.DUMMYFUNCTION("""COMPUTED_VALUE"""),0)</f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 t="str">
        <f ca="1">IFERROR(__xludf.DUMMYFUNCTION("""COMPUTED_VALUE"""),"Total")</f>
        <v>Total</v>
      </c>
      <c r="B15" s="2">
        <f ca="1">IFERROR(__xludf.DUMMYFUNCTION("""COMPUTED_VALUE"""),5038.93)</f>
        <v>5038.93</v>
      </c>
      <c r="C15" s="2">
        <f ca="1">IFERROR(__xludf.DUMMYFUNCTION("""COMPUTED_VALUE"""),11097.26)</f>
        <v>11097.26</v>
      </c>
      <c r="D15" s="2">
        <f ca="1">IFERROR(__xludf.DUMMYFUNCTION("""COMPUTED_VALUE"""),12276.5399999999)</f>
        <v>12276.539999999901</v>
      </c>
      <c r="E15" s="2">
        <f ca="1">IFERROR(__xludf.DUMMYFUNCTION("""COMPUTED_VALUE"""),9023.31)</f>
        <v>9023.31</v>
      </c>
      <c r="F15" s="2">
        <f ca="1">IFERROR(__xludf.DUMMYFUNCTION("""COMPUTED_VALUE"""),0)</f>
        <v>0</v>
      </c>
      <c r="G15" s="2">
        <f ca="1">IFERROR(__xludf.DUMMYFUNCTION("""COMPUTED_VALUE"""),0)</f>
        <v>0</v>
      </c>
      <c r="H15" s="2">
        <f ca="1">IFERROR(__xludf.DUMMYFUNCTION("""COMPUTED_VALUE"""),0)</f>
        <v>0</v>
      </c>
      <c r="I15" s="2">
        <f ca="1">IFERROR(__xludf.DUMMYFUNCTION("""COMPUTED_VALUE"""),0)</f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5.42578125" customWidth="1"/>
    <col min="2" max="2" width="6" customWidth="1"/>
    <col min="3" max="3" width="25.85546875" customWidth="1"/>
    <col min="4" max="4" width="7.42578125" customWidth="1"/>
    <col min="5" max="5" width="7.140625" customWidth="1"/>
    <col min="6" max="6" width="25.85546875" customWidth="1"/>
    <col min="7" max="7" width="10.85546875" customWidth="1"/>
  </cols>
  <sheetData>
    <row r="1" spans="1:26" x14ac:dyDescent="0.2">
      <c r="A1" s="7" t="str">
        <f ca="1">IFERROR(__xludf.DUMMYFUNCTION("IMPORTRANGE(""https://docs.google.com/spreadsheets/d/1QEICpkTEbV1Z_LWeaMjl4KVDsEDLt2EDAtqOvRWsWng/edit?gid=520531123#gid=520531123"",""'BTG'!A:G"")"),"Fatura")</f>
        <v>Fatura</v>
      </c>
      <c r="B1" s="1" t="str">
        <f ca="1">IFERROR(__xludf.DUMMYFUNCTION("""COMPUTED_VALUE"""),"Data")</f>
        <v>Data</v>
      </c>
      <c r="C1" s="1" t="str">
        <f ca="1">IFERROR(__xludf.DUMMYFUNCTION("""COMPUTED_VALUE"""),"Estabelecimento")</f>
        <v>Estabelecimento</v>
      </c>
      <c r="D1" s="2" t="str">
        <f ca="1">IFERROR(__xludf.DUMMYFUNCTION("""COMPUTED_VALUE"""),"Valor")</f>
        <v>Valor</v>
      </c>
      <c r="E1" s="1" t="str">
        <f ca="1">IFERROR(__xludf.DUMMYFUNCTION("""COMPUTED_VALUE"""),"Cartão")</f>
        <v>Cartão</v>
      </c>
      <c r="F1" s="1" t="str">
        <f ca="1">IFERROR(__xludf.DUMMYFUNCTION("""COMPUTED_VALUE"""),"Estabelecimento Fmt")</f>
        <v>Estabelecimento Fmt</v>
      </c>
      <c r="G1" s="1" t="str">
        <f ca="1">IFERROR(__xludf.DUMMYFUNCTION("""COMPUTED_VALUE"""),"Grupo")</f>
        <v>Grupo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7">
        <f ca="1">IFERROR(__xludf.DUMMYFUNCTION("""COMPUTED_VALUE"""),45778)</f>
        <v>45778</v>
      </c>
      <c r="B2" s="7">
        <f ca="1">IFERROR(__xludf.DUMMYFUNCTION("""COMPUTED_VALUE"""),45757)</f>
        <v>45757</v>
      </c>
      <c r="C2" s="1" t="str">
        <f ca="1">IFERROR(__xludf.DUMMYFUNCTION("""COMPUTED_VALUE"""),"Rodrigo De Souza")</f>
        <v>Rodrigo De Souza</v>
      </c>
      <c r="D2" s="2">
        <f ca="1">IFERROR(__xludf.DUMMYFUNCTION("""COMPUTED_VALUE"""),75)</f>
        <v>75</v>
      </c>
      <c r="E2" s="1" t="str">
        <f ca="1">IFERROR(__xludf.DUMMYFUNCTION("""COMPUTED_VALUE"""),"Físico")</f>
        <v>Físico</v>
      </c>
      <c r="F2" s="1" t="str">
        <f ca="1">IFERROR(__xludf.DUMMYFUNCTION("""COMPUTED_VALUE"""),"Rodrigo De Souza")</f>
        <v>Rodrigo De Souza</v>
      </c>
      <c r="G2" s="1" t="str">
        <f ca="1">IFERROR(__xludf.DUMMYFUNCTION("""COMPUTED_VALUE"""),"Bypass")</f>
        <v>Bypass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7">
        <f ca="1">IFERROR(__xludf.DUMMYFUNCTION("""COMPUTED_VALUE"""),45778)</f>
        <v>45778</v>
      </c>
      <c r="B3" s="7">
        <f ca="1">IFERROR(__xludf.DUMMYFUNCTION("""COMPUTED_VALUE"""),45757)</f>
        <v>45757</v>
      </c>
      <c r="C3" s="1" t="str">
        <f ca="1">IFERROR(__xludf.DUMMYFUNCTION("""COMPUTED_VALUE"""),"Wesley")</f>
        <v>Wesley</v>
      </c>
      <c r="D3" s="2">
        <f ca="1">IFERROR(__xludf.DUMMYFUNCTION("""COMPUTED_VALUE"""),23.8)</f>
        <v>23.8</v>
      </c>
      <c r="E3" s="1" t="str">
        <f ca="1">IFERROR(__xludf.DUMMYFUNCTION("""COMPUTED_VALUE"""),"Físico")</f>
        <v>Físico</v>
      </c>
      <c r="F3" s="1" t="str">
        <f ca="1">IFERROR(__xludf.DUMMYFUNCTION("""COMPUTED_VALUE"""),"Wesley")</f>
        <v>Wesley</v>
      </c>
      <c r="G3" s="1" t="str">
        <f ca="1">IFERROR(__xludf.DUMMYFUNCTION("""COMPUTED_VALUE"""),"Bypass")</f>
        <v>Bypass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7">
        <f ca="1">IFERROR(__xludf.DUMMYFUNCTION("""COMPUTED_VALUE"""),45778)</f>
        <v>45778</v>
      </c>
      <c r="B4" s="7">
        <f ca="1">IFERROR(__xludf.DUMMYFUNCTION("""COMPUTED_VALUE"""),45757)</f>
        <v>45757</v>
      </c>
      <c r="C4" s="1" t="str">
        <f ca="1">IFERROR(__xludf.DUMMYFUNCTION("""COMPUTED_VALUE"""),"Brave Community")</f>
        <v>Brave Community</v>
      </c>
      <c r="D4" s="2">
        <f ca="1">IFERROR(__xludf.DUMMYFUNCTION("""COMPUTED_VALUE"""),9)</f>
        <v>9</v>
      </c>
      <c r="E4" s="1" t="str">
        <f ca="1">IFERROR(__xludf.DUMMYFUNCTION("""COMPUTED_VALUE"""),"Físico")</f>
        <v>Físico</v>
      </c>
      <c r="F4" s="1" t="str">
        <f ca="1">IFERROR(__xludf.DUMMYFUNCTION("""COMPUTED_VALUE"""),"Brave Community")</f>
        <v>Brave Community</v>
      </c>
      <c r="G4" s="1" t="str">
        <f ca="1">IFERROR(__xludf.DUMMYFUNCTION("""COMPUTED_VALUE"""),"Brave")</f>
        <v>Brave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7">
        <f ca="1">IFERROR(__xludf.DUMMYFUNCTION("""COMPUTED_VALUE"""),45778)</f>
        <v>45778</v>
      </c>
      <c r="B5" s="7">
        <f ca="1">IFERROR(__xludf.DUMMYFUNCTION("""COMPUTED_VALUE"""),45757)</f>
        <v>45757</v>
      </c>
      <c r="C5" s="1" t="str">
        <f ca="1">IFERROR(__xludf.DUMMYFUNCTION("""COMPUTED_VALUE"""),"Dma Distribuidora Sa")</f>
        <v>Dma Distribuidora Sa</v>
      </c>
      <c r="D5" s="2">
        <f ca="1">IFERROR(__xludf.DUMMYFUNCTION("""COMPUTED_VALUE"""),14.59)</f>
        <v>14.59</v>
      </c>
      <c r="E5" s="1" t="str">
        <f ca="1">IFERROR(__xludf.DUMMYFUNCTION("""COMPUTED_VALUE"""),"Físico")</f>
        <v>Físico</v>
      </c>
      <c r="F5" s="1" t="str">
        <f ca="1">IFERROR(__xludf.DUMMYFUNCTION("""COMPUTED_VALUE"""),"Dma Distribuidora Sa")</f>
        <v>Dma Distribuidora Sa</v>
      </c>
      <c r="G5" s="1" t="str">
        <f ca="1">IFERROR(__xludf.DUMMYFUNCTION("""COMPUTED_VALUE"""),"Bypass")</f>
        <v>Bypass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7">
        <f ca="1">IFERROR(__xludf.DUMMYFUNCTION("""COMPUTED_VALUE"""),45778)</f>
        <v>45778</v>
      </c>
      <c r="B6" s="7">
        <f ca="1">IFERROR(__xludf.DUMMYFUNCTION("""COMPUTED_VALUE"""),45758)</f>
        <v>45758</v>
      </c>
      <c r="C6" s="1" t="str">
        <f ca="1">IFERROR(__xludf.DUMMYFUNCTION("""COMPUTED_VALUE"""),"Kanto Bar")</f>
        <v>Kanto Bar</v>
      </c>
      <c r="D6" s="2">
        <f ca="1">IFERROR(__xludf.DUMMYFUNCTION("""COMPUTED_VALUE"""),5)</f>
        <v>5</v>
      </c>
      <c r="E6" s="1" t="str">
        <f ca="1">IFERROR(__xludf.DUMMYFUNCTION("""COMPUTED_VALUE"""),"Físico")</f>
        <v>Físico</v>
      </c>
      <c r="F6" s="1" t="str">
        <f ca="1">IFERROR(__xludf.DUMMYFUNCTION("""COMPUTED_VALUE"""),"Kanto Bar")</f>
        <v>Kanto Bar</v>
      </c>
      <c r="G6" s="1" t="str">
        <f ca="1">IFERROR(__xludf.DUMMYFUNCTION("""COMPUTED_VALUE"""),"Bypass")</f>
        <v>Bypass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7">
        <f ca="1">IFERROR(__xludf.DUMMYFUNCTION("""COMPUTED_VALUE"""),45778)</f>
        <v>45778</v>
      </c>
      <c r="B7" s="7">
        <f ca="1">IFERROR(__xludf.DUMMYFUNCTION("""COMPUTED_VALUE"""),45759)</f>
        <v>45759</v>
      </c>
      <c r="C7" s="1" t="str">
        <f ca="1">IFERROR(__xludf.DUMMYFUNCTION("""COMPUTED_VALUE"""),"Panif Mendes Sion")</f>
        <v>Panif Mendes Sion</v>
      </c>
      <c r="D7" s="2">
        <f ca="1">IFERROR(__xludf.DUMMYFUNCTION("""COMPUTED_VALUE"""),18.98)</f>
        <v>18.98</v>
      </c>
      <c r="E7" s="1" t="str">
        <f ca="1">IFERROR(__xludf.DUMMYFUNCTION("""COMPUTED_VALUE"""),"Físico")</f>
        <v>Físico</v>
      </c>
      <c r="F7" s="1" t="str">
        <f ca="1">IFERROR(__xludf.DUMMYFUNCTION("""COMPUTED_VALUE"""),"Panif Mendes Sion")</f>
        <v>Panif Mendes Sion</v>
      </c>
      <c r="G7" s="1" t="str">
        <f ca="1">IFERROR(__xludf.DUMMYFUNCTION("""COMPUTED_VALUE"""),"Comida")</f>
        <v>Comida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7">
        <f ca="1">IFERROR(__xludf.DUMMYFUNCTION("""COMPUTED_VALUE"""),45778)</f>
        <v>45778</v>
      </c>
      <c r="B8" s="7">
        <f ca="1">IFERROR(__xludf.DUMMYFUNCTION("""COMPUTED_VALUE"""),45759)</f>
        <v>45759</v>
      </c>
      <c r="C8" s="1" t="str">
        <f ca="1">IFERROR(__xludf.DUMMYFUNCTION("""COMPUTED_VALUE"""),"Alimentar Foods Sao Pe (1/2)")</f>
        <v>Alimentar Foods Sao Pe (1/2)</v>
      </c>
      <c r="D8" s="2">
        <f ca="1">IFERROR(__xludf.DUMMYFUNCTION("""COMPUTED_VALUE"""),246.35)</f>
        <v>246.35</v>
      </c>
      <c r="E8" s="1" t="str">
        <f ca="1">IFERROR(__xludf.DUMMYFUNCTION("""COMPUTED_VALUE"""),"Físico")</f>
        <v>Físico</v>
      </c>
      <c r="F8" s="1" t="str">
        <f ca="1">IFERROR(__xludf.DUMMYFUNCTION("""COMPUTED_VALUE"""),"Alimentar Foods Sao Pe")</f>
        <v>Alimentar Foods Sao Pe</v>
      </c>
      <c r="G8" s="1" t="str">
        <f ca="1">IFERROR(__xludf.DUMMYFUNCTION("""COMPUTED_VALUE"""),"Bypass")</f>
        <v>Bypass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7">
        <f ca="1">IFERROR(__xludf.DUMMYFUNCTION("""COMPUTED_VALUE"""),45778)</f>
        <v>45778</v>
      </c>
      <c r="B9" s="7">
        <f ca="1">IFERROR(__xludf.DUMMYFUNCTION("""COMPUTED_VALUE"""),45759)</f>
        <v>45759</v>
      </c>
      <c r="C9" s="1" t="str">
        <f ca="1">IFERROR(__xludf.DUMMYFUNCTION("""COMPUTED_VALUE"""),"Supermercado &amp; Padaria")</f>
        <v>Supermercado &amp; Padaria</v>
      </c>
      <c r="D9" s="2">
        <f ca="1">IFERROR(__xludf.DUMMYFUNCTION("""COMPUTED_VALUE"""),152.33)</f>
        <v>152.33000000000001</v>
      </c>
      <c r="E9" s="1" t="str">
        <f ca="1">IFERROR(__xludf.DUMMYFUNCTION("""COMPUTED_VALUE"""),"Físico")</f>
        <v>Físico</v>
      </c>
      <c r="F9" s="1" t="str">
        <f ca="1">IFERROR(__xludf.DUMMYFUNCTION("""COMPUTED_VALUE"""),"Supermercado &amp; Padaria")</f>
        <v>Supermercado &amp; Padaria</v>
      </c>
      <c r="G9" s="1" t="str">
        <f ca="1">IFERROR(__xludf.DUMMYFUNCTION("""COMPUTED_VALUE"""),"Comida")</f>
        <v>Comida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7">
        <f ca="1">IFERROR(__xludf.DUMMYFUNCTION("""COMPUTED_VALUE"""),45778)</f>
        <v>45778</v>
      </c>
      <c r="B10" s="7">
        <f ca="1">IFERROR(__xludf.DUMMYFUNCTION("""COMPUTED_VALUE"""),45759)</f>
        <v>45759</v>
      </c>
      <c r="C10" s="1" t="str">
        <f ca="1">IFERROR(__xludf.DUMMYFUNCTION("""COMPUTED_VALUE"""),"Golden Pet")</f>
        <v>Golden Pet</v>
      </c>
      <c r="D10" s="2">
        <f ca="1">IFERROR(__xludf.DUMMYFUNCTION("""COMPUTED_VALUE"""),180)</f>
        <v>180</v>
      </c>
      <c r="E10" s="1" t="str">
        <f ca="1">IFERROR(__xludf.DUMMYFUNCTION("""COMPUTED_VALUE"""),"Físico")</f>
        <v>Físico</v>
      </c>
      <c r="F10" s="1" t="str">
        <f ca="1">IFERROR(__xludf.DUMMYFUNCTION("""COMPUTED_VALUE"""),"Golden Pet")</f>
        <v>Golden Pet</v>
      </c>
      <c r="G10" s="1" t="str">
        <f ca="1">IFERROR(__xludf.DUMMYFUNCTION("""COMPUTED_VALUE"""),"Hulk")</f>
        <v>Hulk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7">
        <f ca="1">IFERROR(__xludf.DUMMYFUNCTION("""COMPUTED_VALUE"""),45778)</f>
        <v>45778</v>
      </c>
      <c r="B11" s="7">
        <f ca="1">IFERROR(__xludf.DUMMYFUNCTION("""COMPUTED_VALUE"""),45760)</f>
        <v>45760</v>
      </c>
      <c r="C11" s="1" t="str">
        <f ca="1">IFERROR(__xludf.DUMMYFUNCTION("""COMPUTED_VALUE"""),"Panif Mendes Sion")</f>
        <v>Panif Mendes Sion</v>
      </c>
      <c r="D11" s="2">
        <f ca="1">IFERROR(__xludf.DUMMYFUNCTION("""COMPUTED_VALUE"""),19.23)</f>
        <v>19.23</v>
      </c>
      <c r="E11" s="1" t="str">
        <f ca="1">IFERROR(__xludf.DUMMYFUNCTION("""COMPUTED_VALUE"""),"Físico")</f>
        <v>Físico</v>
      </c>
      <c r="F11" s="1" t="str">
        <f ca="1">IFERROR(__xludf.DUMMYFUNCTION("""COMPUTED_VALUE"""),"Panif Mendes Sion")</f>
        <v>Panif Mendes Sion</v>
      </c>
      <c r="G11" s="1" t="str">
        <f ca="1">IFERROR(__xludf.DUMMYFUNCTION("""COMPUTED_VALUE"""),"Comida")</f>
        <v>Comida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7">
        <f ca="1">IFERROR(__xludf.DUMMYFUNCTION("""COMPUTED_VALUE"""),45778)</f>
        <v>45778</v>
      </c>
      <c r="B12" s="7">
        <f ca="1">IFERROR(__xludf.DUMMYFUNCTION("""COMPUTED_VALUE"""),45760)</f>
        <v>45760</v>
      </c>
      <c r="C12" s="1" t="str">
        <f ca="1">IFERROR(__xludf.DUMMYFUNCTION("""COMPUTED_VALUE"""),"Vila Aymore")</f>
        <v>Vila Aymore</v>
      </c>
      <c r="D12" s="2">
        <f ca="1">IFERROR(__xludf.DUMMYFUNCTION("""COMPUTED_VALUE"""),159.84)</f>
        <v>159.84</v>
      </c>
      <c r="E12" s="1" t="str">
        <f ca="1">IFERROR(__xludf.DUMMYFUNCTION("""COMPUTED_VALUE"""),"Físico")</f>
        <v>Físico</v>
      </c>
      <c r="F12" s="1" t="str">
        <f ca="1">IFERROR(__xludf.DUMMYFUNCTION("""COMPUTED_VALUE"""),"Vila Aymore")</f>
        <v>Vila Aymore</v>
      </c>
      <c r="G12" s="1" t="str">
        <f ca="1">IFERROR(__xludf.DUMMYFUNCTION("""COMPUTED_VALUE"""),"Bypass")</f>
        <v>Bypass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7">
        <f ca="1">IFERROR(__xludf.DUMMYFUNCTION("""COMPUTED_VALUE"""),45778)</f>
        <v>45778</v>
      </c>
      <c r="B13" s="7">
        <f ca="1">IFERROR(__xludf.DUMMYFUNCTION("""COMPUTED_VALUE"""),45760)</f>
        <v>45760</v>
      </c>
      <c r="C13" s="1" t="str">
        <f ca="1">IFERROR(__xludf.DUMMYFUNCTION("""COMPUTED_VALUE"""),"Sam's Club")</f>
        <v>Sam's Club</v>
      </c>
      <c r="D13" s="2">
        <f ca="1">IFERROR(__xludf.DUMMYFUNCTION("""COMPUTED_VALUE"""),341.57)</f>
        <v>341.57</v>
      </c>
      <c r="E13" s="1" t="str">
        <f ca="1">IFERROR(__xludf.DUMMYFUNCTION("""COMPUTED_VALUE"""),"Físico")</f>
        <v>Físico</v>
      </c>
      <c r="F13" s="1" t="str">
        <f ca="1">IFERROR(__xludf.DUMMYFUNCTION("""COMPUTED_VALUE"""),"Sam's Club")</f>
        <v>Sam's Club</v>
      </c>
      <c r="G13" s="1" t="str">
        <f ca="1">IFERROR(__xludf.DUMMYFUNCTION("""COMPUTED_VALUE"""),"Supermercado")</f>
        <v>Supermercado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7">
        <f ca="1">IFERROR(__xludf.DUMMYFUNCTION("""COMPUTED_VALUE"""),45778)</f>
        <v>45778</v>
      </c>
      <c r="B14" s="7">
        <f ca="1">IFERROR(__xludf.DUMMYFUNCTION("""COMPUTED_VALUE"""),45761)</f>
        <v>45761</v>
      </c>
      <c r="C14" s="1" t="str">
        <f ca="1">IFERROR(__xludf.DUMMYFUNCTION("""COMPUTED_VALUE"""),"Tc Pneus")</f>
        <v>Tc Pneus</v>
      </c>
      <c r="D14" s="2">
        <f ca="1">IFERROR(__xludf.DUMMYFUNCTION("""COMPUTED_VALUE"""),65)</f>
        <v>65</v>
      </c>
      <c r="E14" s="1" t="str">
        <f ca="1">IFERROR(__xludf.DUMMYFUNCTION("""COMPUTED_VALUE"""),"Físico")</f>
        <v>Físico</v>
      </c>
      <c r="F14" s="1" t="str">
        <f ca="1">IFERROR(__xludf.DUMMYFUNCTION("""COMPUTED_VALUE"""),"Tc Pneus")</f>
        <v>Tc Pneus</v>
      </c>
      <c r="G14" s="1" t="str">
        <f ca="1">IFERROR(__xludf.DUMMYFUNCTION("""COMPUTED_VALUE"""),"Carro")</f>
        <v>Carro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7">
        <f ca="1">IFERROR(__xludf.DUMMYFUNCTION("""COMPUTED_VALUE"""),45778)</f>
        <v>45778</v>
      </c>
      <c r="B15" s="7">
        <f ca="1">IFERROR(__xludf.DUMMYFUNCTION("""COMPUTED_VALUE"""),45763)</f>
        <v>45763</v>
      </c>
      <c r="C15" s="1" t="str">
        <f ca="1">IFERROR(__xludf.DUMMYFUNCTION("""COMPUTED_VALUE"""),"Supermercado &amp; Padaria")</f>
        <v>Supermercado &amp; Padaria</v>
      </c>
      <c r="D15" s="2">
        <f ca="1">IFERROR(__xludf.DUMMYFUNCTION("""COMPUTED_VALUE"""),33.97)</f>
        <v>33.97</v>
      </c>
      <c r="E15" s="1" t="str">
        <f ca="1">IFERROR(__xludf.DUMMYFUNCTION("""COMPUTED_VALUE"""),"Físico")</f>
        <v>Físico</v>
      </c>
      <c r="F15" s="1" t="str">
        <f ca="1">IFERROR(__xludf.DUMMYFUNCTION("""COMPUTED_VALUE"""),"Supermercado &amp; Padaria")</f>
        <v>Supermercado &amp; Padaria</v>
      </c>
      <c r="G15" s="1" t="str">
        <f ca="1">IFERROR(__xludf.DUMMYFUNCTION("""COMPUTED_VALUE"""),"Comida")</f>
        <v>Comida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7">
        <f ca="1">IFERROR(__xludf.DUMMYFUNCTION("""COMPUTED_VALUE"""),45778)</f>
        <v>45778</v>
      </c>
      <c r="B16" s="7">
        <f ca="1">IFERROR(__xludf.DUMMYFUNCTION("""COMPUTED_VALUE"""),45763)</f>
        <v>45763</v>
      </c>
      <c r="C16" s="1" t="str">
        <f ca="1">IFERROR(__xludf.DUMMYFUNCTION("""COMPUTED_VALUE"""),"Filial 9 Savassi")</f>
        <v>Filial 9 Savassi</v>
      </c>
      <c r="D16" s="2">
        <f ca="1">IFERROR(__xludf.DUMMYFUNCTION("""COMPUTED_VALUE"""),139.8)</f>
        <v>139.80000000000001</v>
      </c>
      <c r="E16" s="1" t="str">
        <f ca="1">IFERROR(__xludf.DUMMYFUNCTION("""COMPUTED_VALUE"""),"Físico")</f>
        <v>Físico</v>
      </c>
      <c r="F16" s="1" t="str">
        <f ca="1">IFERROR(__xludf.DUMMYFUNCTION("""COMPUTED_VALUE"""),"Filial 9 Savassi")</f>
        <v>Filial 9 Savassi</v>
      </c>
      <c r="G16" s="1" t="str">
        <f ca="1">IFERROR(__xludf.DUMMYFUNCTION("""COMPUTED_VALUE"""),"Bypass")</f>
        <v>Bypass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7">
        <f ca="1">IFERROR(__xludf.DUMMYFUNCTION("""COMPUTED_VALUE"""),45778)</f>
        <v>45778</v>
      </c>
      <c r="B17" s="7">
        <f ca="1">IFERROR(__xludf.DUMMYFUNCTION("""COMPUTED_VALUE"""),45763)</f>
        <v>45763</v>
      </c>
      <c r="C17" s="1" t="str">
        <f ca="1">IFERROR(__xludf.DUMMYFUNCTION("""COMPUTED_VALUE"""),"Deoclecio Gildo Olive")</f>
        <v>Deoclecio Gildo Olive</v>
      </c>
      <c r="D17" s="2">
        <f ca="1">IFERROR(__xludf.DUMMYFUNCTION("""COMPUTED_VALUE"""),13.9)</f>
        <v>13.9</v>
      </c>
      <c r="E17" s="1" t="str">
        <f ca="1">IFERROR(__xludf.DUMMYFUNCTION("""COMPUTED_VALUE"""),"Físico")</f>
        <v>Físico</v>
      </c>
      <c r="F17" s="1" t="str">
        <f ca="1">IFERROR(__xludf.DUMMYFUNCTION("""COMPUTED_VALUE"""),"Deoclecio Gildo Olive")</f>
        <v>Deoclecio Gildo Olive</v>
      </c>
      <c r="G17" s="1" t="str">
        <f ca="1">IFERROR(__xludf.DUMMYFUNCTION("""COMPUTED_VALUE"""),"Bypass")</f>
        <v>Bypass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7">
        <f ca="1">IFERROR(__xludf.DUMMYFUNCTION("""COMPUTED_VALUE"""),45778)</f>
        <v>45778</v>
      </c>
      <c r="B18" s="7">
        <f ca="1">IFERROR(__xludf.DUMMYFUNCTION("""COMPUTED_VALUE"""),45764)</f>
        <v>45764</v>
      </c>
      <c r="C18" s="1" t="str">
        <f ca="1">IFERROR(__xludf.DUMMYFUNCTION("""COMPUTED_VALUE"""),"Nestlé")</f>
        <v>Nestlé</v>
      </c>
      <c r="D18" s="2">
        <f ca="1">IFERROR(__xludf.DUMMYFUNCTION("""COMPUTED_VALUE"""),16.2)</f>
        <v>16.2</v>
      </c>
      <c r="E18" s="1" t="str">
        <f ca="1">IFERROR(__xludf.DUMMYFUNCTION("""COMPUTED_VALUE"""),"Físico")</f>
        <v>Físico</v>
      </c>
      <c r="F18" s="1" t="str">
        <f ca="1">IFERROR(__xludf.DUMMYFUNCTION("""COMPUTED_VALUE"""),"Nestlé")</f>
        <v>Nestlé</v>
      </c>
      <c r="G18" s="1" t="str">
        <f ca="1">IFERROR(__xludf.DUMMYFUNCTION("""COMPUTED_VALUE"""),"Bypass")</f>
        <v>Bypass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7">
        <f ca="1">IFERROR(__xludf.DUMMYFUNCTION("""COMPUTED_VALUE"""),45778)</f>
        <v>45778</v>
      </c>
      <c r="B19" s="7">
        <f ca="1">IFERROR(__xludf.DUMMYFUNCTION("""COMPUTED_VALUE"""),45764)</f>
        <v>45764</v>
      </c>
      <c r="C19" s="1" t="str">
        <f ca="1">IFERROR(__xludf.DUMMYFUNCTION("""COMPUTED_VALUE"""),"Coco Bambu")</f>
        <v>Coco Bambu</v>
      </c>
      <c r="D19" s="2">
        <f ca="1">IFERROR(__xludf.DUMMYFUNCTION("""COMPUTED_VALUE"""),238.29)</f>
        <v>238.29</v>
      </c>
      <c r="E19" s="1" t="str">
        <f ca="1">IFERROR(__xludf.DUMMYFUNCTION("""COMPUTED_VALUE"""),"Físico")</f>
        <v>Físico</v>
      </c>
      <c r="F19" s="1" t="str">
        <f ca="1">IFERROR(__xludf.DUMMYFUNCTION("""COMPUTED_VALUE"""),"Coco Bambu")</f>
        <v>Coco Bambu</v>
      </c>
      <c r="G19" s="1" t="str">
        <f ca="1">IFERROR(__xludf.DUMMYFUNCTION("""COMPUTED_VALUE"""),"Comida")</f>
        <v>Comida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7">
        <f ca="1">IFERROR(__xludf.DUMMYFUNCTION("""COMPUTED_VALUE"""),45778)</f>
        <v>45778</v>
      </c>
      <c r="B20" s="7">
        <f ca="1">IFERROR(__xludf.DUMMYFUNCTION("""COMPUTED_VALUE"""),45764)</f>
        <v>45764</v>
      </c>
      <c r="C20" s="1" t="str">
        <f ca="1">IFERROR(__xludf.DUMMYFUNCTION("""COMPUTED_VALUE"""),"Multiplan")</f>
        <v>Multiplan</v>
      </c>
      <c r="D20" s="2">
        <f ca="1">IFERROR(__xludf.DUMMYFUNCTION("""COMPUTED_VALUE"""),19)</f>
        <v>19</v>
      </c>
      <c r="E20" s="1" t="str">
        <f ca="1">IFERROR(__xludf.DUMMYFUNCTION("""COMPUTED_VALUE"""),"Físico")</f>
        <v>Físico</v>
      </c>
      <c r="F20" s="1" t="str">
        <f ca="1">IFERROR(__xludf.DUMMYFUNCTION("""COMPUTED_VALUE"""),"Multiplan")</f>
        <v>Multiplan</v>
      </c>
      <c r="G20" s="1" t="str">
        <f ca="1">IFERROR(__xludf.DUMMYFUNCTION("""COMPUTED_VALUE"""),"Bypass")</f>
        <v>Bypass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7">
        <f ca="1">IFERROR(__xludf.DUMMYFUNCTION("""COMPUTED_VALUE"""),45778)</f>
        <v>45778</v>
      </c>
      <c r="B21" s="7">
        <f ca="1">IFERROR(__xludf.DUMMYFUNCTION("""COMPUTED_VALUE"""),45765)</f>
        <v>45765</v>
      </c>
      <c r="C21" s="1" t="str">
        <f ca="1">IFERROR(__xludf.DUMMYFUNCTION("""COMPUTED_VALUE"""),"Pão Total")</f>
        <v>Pão Total</v>
      </c>
      <c r="D21" s="2">
        <f ca="1">IFERROR(__xludf.DUMMYFUNCTION("""COMPUTED_VALUE"""),24.42)</f>
        <v>24.42</v>
      </c>
      <c r="E21" s="1" t="str">
        <f ca="1">IFERROR(__xludf.DUMMYFUNCTION("""COMPUTED_VALUE"""),"Físico")</f>
        <v>Físico</v>
      </c>
      <c r="F21" s="1" t="str">
        <f ca="1">IFERROR(__xludf.DUMMYFUNCTION("""COMPUTED_VALUE"""),"Pão Total")</f>
        <v>Pão Total</v>
      </c>
      <c r="G21" s="1" t="str">
        <f ca="1">IFERROR(__xludf.DUMMYFUNCTION("""COMPUTED_VALUE"""),"Comida")</f>
        <v>Comida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7">
        <f ca="1">IFERROR(__xludf.DUMMYFUNCTION("""COMPUTED_VALUE"""),45778)</f>
        <v>45778</v>
      </c>
      <c r="B22" s="7">
        <f ca="1">IFERROR(__xludf.DUMMYFUNCTION("""COMPUTED_VALUE"""),45766)</f>
        <v>45766</v>
      </c>
      <c r="C22" s="1" t="str">
        <f ca="1">IFERROR(__xludf.DUMMYFUNCTION("""COMPUTED_VALUE"""),"Boacha")</f>
        <v>Boacha</v>
      </c>
      <c r="D22" s="2">
        <f ca="1">IFERROR(__xludf.DUMMYFUNCTION("""COMPUTED_VALUE"""),8)</f>
        <v>8</v>
      </c>
      <c r="E22" s="1" t="str">
        <f ca="1">IFERROR(__xludf.DUMMYFUNCTION("""COMPUTED_VALUE"""),"Físico")</f>
        <v>Físico</v>
      </c>
      <c r="F22" s="1" t="str">
        <f ca="1">IFERROR(__xludf.DUMMYFUNCTION("""COMPUTED_VALUE"""),"Boacha")</f>
        <v>Boacha</v>
      </c>
      <c r="G22" s="1" t="str">
        <f ca="1">IFERROR(__xludf.DUMMYFUNCTION("""COMPUTED_VALUE"""),"Comida")</f>
        <v>Comida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7">
        <f ca="1">IFERROR(__xludf.DUMMYFUNCTION("""COMPUTED_VALUE"""),45778)</f>
        <v>45778</v>
      </c>
      <c r="B23" s="7">
        <f ca="1">IFERROR(__xludf.DUMMYFUNCTION("""COMPUTED_VALUE"""),45766)</f>
        <v>45766</v>
      </c>
      <c r="C23" s="1" t="str">
        <f ca="1">IFERROR(__xludf.DUMMYFUNCTION("""COMPUTED_VALUE"""),"Pecado Da Carne")</f>
        <v>Pecado Da Carne</v>
      </c>
      <c r="D23" s="2">
        <f ca="1">IFERROR(__xludf.DUMMYFUNCTION("""COMPUTED_VALUE"""),115)</f>
        <v>115</v>
      </c>
      <c r="E23" s="1" t="str">
        <f ca="1">IFERROR(__xludf.DUMMYFUNCTION("""COMPUTED_VALUE"""),"Físico")</f>
        <v>Físico</v>
      </c>
      <c r="F23" s="1" t="str">
        <f ca="1">IFERROR(__xludf.DUMMYFUNCTION("""COMPUTED_VALUE"""),"Pecado Da Carne")</f>
        <v>Pecado Da Carne</v>
      </c>
      <c r="G23" s="1" t="str">
        <f ca="1">IFERROR(__xludf.DUMMYFUNCTION("""COMPUTED_VALUE"""),"Comida")</f>
        <v>Comida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7">
        <f ca="1">IFERROR(__xludf.DUMMYFUNCTION("""COMPUTED_VALUE"""),45778)</f>
        <v>45778</v>
      </c>
      <c r="B24" s="7">
        <f ca="1">IFERROR(__xludf.DUMMYFUNCTION("""COMPUTED_VALUE"""),45766)</f>
        <v>45766</v>
      </c>
      <c r="C24" s="1" t="str">
        <f ca="1">IFERROR(__xludf.DUMMYFUNCTION("""COMPUTED_VALUE"""),"Gran Burger")</f>
        <v>Gran Burger</v>
      </c>
      <c r="D24" s="2">
        <f ca="1">IFERROR(__xludf.DUMMYFUNCTION("""COMPUTED_VALUE"""),29.07)</f>
        <v>29.07</v>
      </c>
      <c r="E24" s="1" t="str">
        <f ca="1">IFERROR(__xludf.DUMMYFUNCTION("""COMPUTED_VALUE"""),"Físico")</f>
        <v>Físico</v>
      </c>
      <c r="F24" s="1" t="str">
        <f ca="1">IFERROR(__xludf.DUMMYFUNCTION("""COMPUTED_VALUE"""),"Gran Burger")</f>
        <v>Gran Burger</v>
      </c>
      <c r="G24" s="1" t="str">
        <f ca="1">IFERROR(__xludf.DUMMYFUNCTION("""COMPUTED_VALUE"""),"Comida")</f>
        <v>Comida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7">
        <f ca="1">IFERROR(__xludf.DUMMYFUNCTION("""COMPUTED_VALUE"""),45778)</f>
        <v>45778</v>
      </c>
      <c r="B25" s="7">
        <f ca="1">IFERROR(__xludf.DUMMYFUNCTION("""COMPUTED_VALUE"""),45766)</f>
        <v>45766</v>
      </c>
      <c r="C25" s="1" t="str">
        <f ca="1">IFERROR(__xludf.DUMMYFUNCTION("""COMPUTED_VALUE"""),"Pão Total")</f>
        <v>Pão Total</v>
      </c>
      <c r="D25" s="2">
        <f ca="1">IFERROR(__xludf.DUMMYFUNCTION("""COMPUTED_VALUE"""),13.64)</f>
        <v>13.64</v>
      </c>
      <c r="E25" s="1" t="str">
        <f ca="1">IFERROR(__xludf.DUMMYFUNCTION("""COMPUTED_VALUE"""),"Físico")</f>
        <v>Físico</v>
      </c>
      <c r="F25" s="1" t="str">
        <f ca="1">IFERROR(__xludf.DUMMYFUNCTION("""COMPUTED_VALUE"""),"Pão Total")</f>
        <v>Pão Total</v>
      </c>
      <c r="G25" s="1" t="str">
        <f ca="1">IFERROR(__xludf.DUMMYFUNCTION("""COMPUTED_VALUE"""),"Comida")</f>
        <v>Comida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7">
        <f ca="1">IFERROR(__xludf.DUMMYFUNCTION("""COMPUTED_VALUE"""),45778)</f>
        <v>45778</v>
      </c>
      <c r="B26" s="7">
        <f ca="1">IFERROR(__xludf.DUMMYFUNCTION("""COMPUTED_VALUE"""),45767)</f>
        <v>45767</v>
      </c>
      <c r="C26" s="1" t="str">
        <f ca="1">IFERROR(__xludf.DUMMYFUNCTION("""COMPUTED_VALUE"""),"Pizzaria Ltda")</f>
        <v>Pizzaria Ltda</v>
      </c>
      <c r="D26" s="2">
        <f ca="1">IFERROR(__xludf.DUMMYFUNCTION("""COMPUTED_VALUE"""),119.24)</f>
        <v>119.24</v>
      </c>
      <c r="E26" s="1" t="str">
        <f ca="1">IFERROR(__xludf.DUMMYFUNCTION("""COMPUTED_VALUE"""),"Físico")</f>
        <v>Físico</v>
      </c>
      <c r="F26" s="1" t="str">
        <f ca="1">IFERROR(__xludf.DUMMYFUNCTION("""COMPUTED_VALUE"""),"Pizzaria Ltda")</f>
        <v>Pizzaria Ltda</v>
      </c>
      <c r="G26" s="1" t="str">
        <f ca="1">IFERROR(__xludf.DUMMYFUNCTION("""COMPUTED_VALUE"""),"Comida")</f>
        <v>Comida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7">
        <f ca="1">IFERROR(__xludf.DUMMYFUNCTION("""COMPUTED_VALUE"""),45778)</f>
        <v>45778</v>
      </c>
      <c r="B27" s="7">
        <f ca="1">IFERROR(__xludf.DUMMYFUNCTION("""COMPUTED_VALUE"""),45767)</f>
        <v>45767</v>
      </c>
      <c r="C27" s="1" t="str">
        <f ca="1">IFERROR(__xludf.DUMMYFUNCTION("""COMPUTED_VALUE"""),"Beleus Lanches")</f>
        <v>Beleus Lanches</v>
      </c>
      <c r="D27" s="2">
        <f ca="1">IFERROR(__xludf.DUMMYFUNCTION("""COMPUTED_VALUE"""),28.5)</f>
        <v>28.5</v>
      </c>
      <c r="E27" s="1" t="str">
        <f ca="1">IFERROR(__xludf.DUMMYFUNCTION("""COMPUTED_VALUE"""),"Físico")</f>
        <v>Físico</v>
      </c>
      <c r="F27" s="1" t="str">
        <f ca="1">IFERROR(__xludf.DUMMYFUNCTION("""COMPUTED_VALUE"""),"Beleus Lanches")</f>
        <v>Beleus Lanches</v>
      </c>
      <c r="G27" s="1" t="str">
        <f ca="1">IFERROR(__xludf.DUMMYFUNCTION("""COMPUTED_VALUE"""),"Comida")</f>
        <v>Comida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7">
        <f ca="1">IFERROR(__xludf.DUMMYFUNCTION("""COMPUTED_VALUE"""),45778)</f>
        <v>45778</v>
      </c>
      <c r="B28" s="7">
        <f ca="1">IFERROR(__xludf.DUMMYFUNCTION("""COMPUTED_VALUE"""),45768)</f>
        <v>45768</v>
      </c>
      <c r="C28" s="1" t="str">
        <f ca="1">IFERROR(__xludf.DUMMYFUNCTION("""COMPUTED_VALUE"""),"Empório Fazenda Velh")</f>
        <v>Empório Fazenda Velh</v>
      </c>
      <c r="D28" s="2">
        <f ca="1">IFERROR(__xludf.DUMMYFUNCTION("""COMPUTED_VALUE"""),67.5)</f>
        <v>67.5</v>
      </c>
      <c r="E28" s="1" t="str">
        <f ca="1">IFERROR(__xludf.DUMMYFUNCTION("""COMPUTED_VALUE"""),"Físico")</f>
        <v>Físico</v>
      </c>
      <c r="F28" s="1" t="str">
        <f ca="1">IFERROR(__xludf.DUMMYFUNCTION("""COMPUTED_VALUE"""),"Empório Fazenda Velh")</f>
        <v>Empório Fazenda Velh</v>
      </c>
      <c r="G28" s="1" t="str">
        <f ca="1">IFERROR(__xludf.DUMMYFUNCTION("""COMPUTED_VALUE"""),"Comida")</f>
        <v>Comida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7">
        <f ca="1">IFERROR(__xludf.DUMMYFUNCTION("""COMPUTED_VALUE"""),45778)</f>
        <v>45778</v>
      </c>
      <c r="B29" s="7">
        <f ca="1">IFERROR(__xludf.DUMMYFUNCTION("""COMPUTED_VALUE"""),45768)</f>
        <v>45768</v>
      </c>
      <c r="C29" s="1" t="str">
        <f ca="1">IFERROR(__xludf.DUMMYFUNCTION("""COMPUTED_VALUE"""),"Marcus Vinicius")</f>
        <v>Marcus Vinicius</v>
      </c>
      <c r="D29" s="2">
        <f ca="1">IFERROR(__xludf.DUMMYFUNCTION("""COMPUTED_VALUE"""),99.9)</f>
        <v>99.9</v>
      </c>
      <c r="E29" s="1" t="str">
        <f ca="1">IFERROR(__xludf.DUMMYFUNCTION("""COMPUTED_VALUE"""),"Físico")</f>
        <v>Físico</v>
      </c>
      <c r="F29" s="1" t="str">
        <f ca="1">IFERROR(__xludf.DUMMYFUNCTION("""COMPUTED_VALUE"""),"Marcus Vinicius")</f>
        <v>Marcus Vinicius</v>
      </c>
      <c r="G29" s="1" t="str">
        <f ca="1">IFERROR(__xludf.DUMMYFUNCTION("""COMPUTED_VALUE"""),"Bypass")</f>
        <v>Bypass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7">
        <f ca="1">IFERROR(__xludf.DUMMYFUNCTION("""COMPUTED_VALUE"""),45778)</f>
        <v>45778</v>
      </c>
      <c r="B30" s="7">
        <f ca="1">IFERROR(__xludf.DUMMYFUNCTION("""COMPUTED_VALUE"""),45768)</f>
        <v>45768</v>
      </c>
      <c r="C30" s="1" t="str">
        <f ca="1">IFERROR(__xludf.DUMMYFUNCTION("""COMPUTED_VALUE"""),"Panif Mendes Sion")</f>
        <v>Panif Mendes Sion</v>
      </c>
      <c r="D30" s="2">
        <f ca="1">IFERROR(__xludf.DUMMYFUNCTION("""COMPUTED_VALUE"""),15.72)</f>
        <v>15.72</v>
      </c>
      <c r="E30" s="1" t="str">
        <f ca="1">IFERROR(__xludf.DUMMYFUNCTION("""COMPUTED_VALUE"""),"Físico")</f>
        <v>Físico</v>
      </c>
      <c r="F30" s="1" t="str">
        <f ca="1">IFERROR(__xludf.DUMMYFUNCTION("""COMPUTED_VALUE"""),"Panif Mendes Sion")</f>
        <v>Panif Mendes Sion</v>
      </c>
      <c r="G30" s="1" t="str">
        <f ca="1">IFERROR(__xludf.DUMMYFUNCTION("""COMPUTED_VALUE"""),"Comida")</f>
        <v>Comida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7">
        <f ca="1">IFERROR(__xludf.DUMMYFUNCTION("""COMPUTED_VALUE"""),45778)</f>
        <v>45778</v>
      </c>
      <c r="B31" s="7">
        <f ca="1">IFERROR(__xludf.DUMMYFUNCTION("""COMPUTED_VALUE"""),45769)</f>
        <v>45769</v>
      </c>
      <c r="C31" s="1" t="str">
        <f ca="1">IFERROR(__xludf.DUMMYFUNCTION("""COMPUTED_VALUE"""),"Supermercado &amp; Padaria")</f>
        <v>Supermercado &amp; Padaria</v>
      </c>
      <c r="D31" s="2">
        <f ca="1">IFERROR(__xludf.DUMMYFUNCTION("""COMPUTED_VALUE"""),32.23)</f>
        <v>32.229999999999997</v>
      </c>
      <c r="E31" s="1" t="str">
        <f ca="1">IFERROR(__xludf.DUMMYFUNCTION("""COMPUTED_VALUE"""),"Físico")</f>
        <v>Físico</v>
      </c>
      <c r="F31" s="1" t="str">
        <f ca="1">IFERROR(__xludf.DUMMYFUNCTION("""COMPUTED_VALUE"""),"Supermercado &amp; Padaria")</f>
        <v>Supermercado &amp; Padaria</v>
      </c>
      <c r="G31" s="1" t="str">
        <f ca="1">IFERROR(__xludf.DUMMYFUNCTION("""COMPUTED_VALUE"""),"Comida")</f>
        <v>Comida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7">
        <f ca="1">IFERROR(__xludf.DUMMYFUNCTION("""COMPUTED_VALUE"""),45778)</f>
        <v>45778</v>
      </c>
      <c r="B32" s="7">
        <f ca="1">IFERROR(__xludf.DUMMYFUNCTION("""COMPUTED_VALUE"""),45771)</f>
        <v>45771</v>
      </c>
      <c r="C32" s="1" t="str">
        <f ca="1">IFERROR(__xludf.DUMMYFUNCTION("""COMPUTED_VALUE"""),"Moacyrbragafilho")</f>
        <v>Moacyrbragafilho</v>
      </c>
      <c r="D32" s="2">
        <f ca="1">IFERROR(__xludf.DUMMYFUNCTION("""COMPUTED_VALUE"""),31.97)</f>
        <v>31.97</v>
      </c>
      <c r="E32" s="1" t="str">
        <f ca="1">IFERROR(__xludf.DUMMYFUNCTION("""COMPUTED_VALUE"""),"Físico")</f>
        <v>Físico</v>
      </c>
      <c r="F32" s="1" t="str">
        <f ca="1">IFERROR(__xludf.DUMMYFUNCTION("""COMPUTED_VALUE"""),"Moacyrbragafilho")</f>
        <v>Moacyrbragafilho</v>
      </c>
      <c r="G32" s="1" t="str">
        <f ca="1">IFERROR(__xludf.DUMMYFUNCTION("""COMPUTED_VALUE"""),"Bypass")</f>
        <v>Bypass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7">
        <f ca="1">IFERROR(__xludf.DUMMYFUNCTION("""COMPUTED_VALUE"""),45778)</f>
        <v>45778</v>
      </c>
      <c r="B33" s="7">
        <f ca="1">IFERROR(__xludf.DUMMYFUNCTION("""COMPUTED_VALUE"""),45771)</f>
        <v>45771</v>
      </c>
      <c r="C33" s="1" t="str">
        <f ca="1">IFERROR(__xludf.DUMMYFUNCTION("""COMPUTED_VALUE"""),"Supermercado &amp; Padaria")</f>
        <v>Supermercado &amp; Padaria</v>
      </c>
      <c r="D33" s="2">
        <f ca="1">IFERROR(__xludf.DUMMYFUNCTION("""COMPUTED_VALUE"""),24.47)</f>
        <v>24.47</v>
      </c>
      <c r="E33" s="1" t="str">
        <f ca="1">IFERROR(__xludf.DUMMYFUNCTION("""COMPUTED_VALUE"""),"Físico")</f>
        <v>Físico</v>
      </c>
      <c r="F33" s="1" t="str">
        <f ca="1">IFERROR(__xludf.DUMMYFUNCTION("""COMPUTED_VALUE"""),"Supermercado &amp; Padaria")</f>
        <v>Supermercado &amp; Padaria</v>
      </c>
      <c r="G33" s="1" t="str">
        <f ca="1">IFERROR(__xludf.DUMMYFUNCTION("""COMPUTED_VALUE"""),"Comida")</f>
        <v>Comida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7">
        <f ca="1">IFERROR(__xludf.DUMMYFUNCTION("""COMPUTED_VALUE"""),45778)</f>
        <v>45778</v>
      </c>
      <c r="B34" s="7">
        <f ca="1">IFERROR(__xludf.DUMMYFUNCTION("""COMPUTED_VALUE"""),45771)</f>
        <v>45771</v>
      </c>
      <c r="C34" s="1" t="str">
        <f ca="1">IFERROR(__xludf.DUMMYFUNCTION("""COMPUTED_VALUE"""),"Supermercado &amp; Padaria")</f>
        <v>Supermercado &amp; Padaria</v>
      </c>
      <c r="D34" s="2">
        <f ca="1">IFERROR(__xludf.DUMMYFUNCTION("""COMPUTED_VALUE"""),62.61)</f>
        <v>62.61</v>
      </c>
      <c r="E34" s="1" t="str">
        <f ca="1">IFERROR(__xludf.DUMMYFUNCTION("""COMPUTED_VALUE"""),"Físico")</f>
        <v>Físico</v>
      </c>
      <c r="F34" s="1" t="str">
        <f ca="1">IFERROR(__xludf.DUMMYFUNCTION("""COMPUTED_VALUE"""),"Supermercado &amp; Padaria")</f>
        <v>Supermercado &amp; Padaria</v>
      </c>
      <c r="G34" s="1" t="str">
        <f ca="1">IFERROR(__xludf.DUMMYFUNCTION("""COMPUTED_VALUE"""),"Comida")</f>
        <v>Comida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7">
        <f ca="1">IFERROR(__xludf.DUMMYFUNCTION("""COMPUTED_VALUE"""),45778)</f>
        <v>45778</v>
      </c>
      <c r="B35" s="7">
        <f ca="1">IFERROR(__xludf.DUMMYFUNCTION("""COMPUTED_VALUE"""),45772)</f>
        <v>45772</v>
      </c>
      <c r="C35" s="1" t="str">
        <f ca="1">IFERROR(__xludf.DUMMYFUNCTION("""COMPUTED_VALUE"""),"Redentor")</f>
        <v>Redentor</v>
      </c>
      <c r="D35" s="2">
        <f ca="1">IFERROR(__xludf.DUMMYFUNCTION("""COMPUTED_VALUE"""),46.56)</f>
        <v>46.56</v>
      </c>
      <c r="E35" s="1" t="str">
        <f ca="1">IFERROR(__xludf.DUMMYFUNCTION("""COMPUTED_VALUE"""),"Físico")</f>
        <v>Físico</v>
      </c>
      <c r="F35" s="1" t="str">
        <f ca="1">IFERROR(__xludf.DUMMYFUNCTION("""COMPUTED_VALUE"""),"Redentor")</f>
        <v>Redentor</v>
      </c>
      <c r="G35" s="1" t="str">
        <f ca="1">IFERROR(__xludf.DUMMYFUNCTION("""COMPUTED_VALUE"""),"Comida")</f>
        <v>Comida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7">
        <f ca="1">IFERROR(__xludf.DUMMYFUNCTION("""COMPUTED_VALUE"""),45778)</f>
        <v>45778</v>
      </c>
      <c r="B36" s="7">
        <f ca="1">IFERROR(__xludf.DUMMYFUNCTION("""COMPUTED_VALUE"""),45772)</f>
        <v>45772</v>
      </c>
      <c r="C36" s="1" t="str">
        <f ca="1">IFERROR(__xludf.DUMMYFUNCTION("""COMPUTED_VALUE"""),"Café E Cia")</f>
        <v>Café E Cia</v>
      </c>
      <c r="D36" s="2">
        <f ca="1">IFERROR(__xludf.DUMMYFUNCTION("""COMPUTED_VALUE"""),8)</f>
        <v>8</v>
      </c>
      <c r="E36" s="1" t="str">
        <f ca="1">IFERROR(__xludf.DUMMYFUNCTION("""COMPUTED_VALUE"""),"Físico")</f>
        <v>Físico</v>
      </c>
      <c r="F36" s="1" t="str">
        <f ca="1">IFERROR(__xludf.DUMMYFUNCTION("""COMPUTED_VALUE"""),"Café E Cia")</f>
        <v>Café E Cia</v>
      </c>
      <c r="G36" s="1" t="str">
        <f ca="1">IFERROR(__xludf.DUMMYFUNCTION("""COMPUTED_VALUE"""),"Comida")</f>
        <v>Comida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7">
        <f ca="1">IFERROR(__xludf.DUMMYFUNCTION("""COMPUTED_VALUE"""),45778)</f>
        <v>45778</v>
      </c>
      <c r="B37" s="7">
        <f ca="1">IFERROR(__xludf.DUMMYFUNCTION("""COMPUTED_VALUE"""),45773)</f>
        <v>45773</v>
      </c>
      <c r="C37" s="1" t="str">
        <f ca="1">IFERROR(__xludf.DUMMYFUNCTION("""COMPUTED_VALUE"""),"Thais Ruas De Araujo")</f>
        <v>Thais Ruas De Araujo</v>
      </c>
      <c r="D37" s="2">
        <f ca="1">IFERROR(__xludf.DUMMYFUNCTION("""COMPUTED_VALUE"""),55)</f>
        <v>55</v>
      </c>
      <c r="E37" s="1" t="str">
        <f ca="1">IFERROR(__xludf.DUMMYFUNCTION("""COMPUTED_VALUE"""),"Físico")</f>
        <v>Físico</v>
      </c>
      <c r="F37" s="1" t="str">
        <f ca="1">IFERROR(__xludf.DUMMYFUNCTION("""COMPUTED_VALUE"""),"Thais Ruas De Araujo")</f>
        <v>Thais Ruas De Araujo</v>
      </c>
      <c r="G37" s="1" t="str">
        <f ca="1">IFERROR(__xludf.DUMMYFUNCTION("""COMPUTED_VALUE"""),"Bypass")</f>
        <v>Bypass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7">
        <f ca="1">IFERROR(__xludf.DUMMYFUNCTION("""COMPUTED_VALUE"""),45778)</f>
        <v>45778</v>
      </c>
      <c r="B38" s="7">
        <f ca="1">IFERROR(__xludf.DUMMYFUNCTION("""COMPUTED_VALUE"""),45757)</f>
        <v>45757</v>
      </c>
      <c r="C38" s="1" t="str">
        <f ca="1">IFERROR(__xludf.DUMMYFUNCTION("""COMPUTED_VALUE"""),"Amazonmktplc Delutecom (1/2)")</f>
        <v>Amazonmktplc Delutecom (1/2)</v>
      </c>
      <c r="D38" s="2">
        <f ca="1">IFERROR(__xludf.DUMMYFUNCTION("""COMPUTED_VALUE"""),74.95)</f>
        <v>74.95</v>
      </c>
      <c r="E38" s="1" t="str">
        <f ca="1">IFERROR(__xludf.DUMMYFUNCTION("""COMPUTED_VALUE"""),"Virtual")</f>
        <v>Virtual</v>
      </c>
      <c r="F38" s="1" t="str">
        <f ca="1">IFERROR(__xludf.DUMMYFUNCTION("""COMPUTED_VALUE"""),"Amazonmktplc")</f>
        <v>Amazonmktplc</v>
      </c>
      <c r="G38" s="1" t="str">
        <f ca="1">IFERROR(__xludf.DUMMYFUNCTION("""COMPUTED_VALUE"""),"Compras")</f>
        <v>Compras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7">
        <f ca="1">IFERROR(__xludf.DUMMYFUNCTION("""COMPUTED_VALUE"""),45778)</f>
        <v>45778</v>
      </c>
      <c r="B39" s="7">
        <f ca="1">IFERROR(__xludf.DUMMYFUNCTION("""COMPUTED_VALUE"""),45757)</f>
        <v>45757</v>
      </c>
      <c r="C39" s="1" t="str">
        <f ca="1">IFERROR(__xludf.DUMMYFUNCTION("""COMPUTED_VALUE"""),"Amazon (1/3)")</f>
        <v>Amazon (1/3)</v>
      </c>
      <c r="D39" s="2">
        <f ca="1">IFERROR(__xludf.DUMMYFUNCTION("""COMPUTED_VALUE"""),84.54)</f>
        <v>84.54</v>
      </c>
      <c r="E39" s="1" t="str">
        <f ca="1">IFERROR(__xludf.DUMMYFUNCTION("""COMPUTED_VALUE"""),"Virtual")</f>
        <v>Virtual</v>
      </c>
      <c r="F39" s="1" t="str">
        <f ca="1">IFERROR(__xludf.DUMMYFUNCTION("""COMPUTED_VALUE"""),"Amazon")</f>
        <v>Amazon</v>
      </c>
      <c r="G39" s="1" t="str">
        <f ca="1">IFERROR(__xludf.DUMMYFUNCTION("""COMPUTED_VALUE"""),"Compras")</f>
        <v>Compras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7">
        <f ca="1">IFERROR(__xludf.DUMMYFUNCTION("""COMPUTED_VALUE"""),45778)</f>
        <v>45778</v>
      </c>
      <c r="B40" s="7">
        <f ca="1">IFERROR(__xludf.DUMMYFUNCTION("""COMPUTED_VALUE"""),45757)</f>
        <v>45757</v>
      </c>
      <c r="C40" s="1" t="str">
        <f ca="1">IFERROR(__xludf.DUMMYFUNCTION("""COMPUTED_VALUE"""),"Amazon")</f>
        <v>Amazon</v>
      </c>
      <c r="D40" s="2">
        <f ca="1">IFERROR(__xludf.DUMMYFUNCTION("""COMPUTED_VALUE"""),79.61)</f>
        <v>79.61</v>
      </c>
      <c r="E40" s="1" t="str">
        <f ca="1">IFERROR(__xludf.DUMMYFUNCTION("""COMPUTED_VALUE"""),"Virtual")</f>
        <v>Virtual</v>
      </c>
      <c r="F40" s="1" t="str">
        <f ca="1">IFERROR(__xludf.DUMMYFUNCTION("""COMPUTED_VALUE"""),"Amazon")</f>
        <v>Amazon</v>
      </c>
      <c r="G40" s="1" t="str">
        <f ca="1">IFERROR(__xludf.DUMMYFUNCTION("""COMPUTED_VALUE"""),"Compras")</f>
        <v>Compras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7">
        <f ca="1">IFERROR(__xludf.DUMMYFUNCTION("""COMPUTED_VALUE"""),45778)</f>
        <v>45778</v>
      </c>
      <c r="B41" s="7">
        <f ca="1">IFERROR(__xludf.DUMMYFUNCTION("""COMPUTED_VALUE"""),45758)</f>
        <v>45758</v>
      </c>
      <c r="C41" s="1" t="str">
        <f ca="1">IFERROR(__xludf.DUMMYFUNCTION("""COMPUTED_VALUE"""),"Casas Bahia")</f>
        <v>Casas Bahia</v>
      </c>
      <c r="D41" s="2">
        <f ca="1">IFERROR(__xludf.DUMMYFUNCTION("""COMPUTED_VALUE"""),161.42)</f>
        <v>161.41999999999999</v>
      </c>
      <c r="E41" s="1" t="str">
        <f ca="1">IFERROR(__xludf.DUMMYFUNCTION("""COMPUTED_VALUE"""),"Virtual")</f>
        <v>Virtual</v>
      </c>
      <c r="F41" s="1" t="str">
        <f ca="1">IFERROR(__xludf.DUMMYFUNCTION("""COMPUTED_VALUE"""),"Casas Bahia")</f>
        <v>Casas Bahia</v>
      </c>
      <c r="G41" s="1" t="str">
        <f ca="1">IFERROR(__xludf.DUMMYFUNCTION("""COMPUTED_VALUE"""),"Compras")</f>
        <v>Compras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7">
        <f ca="1">IFERROR(__xludf.DUMMYFUNCTION("""COMPUTED_VALUE"""),45778)</f>
        <v>45778</v>
      </c>
      <c r="B42" s="7">
        <f ca="1">IFERROR(__xludf.DUMMYFUNCTION("""COMPUTED_VALUE"""),45761)</f>
        <v>45761</v>
      </c>
      <c r="C42" s="1" t="str">
        <f ca="1">IFERROR(__xludf.DUMMYFUNCTION("""COMPUTED_VALUE"""),"Amazon")</f>
        <v>Amazon</v>
      </c>
      <c r="D42" s="2">
        <f ca="1">IFERROR(__xludf.DUMMYFUNCTION("""COMPUTED_VALUE"""),19.9)</f>
        <v>19.899999999999999</v>
      </c>
      <c r="E42" s="1" t="str">
        <f ca="1">IFERROR(__xludf.DUMMYFUNCTION("""COMPUTED_VALUE"""),"Virtual")</f>
        <v>Virtual</v>
      </c>
      <c r="F42" s="1" t="str">
        <f ca="1">IFERROR(__xludf.DUMMYFUNCTION("""COMPUTED_VALUE"""),"Amazon")</f>
        <v>Amazon</v>
      </c>
      <c r="G42" s="1" t="str">
        <f ca="1">IFERROR(__xludf.DUMMYFUNCTION("""COMPUTED_VALUE"""),"Compras")</f>
        <v>Compras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7">
        <f ca="1">IFERROR(__xludf.DUMMYFUNCTION("""COMPUTED_VALUE"""),45778)</f>
        <v>45778</v>
      </c>
      <c r="B43" s="7">
        <f ca="1">IFERROR(__xludf.DUMMYFUNCTION("""COMPUTED_VALUE"""),45761)</f>
        <v>45761</v>
      </c>
      <c r="C43" s="1" t="str">
        <f ca="1">IFERROR(__xludf.DUMMYFUNCTION("""COMPUTED_VALUE"""),"Mercado Livre")</f>
        <v>Mercado Livre</v>
      </c>
      <c r="D43" s="2">
        <f ca="1">IFERROR(__xludf.DUMMYFUNCTION("""COMPUTED_VALUE"""),60.42)</f>
        <v>60.42</v>
      </c>
      <c r="E43" s="1" t="str">
        <f ca="1">IFERROR(__xludf.DUMMYFUNCTION("""COMPUTED_VALUE"""),"Virtual")</f>
        <v>Virtual</v>
      </c>
      <c r="F43" s="1" t="str">
        <f ca="1">IFERROR(__xludf.DUMMYFUNCTION("""COMPUTED_VALUE"""),"Mercado Livre")</f>
        <v>Mercado Livre</v>
      </c>
      <c r="G43" s="1" t="str">
        <f ca="1">IFERROR(__xludf.DUMMYFUNCTION("""COMPUTED_VALUE"""),"Compras")</f>
        <v>Compras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7">
        <f ca="1">IFERROR(__xludf.DUMMYFUNCTION("""COMPUTED_VALUE"""),45778)</f>
        <v>45778</v>
      </c>
      <c r="B44" s="7">
        <f ca="1">IFERROR(__xludf.DUMMYFUNCTION("""COMPUTED_VALUE"""),45762)</f>
        <v>45762</v>
      </c>
      <c r="C44" s="1" t="str">
        <f ca="1">IFERROR(__xludf.DUMMYFUNCTION("""COMPUTED_VALUE"""),"Amazon")</f>
        <v>Amazon</v>
      </c>
      <c r="D44" s="2">
        <f ca="1">IFERROR(__xludf.DUMMYFUNCTION("""COMPUTED_VALUE"""),9.99)</f>
        <v>9.99</v>
      </c>
      <c r="E44" s="1" t="str">
        <f ca="1">IFERROR(__xludf.DUMMYFUNCTION("""COMPUTED_VALUE"""),"Virtual")</f>
        <v>Virtual</v>
      </c>
      <c r="F44" s="1" t="str">
        <f ca="1">IFERROR(__xludf.DUMMYFUNCTION("""COMPUTED_VALUE"""),"Amazon")</f>
        <v>Amazon</v>
      </c>
      <c r="G44" s="1" t="str">
        <f ca="1">IFERROR(__xludf.DUMMYFUNCTION("""COMPUTED_VALUE"""),"Compras")</f>
        <v>Compras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7">
        <f ca="1">IFERROR(__xludf.DUMMYFUNCTION("""COMPUTED_VALUE"""),45778)</f>
        <v>45778</v>
      </c>
      <c r="B45" s="7">
        <f ca="1">IFERROR(__xludf.DUMMYFUNCTION("""COMPUTED_VALUE"""),45762)</f>
        <v>45762</v>
      </c>
      <c r="C45" s="1" t="str">
        <f ca="1">IFERROR(__xludf.DUMMYFUNCTION("""COMPUTED_VALUE"""),"Amazon")</f>
        <v>Amazon</v>
      </c>
      <c r="D45" s="2">
        <f ca="1">IFERROR(__xludf.DUMMYFUNCTION("""COMPUTED_VALUE"""),30.94)</f>
        <v>30.94</v>
      </c>
      <c r="E45" s="1" t="str">
        <f ca="1">IFERROR(__xludf.DUMMYFUNCTION("""COMPUTED_VALUE"""),"Virtual")</f>
        <v>Virtual</v>
      </c>
      <c r="F45" s="1" t="str">
        <f ca="1">IFERROR(__xludf.DUMMYFUNCTION("""COMPUTED_VALUE"""),"Amazon")</f>
        <v>Amazon</v>
      </c>
      <c r="G45" s="1" t="str">
        <f ca="1">IFERROR(__xludf.DUMMYFUNCTION("""COMPUTED_VALUE"""),"Compras")</f>
        <v>Compras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7">
        <f ca="1">IFERROR(__xludf.DUMMYFUNCTION("""COMPUTED_VALUE"""),45778)</f>
        <v>45778</v>
      </c>
      <c r="B46" s="7">
        <f ca="1">IFERROR(__xludf.DUMMYFUNCTION("""COMPUTED_VALUE"""),45762)</f>
        <v>45762</v>
      </c>
      <c r="C46" s="1" t="str">
        <f ca="1">IFERROR(__xludf.DUMMYFUNCTION("""COMPUTED_VALUE"""),"Lavo Ta Novo (1/2)")</f>
        <v>Lavo Ta Novo (1/2)</v>
      </c>
      <c r="D46" s="2">
        <f ca="1">IFERROR(__xludf.DUMMYFUNCTION("""COMPUTED_VALUE"""),217.5)</f>
        <v>217.5</v>
      </c>
      <c r="E46" s="1" t="str">
        <f ca="1">IFERROR(__xludf.DUMMYFUNCTION("""COMPUTED_VALUE"""),"Virtual")</f>
        <v>Virtual</v>
      </c>
      <c r="F46" s="1" t="str">
        <f ca="1">IFERROR(__xludf.DUMMYFUNCTION("""COMPUTED_VALUE"""),"Lavo Ta Novo")</f>
        <v>Lavo Ta Novo</v>
      </c>
      <c r="G46" s="1" t="str">
        <f ca="1">IFERROR(__xludf.DUMMYFUNCTION("""COMPUTED_VALUE"""),"Compras")</f>
        <v>Compras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7">
        <f ca="1">IFERROR(__xludf.DUMMYFUNCTION("""COMPUTED_VALUE"""),45778)</f>
        <v>45778</v>
      </c>
      <c r="B47" s="7">
        <f ca="1">IFERROR(__xludf.DUMMYFUNCTION("""COMPUTED_VALUE"""),45763)</f>
        <v>45763</v>
      </c>
      <c r="C47" s="1" t="str">
        <f ca="1">IFERROR(__xludf.DUMMYFUNCTION("""COMPUTED_VALUE"""),"Amazon")</f>
        <v>Amazon</v>
      </c>
      <c r="D47" s="2">
        <f ca="1">IFERROR(__xludf.DUMMYFUNCTION("""COMPUTED_VALUE"""),25.9)</f>
        <v>25.9</v>
      </c>
      <c r="E47" s="1" t="str">
        <f ca="1">IFERROR(__xludf.DUMMYFUNCTION("""COMPUTED_VALUE"""),"Virtual")</f>
        <v>Virtual</v>
      </c>
      <c r="F47" s="1" t="str">
        <f ca="1">IFERROR(__xludf.DUMMYFUNCTION("""COMPUTED_VALUE"""),"Amazon")</f>
        <v>Amazon</v>
      </c>
      <c r="G47" s="1" t="str">
        <f ca="1">IFERROR(__xludf.DUMMYFUNCTION("""COMPUTED_VALUE"""),"Compras")</f>
        <v>Compras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7">
        <f ca="1">IFERROR(__xludf.DUMMYFUNCTION("""COMPUTED_VALUE"""),45778)</f>
        <v>45778</v>
      </c>
      <c r="B48" s="7">
        <f ca="1">IFERROR(__xludf.DUMMYFUNCTION("""COMPUTED_VALUE"""),45764)</f>
        <v>45764</v>
      </c>
      <c r="C48" s="1" t="str">
        <f ca="1">IFERROR(__xludf.DUMMYFUNCTION("""COMPUTED_VALUE"""),"Rdsaude Online")</f>
        <v>Rdsaude Online</v>
      </c>
      <c r="D48" s="2">
        <f ca="1">IFERROR(__xludf.DUMMYFUNCTION("""COMPUTED_VALUE"""),48.79)</f>
        <v>48.79</v>
      </c>
      <c r="E48" s="1" t="str">
        <f ca="1">IFERROR(__xludf.DUMMYFUNCTION("""COMPUTED_VALUE"""),"Virtual")</f>
        <v>Virtual</v>
      </c>
      <c r="F48" s="1" t="str">
        <f ca="1">IFERROR(__xludf.DUMMYFUNCTION("""COMPUTED_VALUE"""),"Rdsaude Online")</f>
        <v>Rdsaude Online</v>
      </c>
      <c r="G48" s="1" t="str">
        <f ca="1">IFERROR(__xludf.DUMMYFUNCTION("""COMPUTED_VALUE"""),"Bypass")</f>
        <v>Bypass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7">
        <f ca="1">IFERROR(__xludf.DUMMYFUNCTION("""COMPUTED_VALUE"""),45778)</f>
        <v>45778</v>
      </c>
      <c r="B49" s="7">
        <f ca="1">IFERROR(__xludf.DUMMYFUNCTION("""COMPUTED_VALUE"""),45764)</f>
        <v>45764</v>
      </c>
      <c r="C49" s="1" t="str">
        <f ca="1">IFERROR(__xludf.DUMMYFUNCTION("""COMPUTED_VALUE"""),"Shopee")</f>
        <v>Shopee</v>
      </c>
      <c r="D49" s="2">
        <f ca="1">IFERROR(__xludf.DUMMYFUNCTION("""COMPUTED_VALUE"""),96.64)</f>
        <v>96.64</v>
      </c>
      <c r="E49" s="1" t="str">
        <f ca="1">IFERROR(__xludf.DUMMYFUNCTION("""COMPUTED_VALUE"""),"Virtual")</f>
        <v>Virtual</v>
      </c>
      <c r="F49" s="1" t="str">
        <f ca="1">IFERROR(__xludf.DUMMYFUNCTION("""COMPUTED_VALUE"""),"Shopee")</f>
        <v>Shopee</v>
      </c>
      <c r="G49" s="1" t="str">
        <f ca="1">IFERROR(__xludf.DUMMYFUNCTION("""COMPUTED_VALUE"""),"Compras")</f>
        <v>Compras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7">
        <f ca="1">IFERROR(__xludf.DUMMYFUNCTION("""COMPUTED_VALUE"""),45778)</f>
        <v>45778</v>
      </c>
      <c r="B50" s="7">
        <f ca="1">IFERROR(__xludf.DUMMYFUNCTION("""COMPUTED_VALUE"""),45765)</f>
        <v>45765</v>
      </c>
      <c r="C50" s="1" t="str">
        <f ca="1">IFERROR(__xludf.DUMMYFUNCTION("""COMPUTED_VALUE"""),"Casas Bahia (1/10)")</f>
        <v>Casas Bahia (1/10)</v>
      </c>
      <c r="D50" s="2">
        <f ca="1">IFERROR(__xludf.DUMMYFUNCTION("""COMPUTED_VALUE"""),361.48)</f>
        <v>361.48</v>
      </c>
      <c r="E50" s="1" t="str">
        <f ca="1">IFERROR(__xludf.DUMMYFUNCTION("""COMPUTED_VALUE"""),"Virtual")</f>
        <v>Virtual</v>
      </c>
      <c r="F50" s="1" t="str">
        <f ca="1">IFERROR(__xludf.DUMMYFUNCTION("""COMPUTED_VALUE"""),"Casas Bahia")</f>
        <v>Casas Bahia</v>
      </c>
      <c r="G50" s="1" t="str">
        <f ca="1">IFERROR(__xludf.DUMMYFUNCTION("""COMPUTED_VALUE"""),"Compras")</f>
        <v>Compras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7">
        <f ca="1">IFERROR(__xludf.DUMMYFUNCTION("""COMPUTED_VALUE"""),45778)</f>
        <v>45778</v>
      </c>
      <c r="B51" s="7">
        <f ca="1">IFERROR(__xludf.DUMMYFUNCTION("""COMPUTED_VALUE"""),45765)</f>
        <v>45765</v>
      </c>
      <c r="C51" s="1" t="str">
        <f ca="1">IFERROR(__xludf.DUMMYFUNCTION("""COMPUTED_VALUE"""),"Shopee (1/3)")</f>
        <v>Shopee (1/3)</v>
      </c>
      <c r="D51" s="2">
        <f ca="1">IFERROR(__xludf.DUMMYFUNCTION("""COMPUTED_VALUE"""),89.64)</f>
        <v>89.64</v>
      </c>
      <c r="E51" s="1" t="str">
        <f ca="1">IFERROR(__xludf.DUMMYFUNCTION("""COMPUTED_VALUE"""),"Virtual")</f>
        <v>Virtual</v>
      </c>
      <c r="F51" s="1" t="str">
        <f ca="1">IFERROR(__xludf.DUMMYFUNCTION("""COMPUTED_VALUE"""),"Shopee")</f>
        <v>Shopee</v>
      </c>
      <c r="G51" s="1" t="str">
        <f ca="1">IFERROR(__xludf.DUMMYFUNCTION("""COMPUTED_VALUE"""),"Compras")</f>
        <v>Compras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7">
        <f ca="1">IFERROR(__xludf.DUMMYFUNCTION("""COMPUTED_VALUE"""),45778)</f>
        <v>45778</v>
      </c>
      <c r="B52" s="7">
        <f ca="1">IFERROR(__xludf.DUMMYFUNCTION("""COMPUTED_VALUE"""),45765)</f>
        <v>45765</v>
      </c>
      <c r="C52" s="1" t="str">
        <f ca="1">IFERROR(__xludf.DUMMYFUNCTION("""COMPUTED_VALUE"""),"Yogi Baby (1/3)")</f>
        <v>Yogi Baby (1/3)</v>
      </c>
      <c r="D52" s="2">
        <f ca="1">IFERROR(__xludf.DUMMYFUNCTION("""COMPUTED_VALUE"""),24.49)</f>
        <v>24.49</v>
      </c>
      <c r="E52" s="1" t="str">
        <f ca="1">IFERROR(__xludf.DUMMYFUNCTION("""COMPUTED_VALUE"""),"Virtual")</f>
        <v>Virtual</v>
      </c>
      <c r="F52" s="1" t="str">
        <f ca="1">IFERROR(__xludf.DUMMYFUNCTION("""COMPUTED_VALUE"""),"Yogi Baby")</f>
        <v>Yogi Baby</v>
      </c>
      <c r="G52" s="1" t="str">
        <f ca="1">IFERROR(__xludf.DUMMYFUNCTION("""COMPUTED_VALUE"""),"Compras")</f>
        <v>Compras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7">
        <f ca="1">IFERROR(__xludf.DUMMYFUNCTION("""COMPUTED_VALUE"""),45778)</f>
        <v>45778</v>
      </c>
      <c r="B53" s="7">
        <f ca="1">IFERROR(__xludf.DUMMYFUNCTION("""COMPUTED_VALUE"""),45766)</f>
        <v>45766</v>
      </c>
      <c r="C53" s="1" t="str">
        <f ca="1">IFERROR(__xludf.DUMMYFUNCTION("""COMPUTED_VALUE"""),"Petlove (1/3)")</f>
        <v>Petlove (1/3)</v>
      </c>
      <c r="D53" s="2">
        <f ca="1">IFERROR(__xludf.DUMMYFUNCTION("""COMPUTED_VALUE"""),149.02)</f>
        <v>149.02000000000001</v>
      </c>
      <c r="E53" s="1" t="str">
        <f ca="1">IFERROR(__xludf.DUMMYFUNCTION("""COMPUTED_VALUE"""),"Virtual")</f>
        <v>Virtual</v>
      </c>
      <c r="F53" s="1" t="str">
        <f ca="1">IFERROR(__xludf.DUMMYFUNCTION("""COMPUTED_VALUE"""),"Petlove")</f>
        <v>Petlove</v>
      </c>
      <c r="G53" s="1" t="str">
        <f ca="1">IFERROR(__xludf.DUMMYFUNCTION("""COMPUTED_VALUE"""),"Hulk")</f>
        <v>Hulk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7">
        <f ca="1">IFERROR(__xludf.DUMMYFUNCTION("""COMPUTED_VALUE"""),45778)</f>
        <v>45778</v>
      </c>
      <c r="B54" s="7">
        <f ca="1">IFERROR(__xludf.DUMMYFUNCTION("""COMPUTED_VALUE"""),45767)</f>
        <v>45767</v>
      </c>
      <c r="C54" s="1" t="str">
        <f ca="1">IFERROR(__xludf.DUMMYFUNCTION("""COMPUTED_VALUE"""),"Shopee")</f>
        <v>Shopee</v>
      </c>
      <c r="D54" s="2">
        <f ca="1">IFERROR(__xludf.DUMMYFUNCTION("""COMPUTED_VALUE"""),81.71)</f>
        <v>81.709999999999994</v>
      </c>
      <c r="E54" s="1" t="str">
        <f ca="1">IFERROR(__xludf.DUMMYFUNCTION("""COMPUTED_VALUE"""),"Virtual")</f>
        <v>Virtual</v>
      </c>
      <c r="F54" s="1" t="str">
        <f ca="1">IFERROR(__xludf.DUMMYFUNCTION("""COMPUTED_VALUE"""),"Shopee")</f>
        <v>Shopee</v>
      </c>
      <c r="G54" s="1" t="str">
        <f ca="1">IFERROR(__xludf.DUMMYFUNCTION("""COMPUTED_VALUE"""),"Compras")</f>
        <v>Compras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7">
        <f ca="1">IFERROR(__xludf.DUMMYFUNCTION("""COMPUTED_VALUE"""),45778)</f>
        <v>45778</v>
      </c>
      <c r="B55" s="7">
        <f ca="1">IFERROR(__xludf.DUMMYFUNCTION("""COMPUTED_VALUE"""),45767)</f>
        <v>45767</v>
      </c>
      <c r="C55" s="1" t="str">
        <f ca="1">IFERROR(__xludf.DUMMYFUNCTION("""COMPUTED_VALUE"""),"Shopee")</f>
        <v>Shopee</v>
      </c>
      <c r="D55" s="2">
        <f ca="1">IFERROR(__xludf.DUMMYFUNCTION("""COMPUTED_VALUE"""),105.05)</f>
        <v>105.05</v>
      </c>
      <c r="E55" s="1" t="str">
        <f ca="1">IFERROR(__xludf.DUMMYFUNCTION("""COMPUTED_VALUE"""),"Virtual")</f>
        <v>Virtual</v>
      </c>
      <c r="F55" s="1" t="str">
        <f ca="1">IFERROR(__xludf.DUMMYFUNCTION("""COMPUTED_VALUE"""),"Shopee")</f>
        <v>Shopee</v>
      </c>
      <c r="G55" s="1" t="str">
        <f ca="1">IFERROR(__xludf.DUMMYFUNCTION("""COMPUTED_VALUE"""),"Compras")</f>
        <v>Compras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7">
        <f ca="1">IFERROR(__xludf.DUMMYFUNCTION("""COMPUTED_VALUE"""),45778)</f>
        <v>45778</v>
      </c>
      <c r="B56" s="7">
        <f ca="1">IFERROR(__xludf.DUMMYFUNCTION("""COMPUTED_VALUE"""),45768)</f>
        <v>45768</v>
      </c>
      <c r="C56" s="1" t="str">
        <f ca="1">IFERROR(__xludf.DUMMYFUNCTION("""COMPUTED_VALUE"""),"Lellis Baby (1/3)")</f>
        <v>Lellis Baby (1/3)</v>
      </c>
      <c r="D56" s="2">
        <f ca="1">IFERROR(__xludf.DUMMYFUNCTION("""COMPUTED_VALUE"""),137.14)</f>
        <v>137.13999999999999</v>
      </c>
      <c r="E56" s="1" t="str">
        <f ca="1">IFERROR(__xludf.DUMMYFUNCTION("""COMPUTED_VALUE"""),"Virtual")</f>
        <v>Virtual</v>
      </c>
      <c r="F56" s="1" t="str">
        <f ca="1">IFERROR(__xludf.DUMMYFUNCTION("""COMPUTED_VALUE"""),"Lellis Baby")</f>
        <v>Lellis Baby</v>
      </c>
      <c r="G56" s="1" t="str">
        <f ca="1">IFERROR(__xludf.DUMMYFUNCTION("""COMPUTED_VALUE"""),"Compras")</f>
        <v>Compras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7">
        <f ca="1">IFERROR(__xludf.DUMMYFUNCTION("""COMPUTED_VALUE"""),45778)</f>
        <v>45778</v>
      </c>
      <c r="B57" s="7">
        <f ca="1">IFERROR(__xludf.DUMMYFUNCTION("""COMPUTED_VALUE"""),45768)</f>
        <v>45768</v>
      </c>
      <c r="C57" s="1" t="str">
        <f ca="1">IFERROR(__xludf.DUMMYFUNCTION("""COMPUTED_VALUE"""),"Alce (1/3)")</f>
        <v>Alce (1/3)</v>
      </c>
      <c r="D57" s="2">
        <f ca="1">IFERROR(__xludf.DUMMYFUNCTION("""COMPUTED_VALUE"""),139.18)</f>
        <v>139.18</v>
      </c>
      <c r="E57" s="1" t="str">
        <f ca="1">IFERROR(__xludf.DUMMYFUNCTION("""COMPUTED_VALUE"""),"Virtual")</f>
        <v>Virtual</v>
      </c>
      <c r="F57" s="1" t="str">
        <f ca="1">IFERROR(__xludf.DUMMYFUNCTION("""COMPUTED_VALUE"""),"Alce")</f>
        <v>Alce</v>
      </c>
      <c r="G57" s="1" t="str">
        <f ca="1">IFERROR(__xludf.DUMMYFUNCTION("""COMPUTED_VALUE"""),"Compras")</f>
        <v>Compras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7">
        <f ca="1">IFERROR(__xludf.DUMMYFUNCTION("""COMPUTED_VALUE"""),45778)</f>
        <v>45778</v>
      </c>
      <c r="B58" s="7">
        <f ca="1">IFERROR(__xludf.DUMMYFUNCTION("""COMPUTED_VALUE"""),45770)</f>
        <v>45770</v>
      </c>
      <c r="C58" s="1" t="str">
        <f ca="1">IFERROR(__xludf.DUMMYFUNCTION("""COMPUTED_VALUE"""),"Amazonmktplc Bs Comerc")</f>
        <v>Amazonmktplc Bs Comerc</v>
      </c>
      <c r="D58" s="2">
        <f ca="1">IFERROR(__xludf.DUMMYFUNCTION("""COMPUTED_VALUE"""),67.11)</f>
        <v>67.11</v>
      </c>
      <c r="E58" s="1" t="str">
        <f ca="1">IFERROR(__xludf.DUMMYFUNCTION("""COMPUTED_VALUE"""),"Virtual")</f>
        <v>Virtual</v>
      </c>
      <c r="F58" s="1" t="str">
        <f ca="1">IFERROR(__xludf.DUMMYFUNCTION("""COMPUTED_VALUE"""),"Amazonmktplc")</f>
        <v>Amazonmktplc</v>
      </c>
      <c r="G58" s="1" t="str">
        <f ca="1">IFERROR(__xludf.DUMMYFUNCTION("""COMPUTED_VALUE"""),"Compras")</f>
        <v>Compras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7">
        <f ca="1">IFERROR(__xludf.DUMMYFUNCTION("""COMPUTED_VALUE"""),45778)</f>
        <v>45778</v>
      </c>
      <c r="B59" s="7">
        <f ca="1">IFERROR(__xludf.DUMMYFUNCTION("""COMPUTED_VALUE"""),45765)</f>
        <v>45765</v>
      </c>
      <c r="C59" s="1" t="str">
        <f ca="1">IFERROR(__xludf.DUMMYFUNCTION("""COMPUTED_VALUE"""),"Posto Casa Muzzi")</f>
        <v>Posto Casa Muzzi</v>
      </c>
      <c r="D59" s="2">
        <f ca="1">IFERROR(__xludf.DUMMYFUNCTION("""COMPUTED_VALUE"""),196.44)</f>
        <v>196.44</v>
      </c>
      <c r="E59" s="1" t="str">
        <f ca="1">IFERROR(__xludf.DUMMYFUNCTION("""COMPUTED_VALUE"""),"Adicional")</f>
        <v>Adicional</v>
      </c>
      <c r="F59" s="1" t="str">
        <f ca="1">IFERROR(__xludf.DUMMYFUNCTION("""COMPUTED_VALUE"""),"Posto Casa Muzzi")</f>
        <v>Posto Casa Muzzi</v>
      </c>
      <c r="G59" s="1" t="str">
        <f ca="1">IFERROR(__xludf.DUMMYFUNCTION("""COMPUTED_VALUE"""),"Carro")</f>
        <v>Carro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7">
        <f ca="1">IFERROR(__xludf.DUMMYFUNCTION("""COMPUTED_VALUE"""),45778)</f>
        <v>45778</v>
      </c>
      <c r="B60" s="7">
        <f ca="1">IFERROR(__xludf.DUMMYFUNCTION("""COMPUTED_VALUE"""),45770)</f>
        <v>45770</v>
      </c>
      <c r="C60" s="1" t="str">
        <f ca="1">IFERROR(__xludf.DUMMYFUNCTION("""COMPUTED_VALUE"""),"Super Nosso")</f>
        <v>Super Nosso</v>
      </c>
      <c r="D60" s="2">
        <f ca="1">IFERROR(__xludf.DUMMYFUNCTION("""COMPUTED_VALUE"""),4.15)</f>
        <v>4.1500000000000004</v>
      </c>
      <c r="E60" s="1" t="str">
        <f ca="1">IFERROR(__xludf.DUMMYFUNCTION("""COMPUTED_VALUE"""),"Adicional")</f>
        <v>Adicional</v>
      </c>
      <c r="F60" s="1" t="str">
        <f ca="1">IFERROR(__xludf.DUMMYFUNCTION("""COMPUTED_VALUE"""),"Super Nosso")</f>
        <v>Super Nosso</v>
      </c>
      <c r="G60" s="1" t="str">
        <f ca="1">IFERROR(__xludf.DUMMYFUNCTION("""COMPUTED_VALUE"""),"Supermercado")</f>
        <v>Supermercado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7">
        <f ca="1">IFERROR(__xludf.DUMMYFUNCTION("""COMPUTED_VALUE"""),45778)</f>
        <v>45778</v>
      </c>
      <c r="B61" s="7">
        <f ca="1">IFERROR(__xludf.DUMMYFUNCTION("""COMPUTED_VALUE"""),45766)</f>
        <v>45766</v>
      </c>
      <c r="C61" s="1" t="str">
        <f ca="1">IFERROR(__xludf.DUMMYFUNCTION("""COMPUTED_VALUE"""),"Stop Celular")</f>
        <v>Stop Celular</v>
      </c>
      <c r="D61" s="2">
        <f ca="1">IFERROR(__xludf.DUMMYFUNCTION("""COMPUTED_VALUE"""),70)</f>
        <v>70</v>
      </c>
      <c r="E61" s="1" t="str">
        <f ca="1">IFERROR(__xludf.DUMMYFUNCTION("""COMPUTED_VALUE"""),"Físico")</f>
        <v>Físico</v>
      </c>
      <c r="F61" s="1" t="str">
        <f ca="1">IFERROR(__xludf.DUMMYFUNCTION("""COMPUTED_VALUE"""),"Stop Celular")</f>
        <v>Stop Celular</v>
      </c>
      <c r="G61" s="1" t="str">
        <f ca="1">IFERROR(__xludf.DUMMYFUNCTION("""COMPUTED_VALUE"""),"Compras")</f>
        <v>Compras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7">
        <f ca="1">IFERROR(__xludf.DUMMYFUNCTION("""COMPUTED_VALUE"""),45778)</f>
        <v>45778</v>
      </c>
      <c r="B62" s="7">
        <f ca="1">IFERROR(__xludf.DUMMYFUNCTION("""COMPUTED_VALUE"""),45766)</f>
        <v>45766</v>
      </c>
      <c r="C62" s="1" t="str">
        <f ca="1">IFERROR(__xludf.DUMMYFUNCTION("""COMPUTED_VALUE"""),"Mpm Comercio Filial")</f>
        <v>Mpm Comercio Filial</v>
      </c>
      <c r="D62" s="2">
        <f ca="1">IFERROR(__xludf.DUMMYFUNCTION("""COMPUTED_VALUE"""),129.9)</f>
        <v>129.9</v>
      </c>
      <c r="E62" s="1" t="str">
        <f ca="1">IFERROR(__xludf.DUMMYFUNCTION("""COMPUTED_VALUE"""),"Físico")</f>
        <v>Físico</v>
      </c>
      <c r="F62" s="1" t="str">
        <f ca="1">IFERROR(__xludf.DUMMYFUNCTION("""COMPUTED_VALUE"""),"Mpm Comercio Filial")</f>
        <v>Mpm Comercio Filial</v>
      </c>
      <c r="G62" s="1" t="str">
        <f ca="1">IFERROR(__xludf.DUMMYFUNCTION("""COMPUTED_VALUE"""),"Bypass")</f>
        <v>Bypass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7">
        <f ca="1">IFERROR(__xludf.DUMMYFUNCTION("""COMPUTED_VALUE"""),45778)</f>
        <v>45778</v>
      </c>
      <c r="B63" s="7">
        <f ca="1">IFERROR(__xludf.DUMMYFUNCTION("""COMPUTED_VALUE"""),45770)</f>
        <v>45770</v>
      </c>
      <c r="C63" s="1" t="str">
        <f ca="1">IFERROR(__xludf.DUMMYFUNCTION("""COMPUTED_VALUE"""),"Dma Distribuidora Sa")</f>
        <v>Dma Distribuidora Sa</v>
      </c>
      <c r="D63" s="2">
        <f ca="1">IFERROR(__xludf.DUMMYFUNCTION("""COMPUTED_VALUE"""),19.34)</f>
        <v>19.34</v>
      </c>
      <c r="E63" s="1" t="str">
        <f ca="1">IFERROR(__xludf.DUMMYFUNCTION("""COMPUTED_VALUE"""),"Físico")</f>
        <v>Físico</v>
      </c>
      <c r="F63" s="1" t="str">
        <f ca="1">IFERROR(__xludf.DUMMYFUNCTION("""COMPUTED_VALUE"""),"Dma Distribuidora Sa")</f>
        <v>Dma Distribuidora Sa</v>
      </c>
      <c r="G63" s="1" t="str">
        <f ca="1">IFERROR(__xludf.DUMMYFUNCTION("""COMPUTED_VALUE"""),"Bypass")</f>
        <v>Bypass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7">
        <f ca="1">IFERROR(__xludf.DUMMYFUNCTION("""COMPUTED_VALUE"""),45809)</f>
        <v>45809</v>
      </c>
      <c r="B64" s="7">
        <f ca="1">IFERROR(__xludf.DUMMYFUNCTION("""COMPUTED_VALUE"""),45759)</f>
        <v>45759</v>
      </c>
      <c r="C64" s="1" t="str">
        <f ca="1">IFERROR(__xludf.DUMMYFUNCTION("""COMPUTED_VALUE"""),"Alimentar Foods Sao Pe (2/2)")</f>
        <v>Alimentar Foods Sao Pe (2/2)</v>
      </c>
      <c r="D64" s="2">
        <f ca="1">IFERROR(__xludf.DUMMYFUNCTION("""COMPUTED_VALUE"""),246.34)</f>
        <v>246.34</v>
      </c>
      <c r="E64" s="1" t="str">
        <f ca="1">IFERROR(__xludf.DUMMYFUNCTION("""COMPUTED_VALUE"""),"-")</f>
        <v>-</v>
      </c>
      <c r="F64" s="1" t="str">
        <f ca="1">IFERROR(__xludf.DUMMYFUNCTION("""COMPUTED_VALUE"""),"Alimentar Foods Sao Pe")</f>
        <v>Alimentar Foods Sao Pe</v>
      </c>
      <c r="G64" s="1" t="str">
        <f ca="1">IFERROR(__xludf.DUMMYFUNCTION("""COMPUTED_VALUE"""),"-")</f>
        <v>-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7">
        <f ca="1">IFERROR(__xludf.DUMMYFUNCTION("""COMPUTED_VALUE"""),45809)</f>
        <v>45809</v>
      </c>
      <c r="B65" s="7">
        <f ca="1">IFERROR(__xludf.DUMMYFUNCTION("""COMPUTED_VALUE"""),45773)</f>
        <v>45773</v>
      </c>
      <c r="C65" s="1" t="str">
        <f ca="1">IFERROR(__xludf.DUMMYFUNCTION("""COMPUTED_VALUE"""),"Panif Mendes Sion")</f>
        <v>Panif Mendes Sion</v>
      </c>
      <c r="D65" s="2">
        <f ca="1">IFERROR(__xludf.DUMMYFUNCTION("""COMPUTED_VALUE"""),20.44)</f>
        <v>20.440000000000001</v>
      </c>
      <c r="E65" s="1" t="str">
        <f ca="1">IFERROR(__xludf.DUMMYFUNCTION("""COMPUTED_VALUE"""),"-")</f>
        <v>-</v>
      </c>
      <c r="F65" s="1" t="str">
        <f ca="1">IFERROR(__xludf.DUMMYFUNCTION("""COMPUTED_VALUE"""),"Panif Mendes Sion")</f>
        <v>Panif Mendes Sion</v>
      </c>
      <c r="G65" s="1" t="str">
        <f ca="1">IFERROR(__xludf.DUMMYFUNCTION("""COMPUTED_VALUE"""),"Comida")</f>
        <v>Comida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7">
        <f ca="1">IFERROR(__xludf.DUMMYFUNCTION("""COMPUTED_VALUE"""),45809)</f>
        <v>45809</v>
      </c>
      <c r="B66" s="7">
        <f ca="1">IFERROR(__xludf.DUMMYFUNCTION("""COMPUTED_VALUE"""),45773)</f>
        <v>45773</v>
      </c>
      <c r="C66" s="1" t="str">
        <f ca="1">IFERROR(__xludf.DUMMYFUNCTION("""COMPUTED_VALUE"""),"Panif Mendes Sion")</f>
        <v>Panif Mendes Sion</v>
      </c>
      <c r="D66" s="2">
        <f ca="1">IFERROR(__xludf.DUMMYFUNCTION("""COMPUTED_VALUE"""),4.09)</f>
        <v>4.09</v>
      </c>
      <c r="E66" s="1" t="str">
        <f ca="1">IFERROR(__xludf.DUMMYFUNCTION("""COMPUTED_VALUE"""),"-")</f>
        <v>-</v>
      </c>
      <c r="F66" s="1" t="str">
        <f ca="1">IFERROR(__xludf.DUMMYFUNCTION("""COMPUTED_VALUE"""),"Panif Mendes Sion")</f>
        <v>Panif Mendes Sion</v>
      </c>
      <c r="G66" s="1" t="str">
        <f ca="1">IFERROR(__xludf.DUMMYFUNCTION("""COMPUTED_VALUE"""),"Comida")</f>
        <v>Comida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7">
        <f ca="1">IFERROR(__xludf.DUMMYFUNCTION("""COMPUTED_VALUE"""),45809)</f>
        <v>45809</v>
      </c>
      <c r="B67" s="7">
        <f ca="1">IFERROR(__xludf.DUMMYFUNCTION("""COMPUTED_VALUE"""),45774)</f>
        <v>45774</v>
      </c>
      <c r="C67" s="1" t="str">
        <f ca="1">IFERROR(__xludf.DUMMYFUNCTION("""COMPUTED_VALUE"""),"Betoeana34")</f>
        <v>Betoeana34</v>
      </c>
      <c r="D67" s="2">
        <f ca="1">IFERROR(__xludf.DUMMYFUNCTION("""COMPUTED_VALUE"""),72)</f>
        <v>72</v>
      </c>
      <c r="E67" s="1" t="str">
        <f ca="1">IFERROR(__xludf.DUMMYFUNCTION("""COMPUTED_VALUE"""),"-")</f>
        <v>-</v>
      </c>
      <c r="F67" s="1" t="str">
        <f ca="1">IFERROR(__xludf.DUMMYFUNCTION("""COMPUTED_VALUE"""),"Betoeana34")</f>
        <v>Betoeana34</v>
      </c>
      <c r="G67" s="1" t="str">
        <f ca="1">IFERROR(__xludf.DUMMYFUNCTION("""COMPUTED_VALUE"""),"dti")</f>
        <v>dti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7">
        <f ca="1">IFERROR(__xludf.DUMMYFUNCTION("""COMPUTED_VALUE"""),45809)</f>
        <v>45809</v>
      </c>
      <c r="B68" s="7">
        <f ca="1">IFERROR(__xludf.DUMMYFUNCTION("""COMPUTED_VALUE"""),45774)</f>
        <v>45774</v>
      </c>
      <c r="C68" s="1" t="str">
        <f ca="1">IFERROR(__xludf.DUMMYFUNCTION("""COMPUTED_VALUE"""),"Windsor Hotéis")</f>
        <v>Windsor Hotéis</v>
      </c>
      <c r="D68" s="2">
        <f ca="1">IFERROR(__xludf.DUMMYFUNCTION("""COMPUTED_VALUE"""),9.9)</f>
        <v>9.9</v>
      </c>
      <c r="E68" s="1" t="str">
        <f ca="1">IFERROR(__xludf.DUMMYFUNCTION("""COMPUTED_VALUE"""),"-")</f>
        <v>-</v>
      </c>
      <c r="F68" s="1" t="str">
        <f ca="1">IFERROR(__xludf.DUMMYFUNCTION("""COMPUTED_VALUE"""),"Windsor Hotéis")</f>
        <v>Windsor Hotéis</v>
      </c>
      <c r="G68" s="1" t="str">
        <f ca="1">IFERROR(__xludf.DUMMYFUNCTION("""COMPUTED_VALUE"""),"dti")</f>
        <v>dti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7">
        <f ca="1">IFERROR(__xludf.DUMMYFUNCTION("""COMPUTED_VALUE"""),45809)</f>
        <v>45809</v>
      </c>
      <c r="B69" s="7">
        <f ca="1">IFERROR(__xludf.DUMMYFUNCTION("""COMPUTED_VALUE"""),45776)</f>
        <v>45776</v>
      </c>
      <c r="C69" s="1" t="str">
        <f ca="1">IFERROR(__xludf.DUMMYFUNCTION("""COMPUTED_VALUE"""),"Butequim Beco Do Rato")</f>
        <v>Butequim Beco Do Rato</v>
      </c>
      <c r="D69" s="2">
        <f ca="1">IFERROR(__xludf.DUMMYFUNCTION("""COMPUTED_VALUE"""),8.8)</f>
        <v>8.8000000000000007</v>
      </c>
      <c r="E69" s="1" t="str">
        <f ca="1">IFERROR(__xludf.DUMMYFUNCTION("""COMPUTED_VALUE"""),"-")</f>
        <v>-</v>
      </c>
      <c r="F69" s="1" t="str">
        <f ca="1">IFERROR(__xludf.DUMMYFUNCTION("""COMPUTED_VALUE"""),"Butequim Beco Do Rato")</f>
        <v>Butequim Beco Do Rato</v>
      </c>
      <c r="G69" s="1" t="str">
        <f ca="1">IFERROR(__xludf.DUMMYFUNCTION("""COMPUTED_VALUE"""),"dti")</f>
        <v>dti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7">
        <f ca="1">IFERROR(__xludf.DUMMYFUNCTION("""COMPUTED_VALUE"""),45809)</f>
        <v>45809</v>
      </c>
      <c r="B70" s="7">
        <f ca="1">IFERROR(__xludf.DUMMYFUNCTION("""COMPUTED_VALUE"""),45777)</f>
        <v>45777</v>
      </c>
      <c r="C70" s="1" t="str">
        <f ca="1">IFERROR(__xludf.DUMMYFUNCTION("""COMPUTED_VALUE"""),"Brasileirissima Galeao")</f>
        <v>Brasileirissima Galeao</v>
      </c>
      <c r="D70" s="2">
        <f ca="1">IFERROR(__xludf.DUMMYFUNCTION("""COMPUTED_VALUE"""),30)</f>
        <v>30</v>
      </c>
      <c r="E70" s="1" t="str">
        <f ca="1">IFERROR(__xludf.DUMMYFUNCTION("""COMPUTED_VALUE"""),"-")</f>
        <v>-</v>
      </c>
      <c r="F70" s="1" t="str">
        <f ca="1">IFERROR(__xludf.DUMMYFUNCTION("""COMPUTED_VALUE"""),"Brasileirissima Galeao")</f>
        <v>Brasileirissima Galeao</v>
      </c>
      <c r="G70" s="1" t="str">
        <f ca="1">IFERROR(__xludf.DUMMYFUNCTION("""COMPUTED_VALUE"""),"dti")</f>
        <v>dti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7">
        <f ca="1">IFERROR(__xludf.DUMMYFUNCTION("""COMPUTED_VALUE"""),45809)</f>
        <v>45809</v>
      </c>
      <c r="B71" s="7">
        <f ca="1">IFERROR(__xludf.DUMMYFUNCTION("""COMPUTED_VALUE"""),45778)</f>
        <v>45778</v>
      </c>
      <c r="C71" s="1" t="str">
        <f ca="1">IFERROR(__xludf.DUMMYFUNCTION("""COMPUTED_VALUE"""),"Panif Mendes Sion")</f>
        <v>Panif Mendes Sion</v>
      </c>
      <c r="D71" s="2">
        <f ca="1">IFERROR(__xludf.DUMMYFUNCTION("""COMPUTED_VALUE"""),37.1)</f>
        <v>37.1</v>
      </c>
      <c r="E71" s="1" t="str">
        <f ca="1">IFERROR(__xludf.DUMMYFUNCTION("""COMPUTED_VALUE"""),"-")</f>
        <v>-</v>
      </c>
      <c r="F71" s="1" t="str">
        <f ca="1">IFERROR(__xludf.DUMMYFUNCTION("""COMPUTED_VALUE"""),"Panif Mendes Sion")</f>
        <v>Panif Mendes Sion</v>
      </c>
      <c r="G71" s="1" t="str">
        <f ca="1">IFERROR(__xludf.DUMMYFUNCTION("""COMPUTED_VALUE"""),"Comida")</f>
        <v>Comida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7">
        <f ca="1">IFERROR(__xludf.DUMMYFUNCTION("""COMPUTED_VALUE"""),45809)</f>
        <v>45809</v>
      </c>
      <c r="B72" s="7">
        <f ca="1">IFERROR(__xludf.DUMMYFUNCTION("""COMPUTED_VALUE"""),45780)</f>
        <v>45780</v>
      </c>
      <c r="C72" s="1" t="str">
        <f ca="1">IFERROR(__xludf.DUMMYFUNCTION("""COMPUTED_VALUE"""),"O Bhar")</f>
        <v>O Bhar</v>
      </c>
      <c r="D72" s="2">
        <f ca="1">IFERROR(__xludf.DUMMYFUNCTION("""COMPUTED_VALUE"""),150)</f>
        <v>150</v>
      </c>
      <c r="E72" s="1" t="str">
        <f ca="1">IFERROR(__xludf.DUMMYFUNCTION("""COMPUTED_VALUE"""),"-")</f>
        <v>-</v>
      </c>
      <c r="F72" s="1" t="str">
        <f ca="1">IFERROR(__xludf.DUMMYFUNCTION("""COMPUTED_VALUE"""),"O Bhar")</f>
        <v>O Bhar</v>
      </c>
      <c r="G72" s="1" t="str">
        <f ca="1">IFERROR(__xludf.DUMMYFUNCTION("""COMPUTED_VALUE"""),"Comida")</f>
        <v>Comida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7">
        <f ca="1">IFERROR(__xludf.DUMMYFUNCTION("""COMPUTED_VALUE"""),45809)</f>
        <v>45809</v>
      </c>
      <c r="B73" s="7">
        <f ca="1">IFERROR(__xludf.DUMMYFUNCTION("""COMPUTED_VALUE"""),45780)</f>
        <v>45780</v>
      </c>
      <c r="C73" s="1" t="str">
        <f ca="1">IFERROR(__xludf.DUMMYFUNCTION("""COMPUTED_VALUE"""),"Pr Comercio De Bolsas")</f>
        <v>Pr Comercio De Bolsas</v>
      </c>
      <c r="D73" s="2">
        <f ca="1">IFERROR(__xludf.DUMMYFUNCTION("""COMPUTED_VALUE"""),4.99)</f>
        <v>4.99</v>
      </c>
      <c r="E73" s="1" t="str">
        <f ca="1">IFERROR(__xludf.DUMMYFUNCTION("""COMPUTED_VALUE"""),"-")</f>
        <v>-</v>
      </c>
      <c r="F73" s="1" t="str">
        <f ca="1">IFERROR(__xludf.DUMMYFUNCTION("""COMPUTED_VALUE"""),"Pr Comercio De Bolsas")</f>
        <v>Pr Comercio De Bolsas</v>
      </c>
      <c r="G73" s="1" t="str">
        <f ca="1">IFERROR(__xludf.DUMMYFUNCTION("""COMPUTED_VALUE"""),"-")</f>
        <v>-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7">
        <f ca="1">IFERROR(__xludf.DUMMYFUNCTION("""COMPUTED_VALUE"""),45809)</f>
        <v>45809</v>
      </c>
      <c r="B74" s="7">
        <f ca="1">IFERROR(__xludf.DUMMYFUNCTION("""COMPUTED_VALUE"""),45780)</f>
        <v>45780</v>
      </c>
      <c r="C74" s="1" t="str">
        <f ca="1">IFERROR(__xludf.DUMMYFUNCTION("""COMPUTED_VALUE"""),"Constance (1/2)")</f>
        <v>Constance (1/2)</v>
      </c>
      <c r="D74" s="2">
        <f ca="1">IFERROR(__xludf.DUMMYFUNCTION("""COMPUTED_VALUE"""),90)</f>
        <v>90</v>
      </c>
      <c r="E74" s="1" t="str">
        <f ca="1">IFERROR(__xludf.DUMMYFUNCTION("""COMPUTED_VALUE"""),"-")</f>
        <v>-</v>
      </c>
      <c r="F74" s="1" t="str">
        <f ca="1">IFERROR(__xludf.DUMMYFUNCTION("""COMPUTED_VALUE"""),"Constance")</f>
        <v>Constance</v>
      </c>
      <c r="G74" s="1" t="str">
        <f ca="1">IFERROR(__xludf.DUMMYFUNCTION("""COMPUTED_VALUE"""),"Compras")</f>
        <v>Compras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7">
        <f ca="1">IFERROR(__xludf.DUMMYFUNCTION("""COMPUTED_VALUE"""),45809)</f>
        <v>45809</v>
      </c>
      <c r="B75" s="7">
        <f ca="1">IFERROR(__xludf.DUMMYFUNCTION("""COMPUTED_VALUE"""),45780)</f>
        <v>45780</v>
      </c>
      <c r="C75" s="1" t="str">
        <f ca="1">IFERROR(__xludf.DUMMYFUNCTION("""COMPUTED_VALUE"""),"Oopcafe")</f>
        <v>Oopcafe</v>
      </c>
      <c r="D75" s="2">
        <f ca="1">IFERROR(__xludf.DUMMYFUNCTION("""COMPUTED_VALUE"""),79.2)</f>
        <v>79.2</v>
      </c>
      <c r="E75" s="1" t="str">
        <f ca="1">IFERROR(__xludf.DUMMYFUNCTION("""COMPUTED_VALUE"""),"-")</f>
        <v>-</v>
      </c>
      <c r="F75" s="1" t="str">
        <f ca="1">IFERROR(__xludf.DUMMYFUNCTION("""COMPUTED_VALUE"""),"Oopcafe")</f>
        <v>Oopcafe</v>
      </c>
      <c r="G75" s="1" t="str">
        <f ca="1">IFERROR(__xludf.DUMMYFUNCTION("""COMPUTED_VALUE"""),"Comida")</f>
        <v>Comida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7">
        <f ca="1">IFERROR(__xludf.DUMMYFUNCTION("""COMPUTED_VALUE"""),45809)</f>
        <v>45809</v>
      </c>
      <c r="B76" s="7">
        <f ca="1">IFERROR(__xludf.DUMMYFUNCTION("""COMPUTED_VALUE"""),45780)</f>
        <v>45780</v>
      </c>
      <c r="C76" s="1" t="str">
        <f ca="1">IFERROR(__xludf.DUMMYFUNCTION("""COMPUTED_VALUE"""),"Casa De Frios E Massas")</f>
        <v>Casa De Frios E Massas</v>
      </c>
      <c r="D76" s="2">
        <f ca="1">IFERROR(__xludf.DUMMYFUNCTION("""COMPUTED_VALUE"""),17.9)</f>
        <v>17.899999999999999</v>
      </c>
      <c r="E76" s="1" t="str">
        <f ca="1">IFERROR(__xludf.DUMMYFUNCTION("""COMPUTED_VALUE"""),"-")</f>
        <v>-</v>
      </c>
      <c r="F76" s="1" t="str">
        <f ca="1">IFERROR(__xludf.DUMMYFUNCTION("""COMPUTED_VALUE"""),"Casa De Frios E Massas")</f>
        <v>Casa De Frios E Massas</v>
      </c>
      <c r="G76" s="1" t="str">
        <f ca="1">IFERROR(__xludf.DUMMYFUNCTION("""COMPUTED_VALUE"""),"Comida")</f>
        <v>Comida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7">
        <f ca="1">IFERROR(__xludf.DUMMYFUNCTION("""COMPUTED_VALUE"""),45809)</f>
        <v>45809</v>
      </c>
      <c r="B77" s="7">
        <f ca="1">IFERROR(__xludf.DUMMYFUNCTION("""COMPUTED_VALUE"""),45781)</f>
        <v>45781</v>
      </c>
      <c r="C77" s="1" t="str">
        <f ca="1">IFERROR(__xludf.DUMMYFUNCTION("""COMPUTED_VALUE"""),"Panif Mendes Sion")</f>
        <v>Panif Mendes Sion</v>
      </c>
      <c r="D77" s="2">
        <f ca="1">IFERROR(__xludf.DUMMYFUNCTION("""COMPUTED_VALUE"""),10.92)</f>
        <v>10.92</v>
      </c>
      <c r="E77" s="1" t="str">
        <f ca="1">IFERROR(__xludf.DUMMYFUNCTION("""COMPUTED_VALUE"""),"-")</f>
        <v>-</v>
      </c>
      <c r="F77" s="1" t="str">
        <f ca="1">IFERROR(__xludf.DUMMYFUNCTION("""COMPUTED_VALUE"""),"Panif Mendes Sion")</f>
        <v>Panif Mendes Sion</v>
      </c>
      <c r="G77" s="1" t="str">
        <f ca="1">IFERROR(__xludf.DUMMYFUNCTION("""COMPUTED_VALUE"""),"Comida")</f>
        <v>Comida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7">
        <f ca="1">IFERROR(__xludf.DUMMYFUNCTION("""COMPUTED_VALUE"""),45809)</f>
        <v>45809</v>
      </c>
      <c r="B78" s="7">
        <f ca="1">IFERROR(__xludf.DUMMYFUNCTION("""COMPUTED_VALUE"""),45785)</f>
        <v>45785</v>
      </c>
      <c r="C78" s="1" t="str">
        <f ca="1">IFERROR(__xludf.DUMMYFUNCTION("""COMPUTED_VALUE"""),"Supermercado &amp; Padaria")</f>
        <v>Supermercado &amp; Padaria</v>
      </c>
      <c r="D78" s="2">
        <f ca="1">IFERROR(__xludf.DUMMYFUNCTION("""COMPUTED_VALUE"""),5.69)</f>
        <v>5.69</v>
      </c>
      <c r="E78" s="1" t="str">
        <f ca="1">IFERROR(__xludf.DUMMYFUNCTION("""COMPUTED_VALUE"""),"-")</f>
        <v>-</v>
      </c>
      <c r="F78" s="1" t="str">
        <f ca="1">IFERROR(__xludf.DUMMYFUNCTION("""COMPUTED_VALUE"""),"Supermercado &amp; Padaria")</f>
        <v>Supermercado &amp; Padaria</v>
      </c>
      <c r="G78" s="1" t="str">
        <f ca="1">IFERROR(__xludf.DUMMYFUNCTION("""COMPUTED_VALUE"""),"Comida")</f>
        <v>Comida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7">
        <f ca="1">IFERROR(__xludf.DUMMYFUNCTION("""COMPUTED_VALUE"""),45809)</f>
        <v>45809</v>
      </c>
      <c r="B79" s="7">
        <f ca="1">IFERROR(__xludf.DUMMYFUNCTION("""COMPUTED_VALUE"""),45786)</f>
        <v>45786</v>
      </c>
      <c r="C79" s="1" t="str">
        <f ca="1">IFERROR(__xludf.DUMMYFUNCTION("""COMPUTED_VALUE"""),"Supermercado &amp; Padaria")</f>
        <v>Supermercado &amp; Padaria</v>
      </c>
      <c r="D79" s="2">
        <f ca="1">IFERROR(__xludf.DUMMYFUNCTION("""COMPUTED_VALUE"""),5.69)</f>
        <v>5.69</v>
      </c>
      <c r="E79" s="1" t="str">
        <f ca="1">IFERROR(__xludf.DUMMYFUNCTION("""COMPUTED_VALUE"""),"-")</f>
        <v>-</v>
      </c>
      <c r="F79" s="1" t="str">
        <f ca="1">IFERROR(__xludf.DUMMYFUNCTION("""COMPUTED_VALUE"""),"Supermercado &amp; Padaria")</f>
        <v>Supermercado &amp; Padaria</v>
      </c>
      <c r="G79" s="1" t="str">
        <f ca="1">IFERROR(__xludf.DUMMYFUNCTION("""COMPUTED_VALUE"""),"Comida")</f>
        <v>Comida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7">
        <f ca="1">IFERROR(__xludf.DUMMYFUNCTION("""COMPUTED_VALUE"""),45809)</f>
        <v>45809</v>
      </c>
      <c r="B80" s="7">
        <f ca="1">IFERROR(__xludf.DUMMYFUNCTION("""COMPUTED_VALUE"""),45786)</f>
        <v>45786</v>
      </c>
      <c r="C80" s="1" t="str">
        <f ca="1">IFERROR(__xludf.DUMMYFUNCTION("""COMPUTED_VALUE"""),"Mac Savassi")</f>
        <v>Mac Savassi</v>
      </c>
      <c r="D80" s="2">
        <f ca="1">IFERROR(__xludf.DUMMYFUNCTION("""COMPUTED_VALUE"""),299)</f>
        <v>299</v>
      </c>
      <c r="E80" s="1" t="str">
        <f ca="1">IFERROR(__xludf.DUMMYFUNCTION("""COMPUTED_VALUE"""),"-")</f>
        <v>-</v>
      </c>
      <c r="F80" s="1" t="str">
        <f ca="1">IFERROR(__xludf.DUMMYFUNCTION("""COMPUTED_VALUE"""),"Mac Savassi")</f>
        <v>Mac Savassi</v>
      </c>
      <c r="G80" s="1" t="str">
        <f ca="1">IFERROR(__xludf.DUMMYFUNCTION("""COMPUTED_VALUE"""),"Compras")</f>
        <v>Compras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7">
        <f ca="1">IFERROR(__xludf.DUMMYFUNCTION("""COMPUTED_VALUE"""),45809)</f>
        <v>45809</v>
      </c>
      <c r="B81" s="7">
        <f ca="1">IFERROR(__xludf.DUMMYFUNCTION("""COMPUTED_VALUE"""),45787)</f>
        <v>45787</v>
      </c>
      <c r="C81" s="1" t="str">
        <f ca="1">IFERROR(__xludf.DUMMYFUNCTION("""COMPUTED_VALUE"""),"Panif Mendes Sion")</f>
        <v>Panif Mendes Sion</v>
      </c>
      <c r="D81" s="2">
        <f ca="1">IFERROR(__xludf.DUMMYFUNCTION("""COMPUTED_VALUE"""),5.72)</f>
        <v>5.72</v>
      </c>
      <c r="E81" s="1" t="str">
        <f ca="1">IFERROR(__xludf.DUMMYFUNCTION("""COMPUTED_VALUE"""),"-")</f>
        <v>-</v>
      </c>
      <c r="F81" s="1" t="str">
        <f ca="1">IFERROR(__xludf.DUMMYFUNCTION("""COMPUTED_VALUE"""),"Panif Mendes Sion")</f>
        <v>Panif Mendes Sion</v>
      </c>
      <c r="G81" s="1" t="str">
        <f ca="1">IFERROR(__xludf.DUMMYFUNCTION("""COMPUTED_VALUE"""),"Comida")</f>
        <v>Comida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7">
        <f ca="1">IFERROR(__xludf.DUMMYFUNCTION("""COMPUTED_VALUE"""),45809)</f>
        <v>45809</v>
      </c>
      <c r="B82" s="7">
        <f ca="1">IFERROR(__xludf.DUMMYFUNCTION("""COMPUTED_VALUE"""),45787)</f>
        <v>45787</v>
      </c>
      <c r="C82" s="1" t="str">
        <f ca="1">IFERROR(__xludf.DUMMYFUNCTION("""COMPUTED_VALUE"""),"Golden Pet")</f>
        <v>Golden Pet</v>
      </c>
      <c r="D82" s="2">
        <f ca="1">IFERROR(__xludf.DUMMYFUNCTION("""COMPUTED_VALUE"""),174)</f>
        <v>174</v>
      </c>
      <c r="E82" s="1" t="str">
        <f ca="1">IFERROR(__xludf.DUMMYFUNCTION("""COMPUTED_VALUE"""),"-")</f>
        <v>-</v>
      </c>
      <c r="F82" s="1" t="str">
        <f ca="1">IFERROR(__xludf.DUMMYFUNCTION("""COMPUTED_VALUE"""),"Golden Pet")</f>
        <v>Golden Pet</v>
      </c>
      <c r="G82" s="1" t="str">
        <f ca="1">IFERROR(__xludf.DUMMYFUNCTION("""COMPUTED_VALUE"""),"Hulk")</f>
        <v>Hulk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7">
        <f ca="1">IFERROR(__xludf.DUMMYFUNCTION("""COMPUTED_VALUE"""),45809)</f>
        <v>45809</v>
      </c>
      <c r="B83" s="7">
        <f ca="1">IFERROR(__xludf.DUMMYFUNCTION("""COMPUTED_VALUE"""),45787)</f>
        <v>45787</v>
      </c>
      <c r="C83" s="1" t="str">
        <f ca="1">IFERROR(__xludf.DUMMYFUNCTION("""COMPUTED_VALUE"""),"Posto Sigma")</f>
        <v>Posto Sigma</v>
      </c>
      <c r="D83" s="2">
        <f ca="1">IFERROR(__xludf.DUMMYFUNCTION("""COMPUTED_VALUE"""),100)</f>
        <v>100</v>
      </c>
      <c r="E83" s="1" t="str">
        <f ca="1">IFERROR(__xludf.DUMMYFUNCTION("""COMPUTED_VALUE"""),"-")</f>
        <v>-</v>
      </c>
      <c r="F83" s="1" t="str">
        <f ca="1">IFERROR(__xludf.DUMMYFUNCTION("""COMPUTED_VALUE"""),"Posto Sigma")</f>
        <v>Posto Sigma</v>
      </c>
      <c r="G83" s="1" t="str">
        <f ca="1">IFERROR(__xludf.DUMMYFUNCTION("""COMPUTED_VALUE"""),"Carro")</f>
        <v>Carro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7">
        <f ca="1">IFERROR(__xludf.DUMMYFUNCTION("""COMPUTED_VALUE"""),45809)</f>
        <v>45809</v>
      </c>
      <c r="B84" s="7">
        <f ca="1">IFERROR(__xludf.DUMMYFUNCTION("""COMPUTED_VALUE"""),45788)</f>
        <v>45788</v>
      </c>
      <c r="C84" s="1" t="str">
        <f ca="1">IFERROR(__xludf.DUMMYFUNCTION("""COMPUTED_VALUE"""),"Panif Mendes Sion")</f>
        <v>Panif Mendes Sion</v>
      </c>
      <c r="D84" s="2">
        <f ca="1">IFERROR(__xludf.DUMMYFUNCTION("""COMPUTED_VALUE"""),14.24)</f>
        <v>14.24</v>
      </c>
      <c r="E84" s="1" t="str">
        <f ca="1">IFERROR(__xludf.DUMMYFUNCTION("""COMPUTED_VALUE"""),"-")</f>
        <v>-</v>
      </c>
      <c r="F84" s="1" t="str">
        <f ca="1">IFERROR(__xludf.DUMMYFUNCTION("""COMPUTED_VALUE"""),"Panif Mendes Sion")</f>
        <v>Panif Mendes Sion</v>
      </c>
      <c r="G84" s="1" t="str">
        <f ca="1">IFERROR(__xludf.DUMMYFUNCTION("""COMPUTED_VALUE"""),"Comida")</f>
        <v>Comida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7">
        <f ca="1">IFERROR(__xludf.DUMMYFUNCTION("""COMPUTED_VALUE"""),45809)</f>
        <v>45809</v>
      </c>
      <c r="B85" s="7">
        <f ca="1">IFERROR(__xludf.DUMMYFUNCTION("""COMPUTED_VALUE"""),45789)</f>
        <v>45789</v>
      </c>
      <c r="C85" s="1" t="str">
        <f ca="1">IFERROR(__xludf.DUMMYFUNCTION("""COMPUTED_VALUE"""),"Panif Mendes Sion")</f>
        <v>Panif Mendes Sion</v>
      </c>
      <c r="D85" s="2">
        <f ca="1">IFERROR(__xludf.DUMMYFUNCTION("""COMPUTED_VALUE"""),10.44)</f>
        <v>10.44</v>
      </c>
      <c r="E85" s="1" t="str">
        <f ca="1">IFERROR(__xludf.DUMMYFUNCTION("""COMPUTED_VALUE"""),"-")</f>
        <v>-</v>
      </c>
      <c r="F85" s="1" t="str">
        <f ca="1">IFERROR(__xludf.DUMMYFUNCTION("""COMPUTED_VALUE"""),"Panif Mendes Sion")</f>
        <v>Panif Mendes Sion</v>
      </c>
      <c r="G85" s="1" t="str">
        <f ca="1">IFERROR(__xludf.DUMMYFUNCTION("""COMPUTED_VALUE"""),"Comida")</f>
        <v>Comida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7">
        <f ca="1">IFERROR(__xludf.DUMMYFUNCTION("""COMPUTED_VALUE"""),45809)</f>
        <v>45809</v>
      </c>
      <c r="B86" s="7">
        <f ca="1">IFERROR(__xludf.DUMMYFUNCTION("""COMPUTED_VALUE"""),45790)</f>
        <v>45790</v>
      </c>
      <c r="C86" s="1" t="str">
        <f ca="1">IFERROR(__xludf.DUMMYFUNCTION("""COMPUTED_VALUE"""),"Panif Mendes Sion")</f>
        <v>Panif Mendes Sion</v>
      </c>
      <c r="D86" s="2">
        <f ca="1">IFERROR(__xludf.DUMMYFUNCTION("""COMPUTED_VALUE"""),29.8)</f>
        <v>29.8</v>
      </c>
      <c r="E86" s="1" t="str">
        <f ca="1">IFERROR(__xludf.DUMMYFUNCTION("""COMPUTED_VALUE"""),"-")</f>
        <v>-</v>
      </c>
      <c r="F86" s="1" t="str">
        <f ca="1">IFERROR(__xludf.DUMMYFUNCTION("""COMPUTED_VALUE"""),"Panif Mendes Sion")</f>
        <v>Panif Mendes Sion</v>
      </c>
      <c r="G86" s="1" t="str">
        <f ca="1">IFERROR(__xludf.DUMMYFUNCTION("""COMPUTED_VALUE"""),"Comida")</f>
        <v>Comida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7">
        <f ca="1">IFERROR(__xludf.DUMMYFUNCTION("""COMPUTED_VALUE"""),45809)</f>
        <v>45809</v>
      </c>
      <c r="B87" s="7">
        <f ca="1">IFERROR(__xludf.DUMMYFUNCTION("""COMPUTED_VALUE"""),45790)</f>
        <v>45790</v>
      </c>
      <c r="C87" s="1" t="str">
        <f ca="1">IFERROR(__xludf.DUMMYFUNCTION("""COMPUTED_VALUE"""),"Panif Mendes Sion")</f>
        <v>Panif Mendes Sion</v>
      </c>
      <c r="D87" s="2">
        <f ca="1">IFERROR(__xludf.DUMMYFUNCTION("""COMPUTED_VALUE"""),6.28)</f>
        <v>6.28</v>
      </c>
      <c r="E87" s="1" t="str">
        <f ca="1">IFERROR(__xludf.DUMMYFUNCTION("""COMPUTED_VALUE"""),"-")</f>
        <v>-</v>
      </c>
      <c r="F87" s="1" t="str">
        <f ca="1">IFERROR(__xludf.DUMMYFUNCTION("""COMPUTED_VALUE"""),"Panif Mendes Sion")</f>
        <v>Panif Mendes Sion</v>
      </c>
      <c r="G87" s="1" t="str">
        <f ca="1">IFERROR(__xludf.DUMMYFUNCTION("""COMPUTED_VALUE"""),"Comida")</f>
        <v>Comida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7">
        <f ca="1">IFERROR(__xludf.DUMMYFUNCTION("""COMPUTED_VALUE"""),45809)</f>
        <v>45809</v>
      </c>
      <c r="B88" s="7">
        <f ca="1">IFERROR(__xludf.DUMMYFUNCTION("""COMPUTED_VALUE"""),45791)</f>
        <v>45791</v>
      </c>
      <c r="C88" s="1" t="str">
        <f ca="1">IFERROR(__xludf.DUMMYFUNCTION("""COMPUTED_VALUE"""),"Centro De Excelencia (1/2)")</f>
        <v>Centro De Excelencia (1/2)</v>
      </c>
      <c r="D88" s="2">
        <f ca="1">IFERROR(__xludf.DUMMYFUNCTION("""COMPUTED_VALUE"""),520)</f>
        <v>520</v>
      </c>
      <c r="E88" s="1" t="str">
        <f ca="1">IFERROR(__xludf.DUMMYFUNCTION("""COMPUTED_VALUE"""),"-")</f>
        <v>-</v>
      </c>
      <c r="F88" s="1" t="str">
        <f ca="1">IFERROR(__xludf.DUMMYFUNCTION("""COMPUTED_VALUE"""),"Centro De Excelencia")</f>
        <v>Centro De Excelencia</v>
      </c>
      <c r="G88" s="1" t="str">
        <f ca="1">IFERROR(__xludf.DUMMYFUNCTION("""COMPUTED_VALUE"""),"-")</f>
        <v>-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7">
        <f ca="1">IFERROR(__xludf.DUMMYFUNCTION("""COMPUTED_VALUE"""),45809)</f>
        <v>45809</v>
      </c>
      <c r="B89" s="7">
        <f ca="1">IFERROR(__xludf.DUMMYFUNCTION("""COMPUTED_VALUE"""),45791)</f>
        <v>45791</v>
      </c>
      <c r="C89" s="1" t="str">
        <f ca="1">IFERROR(__xludf.DUMMYFUNCTION("""COMPUTED_VALUE"""),"Supermercado &amp; Padaria")</f>
        <v>Supermercado &amp; Padaria</v>
      </c>
      <c r="D89" s="2">
        <f ca="1">IFERROR(__xludf.DUMMYFUNCTION("""COMPUTED_VALUE"""),66.82)</f>
        <v>66.819999999999993</v>
      </c>
      <c r="E89" s="1" t="str">
        <f ca="1">IFERROR(__xludf.DUMMYFUNCTION("""COMPUTED_VALUE"""),"-")</f>
        <v>-</v>
      </c>
      <c r="F89" s="1" t="str">
        <f ca="1">IFERROR(__xludf.DUMMYFUNCTION("""COMPUTED_VALUE"""),"Supermercado &amp; Padaria")</f>
        <v>Supermercado &amp; Padaria</v>
      </c>
      <c r="G89" s="1" t="str">
        <f ca="1">IFERROR(__xludf.DUMMYFUNCTION("""COMPUTED_VALUE"""),"Comida")</f>
        <v>Comida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7">
        <f ca="1">IFERROR(__xludf.DUMMYFUNCTION("""COMPUTED_VALUE"""),45809)</f>
        <v>45809</v>
      </c>
      <c r="B90" s="7">
        <f ca="1">IFERROR(__xludf.DUMMYFUNCTION("""COMPUTED_VALUE"""),45791)</f>
        <v>45791</v>
      </c>
      <c r="C90" s="1" t="str">
        <f ca="1">IFERROR(__xludf.DUMMYFUNCTION("""COMPUTED_VALUE"""),"Panif Mendes Sion")</f>
        <v>Panif Mendes Sion</v>
      </c>
      <c r="D90" s="2">
        <f ca="1">IFERROR(__xludf.DUMMYFUNCTION("""COMPUTED_VALUE"""),5.7)</f>
        <v>5.7</v>
      </c>
      <c r="E90" s="1" t="str">
        <f ca="1">IFERROR(__xludf.DUMMYFUNCTION("""COMPUTED_VALUE"""),"-")</f>
        <v>-</v>
      </c>
      <c r="F90" s="1" t="str">
        <f ca="1">IFERROR(__xludf.DUMMYFUNCTION("""COMPUTED_VALUE"""),"Panif Mendes Sion")</f>
        <v>Panif Mendes Sion</v>
      </c>
      <c r="G90" s="1" t="str">
        <f ca="1">IFERROR(__xludf.DUMMYFUNCTION("""COMPUTED_VALUE"""),"Comida")</f>
        <v>Comida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7">
        <f ca="1">IFERROR(__xludf.DUMMYFUNCTION("""COMPUTED_VALUE"""),45809)</f>
        <v>45809</v>
      </c>
      <c r="B91" s="7">
        <f ca="1">IFERROR(__xludf.DUMMYFUNCTION("""COMPUTED_VALUE"""),45792)</f>
        <v>45792</v>
      </c>
      <c r="C91" s="1" t="str">
        <f ca="1">IFERROR(__xludf.DUMMYFUNCTION("""COMPUTED_VALUE"""),"Posto Chefao")</f>
        <v>Posto Chefao</v>
      </c>
      <c r="D91" s="2">
        <f ca="1">IFERROR(__xludf.DUMMYFUNCTION("""COMPUTED_VALUE"""),100)</f>
        <v>100</v>
      </c>
      <c r="E91" s="1" t="str">
        <f ca="1">IFERROR(__xludf.DUMMYFUNCTION("""COMPUTED_VALUE"""),"-")</f>
        <v>-</v>
      </c>
      <c r="F91" s="1" t="str">
        <f ca="1">IFERROR(__xludf.DUMMYFUNCTION("""COMPUTED_VALUE"""),"Posto Chefao")</f>
        <v>Posto Chefao</v>
      </c>
      <c r="G91" s="1" t="str">
        <f ca="1">IFERROR(__xludf.DUMMYFUNCTION("""COMPUTED_VALUE"""),"Viagem")</f>
        <v>Viagem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7">
        <f ca="1">IFERROR(__xludf.DUMMYFUNCTION("""COMPUTED_VALUE"""),45809)</f>
        <v>45809</v>
      </c>
      <c r="B92" s="7">
        <f ca="1">IFERROR(__xludf.DUMMYFUNCTION("""COMPUTED_VALUE"""),45792)</f>
        <v>45792</v>
      </c>
      <c r="C92" s="1" t="str">
        <f ca="1">IFERROR(__xludf.DUMMYFUNCTION("""COMPUTED_VALUE"""),"Belvedere Combustiveis")</f>
        <v>Belvedere Combustiveis</v>
      </c>
      <c r="D92" s="2">
        <f ca="1">IFERROR(__xludf.DUMMYFUNCTION("""COMPUTED_VALUE"""),142.36)</f>
        <v>142.36000000000001</v>
      </c>
      <c r="E92" s="1" t="str">
        <f ca="1">IFERROR(__xludf.DUMMYFUNCTION("""COMPUTED_VALUE"""),"-")</f>
        <v>-</v>
      </c>
      <c r="F92" s="1" t="str">
        <f ca="1">IFERROR(__xludf.DUMMYFUNCTION("""COMPUTED_VALUE"""),"Belvedere Combustiveis")</f>
        <v>Belvedere Combustiveis</v>
      </c>
      <c r="G92" s="1" t="str">
        <f ca="1">IFERROR(__xludf.DUMMYFUNCTION("""COMPUTED_VALUE"""),"Viagem")</f>
        <v>Viagem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7">
        <f ca="1">IFERROR(__xludf.DUMMYFUNCTION("""COMPUTED_VALUE"""),45809)</f>
        <v>45809</v>
      </c>
      <c r="B93" s="7">
        <f ca="1">IFERROR(__xludf.DUMMYFUNCTION("""COMPUTED_VALUE"""),45792)</f>
        <v>45792</v>
      </c>
      <c r="C93" s="1" t="str">
        <f ca="1">IFERROR(__xludf.DUMMYFUNCTION("""COMPUTED_VALUE"""),"Sabor Da Empda")</f>
        <v>Sabor Da Empda</v>
      </c>
      <c r="D93" s="2">
        <f ca="1">IFERROR(__xludf.DUMMYFUNCTION("""COMPUTED_VALUE"""),19.5)</f>
        <v>19.5</v>
      </c>
      <c r="E93" s="1" t="str">
        <f ca="1">IFERROR(__xludf.DUMMYFUNCTION("""COMPUTED_VALUE"""),"-")</f>
        <v>-</v>
      </c>
      <c r="F93" s="1" t="str">
        <f ca="1">IFERROR(__xludf.DUMMYFUNCTION("""COMPUTED_VALUE"""),"Sabor Da Empda")</f>
        <v>Sabor Da Empda</v>
      </c>
      <c r="G93" s="1" t="str">
        <f ca="1">IFERROR(__xludf.DUMMYFUNCTION("""COMPUTED_VALUE"""),"Viagem")</f>
        <v>Viagem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7">
        <f ca="1">IFERROR(__xludf.DUMMYFUNCTION("""COMPUTED_VALUE"""),45809)</f>
        <v>45809</v>
      </c>
      <c r="B94" s="7">
        <f ca="1">IFERROR(__xludf.DUMMYFUNCTION("""COMPUTED_VALUE"""),45792)</f>
        <v>45792</v>
      </c>
      <c r="C94" s="1" t="str">
        <f ca="1">IFERROR(__xludf.DUMMYFUNCTION("""COMPUTED_VALUE"""),"Rocambole E Cia")</f>
        <v>Rocambole E Cia</v>
      </c>
      <c r="D94" s="2">
        <f ca="1">IFERROR(__xludf.DUMMYFUNCTION("""COMPUTED_VALUE"""),20)</f>
        <v>20</v>
      </c>
      <c r="E94" s="1" t="str">
        <f ca="1">IFERROR(__xludf.DUMMYFUNCTION("""COMPUTED_VALUE"""),"-")</f>
        <v>-</v>
      </c>
      <c r="F94" s="1" t="str">
        <f ca="1">IFERROR(__xludf.DUMMYFUNCTION("""COMPUTED_VALUE"""),"Rocambole E Cia")</f>
        <v>Rocambole E Cia</v>
      </c>
      <c r="G94" s="1" t="str">
        <f ca="1">IFERROR(__xludf.DUMMYFUNCTION("""COMPUTED_VALUE"""),"Viagem")</f>
        <v>Viagem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7">
        <f ca="1">IFERROR(__xludf.DUMMYFUNCTION("""COMPUTED_VALUE"""),45809)</f>
        <v>45809</v>
      </c>
      <c r="B95" s="7">
        <f ca="1">IFERROR(__xludf.DUMMYFUNCTION("""COMPUTED_VALUE"""),45792)</f>
        <v>45792</v>
      </c>
      <c r="C95" s="1" t="str">
        <f ca="1">IFERROR(__xludf.DUMMYFUNCTION("""COMPUTED_VALUE"""),"Pasta Basta")</f>
        <v>Pasta Basta</v>
      </c>
      <c r="D95" s="2">
        <f ca="1">IFERROR(__xludf.DUMMYFUNCTION("""COMPUTED_VALUE"""),163.9)</f>
        <v>163.9</v>
      </c>
      <c r="E95" s="1" t="str">
        <f ca="1">IFERROR(__xludf.DUMMYFUNCTION("""COMPUTED_VALUE"""),"-")</f>
        <v>-</v>
      </c>
      <c r="F95" s="1" t="str">
        <f ca="1">IFERROR(__xludf.DUMMYFUNCTION("""COMPUTED_VALUE"""),"Pasta Basta")</f>
        <v>Pasta Basta</v>
      </c>
      <c r="G95" s="1" t="str">
        <f ca="1">IFERROR(__xludf.DUMMYFUNCTION("""COMPUTED_VALUE"""),"Viagem")</f>
        <v>Viagem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7">
        <f ca="1">IFERROR(__xludf.DUMMYFUNCTION("""COMPUTED_VALUE"""),45809)</f>
        <v>45809</v>
      </c>
      <c r="B96" s="7">
        <f ca="1">IFERROR(__xludf.DUMMYFUNCTION("""COMPUTED_VALUE"""),45792)</f>
        <v>45792</v>
      </c>
      <c r="C96" s="1" t="str">
        <f ca="1">IFERROR(__xludf.DUMMYFUNCTION("""COMPUTED_VALUE"""),"Casa Das Latas Praca")</f>
        <v>Casa Das Latas Praca</v>
      </c>
      <c r="D96" s="2">
        <f ca="1">IFERROR(__xludf.DUMMYFUNCTION("""COMPUTED_VALUE"""),6.27)</f>
        <v>6.27</v>
      </c>
      <c r="E96" s="1" t="str">
        <f ca="1">IFERROR(__xludf.DUMMYFUNCTION("""COMPUTED_VALUE"""),"-")</f>
        <v>-</v>
      </c>
      <c r="F96" s="1" t="str">
        <f ca="1">IFERROR(__xludf.DUMMYFUNCTION("""COMPUTED_VALUE"""),"Casa Das Latas Praca")</f>
        <v>Casa Das Latas Praca</v>
      </c>
      <c r="G96" s="1" t="str">
        <f ca="1">IFERROR(__xludf.DUMMYFUNCTION("""COMPUTED_VALUE"""),"Viagem")</f>
        <v>Viagem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7">
        <f ca="1">IFERROR(__xludf.DUMMYFUNCTION("""COMPUTED_VALUE"""),45809)</f>
        <v>45809</v>
      </c>
      <c r="B97" s="7">
        <f ca="1">IFERROR(__xludf.DUMMYFUNCTION("""COMPUTED_VALUE"""),45792)</f>
        <v>45792</v>
      </c>
      <c r="C97" s="1" t="str">
        <f ca="1">IFERROR(__xludf.DUMMYFUNCTION("""COMPUTED_VALUE"""),"Lembranca")</f>
        <v>Lembranca</v>
      </c>
      <c r="D97" s="2">
        <f ca="1">IFERROR(__xludf.DUMMYFUNCTION("""COMPUTED_VALUE"""),95)</f>
        <v>95</v>
      </c>
      <c r="E97" s="1" t="str">
        <f ca="1">IFERROR(__xludf.DUMMYFUNCTION("""COMPUTED_VALUE"""),"-")</f>
        <v>-</v>
      </c>
      <c r="F97" s="1" t="str">
        <f ca="1">IFERROR(__xludf.DUMMYFUNCTION("""COMPUTED_VALUE"""),"Lembranca")</f>
        <v>Lembranca</v>
      </c>
      <c r="G97" s="1" t="str">
        <f ca="1">IFERROR(__xludf.DUMMYFUNCTION("""COMPUTED_VALUE"""),"Viagem")</f>
        <v>Viagem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7">
        <f ca="1">IFERROR(__xludf.DUMMYFUNCTION("""COMPUTED_VALUE"""),45809)</f>
        <v>45809</v>
      </c>
      <c r="B98" s="7">
        <f ca="1">IFERROR(__xludf.DUMMYFUNCTION("""COMPUTED_VALUE"""),45792)</f>
        <v>45792</v>
      </c>
      <c r="C98" s="1" t="str">
        <f ca="1">IFERROR(__xludf.DUMMYFUNCTION("""COMPUTED_VALUE"""),"Chocolateria Puro Caca")</f>
        <v>Chocolateria Puro Caca</v>
      </c>
      <c r="D98" s="2">
        <f ca="1">IFERROR(__xludf.DUMMYFUNCTION("""COMPUTED_VALUE"""),12)</f>
        <v>12</v>
      </c>
      <c r="E98" s="1" t="str">
        <f ca="1">IFERROR(__xludf.DUMMYFUNCTION("""COMPUTED_VALUE"""),"-")</f>
        <v>-</v>
      </c>
      <c r="F98" s="1" t="str">
        <f ca="1">IFERROR(__xludf.DUMMYFUNCTION("""COMPUTED_VALUE"""),"Chocolateria Puro Caca")</f>
        <v>Chocolateria Puro Caca</v>
      </c>
      <c r="G98" s="1" t="str">
        <f ca="1">IFERROR(__xludf.DUMMYFUNCTION("""COMPUTED_VALUE"""),"Viagem")</f>
        <v>Viagem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7">
        <f ca="1">IFERROR(__xludf.DUMMYFUNCTION("""COMPUTED_VALUE"""),45809)</f>
        <v>45809</v>
      </c>
      <c r="B99" s="7">
        <f ca="1">IFERROR(__xludf.DUMMYFUNCTION("""COMPUTED_VALUE"""),45793)</f>
        <v>45793</v>
      </c>
      <c r="C99" s="1" t="str">
        <f ca="1">IFERROR(__xludf.DUMMYFUNCTION("""COMPUTED_VALUE"""),"Barouk")</f>
        <v>Barouk</v>
      </c>
      <c r="D99" s="2">
        <f ca="1">IFERROR(__xludf.DUMMYFUNCTION("""COMPUTED_VALUE"""),301.04)</f>
        <v>301.04000000000002</v>
      </c>
      <c r="E99" s="1" t="str">
        <f ca="1">IFERROR(__xludf.DUMMYFUNCTION("""COMPUTED_VALUE"""),"-")</f>
        <v>-</v>
      </c>
      <c r="F99" s="1" t="str">
        <f ca="1">IFERROR(__xludf.DUMMYFUNCTION("""COMPUTED_VALUE"""),"Barouk")</f>
        <v>Barouk</v>
      </c>
      <c r="G99" s="1" t="str">
        <f ca="1">IFERROR(__xludf.DUMMYFUNCTION("""COMPUTED_VALUE"""),"Viagem")</f>
        <v>Viagem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7">
        <f ca="1">IFERROR(__xludf.DUMMYFUNCTION("""COMPUTED_VALUE"""),45809)</f>
        <v>45809</v>
      </c>
      <c r="B100" s="7">
        <f ca="1">IFERROR(__xludf.DUMMYFUNCTION("""COMPUTED_VALUE"""),45793)</f>
        <v>45793</v>
      </c>
      <c r="C100" s="1" t="str">
        <f ca="1">IFERROR(__xludf.DUMMYFUNCTION("""COMPUTED_VALUE"""),"Trembier Festival")</f>
        <v>Trembier Festival</v>
      </c>
      <c r="D100" s="2">
        <f ca="1">IFERROR(__xludf.DUMMYFUNCTION("""COMPUTED_VALUE"""),149)</f>
        <v>149</v>
      </c>
      <c r="E100" s="1" t="str">
        <f ca="1">IFERROR(__xludf.DUMMYFUNCTION("""COMPUTED_VALUE"""),"-")</f>
        <v>-</v>
      </c>
      <c r="F100" s="1" t="str">
        <f ca="1">IFERROR(__xludf.DUMMYFUNCTION("""COMPUTED_VALUE"""),"Trembier Festival")</f>
        <v>Trembier Festival</v>
      </c>
      <c r="G100" s="1" t="str">
        <f ca="1">IFERROR(__xludf.DUMMYFUNCTION("""COMPUTED_VALUE"""),"Viagem")</f>
        <v>Viagem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7">
        <f ca="1">IFERROR(__xludf.DUMMYFUNCTION("""COMPUTED_VALUE"""),45809)</f>
        <v>45809</v>
      </c>
      <c r="B101" s="7">
        <f ca="1">IFERROR(__xludf.DUMMYFUNCTION("""COMPUTED_VALUE"""),45793)</f>
        <v>45793</v>
      </c>
      <c r="C101" s="1" t="str">
        <f ca="1">IFERROR(__xludf.DUMMYFUNCTION("""COMPUTED_VALUE"""),"Montanhas Restaurante")</f>
        <v>Montanhas Restaurante</v>
      </c>
      <c r="D101" s="2">
        <f ca="1">IFERROR(__xludf.DUMMYFUNCTION("""COMPUTED_VALUE"""),3)</f>
        <v>3</v>
      </c>
      <c r="E101" s="1" t="str">
        <f ca="1">IFERROR(__xludf.DUMMYFUNCTION("""COMPUTED_VALUE"""),"-")</f>
        <v>-</v>
      </c>
      <c r="F101" s="1" t="str">
        <f ca="1">IFERROR(__xludf.DUMMYFUNCTION("""COMPUTED_VALUE"""),"Montanhas Restaurante")</f>
        <v>Montanhas Restaurante</v>
      </c>
      <c r="G101" s="1" t="str">
        <f ca="1">IFERROR(__xludf.DUMMYFUNCTION("""COMPUTED_VALUE"""),"Viagem")</f>
        <v>Viagem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7">
        <f ca="1">IFERROR(__xludf.DUMMYFUNCTION("""COMPUTED_VALUE"""),45809)</f>
        <v>45809</v>
      </c>
      <c r="B102" s="7">
        <f ca="1">IFERROR(__xludf.DUMMYFUNCTION("""COMPUTED_VALUE"""),45793)</f>
        <v>45793</v>
      </c>
      <c r="C102" s="1" t="str">
        <f ca="1">IFERROR(__xludf.DUMMYFUNCTION("""COMPUTED_VALUE"""),"Cafe Caramello")</f>
        <v>Cafe Caramello</v>
      </c>
      <c r="D102" s="2">
        <f ca="1">IFERROR(__xludf.DUMMYFUNCTION("""COMPUTED_VALUE"""),35)</f>
        <v>35</v>
      </c>
      <c r="E102" s="1" t="str">
        <f ca="1">IFERROR(__xludf.DUMMYFUNCTION("""COMPUTED_VALUE"""),"-")</f>
        <v>-</v>
      </c>
      <c r="F102" s="1" t="str">
        <f ca="1">IFERROR(__xludf.DUMMYFUNCTION("""COMPUTED_VALUE"""),"Cafe Caramello")</f>
        <v>Cafe Caramello</v>
      </c>
      <c r="G102" s="1" t="str">
        <f ca="1">IFERROR(__xludf.DUMMYFUNCTION("""COMPUTED_VALUE"""),"Viagem")</f>
        <v>Viagem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7">
        <f ca="1">IFERROR(__xludf.DUMMYFUNCTION("""COMPUTED_VALUE"""),45809)</f>
        <v>45809</v>
      </c>
      <c r="B103" s="7">
        <f ca="1">IFERROR(__xludf.DUMMYFUNCTION("""COMPUTED_VALUE"""),45793)</f>
        <v>45793</v>
      </c>
      <c r="C103" s="1" t="str">
        <f ca="1">IFERROR(__xludf.DUMMYFUNCTION("""COMPUTED_VALUE"""),"Supermercado Eskynao L")</f>
        <v>Supermercado Eskynao L</v>
      </c>
      <c r="D103" s="2">
        <f ca="1">IFERROR(__xludf.DUMMYFUNCTION("""COMPUTED_VALUE"""),75.98)</f>
        <v>75.98</v>
      </c>
      <c r="E103" s="1" t="str">
        <f ca="1">IFERROR(__xludf.DUMMYFUNCTION("""COMPUTED_VALUE"""),"-")</f>
        <v>-</v>
      </c>
      <c r="F103" s="1" t="str">
        <f ca="1">IFERROR(__xludf.DUMMYFUNCTION("""COMPUTED_VALUE"""),"Supermercado Eskynao L")</f>
        <v>Supermercado Eskynao L</v>
      </c>
      <c r="G103" s="1" t="str">
        <f ca="1">IFERROR(__xludf.DUMMYFUNCTION("""COMPUTED_VALUE"""),"Viagem")</f>
        <v>Viagem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7">
        <f ca="1">IFERROR(__xludf.DUMMYFUNCTION("""COMPUTED_VALUE"""),45809)</f>
        <v>45809</v>
      </c>
      <c r="B104" s="7">
        <f ca="1">IFERROR(__xludf.DUMMYFUNCTION("""COMPUTED_VALUE"""),45793)</f>
        <v>45793</v>
      </c>
      <c r="C104" s="1" t="str">
        <f ca="1">IFERROR(__xludf.DUMMYFUNCTION("""COMPUTED_VALUE"""),"Marcia Regina Pinheiro")</f>
        <v>Marcia Regina Pinheiro</v>
      </c>
      <c r="D104" s="2">
        <f ca="1">IFERROR(__xludf.DUMMYFUNCTION("""COMPUTED_VALUE"""),352.35)</f>
        <v>352.35</v>
      </c>
      <c r="E104" s="1" t="str">
        <f ca="1">IFERROR(__xludf.DUMMYFUNCTION("""COMPUTED_VALUE"""),"-")</f>
        <v>-</v>
      </c>
      <c r="F104" s="1" t="str">
        <f ca="1">IFERROR(__xludf.DUMMYFUNCTION("""COMPUTED_VALUE"""),"Marcia Regina Pinheiro")</f>
        <v>Marcia Regina Pinheiro</v>
      </c>
      <c r="G104" s="1" t="str">
        <f ca="1">IFERROR(__xludf.DUMMYFUNCTION("""COMPUTED_VALUE"""),"Viagem")</f>
        <v>Viagem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7">
        <f ca="1">IFERROR(__xludf.DUMMYFUNCTION("""COMPUTED_VALUE"""),45809)</f>
        <v>45809</v>
      </c>
      <c r="B105" s="7">
        <f ca="1">IFERROR(__xludf.DUMMYFUNCTION("""COMPUTED_VALUE"""),45793)</f>
        <v>45793</v>
      </c>
      <c r="C105" s="1" t="str">
        <f ca="1">IFERROR(__xludf.DUMMYFUNCTION("""COMPUTED_VALUE"""),"Lembranca")</f>
        <v>Lembranca</v>
      </c>
      <c r="D105" s="2">
        <f ca="1">IFERROR(__xludf.DUMMYFUNCTION("""COMPUTED_VALUE"""),95)</f>
        <v>95</v>
      </c>
      <c r="E105" s="1" t="str">
        <f ca="1">IFERROR(__xludf.DUMMYFUNCTION("""COMPUTED_VALUE"""),"-")</f>
        <v>-</v>
      </c>
      <c r="F105" s="1" t="str">
        <f ca="1">IFERROR(__xludf.DUMMYFUNCTION("""COMPUTED_VALUE"""),"Lembranca")</f>
        <v>Lembranca</v>
      </c>
      <c r="G105" s="1" t="str">
        <f ca="1">IFERROR(__xludf.DUMMYFUNCTION("""COMPUTED_VALUE"""),"Viagem")</f>
        <v>Viagem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7">
        <f ca="1">IFERROR(__xludf.DUMMYFUNCTION("""COMPUTED_VALUE"""),45809)</f>
        <v>45809</v>
      </c>
      <c r="B106" s="7">
        <f ca="1">IFERROR(__xludf.DUMMYFUNCTION("""COMPUTED_VALUE"""),45793)</f>
        <v>45793</v>
      </c>
      <c r="C106" s="1" t="str">
        <f ca="1">IFERROR(__xludf.DUMMYFUNCTION("""COMPUTED_VALUE"""),"Relicario Trem Bie")</f>
        <v>Relicario Trem Bie</v>
      </c>
      <c r="D106" s="2">
        <f ca="1">IFERROR(__xludf.DUMMYFUNCTION("""COMPUTED_VALUE"""),22)</f>
        <v>22</v>
      </c>
      <c r="E106" s="1" t="str">
        <f ca="1">IFERROR(__xludf.DUMMYFUNCTION("""COMPUTED_VALUE"""),"-")</f>
        <v>-</v>
      </c>
      <c r="F106" s="1" t="str">
        <f ca="1">IFERROR(__xludf.DUMMYFUNCTION("""COMPUTED_VALUE"""),"Relicario Trem Bie")</f>
        <v>Relicario Trem Bie</v>
      </c>
      <c r="G106" s="1" t="str">
        <f ca="1">IFERROR(__xludf.DUMMYFUNCTION("""COMPUTED_VALUE"""),"Viagem")</f>
        <v>Viagem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7">
        <f ca="1">IFERROR(__xludf.DUMMYFUNCTION("""COMPUTED_VALUE"""),45809)</f>
        <v>45809</v>
      </c>
      <c r="B107" s="7">
        <f ca="1">IFERROR(__xludf.DUMMYFUNCTION("""COMPUTED_VALUE"""),45793)</f>
        <v>45793</v>
      </c>
      <c r="C107" s="1" t="str">
        <f ca="1">IFERROR(__xludf.DUMMYFUNCTION("""COMPUTED_VALUE"""),"Relicario Trem Bie")</f>
        <v>Relicario Trem Bie</v>
      </c>
      <c r="D107" s="2">
        <f ca="1">IFERROR(__xludf.DUMMYFUNCTION("""COMPUTED_VALUE"""),18)</f>
        <v>18</v>
      </c>
      <c r="E107" s="1" t="str">
        <f ca="1">IFERROR(__xludf.DUMMYFUNCTION("""COMPUTED_VALUE"""),"-")</f>
        <v>-</v>
      </c>
      <c r="F107" s="1" t="str">
        <f ca="1">IFERROR(__xludf.DUMMYFUNCTION("""COMPUTED_VALUE"""),"Relicario Trem Bie")</f>
        <v>Relicario Trem Bie</v>
      </c>
      <c r="G107" s="1" t="str">
        <f ca="1">IFERROR(__xludf.DUMMYFUNCTION("""COMPUTED_VALUE"""),"Viagem")</f>
        <v>Viagem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7">
        <f ca="1">IFERROR(__xludf.DUMMYFUNCTION("""COMPUTED_VALUE"""),45809)</f>
        <v>45809</v>
      </c>
      <c r="B108" s="7">
        <f ca="1">IFERROR(__xludf.DUMMYFUNCTION("""COMPUTED_VALUE"""),45793)</f>
        <v>45793</v>
      </c>
      <c r="C108" s="1" t="str">
        <f ca="1">IFERROR(__xludf.DUMMYFUNCTION("""COMPUTED_VALUE"""),"Cafeteria Tiradentes")</f>
        <v>Cafeteria Tiradentes</v>
      </c>
      <c r="D108" s="2">
        <f ca="1">IFERROR(__xludf.DUMMYFUNCTION("""COMPUTED_VALUE"""),44)</f>
        <v>44</v>
      </c>
      <c r="E108" s="1" t="str">
        <f ca="1">IFERROR(__xludf.DUMMYFUNCTION("""COMPUTED_VALUE"""),"-")</f>
        <v>-</v>
      </c>
      <c r="F108" s="1" t="str">
        <f ca="1">IFERROR(__xludf.DUMMYFUNCTION("""COMPUTED_VALUE"""),"Cafeteria Tiradentes")</f>
        <v>Cafeteria Tiradentes</v>
      </c>
      <c r="G108" s="1" t="str">
        <f ca="1">IFERROR(__xludf.DUMMYFUNCTION("""COMPUTED_VALUE"""),"Viagem")</f>
        <v>Viagem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7">
        <f ca="1">IFERROR(__xludf.DUMMYFUNCTION("""COMPUTED_VALUE"""),45809)</f>
        <v>45809</v>
      </c>
      <c r="B109" s="7">
        <f ca="1">IFERROR(__xludf.DUMMYFUNCTION("""COMPUTED_VALUE"""),45794)</f>
        <v>45794</v>
      </c>
      <c r="C109" s="1" t="str">
        <f ca="1">IFERROR(__xludf.DUMMYFUNCTION("""COMPUTED_VALUE"""),"Espaco Faemam")</f>
        <v>Espaco Faemam</v>
      </c>
      <c r="D109" s="2">
        <f ca="1">IFERROR(__xludf.DUMMYFUNCTION("""COMPUTED_VALUE"""),162.21)</f>
        <v>162.21</v>
      </c>
      <c r="E109" s="1" t="str">
        <f ca="1">IFERROR(__xludf.DUMMYFUNCTION("""COMPUTED_VALUE"""),"-")</f>
        <v>-</v>
      </c>
      <c r="F109" s="1" t="str">
        <f ca="1">IFERROR(__xludf.DUMMYFUNCTION("""COMPUTED_VALUE"""),"Espaco Faemam")</f>
        <v>Espaco Faemam</v>
      </c>
      <c r="G109" s="1" t="str">
        <f ca="1">IFERROR(__xludf.DUMMYFUNCTION("""COMPUTED_VALUE"""),"Viagem")</f>
        <v>Viagem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7">
        <f ca="1">IFERROR(__xludf.DUMMYFUNCTION("""COMPUTED_VALUE"""),45809)</f>
        <v>45809</v>
      </c>
      <c r="B110" s="7">
        <f ca="1">IFERROR(__xludf.DUMMYFUNCTION("""COMPUTED_VALUE"""),45794)</f>
        <v>45794</v>
      </c>
      <c r="C110" s="1" t="str">
        <f ca="1">IFERROR(__xludf.DUMMYFUNCTION("""COMPUTED_VALUE"""),"América Burgers")</f>
        <v>América Burgers</v>
      </c>
      <c r="D110" s="2">
        <f ca="1">IFERROR(__xludf.DUMMYFUNCTION("""COMPUTED_VALUE"""),174.5)</f>
        <v>174.5</v>
      </c>
      <c r="E110" s="1" t="str">
        <f ca="1">IFERROR(__xludf.DUMMYFUNCTION("""COMPUTED_VALUE"""),"-")</f>
        <v>-</v>
      </c>
      <c r="F110" s="1" t="str">
        <f ca="1">IFERROR(__xludf.DUMMYFUNCTION("""COMPUTED_VALUE"""),"América Burgers")</f>
        <v>América Burgers</v>
      </c>
      <c r="G110" s="1" t="str">
        <f ca="1">IFERROR(__xludf.DUMMYFUNCTION("""COMPUTED_VALUE"""),"Viagem")</f>
        <v>Viagem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7">
        <f ca="1">IFERROR(__xludf.DUMMYFUNCTION("""COMPUTED_VALUE"""),45809)</f>
        <v>45809</v>
      </c>
      <c r="B111" s="7">
        <f ca="1">IFERROR(__xludf.DUMMYFUNCTION("""COMPUTED_VALUE"""),45795)</f>
        <v>45795</v>
      </c>
      <c r="C111" s="1" t="str">
        <f ca="1">IFERROR(__xludf.DUMMYFUNCTION("""COMPUTED_VALUE"""),"Chocolate Do Rei")</f>
        <v>Chocolate Do Rei</v>
      </c>
      <c r="D111" s="2">
        <f ca="1">IFERROR(__xludf.DUMMYFUNCTION("""COMPUTED_VALUE"""),49.84)</f>
        <v>49.84</v>
      </c>
      <c r="E111" s="1" t="str">
        <f ca="1">IFERROR(__xludf.DUMMYFUNCTION("""COMPUTED_VALUE"""),"-")</f>
        <v>-</v>
      </c>
      <c r="F111" s="1" t="str">
        <f ca="1">IFERROR(__xludf.DUMMYFUNCTION("""COMPUTED_VALUE"""),"Chocolate Do Rei")</f>
        <v>Chocolate Do Rei</v>
      </c>
      <c r="G111" s="1" t="str">
        <f ca="1">IFERROR(__xludf.DUMMYFUNCTION("""COMPUTED_VALUE"""),"Viagem")</f>
        <v>Viagem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7">
        <f ca="1">IFERROR(__xludf.DUMMYFUNCTION("""COMPUTED_VALUE"""),45809)</f>
        <v>45809</v>
      </c>
      <c r="B112" s="7">
        <f ca="1">IFERROR(__xludf.DUMMYFUNCTION("""COMPUTED_VALUE"""),45795)</f>
        <v>45795</v>
      </c>
      <c r="C112" s="1" t="str">
        <f ca="1">IFERROR(__xludf.DUMMYFUNCTION("""COMPUTED_VALUE"""),"Posto Bernardo Ltda")</f>
        <v>Posto Bernardo Ltda</v>
      </c>
      <c r="D112" s="2">
        <f ca="1">IFERROR(__xludf.DUMMYFUNCTION("""COMPUTED_VALUE"""),142.02)</f>
        <v>142.02000000000001</v>
      </c>
      <c r="E112" s="1" t="str">
        <f ca="1">IFERROR(__xludf.DUMMYFUNCTION("""COMPUTED_VALUE"""),"-")</f>
        <v>-</v>
      </c>
      <c r="F112" s="1" t="str">
        <f ca="1">IFERROR(__xludf.DUMMYFUNCTION("""COMPUTED_VALUE"""),"Posto Bernardo Ltda")</f>
        <v>Posto Bernardo Ltda</v>
      </c>
      <c r="G112" s="1" t="str">
        <f ca="1">IFERROR(__xludf.DUMMYFUNCTION("""COMPUTED_VALUE"""),"Viagem")</f>
        <v>Viagem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7">
        <f ca="1">IFERROR(__xludf.DUMMYFUNCTION("""COMPUTED_VALUE"""),45809)</f>
        <v>45809</v>
      </c>
      <c r="B113" s="7">
        <f ca="1">IFERROR(__xludf.DUMMYFUNCTION("""COMPUTED_VALUE"""),45795)</f>
        <v>45795</v>
      </c>
      <c r="C113" s="1" t="str">
        <f ca="1">IFERROR(__xludf.DUMMYFUNCTION("""COMPUTED_VALUE"""),"Super Nosso")</f>
        <v>Super Nosso</v>
      </c>
      <c r="D113" s="2">
        <f ca="1">IFERROR(__xludf.DUMMYFUNCTION("""COMPUTED_VALUE"""),302.65)</f>
        <v>302.64999999999998</v>
      </c>
      <c r="E113" s="1" t="str">
        <f ca="1">IFERROR(__xludf.DUMMYFUNCTION("""COMPUTED_VALUE"""),"-")</f>
        <v>-</v>
      </c>
      <c r="F113" s="1" t="str">
        <f ca="1">IFERROR(__xludf.DUMMYFUNCTION("""COMPUTED_VALUE"""),"Super Nosso")</f>
        <v>Super Nosso</v>
      </c>
      <c r="G113" s="1" t="str">
        <f ca="1">IFERROR(__xludf.DUMMYFUNCTION("""COMPUTED_VALUE"""),"Viagem")</f>
        <v>Viagem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7">
        <f ca="1">IFERROR(__xludf.DUMMYFUNCTION("""COMPUTED_VALUE"""),45809)</f>
        <v>45809</v>
      </c>
      <c r="B114" s="7">
        <f ca="1">IFERROR(__xludf.DUMMYFUNCTION("""COMPUTED_VALUE"""),45797)</f>
        <v>45797</v>
      </c>
      <c r="C114" s="1" t="str">
        <f ca="1">IFERROR(__xludf.DUMMYFUNCTION("""COMPUTED_VALUE"""),"Café E Cia")</f>
        <v>Café E Cia</v>
      </c>
      <c r="D114" s="2">
        <f ca="1">IFERROR(__xludf.DUMMYFUNCTION("""COMPUTED_VALUE"""),4)</f>
        <v>4</v>
      </c>
      <c r="E114" s="1" t="str">
        <f ca="1">IFERROR(__xludf.DUMMYFUNCTION("""COMPUTED_VALUE"""),"-")</f>
        <v>-</v>
      </c>
      <c r="F114" s="1" t="str">
        <f ca="1">IFERROR(__xludf.DUMMYFUNCTION("""COMPUTED_VALUE"""),"Café E Cia")</f>
        <v>Café E Cia</v>
      </c>
      <c r="G114" s="1" t="str">
        <f ca="1">IFERROR(__xludf.DUMMYFUNCTION("""COMPUTED_VALUE"""),"Comida")</f>
        <v>Comida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7">
        <f ca="1">IFERROR(__xludf.DUMMYFUNCTION("""COMPUTED_VALUE"""),45809)</f>
        <v>45809</v>
      </c>
      <c r="B115" s="7">
        <f ca="1">IFERROR(__xludf.DUMMYFUNCTION("""COMPUTED_VALUE"""),45797)</f>
        <v>45797</v>
      </c>
      <c r="C115" s="1" t="str">
        <f ca="1">IFERROR(__xludf.DUMMYFUNCTION("""COMPUTED_VALUE"""),"Panif Mendes Sion")</f>
        <v>Panif Mendes Sion</v>
      </c>
      <c r="D115" s="2">
        <f ca="1">IFERROR(__xludf.DUMMYFUNCTION("""COMPUTED_VALUE"""),4.4)</f>
        <v>4.4000000000000004</v>
      </c>
      <c r="E115" s="1" t="str">
        <f ca="1">IFERROR(__xludf.DUMMYFUNCTION("""COMPUTED_VALUE"""),"-")</f>
        <v>-</v>
      </c>
      <c r="F115" s="1" t="str">
        <f ca="1">IFERROR(__xludf.DUMMYFUNCTION("""COMPUTED_VALUE"""),"Panif Mendes Sion")</f>
        <v>Panif Mendes Sion</v>
      </c>
      <c r="G115" s="1" t="str">
        <f ca="1">IFERROR(__xludf.DUMMYFUNCTION("""COMPUTED_VALUE"""),"Comida")</f>
        <v>Comida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7">
        <f ca="1">IFERROR(__xludf.DUMMYFUNCTION("""COMPUTED_VALUE"""),45809)</f>
        <v>45809</v>
      </c>
      <c r="B116" s="7">
        <f ca="1">IFERROR(__xludf.DUMMYFUNCTION("""COMPUTED_VALUE"""),45798)</f>
        <v>45798</v>
      </c>
      <c r="C116" s="1" t="str">
        <f ca="1">IFERROR(__xludf.DUMMYFUNCTION("""COMPUTED_VALUE"""),"Panif Mendes Sion")</f>
        <v>Panif Mendes Sion</v>
      </c>
      <c r="D116" s="2">
        <f ca="1">IFERROR(__xludf.DUMMYFUNCTION("""COMPUTED_VALUE"""),14.52)</f>
        <v>14.52</v>
      </c>
      <c r="E116" s="1" t="str">
        <f ca="1">IFERROR(__xludf.DUMMYFUNCTION("""COMPUTED_VALUE"""),"-")</f>
        <v>-</v>
      </c>
      <c r="F116" s="1" t="str">
        <f ca="1">IFERROR(__xludf.DUMMYFUNCTION("""COMPUTED_VALUE"""),"Panif Mendes Sion")</f>
        <v>Panif Mendes Sion</v>
      </c>
      <c r="G116" s="1" t="str">
        <f ca="1">IFERROR(__xludf.DUMMYFUNCTION("""COMPUTED_VALUE"""),"Comida")</f>
        <v>Comida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7">
        <f ca="1">IFERROR(__xludf.DUMMYFUNCTION("""COMPUTED_VALUE"""),45809)</f>
        <v>45809</v>
      </c>
      <c r="B117" s="7">
        <f ca="1">IFERROR(__xludf.DUMMYFUNCTION("""COMPUTED_VALUE"""),45798)</f>
        <v>45798</v>
      </c>
      <c r="C117" s="1" t="str">
        <f ca="1">IFERROR(__xludf.DUMMYFUNCTION("""COMPUTED_VALUE"""),"Recanto Sion")</f>
        <v>Recanto Sion</v>
      </c>
      <c r="D117" s="2">
        <f ca="1">IFERROR(__xludf.DUMMYFUNCTION("""COMPUTED_VALUE"""),53.5)</f>
        <v>53.5</v>
      </c>
      <c r="E117" s="1" t="str">
        <f ca="1">IFERROR(__xludf.DUMMYFUNCTION("""COMPUTED_VALUE"""),"-")</f>
        <v>-</v>
      </c>
      <c r="F117" s="1" t="str">
        <f ca="1">IFERROR(__xludf.DUMMYFUNCTION("""COMPUTED_VALUE"""),"Recanto Sion")</f>
        <v>Recanto Sion</v>
      </c>
      <c r="G117" s="1" t="str">
        <f ca="1">IFERROR(__xludf.DUMMYFUNCTION("""COMPUTED_VALUE"""),"Comida")</f>
        <v>Comida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7">
        <f ca="1">IFERROR(__xludf.DUMMYFUNCTION("""COMPUTED_VALUE"""),45809)</f>
        <v>45809</v>
      </c>
      <c r="B118" s="7">
        <f ca="1">IFERROR(__xludf.DUMMYFUNCTION("""COMPUTED_VALUE"""),45799)</f>
        <v>45799</v>
      </c>
      <c r="C118" s="1" t="str">
        <f ca="1">IFERROR(__xludf.DUMMYFUNCTION("""COMPUTED_VALUE"""),"Panif Mendes Sion")</f>
        <v>Panif Mendes Sion</v>
      </c>
      <c r="D118" s="2">
        <f ca="1">IFERROR(__xludf.DUMMYFUNCTION("""COMPUTED_VALUE"""),18.48)</f>
        <v>18.48</v>
      </c>
      <c r="E118" s="1" t="str">
        <f ca="1">IFERROR(__xludf.DUMMYFUNCTION("""COMPUTED_VALUE"""),"-")</f>
        <v>-</v>
      </c>
      <c r="F118" s="1" t="str">
        <f ca="1">IFERROR(__xludf.DUMMYFUNCTION("""COMPUTED_VALUE"""),"Panif Mendes Sion")</f>
        <v>Panif Mendes Sion</v>
      </c>
      <c r="G118" s="1" t="str">
        <f ca="1">IFERROR(__xludf.DUMMYFUNCTION("""COMPUTED_VALUE"""),"Comida")</f>
        <v>Comida</v>
      </c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7">
        <f ca="1">IFERROR(__xludf.DUMMYFUNCTION("""COMPUTED_VALUE"""),45809)</f>
        <v>45809</v>
      </c>
      <c r="B119" s="7">
        <f ca="1">IFERROR(__xludf.DUMMYFUNCTION("""COMPUTED_VALUE"""),45799)</f>
        <v>45799</v>
      </c>
      <c r="C119" s="1" t="str">
        <f ca="1">IFERROR(__xludf.DUMMYFUNCTION("""COMPUTED_VALUE"""),"Drogaria Araujo")</f>
        <v>Drogaria Araujo</v>
      </c>
      <c r="D119" s="2">
        <f ca="1">IFERROR(__xludf.DUMMYFUNCTION("""COMPUTED_VALUE"""),35.88)</f>
        <v>35.880000000000003</v>
      </c>
      <c r="E119" s="1" t="str">
        <f ca="1">IFERROR(__xludf.DUMMYFUNCTION("""COMPUTED_VALUE"""),"-")</f>
        <v>-</v>
      </c>
      <c r="F119" s="1" t="str">
        <f ca="1">IFERROR(__xludf.DUMMYFUNCTION("""COMPUTED_VALUE"""),"Drogaria Araujo")</f>
        <v>Drogaria Araujo</v>
      </c>
      <c r="G119" s="1" t="str">
        <f ca="1">IFERROR(__xludf.DUMMYFUNCTION("""COMPUTED_VALUE"""),"Compras")</f>
        <v>Compras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7">
        <f ca="1">IFERROR(__xludf.DUMMYFUNCTION("""COMPUTED_VALUE"""),45809)</f>
        <v>45809</v>
      </c>
      <c r="B120" s="7">
        <f ca="1">IFERROR(__xludf.DUMMYFUNCTION("""COMPUTED_VALUE"""),45799)</f>
        <v>45799</v>
      </c>
      <c r="C120" s="1" t="str">
        <f ca="1">IFERROR(__xludf.DUMMYFUNCTION("""COMPUTED_VALUE"""),"Espassogourmet")</f>
        <v>Espassogourmet</v>
      </c>
      <c r="D120" s="2">
        <f ca="1">IFERROR(__xludf.DUMMYFUNCTION("""COMPUTED_VALUE"""),59.8)</f>
        <v>59.8</v>
      </c>
      <c r="E120" s="1" t="str">
        <f ca="1">IFERROR(__xludf.DUMMYFUNCTION("""COMPUTED_VALUE"""),"-")</f>
        <v>-</v>
      </c>
      <c r="F120" s="1" t="str">
        <f ca="1">IFERROR(__xludf.DUMMYFUNCTION("""COMPUTED_VALUE"""),"Espassogourmet")</f>
        <v>Espassogourmet</v>
      </c>
      <c r="G120" s="1" t="str">
        <f ca="1">IFERROR(__xludf.DUMMYFUNCTION("""COMPUTED_VALUE"""),"Comida")</f>
        <v>Comida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7">
        <f ca="1">IFERROR(__xludf.DUMMYFUNCTION("""COMPUTED_VALUE"""),45809)</f>
        <v>45809</v>
      </c>
      <c r="B121" s="7">
        <f ca="1">IFERROR(__xludf.DUMMYFUNCTION("""COMPUTED_VALUE"""),45799)</f>
        <v>45799</v>
      </c>
      <c r="C121" s="1" t="str">
        <f ca="1">IFERROR(__xludf.DUMMYFUNCTION("""COMPUTED_VALUE"""),"Bem Oriente")</f>
        <v>Bem Oriente</v>
      </c>
      <c r="D121" s="2">
        <f ca="1">IFERROR(__xludf.DUMMYFUNCTION("""COMPUTED_VALUE"""),37.96)</f>
        <v>37.96</v>
      </c>
      <c r="E121" s="1" t="str">
        <f ca="1">IFERROR(__xludf.DUMMYFUNCTION("""COMPUTED_VALUE"""),"-")</f>
        <v>-</v>
      </c>
      <c r="F121" s="1" t="str">
        <f ca="1">IFERROR(__xludf.DUMMYFUNCTION("""COMPUTED_VALUE"""),"Bem Oriente")</f>
        <v>Bem Oriente</v>
      </c>
      <c r="G121" s="1" t="str">
        <f ca="1">IFERROR(__xludf.DUMMYFUNCTION("""COMPUTED_VALUE"""),"-")</f>
        <v>-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7">
        <f ca="1">IFERROR(__xludf.DUMMYFUNCTION("""COMPUTED_VALUE"""),45809)</f>
        <v>45809</v>
      </c>
      <c r="B122" s="7">
        <f ca="1">IFERROR(__xludf.DUMMYFUNCTION("""COMPUTED_VALUE"""),45799)</f>
        <v>45799</v>
      </c>
      <c r="C122" s="1" t="str">
        <f ca="1">IFERROR(__xludf.DUMMYFUNCTION("""COMPUTED_VALUE"""),"Bem Oriente")</f>
        <v>Bem Oriente</v>
      </c>
      <c r="D122" s="2">
        <f ca="1">IFERROR(__xludf.DUMMYFUNCTION("""COMPUTED_VALUE"""),7.31)</f>
        <v>7.31</v>
      </c>
      <c r="E122" s="1" t="str">
        <f ca="1">IFERROR(__xludf.DUMMYFUNCTION("""COMPUTED_VALUE"""),"-")</f>
        <v>-</v>
      </c>
      <c r="F122" s="1" t="str">
        <f ca="1">IFERROR(__xludf.DUMMYFUNCTION("""COMPUTED_VALUE"""),"Bem Oriente")</f>
        <v>Bem Oriente</v>
      </c>
      <c r="G122" s="1" t="str">
        <f ca="1">IFERROR(__xludf.DUMMYFUNCTION("""COMPUTED_VALUE"""),"-")</f>
        <v>-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7">
        <f ca="1">IFERROR(__xludf.DUMMYFUNCTION("""COMPUTED_VALUE"""),45809)</f>
        <v>45809</v>
      </c>
      <c r="B123" s="7">
        <f ca="1">IFERROR(__xludf.DUMMYFUNCTION("""COMPUTED_VALUE"""),45799)</f>
        <v>45799</v>
      </c>
      <c r="C123" s="1" t="str">
        <f ca="1">IFERROR(__xludf.DUMMYFUNCTION("""COMPUTED_VALUE"""),"Pizza Do Douglas")</f>
        <v>Pizza Do Douglas</v>
      </c>
      <c r="D123" s="2">
        <f ca="1">IFERROR(__xludf.DUMMYFUNCTION("""COMPUTED_VALUE"""),40)</f>
        <v>40</v>
      </c>
      <c r="E123" s="1" t="str">
        <f ca="1">IFERROR(__xludf.DUMMYFUNCTION("""COMPUTED_VALUE"""),"-")</f>
        <v>-</v>
      </c>
      <c r="F123" s="1" t="str">
        <f ca="1">IFERROR(__xludf.DUMMYFUNCTION("""COMPUTED_VALUE"""),"Pizza Do Douglas")</f>
        <v>Pizza Do Douglas</v>
      </c>
      <c r="G123" s="1" t="str">
        <f ca="1">IFERROR(__xludf.DUMMYFUNCTION("""COMPUTED_VALUE"""),"Comida")</f>
        <v>Comida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7">
        <f ca="1">IFERROR(__xludf.DUMMYFUNCTION("""COMPUTED_VALUE"""),45809)</f>
        <v>45809</v>
      </c>
      <c r="B124" s="7">
        <f ca="1">IFERROR(__xludf.DUMMYFUNCTION("""COMPUTED_VALUE"""),45799)</f>
        <v>45799</v>
      </c>
      <c r="C124" s="1" t="str">
        <f ca="1">IFERROR(__xludf.DUMMYFUNCTION("""COMPUTED_VALUE"""),"Drogaria Pacheco")</f>
        <v>Drogaria Pacheco</v>
      </c>
      <c r="D124" s="2">
        <f ca="1">IFERROR(__xludf.DUMMYFUNCTION("""COMPUTED_VALUE"""),78.89)</f>
        <v>78.89</v>
      </c>
      <c r="E124" s="1" t="str">
        <f ca="1">IFERROR(__xludf.DUMMYFUNCTION("""COMPUTED_VALUE"""),"-")</f>
        <v>-</v>
      </c>
      <c r="F124" s="1" t="str">
        <f ca="1">IFERROR(__xludf.DUMMYFUNCTION("""COMPUTED_VALUE"""),"Drogaria Pacheco")</f>
        <v>Drogaria Pacheco</v>
      </c>
      <c r="G124" s="1" t="str">
        <f ca="1">IFERROR(__xludf.DUMMYFUNCTION("""COMPUTED_VALUE"""),"Compras")</f>
        <v>Compras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7">
        <f ca="1">IFERROR(__xludf.DUMMYFUNCTION("""COMPUTED_VALUE"""),45809)</f>
        <v>45809</v>
      </c>
      <c r="B125" s="7">
        <f ca="1">IFERROR(__xludf.DUMMYFUNCTION("""COMPUTED_VALUE"""),45800)</f>
        <v>45800</v>
      </c>
      <c r="C125" s="1" t="str">
        <f ca="1">IFERROR(__xludf.DUMMYFUNCTION("""COMPUTED_VALUE"""),"Cacarolinha")</f>
        <v>Cacarolinha</v>
      </c>
      <c r="D125" s="2">
        <f ca="1">IFERROR(__xludf.DUMMYFUNCTION("""COMPUTED_VALUE"""),27.25)</f>
        <v>27.25</v>
      </c>
      <c r="E125" s="1" t="str">
        <f ca="1">IFERROR(__xludf.DUMMYFUNCTION("""COMPUTED_VALUE"""),"-")</f>
        <v>-</v>
      </c>
      <c r="F125" s="1" t="str">
        <f ca="1">IFERROR(__xludf.DUMMYFUNCTION("""COMPUTED_VALUE"""),"Cacarolinha")</f>
        <v>Cacarolinha</v>
      </c>
      <c r="G125" s="1" t="str">
        <f ca="1">IFERROR(__xludf.DUMMYFUNCTION("""COMPUTED_VALUE"""),"Comida")</f>
        <v>Comida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7">
        <f ca="1">IFERROR(__xludf.DUMMYFUNCTION("""COMPUTED_VALUE"""),45809)</f>
        <v>45809</v>
      </c>
      <c r="B126" s="7">
        <f ca="1">IFERROR(__xludf.DUMMYFUNCTION("""COMPUTED_VALUE"""),45801)</f>
        <v>45801</v>
      </c>
      <c r="C126" s="1" t="str">
        <f ca="1">IFERROR(__xludf.DUMMYFUNCTION("""COMPUTED_VALUE"""),"Panif Mendes Sion")</f>
        <v>Panif Mendes Sion</v>
      </c>
      <c r="D126" s="2">
        <f ca="1">IFERROR(__xludf.DUMMYFUNCTION("""COMPUTED_VALUE"""),21.05)</f>
        <v>21.05</v>
      </c>
      <c r="E126" s="1" t="str">
        <f ca="1">IFERROR(__xludf.DUMMYFUNCTION("""COMPUTED_VALUE"""),"-")</f>
        <v>-</v>
      </c>
      <c r="F126" s="1" t="str">
        <f ca="1">IFERROR(__xludf.DUMMYFUNCTION("""COMPUTED_VALUE"""),"Panif Mendes Sion")</f>
        <v>Panif Mendes Sion</v>
      </c>
      <c r="G126" s="1" t="str">
        <f ca="1">IFERROR(__xludf.DUMMYFUNCTION("""COMPUTED_VALUE"""),"Comida")</f>
        <v>Comida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7">
        <f ca="1">IFERROR(__xludf.DUMMYFUNCTION("""COMPUTED_VALUE"""),45809)</f>
        <v>45809</v>
      </c>
      <c r="B127" s="7">
        <f ca="1">IFERROR(__xludf.DUMMYFUNCTION("""COMPUTED_VALUE"""),45801)</f>
        <v>45801</v>
      </c>
      <c r="C127" s="1" t="str">
        <f ca="1">IFERROR(__xludf.DUMMYFUNCTION("""COMPUTED_VALUE"""),"Golden Pet")</f>
        <v>Golden Pet</v>
      </c>
      <c r="D127" s="2">
        <f ca="1">IFERROR(__xludf.DUMMYFUNCTION("""COMPUTED_VALUE"""),124)</f>
        <v>124</v>
      </c>
      <c r="E127" s="1" t="str">
        <f ca="1">IFERROR(__xludf.DUMMYFUNCTION("""COMPUTED_VALUE"""),"-")</f>
        <v>-</v>
      </c>
      <c r="F127" s="1" t="str">
        <f ca="1">IFERROR(__xludf.DUMMYFUNCTION("""COMPUTED_VALUE"""),"Golden Pet")</f>
        <v>Golden Pet</v>
      </c>
      <c r="G127" s="1" t="str">
        <f ca="1">IFERROR(__xludf.DUMMYFUNCTION("""COMPUTED_VALUE"""),"Hulk")</f>
        <v>Hulk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7">
        <f ca="1">IFERROR(__xludf.DUMMYFUNCTION("""COMPUTED_VALUE"""),45809)</f>
        <v>45809</v>
      </c>
      <c r="B128" s="7">
        <f ca="1">IFERROR(__xludf.DUMMYFUNCTION("""COMPUTED_VALUE"""),45801)</f>
        <v>45801</v>
      </c>
      <c r="C128" s="1" t="str">
        <f ca="1">IFERROR(__xludf.DUMMYFUNCTION("""COMPUTED_VALUE"""),"480 Mg Bh Boulevard")</f>
        <v>480 Mg Bh Boulevard</v>
      </c>
      <c r="D128" s="2">
        <f ca="1">IFERROR(__xludf.DUMMYFUNCTION("""COMPUTED_VALUE"""),419.98)</f>
        <v>419.98</v>
      </c>
      <c r="E128" s="1" t="str">
        <f ca="1">IFERROR(__xludf.DUMMYFUNCTION("""COMPUTED_VALUE"""),"-")</f>
        <v>-</v>
      </c>
      <c r="F128" s="1" t="str">
        <f ca="1">IFERROR(__xludf.DUMMYFUNCTION("""COMPUTED_VALUE"""),"480 Mg Bh Boulevard")</f>
        <v>480 Mg Bh Boulevard</v>
      </c>
      <c r="G128" s="1" t="str">
        <f ca="1">IFERROR(__xludf.DUMMYFUNCTION("""COMPUTED_VALUE"""),"Compras")</f>
        <v>Compras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7">
        <f ca="1">IFERROR(__xludf.DUMMYFUNCTION("""COMPUTED_VALUE"""),45809)</f>
        <v>45809</v>
      </c>
      <c r="B129" s="7">
        <f ca="1">IFERROR(__xludf.DUMMYFUNCTION("""COMPUTED_VALUE"""),45801)</f>
        <v>45801</v>
      </c>
      <c r="C129" s="1" t="str">
        <f ca="1">IFERROR(__xludf.DUMMYFUNCTION("""COMPUTED_VALUE"""),"Direcao")</f>
        <v>Direcao</v>
      </c>
      <c r="D129" s="2">
        <f ca="1">IFERROR(__xludf.DUMMYFUNCTION("""COMPUTED_VALUE"""),15.75)</f>
        <v>15.75</v>
      </c>
      <c r="E129" s="1" t="str">
        <f ca="1">IFERROR(__xludf.DUMMYFUNCTION("""COMPUTED_VALUE"""),"-")</f>
        <v>-</v>
      </c>
      <c r="F129" s="1" t="str">
        <f ca="1">IFERROR(__xludf.DUMMYFUNCTION("""COMPUTED_VALUE"""),"Direcao")</f>
        <v>Direcao</v>
      </c>
      <c r="G129" s="1" t="str">
        <f ca="1">IFERROR(__xludf.DUMMYFUNCTION("""COMPUTED_VALUE"""),"-")</f>
        <v>-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7">
        <f ca="1">IFERROR(__xludf.DUMMYFUNCTION("""COMPUTED_VALUE"""),45809)</f>
        <v>45809</v>
      </c>
      <c r="B130" s="7">
        <f ca="1">IFERROR(__xludf.DUMMYFUNCTION("""COMPUTED_VALUE"""),45801)</f>
        <v>45801</v>
      </c>
      <c r="C130" s="1" t="str">
        <f ca="1">IFERROR(__xludf.DUMMYFUNCTION("""COMPUTED_VALUE"""),"O Bhar")</f>
        <v>O Bhar</v>
      </c>
      <c r="D130" s="2">
        <f ca="1">IFERROR(__xludf.DUMMYFUNCTION("""COMPUTED_VALUE"""),56.1)</f>
        <v>56.1</v>
      </c>
      <c r="E130" s="1" t="str">
        <f ca="1">IFERROR(__xludf.DUMMYFUNCTION("""COMPUTED_VALUE"""),"-")</f>
        <v>-</v>
      </c>
      <c r="F130" s="1" t="str">
        <f ca="1">IFERROR(__xludf.DUMMYFUNCTION("""COMPUTED_VALUE"""),"O Bhar")</f>
        <v>O Bhar</v>
      </c>
      <c r="G130" s="1" t="str">
        <f ca="1">IFERROR(__xludf.DUMMYFUNCTION("""COMPUTED_VALUE"""),"Comida")</f>
        <v>Comida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7">
        <f ca="1">IFERROR(__xludf.DUMMYFUNCTION("""COMPUTED_VALUE"""),45809)</f>
        <v>45809</v>
      </c>
      <c r="B131" s="7">
        <f ca="1">IFERROR(__xludf.DUMMYFUNCTION("""COMPUTED_VALUE"""),45802)</f>
        <v>45802</v>
      </c>
      <c r="C131" s="1" t="str">
        <f ca="1">IFERROR(__xludf.DUMMYFUNCTION("""COMPUTED_VALUE"""),"Assaí Atacadista")</f>
        <v>Assaí Atacadista</v>
      </c>
      <c r="D131" s="2">
        <f ca="1">IFERROR(__xludf.DUMMYFUNCTION("""COMPUTED_VALUE"""),68.78)</f>
        <v>68.78</v>
      </c>
      <c r="E131" s="1" t="str">
        <f ca="1">IFERROR(__xludf.DUMMYFUNCTION("""COMPUTED_VALUE"""),"-")</f>
        <v>-</v>
      </c>
      <c r="F131" s="1" t="str">
        <f ca="1">IFERROR(__xludf.DUMMYFUNCTION("""COMPUTED_VALUE"""),"Assaí Atacadista")</f>
        <v>Assaí Atacadista</v>
      </c>
      <c r="G131" s="1" t="str">
        <f ca="1">IFERROR(__xludf.DUMMYFUNCTION("""COMPUTED_VALUE"""),"Supermercado")</f>
        <v>Supermercado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7">
        <f ca="1">IFERROR(__xludf.DUMMYFUNCTION("""COMPUTED_VALUE"""),45809)</f>
        <v>45809</v>
      </c>
      <c r="B132" s="7">
        <f ca="1">IFERROR(__xludf.DUMMYFUNCTION("""COMPUTED_VALUE"""),45802)</f>
        <v>45802</v>
      </c>
      <c r="C132" s="1" t="str">
        <f ca="1">IFERROR(__xludf.DUMMYFUNCTION("""COMPUTED_VALUE"""),"Assaí Atacadista")</f>
        <v>Assaí Atacadista</v>
      </c>
      <c r="D132" s="2">
        <f ca="1">IFERROR(__xludf.DUMMYFUNCTION("""COMPUTED_VALUE"""),16.05)</f>
        <v>16.05</v>
      </c>
      <c r="E132" s="1" t="str">
        <f ca="1">IFERROR(__xludf.DUMMYFUNCTION("""COMPUTED_VALUE"""),"-")</f>
        <v>-</v>
      </c>
      <c r="F132" s="1" t="str">
        <f ca="1">IFERROR(__xludf.DUMMYFUNCTION("""COMPUTED_VALUE"""),"Assaí Atacadista")</f>
        <v>Assaí Atacadista</v>
      </c>
      <c r="G132" s="1" t="str">
        <f ca="1">IFERROR(__xludf.DUMMYFUNCTION("""COMPUTED_VALUE"""),"Supermercado")</f>
        <v>Supermercado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7">
        <f ca="1">IFERROR(__xludf.DUMMYFUNCTION("""COMPUTED_VALUE"""),45809)</f>
        <v>45809</v>
      </c>
      <c r="B133" s="7">
        <f ca="1">IFERROR(__xludf.DUMMYFUNCTION("""COMPUTED_VALUE"""),45802)</f>
        <v>45802</v>
      </c>
      <c r="C133" s="1" t="str">
        <f ca="1">IFERROR(__xludf.DUMMYFUNCTION("""COMPUTED_VALUE"""),"Panif Mendes Sion")</f>
        <v>Panif Mendes Sion</v>
      </c>
      <c r="D133" s="2">
        <f ca="1">IFERROR(__xludf.DUMMYFUNCTION("""COMPUTED_VALUE"""),15.65)</f>
        <v>15.65</v>
      </c>
      <c r="E133" s="1" t="str">
        <f ca="1">IFERROR(__xludf.DUMMYFUNCTION("""COMPUTED_VALUE"""),"-")</f>
        <v>-</v>
      </c>
      <c r="F133" s="1" t="str">
        <f ca="1">IFERROR(__xludf.DUMMYFUNCTION("""COMPUTED_VALUE"""),"Panif Mendes Sion")</f>
        <v>Panif Mendes Sion</v>
      </c>
      <c r="G133" s="1" t="str">
        <f ca="1">IFERROR(__xludf.DUMMYFUNCTION("""COMPUTED_VALUE"""),"Comida")</f>
        <v>Comida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7">
        <f ca="1">IFERROR(__xludf.DUMMYFUNCTION("""COMPUTED_VALUE"""),45809)</f>
        <v>45809</v>
      </c>
      <c r="B134" s="7">
        <f ca="1">IFERROR(__xludf.DUMMYFUNCTION("""COMPUTED_VALUE"""),45804)</f>
        <v>45804</v>
      </c>
      <c r="C134" s="1" t="str">
        <f ca="1">IFERROR(__xludf.DUMMYFUNCTION("""COMPUTED_VALUE"""),"Redentor")</f>
        <v>Redentor</v>
      </c>
      <c r="D134" s="2">
        <f ca="1">IFERROR(__xludf.DUMMYFUNCTION("""COMPUTED_VALUE"""),46.01)</f>
        <v>46.01</v>
      </c>
      <c r="E134" s="1" t="str">
        <f ca="1">IFERROR(__xludf.DUMMYFUNCTION("""COMPUTED_VALUE"""),"-")</f>
        <v>-</v>
      </c>
      <c r="F134" s="1" t="str">
        <f ca="1">IFERROR(__xludf.DUMMYFUNCTION("""COMPUTED_VALUE"""),"Redentor")</f>
        <v>Redentor</v>
      </c>
      <c r="G134" s="1" t="str">
        <f ca="1">IFERROR(__xludf.DUMMYFUNCTION("""COMPUTED_VALUE"""),"Comida")</f>
        <v>Comida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7">
        <f ca="1">IFERROR(__xludf.DUMMYFUNCTION("""COMPUTED_VALUE"""),45809)</f>
        <v>45809</v>
      </c>
      <c r="B135" s="7">
        <f ca="1">IFERROR(__xludf.DUMMYFUNCTION("""COMPUTED_VALUE"""),45804)</f>
        <v>45804</v>
      </c>
      <c r="C135" s="1" t="str">
        <f ca="1">IFERROR(__xludf.DUMMYFUNCTION("""COMPUTED_VALUE"""),"Amo Burger")</f>
        <v>Amo Burger</v>
      </c>
      <c r="D135" s="2">
        <f ca="1">IFERROR(__xludf.DUMMYFUNCTION("""COMPUTED_VALUE"""),98.78)</f>
        <v>98.78</v>
      </c>
      <c r="E135" s="1" t="str">
        <f ca="1">IFERROR(__xludf.DUMMYFUNCTION("""COMPUTED_VALUE"""),"-")</f>
        <v>-</v>
      </c>
      <c r="F135" s="1" t="str">
        <f ca="1">IFERROR(__xludf.DUMMYFUNCTION("""COMPUTED_VALUE"""),"Amo Burger")</f>
        <v>Amo Burger</v>
      </c>
      <c r="G135" s="1" t="str">
        <f ca="1">IFERROR(__xludf.DUMMYFUNCTION("""COMPUTED_VALUE"""),"Comida")</f>
        <v>Comida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7">
        <f ca="1">IFERROR(__xludf.DUMMYFUNCTION("""COMPUTED_VALUE"""),45809)</f>
        <v>45809</v>
      </c>
      <c r="B136" s="7">
        <f ca="1">IFERROR(__xludf.DUMMYFUNCTION("""COMPUTED_VALUE"""),45793)</f>
        <v>45793</v>
      </c>
      <c r="C136" s="1" t="str">
        <f ca="1">IFERROR(__xludf.DUMMYFUNCTION("""COMPUTED_VALUE"""),"Mai Tiradentes")</f>
        <v>Mai Tiradentes</v>
      </c>
      <c r="D136" s="2">
        <f ca="1">IFERROR(__xludf.DUMMYFUNCTION("""COMPUTED_VALUE"""),36.97)</f>
        <v>36.97</v>
      </c>
      <c r="E136" s="1" t="str">
        <f ca="1">IFERROR(__xludf.DUMMYFUNCTION("""COMPUTED_VALUE"""),"-")</f>
        <v>-</v>
      </c>
      <c r="F136" s="1" t="str">
        <f ca="1">IFERROR(__xludf.DUMMYFUNCTION("""COMPUTED_VALUE"""),"Mai Tiradentes")</f>
        <v>Mai Tiradentes</v>
      </c>
      <c r="G136" s="1" t="str">
        <f ca="1">IFERROR(__xludf.DUMMYFUNCTION("""COMPUTED_VALUE"""),"Viagem")</f>
        <v>Viagem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7">
        <f ca="1">IFERROR(__xludf.DUMMYFUNCTION("""COMPUTED_VALUE"""),45809)</f>
        <v>45809</v>
      </c>
      <c r="B137" s="7">
        <f ca="1">IFERROR(__xludf.DUMMYFUNCTION("""COMPUTED_VALUE"""),45757)</f>
        <v>45757</v>
      </c>
      <c r="C137" s="1" t="str">
        <f ca="1">IFERROR(__xludf.DUMMYFUNCTION("""COMPUTED_VALUE"""),"Amazonmktplc Delutecom (2/2)")</f>
        <v>Amazonmktplc Delutecom (2/2)</v>
      </c>
      <c r="D137" s="2">
        <f ca="1">IFERROR(__xludf.DUMMYFUNCTION("""COMPUTED_VALUE"""),74.95)</f>
        <v>74.95</v>
      </c>
      <c r="E137" s="1" t="str">
        <f ca="1">IFERROR(__xludf.DUMMYFUNCTION("""COMPUTED_VALUE"""),"-")</f>
        <v>-</v>
      </c>
      <c r="F137" s="1" t="str">
        <f ca="1">IFERROR(__xludf.DUMMYFUNCTION("""COMPUTED_VALUE"""),"Amazonmktplc")</f>
        <v>Amazonmktplc</v>
      </c>
      <c r="G137" s="1" t="str">
        <f ca="1">IFERROR(__xludf.DUMMYFUNCTION("""COMPUTED_VALUE"""),"Compras")</f>
        <v>Compras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7">
        <f ca="1">IFERROR(__xludf.DUMMYFUNCTION("""COMPUTED_VALUE"""),45809)</f>
        <v>45809</v>
      </c>
      <c r="B138" s="7">
        <f ca="1">IFERROR(__xludf.DUMMYFUNCTION("""COMPUTED_VALUE"""),45757)</f>
        <v>45757</v>
      </c>
      <c r="C138" s="1" t="str">
        <f ca="1">IFERROR(__xludf.DUMMYFUNCTION("""COMPUTED_VALUE"""),"Amazon (2/3)")</f>
        <v>Amazon (2/3)</v>
      </c>
      <c r="D138" s="2">
        <f ca="1">IFERROR(__xludf.DUMMYFUNCTION("""COMPUTED_VALUE"""),84.53)</f>
        <v>84.53</v>
      </c>
      <c r="E138" s="1" t="str">
        <f ca="1">IFERROR(__xludf.DUMMYFUNCTION("""COMPUTED_VALUE"""),"-")</f>
        <v>-</v>
      </c>
      <c r="F138" s="1" t="str">
        <f ca="1">IFERROR(__xludf.DUMMYFUNCTION("""COMPUTED_VALUE"""),"Amazon")</f>
        <v>Amazon</v>
      </c>
      <c r="G138" s="1" t="str">
        <f ca="1">IFERROR(__xludf.DUMMYFUNCTION("""COMPUTED_VALUE"""),"Compras")</f>
        <v>Compras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7">
        <f ca="1">IFERROR(__xludf.DUMMYFUNCTION("""COMPUTED_VALUE"""),45809)</f>
        <v>45809</v>
      </c>
      <c r="B139" s="7">
        <f ca="1">IFERROR(__xludf.DUMMYFUNCTION("""COMPUTED_VALUE"""),45762)</f>
        <v>45762</v>
      </c>
      <c r="C139" s="1" t="str">
        <f ca="1">IFERROR(__xludf.DUMMYFUNCTION("""COMPUTED_VALUE"""),"Lavo Ta Novo (2/2)")</f>
        <v>Lavo Ta Novo (2/2)</v>
      </c>
      <c r="D139" s="2">
        <f ca="1">IFERROR(__xludf.DUMMYFUNCTION("""COMPUTED_VALUE"""),217.5)</f>
        <v>217.5</v>
      </c>
      <c r="E139" s="1" t="str">
        <f ca="1">IFERROR(__xludf.DUMMYFUNCTION("""COMPUTED_VALUE"""),"-")</f>
        <v>-</v>
      </c>
      <c r="F139" s="1" t="str">
        <f ca="1">IFERROR(__xludf.DUMMYFUNCTION("""COMPUTED_VALUE"""),"Lavo Ta Novo")</f>
        <v>Lavo Ta Novo</v>
      </c>
      <c r="G139" s="1" t="str">
        <f ca="1">IFERROR(__xludf.DUMMYFUNCTION("""COMPUTED_VALUE"""),"Compras")</f>
        <v>Compras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7">
        <f ca="1">IFERROR(__xludf.DUMMYFUNCTION("""COMPUTED_VALUE"""),45809)</f>
        <v>45809</v>
      </c>
      <c r="B140" s="7">
        <f ca="1">IFERROR(__xludf.DUMMYFUNCTION("""COMPUTED_VALUE"""),45765)</f>
        <v>45765</v>
      </c>
      <c r="C140" s="1" t="str">
        <f ca="1">IFERROR(__xludf.DUMMYFUNCTION("""COMPUTED_VALUE"""),"Casas Bahia (2/10)")</f>
        <v>Casas Bahia (2/10)</v>
      </c>
      <c r="D140" s="2">
        <f ca="1">IFERROR(__xludf.DUMMYFUNCTION("""COMPUTED_VALUE"""),361.46)</f>
        <v>361.46</v>
      </c>
      <c r="E140" s="1" t="str">
        <f ca="1">IFERROR(__xludf.DUMMYFUNCTION("""COMPUTED_VALUE"""),"-")</f>
        <v>-</v>
      </c>
      <c r="F140" s="1" t="str">
        <f ca="1">IFERROR(__xludf.DUMMYFUNCTION("""COMPUTED_VALUE"""),"Casas Bahia")</f>
        <v>Casas Bahia</v>
      </c>
      <c r="G140" s="1" t="str">
        <f ca="1">IFERROR(__xludf.DUMMYFUNCTION("""COMPUTED_VALUE"""),"Compras")</f>
        <v>Compras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7">
        <f ca="1">IFERROR(__xludf.DUMMYFUNCTION("""COMPUTED_VALUE"""),45809)</f>
        <v>45809</v>
      </c>
      <c r="B141" s="7">
        <f ca="1">IFERROR(__xludf.DUMMYFUNCTION("""COMPUTED_VALUE"""),45765)</f>
        <v>45765</v>
      </c>
      <c r="C141" s="1" t="str">
        <f ca="1">IFERROR(__xludf.DUMMYFUNCTION("""COMPUTED_VALUE"""),"Shopee (2/3)")</f>
        <v>Shopee (2/3)</v>
      </c>
      <c r="D141" s="2">
        <f ca="1">IFERROR(__xludf.DUMMYFUNCTION("""COMPUTED_VALUE"""),89.63)</f>
        <v>89.63</v>
      </c>
      <c r="E141" s="1" t="str">
        <f ca="1">IFERROR(__xludf.DUMMYFUNCTION("""COMPUTED_VALUE"""),"-")</f>
        <v>-</v>
      </c>
      <c r="F141" s="1" t="str">
        <f ca="1">IFERROR(__xludf.DUMMYFUNCTION("""COMPUTED_VALUE"""),"Shopee")</f>
        <v>Shopee</v>
      </c>
      <c r="G141" s="1" t="str">
        <f ca="1">IFERROR(__xludf.DUMMYFUNCTION("""COMPUTED_VALUE"""),"Compras")</f>
        <v>Compras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7">
        <f ca="1">IFERROR(__xludf.DUMMYFUNCTION("""COMPUTED_VALUE"""),45809)</f>
        <v>45809</v>
      </c>
      <c r="B142" s="7">
        <f ca="1">IFERROR(__xludf.DUMMYFUNCTION("""COMPUTED_VALUE"""),45765)</f>
        <v>45765</v>
      </c>
      <c r="C142" s="1" t="str">
        <f ca="1">IFERROR(__xludf.DUMMYFUNCTION("""COMPUTED_VALUE"""),"Yogi Baby (2/3)")</f>
        <v>Yogi Baby (2/3)</v>
      </c>
      <c r="D142" s="2">
        <f ca="1">IFERROR(__xludf.DUMMYFUNCTION("""COMPUTED_VALUE"""),24.48)</f>
        <v>24.48</v>
      </c>
      <c r="E142" s="1" t="str">
        <f ca="1">IFERROR(__xludf.DUMMYFUNCTION("""COMPUTED_VALUE"""),"-")</f>
        <v>-</v>
      </c>
      <c r="F142" s="1" t="str">
        <f ca="1">IFERROR(__xludf.DUMMYFUNCTION("""COMPUTED_VALUE"""),"Yogi Baby")</f>
        <v>Yogi Baby</v>
      </c>
      <c r="G142" s="1" t="str">
        <f ca="1">IFERROR(__xludf.DUMMYFUNCTION("""COMPUTED_VALUE"""),"Compras")</f>
        <v>Compras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7">
        <f ca="1">IFERROR(__xludf.DUMMYFUNCTION("""COMPUTED_VALUE"""),45809)</f>
        <v>45809</v>
      </c>
      <c r="B143" s="7">
        <f ca="1">IFERROR(__xludf.DUMMYFUNCTION("""COMPUTED_VALUE"""),45766)</f>
        <v>45766</v>
      </c>
      <c r="C143" s="1" t="str">
        <f ca="1">IFERROR(__xludf.DUMMYFUNCTION("""COMPUTED_VALUE"""),"Petlove (2/3)")</f>
        <v>Petlove (2/3)</v>
      </c>
      <c r="D143" s="2">
        <f ca="1">IFERROR(__xludf.DUMMYFUNCTION("""COMPUTED_VALUE"""),149)</f>
        <v>149</v>
      </c>
      <c r="E143" s="1" t="str">
        <f ca="1">IFERROR(__xludf.DUMMYFUNCTION("""COMPUTED_VALUE"""),"-")</f>
        <v>-</v>
      </c>
      <c r="F143" s="1" t="str">
        <f ca="1">IFERROR(__xludf.DUMMYFUNCTION("""COMPUTED_VALUE"""),"Petlove")</f>
        <v>Petlove</v>
      </c>
      <c r="G143" s="1" t="str">
        <f ca="1">IFERROR(__xludf.DUMMYFUNCTION("""COMPUTED_VALUE"""),"Hulk")</f>
        <v>Hulk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7">
        <f ca="1">IFERROR(__xludf.DUMMYFUNCTION("""COMPUTED_VALUE"""),45809)</f>
        <v>45809</v>
      </c>
      <c r="B144" s="7">
        <f ca="1">IFERROR(__xludf.DUMMYFUNCTION("""COMPUTED_VALUE"""),45768)</f>
        <v>45768</v>
      </c>
      <c r="C144" s="1" t="str">
        <f ca="1">IFERROR(__xludf.DUMMYFUNCTION("""COMPUTED_VALUE"""),"Lellis Baby (2/3)")</f>
        <v>Lellis Baby (2/3)</v>
      </c>
      <c r="D144" s="2">
        <f ca="1">IFERROR(__xludf.DUMMYFUNCTION("""COMPUTED_VALUE"""),137.13)</f>
        <v>137.13</v>
      </c>
      <c r="E144" s="1" t="str">
        <f ca="1">IFERROR(__xludf.DUMMYFUNCTION("""COMPUTED_VALUE"""),"-")</f>
        <v>-</v>
      </c>
      <c r="F144" s="1" t="str">
        <f ca="1">IFERROR(__xludf.DUMMYFUNCTION("""COMPUTED_VALUE"""),"Lellis Baby")</f>
        <v>Lellis Baby</v>
      </c>
      <c r="G144" s="1" t="str">
        <f ca="1">IFERROR(__xludf.DUMMYFUNCTION("""COMPUTED_VALUE"""),"Compras")</f>
        <v>Compras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7">
        <f ca="1">IFERROR(__xludf.DUMMYFUNCTION("""COMPUTED_VALUE"""),45809)</f>
        <v>45809</v>
      </c>
      <c r="B145" s="7">
        <f ca="1">IFERROR(__xludf.DUMMYFUNCTION("""COMPUTED_VALUE"""),45768)</f>
        <v>45768</v>
      </c>
      <c r="C145" s="1" t="str">
        <f ca="1">IFERROR(__xludf.DUMMYFUNCTION("""COMPUTED_VALUE"""),"Alce (2/3)")</f>
        <v>Alce (2/3)</v>
      </c>
      <c r="D145" s="2">
        <f ca="1">IFERROR(__xludf.DUMMYFUNCTION("""COMPUTED_VALUE"""),139.17)</f>
        <v>139.16999999999999</v>
      </c>
      <c r="E145" s="1" t="str">
        <f ca="1">IFERROR(__xludf.DUMMYFUNCTION("""COMPUTED_VALUE"""),"-")</f>
        <v>-</v>
      </c>
      <c r="F145" s="1" t="str">
        <f ca="1">IFERROR(__xludf.DUMMYFUNCTION("""COMPUTED_VALUE"""),"Alce")</f>
        <v>Alce</v>
      </c>
      <c r="G145" s="1" t="str">
        <f ca="1">IFERROR(__xludf.DUMMYFUNCTION("""COMPUTED_VALUE"""),"Compras")</f>
        <v>Compras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7">
        <f ca="1">IFERROR(__xludf.DUMMYFUNCTION("""COMPUTED_VALUE"""),45809)</f>
        <v>45809</v>
      </c>
      <c r="B146" s="7">
        <f ca="1">IFERROR(__xludf.DUMMYFUNCTION("""COMPUTED_VALUE"""),45776)</f>
        <v>45776</v>
      </c>
      <c r="C146" s="1" t="str">
        <f ca="1">IFERROR(__xludf.DUMMYFUNCTION("""COMPUTED_VALUE"""),"Uber")</f>
        <v>Uber</v>
      </c>
      <c r="D146" s="2">
        <f ca="1">IFERROR(__xludf.DUMMYFUNCTION("""COMPUTED_VALUE"""),43.99)</f>
        <v>43.99</v>
      </c>
      <c r="E146" s="1" t="str">
        <f ca="1">IFERROR(__xludf.DUMMYFUNCTION("""COMPUTED_VALUE"""),"-")</f>
        <v>-</v>
      </c>
      <c r="F146" s="1" t="str">
        <f ca="1">IFERROR(__xludf.DUMMYFUNCTION("""COMPUTED_VALUE"""),"Uber")</f>
        <v>Uber</v>
      </c>
      <c r="G146" s="1" t="str">
        <f ca="1">IFERROR(__xludf.DUMMYFUNCTION("""COMPUTED_VALUE"""),"dti")</f>
        <v>dti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7">
        <f ca="1">IFERROR(__xludf.DUMMYFUNCTION("""COMPUTED_VALUE"""),45809)</f>
        <v>45809</v>
      </c>
      <c r="B147" s="7">
        <f ca="1">IFERROR(__xludf.DUMMYFUNCTION("""COMPUTED_VALUE"""),45776)</f>
        <v>45776</v>
      </c>
      <c r="C147" s="1" t="str">
        <f ca="1">IFERROR(__xludf.DUMMYFUNCTION("""COMPUTED_VALUE"""),"Uber")</f>
        <v>Uber</v>
      </c>
      <c r="D147" s="2">
        <f ca="1">IFERROR(__xludf.DUMMYFUNCTION("""COMPUTED_VALUE"""),114.29)</f>
        <v>114.29</v>
      </c>
      <c r="E147" s="1" t="str">
        <f ca="1">IFERROR(__xludf.DUMMYFUNCTION("""COMPUTED_VALUE"""),"-")</f>
        <v>-</v>
      </c>
      <c r="F147" s="1" t="str">
        <f ca="1">IFERROR(__xludf.DUMMYFUNCTION("""COMPUTED_VALUE"""),"Uber")</f>
        <v>Uber</v>
      </c>
      <c r="G147" s="1" t="str">
        <f ca="1">IFERROR(__xludf.DUMMYFUNCTION("""COMPUTED_VALUE"""),"dti")</f>
        <v>dti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7">
        <f ca="1">IFERROR(__xludf.DUMMYFUNCTION("""COMPUTED_VALUE"""),45809)</f>
        <v>45809</v>
      </c>
      <c r="B148" s="7">
        <f ca="1">IFERROR(__xludf.DUMMYFUNCTION("""COMPUTED_VALUE"""),45776)</f>
        <v>45776</v>
      </c>
      <c r="C148" s="1" t="str">
        <f ca="1">IFERROR(__xludf.DUMMYFUNCTION("""COMPUTED_VALUE"""),"Uber")</f>
        <v>Uber</v>
      </c>
      <c r="D148" s="2">
        <f ca="1">IFERROR(__xludf.DUMMYFUNCTION("""COMPUTED_VALUE"""),74.89)</f>
        <v>74.89</v>
      </c>
      <c r="E148" s="1" t="str">
        <f ca="1">IFERROR(__xludf.DUMMYFUNCTION("""COMPUTED_VALUE"""),"-")</f>
        <v>-</v>
      </c>
      <c r="F148" s="1" t="str">
        <f ca="1">IFERROR(__xludf.DUMMYFUNCTION("""COMPUTED_VALUE"""),"Uber")</f>
        <v>Uber</v>
      </c>
      <c r="G148" s="1" t="str">
        <f ca="1">IFERROR(__xludf.DUMMYFUNCTION("""COMPUTED_VALUE"""),"dti")</f>
        <v>dti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7">
        <f ca="1">IFERROR(__xludf.DUMMYFUNCTION("""COMPUTED_VALUE"""),45809)</f>
        <v>45809</v>
      </c>
      <c r="B149" s="7">
        <f ca="1">IFERROR(__xludf.DUMMYFUNCTION("""COMPUTED_VALUE"""),45777)</f>
        <v>45777</v>
      </c>
      <c r="C149" s="1" t="str">
        <f ca="1">IFERROR(__xludf.DUMMYFUNCTION("""COMPUTED_VALUE"""),"Uber")</f>
        <v>Uber</v>
      </c>
      <c r="D149" s="2">
        <f ca="1">IFERROR(__xludf.DUMMYFUNCTION("""COMPUTED_VALUE"""),109.12)</f>
        <v>109.12</v>
      </c>
      <c r="E149" s="1" t="str">
        <f ca="1">IFERROR(__xludf.DUMMYFUNCTION("""COMPUTED_VALUE"""),"-")</f>
        <v>-</v>
      </c>
      <c r="F149" s="1" t="str">
        <f ca="1">IFERROR(__xludf.DUMMYFUNCTION("""COMPUTED_VALUE"""),"Uber")</f>
        <v>Uber</v>
      </c>
      <c r="G149" s="1" t="str">
        <f ca="1">IFERROR(__xludf.DUMMYFUNCTION("""COMPUTED_VALUE"""),"dti")</f>
        <v>dti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7">
        <f ca="1">IFERROR(__xludf.DUMMYFUNCTION("""COMPUTED_VALUE"""),45809)</f>
        <v>45809</v>
      </c>
      <c r="B150" s="7">
        <f ca="1">IFERROR(__xludf.DUMMYFUNCTION("""COMPUTED_VALUE"""),45779)</f>
        <v>45779</v>
      </c>
      <c r="C150" s="1" t="str">
        <f ca="1">IFERROR(__xludf.DUMMYFUNCTION("""COMPUTED_VALUE"""),"Amazon")</f>
        <v>Amazon</v>
      </c>
      <c r="D150" s="2">
        <f ca="1">IFERROR(__xludf.DUMMYFUNCTION("""COMPUTED_VALUE"""),46.2)</f>
        <v>46.2</v>
      </c>
      <c r="E150" s="1" t="str">
        <f ca="1">IFERROR(__xludf.DUMMYFUNCTION("""COMPUTED_VALUE"""),"-")</f>
        <v>-</v>
      </c>
      <c r="F150" s="1" t="str">
        <f ca="1">IFERROR(__xludf.DUMMYFUNCTION("""COMPUTED_VALUE"""),"Amazon")</f>
        <v>Amazon</v>
      </c>
      <c r="G150" s="1" t="str">
        <f ca="1">IFERROR(__xludf.DUMMYFUNCTION("""COMPUTED_VALUE"""),"Compras")</f>
        <v>Compras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7">
        <f ca="1">IFERROR(__xludf.DUMMYFUNCTION("""COMPUTED_VALUE"""),45809)</f>
        <v>45809</v>
      </c>
      <c r="B151" s="7">
        <f ca="1">IFERROR(__xludf.DUMMYFUNCTION("""COMPUTED_VALUE"""),45781)</f>
        <v>45781</v>
      </c>
      <c r="C151" s="1" t="str">
        <f ca="1">IFERROR(__xludf.DUMMYFUNCTION("""COMPUTED_VALUE"""),"Amazon")</f>
        <v>Amazon</v>
      </c>
      <c r="D151" s="2">
        <f ca="1">IFERROR(__xludf.DUMMYFUNCTION("""COMPUTED_VALUE"""),29.05)</f>
        <v>29.05</v>
      </c>
      <c r="E151" s="1" t="str">
        <f ca="1">IFERROR(__xludf.DUMMYFUNCTION("""COMPUTED_VALUE"""),"-")</f>
        <v>-</v>
      </c>
      <c r="F151" s="1" t="str">
        <f ca="1">IFERROR(__xludf.DUMMYFUNCTION("""COMPUTED_VALUE"""),"Amazon")</f>
        <v>Amazon</v>
      </c>
      <c r="G151" s="1" t="str">
        <f ca="1">IFERROR(__xludf.DUMMYFUNCTION("""COMPUTED_VALUE"""),"Compras")</f>
        <v>Compras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7">
        <f ca="1">IFERROR(__xludf.DUMMYFUNCTION("""COMPUTED_VALUE"""),45809)</f>
        <v>45809</v>
      </c>
      <c r="B152" s="7">
        <f ca="1">IFERROR(__xludf.DUMMYFUNCTION("""COMPUTED_VALUE"""),45783)</f>
        <v>45783</v>
      </c>
      <c r="C152" s="1" t="str">
        <f ca="1">IFERROR(__xludf.DUMMYFUNCTION("""COMPUTED_VALUE"""),"Shopee")</f>
        <v>Shopee</v>
      </c>
      <c r="D152" s="2">
        <f ca="1">IFERROR(__xludf.DUMMYFUNCTION("""COMPUTED_VALUE"""),69.9)</f>
        <v>69.900000000000006</v>
      </c>
      <c r="E152" s="1" t="str">
        <f ca="1">IFERROR(__xludf.DUMMYFUNCTION("""COMPUTED_VALUE"""),"-")</f>
        <v>-</v>
      </c>
      <c r="F152" s="1" t="str">
        <f ca="1">IFERROR(__xludf.DUMMYFUNCTION("""COMPUTED_VALUE"""),"Shopee")</f>
        <v>Shopee</v>
      </c>
      <c r="G152" s="1" t="str">
        <f ca="1">IFERROR(__xludf.DUMMYFUNCTION("""COMPUTED_VALUE"""),"Compras")</f>
        <v>Compras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7">
        <f ca="1">IFERROR(__xludf.DUMMYFUNCTION("""COMPUTED_VALUE"""),45809)</f>
        <v>45809</v>
      </c>
      <c r="B153" s="7">
        <f ca="1">IFERROR(__xludf.DUMMYFUNCTION("""COMPUTED_VALUE"""),45783)</f>
        <v>45783</v>
      </c>
      <c r="C153" s="1">
        <f ca="1">IFERROR(__xludf.DUMMYFUNCTION("""COMPUTED_VALUE"""),99)</f>
        <v>99</v>
      </c>
      <c r="D153" s="2">
        <f ca="1">IFERROR(__xludf.DUMMYFUNCTION("""COMPUTED_VALUE"""),13.4)</f>
        <v>13.4</v>
      </c>
      <c r="E153" s="1" t="str">
        <f ca="1">IFERROR(__xludf.DUMMYFUNCTION("""COMPUTED_VALUE"""),"-")</f>
        <v>-</v>
      </c>
      <c r="F153" s="1" t="str">
        <f ca="1">IFERROR(__xludf.DUMMYFUNCTION("""COMPUTED_VALUE"""),"99")</f>
        <v>99</v>
      </c>
      <c r="G153" s="1" t="str">
        <f ca="1">IFERROR(__xludf.DUMMYFUNCTION("""COMPUTED_VALUE"""),"Uber/99")</f>
        <v>Uber/99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7">
        <f ca="1">IFERROR(__xludf.DUMMYFUNCTION("""COMPUTED_VALUE"""),45809)</f>
        <v>45809</v>
      </c>
      <c r="B154" s="7">
        <f ca="1">IFERROR(__xludf.DUMMYFUNCTION("""COMPUTED_VALUE"""),45784)</f>
        <v>45784</v>
      </c>
      <c r="C154" s="1" t="str">
        <f ca="1">IFERROR(__xludf.DUMMYFUNCTION("""COMPUTED_VALUE"""),"Amazon Prime (1/12)")</f>
        <v>Amazon Prime (1/12)</v>
      </c>
      <c r="D154" s="2">
        <f ca="1">IFERROR(__xludf.DUMMYFUNCTION("""COMPUTED_VALUE"""),13.9)</f>
        <v>13.9</v>
      </c>
      <c r="E154" s="1" t="str">
        <f ca="1">IFERROR(__xludf.DUMMYFUNCTION("""COMPUTED_VALUE"""),"-")</f>
        <v>-</v>
      </c>
      <c r="F154" s="1" t="str">
        <f ca="1">IFERROR(__xludf.DUMMYFUNCTION("""COMPUTED_VALUE"""),"Amazon Prime")</f>
        <v>Amazon Prime</v>
      </c>
      <c r="G154" s="1" t="str">
        <f ca="1">IFERROR(__xludf.DUMMYFUNCTION("""COMPUTED_VALUE"""),"Assinatura")</f>
        <v>Assinatura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7">
        <f ca="1">IFERROR(__xludf.DUMMYFUNCTION("""COMPUTED_VALUE"""),45809)</f>
        <v>45809</v>
      </c>
      <c r="B155" s="7">
        <f ca="1">IFERROR(__xludf.DUMMYFUNCTION("""COMPUTED_VALUE"""),45785)</f>
        <v>45785</v>
      </c>
      <c r="C155" s="1" t="str">
        <f ca="1">IFERROR(__xludf.DUMMYFUNCTION("""COMPUTED_VALUE"""),"Unisant")</f>
        <v>Unisant</v>
      </c>
      <c r="D155" s="2">
        <f ca="1">IFERROR(__xludf.DUMMYFUNCTION("""COMPUTED_VALUE"""),225.53)</f>
        <v>225.53</v>
      </c>
      <c r="E155" s="1" t="str">
        <f ca="1">IFERROR(__xludf.DUMMYFUNCTION("""COMPUTED_VALUE"""),"-")</f>
        <v>-</v>
      </c>
      <c r="F155" s="1" t="str">
        <f ca="1">IFERROR(__xludf.DUMMYFUNCTION("""COMPUTED_VALUE"""),"Unisant")</f>
        <v>Unisant</v>
      </c>
      <c r="G155" s="1" t="str">
        <f ca="1">IFERROR(__xludf.DUMMYFUNCTION("""COMPUTED_VALUE"""),"-")</f>
        <v>-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7">
        <f ca="1">IFERROR(__xludf.DUMMYFUNCTION("""COMPUTED_VALUE"""),45809)</f>
        <v>45809</v>
      </c>
      <c r="B156" s="7">
        <f ca="1">IFERROR(__xludf.DUMMYFUNCTION("""COMPUTED_VALUE"""),45786)</f>
        <v>45786</v>
      </c>
      <c r="C156" s="1" t="str">
        <f ca="1">IFERROR(__xludf.DUMMYFUNCTION("""COMPUTED_VALUE"""),"Shopee (1/2)")</f>
        <v>Shopee (1/2)</v>
      </c>
      <c r="D156" s="2">
        <f ca="1">IFERROR(__xludf.DUMMYFUNCTION("""COMPUTED_VALUE"""),60.54)</f>
        <v>60.54</v>
      </c>
      <c r="E156" s="1" t="str">
        <f ca="1">IFERROR(__xludf.DUMMYFUNCTION("""COMPUTED_VALUE"""),"-")</f>
        <v>-</v>
      </c>
      <c r="F156" s="1" t="str">
        <f ca="1">IFERROR(__xludf.DUMMYFUNCTION("""COMPUTED_VALUE"""),"Shopee")</f>
        <v>Shopee</v>
      </c>
      <c r="G156" s="1" t="str">
        <f ca="1">IFERROR(__xludf.DUMMYFUNCTION("""COMPUTED_VALUE"""),"Compras")</f>
        <v>Compras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7">
        <f ca="1">IFERROR(__xludf.DUMMYFUNCTION("""COMPUTED_VALUE"""),45809)</f>
        <v>45809</v>
      </c>
      <c r="B157" s="7">
        <f ca="1">IFERROR(__xludf.DUMMYFUNCTION("""COMPUTED_VALUE"""),45786)</f>
        <v>45786</v>
      </c>
      <c r="C157" s="1" t="str">
        <f ca="1">IFERROR(__xludf.DUMMYFUNCTION("""COMPUTED_VALUE"""),"Microsoft")</f>
        <v>Microsoft</v>
      </c>
      <c r="D157" s="2">
        <f ca="1">IFERROR(__xludf.DUMMYFUNCTION("""COMPUTED_VALUE"""),31.85)</f>
        <v>31.85</v>
      </c>
      <c r="E157" s="1" t="str">
        <f ca="1">IFERROR(__xludf.DUMMYFUNCTION("""COMPUTED_VALUE"""),"-")</f>
        <v>-</v>
      </c>
      <c r="F157" s="1" t="str">
        <f ca="1">IFERROR(__xludf.DUMMYFUNCTION("""COMPUTED_VALUE"""),"Microsoft")</f>
        <v>Microsoft</v>
      </c>
      <c r="G157" s="1" t="str">
        <f ca="1">IFERROR(__xludf.DUMMYFUNCTION("""COMPUTED_VALUE"""),"Assinatura")</f>
        <v>Assinatura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7">
        <f ca="1">IFERROR(__xludf.DUMMYFUNCTION("""COMPUTED_VALUE"""),45809)</f>
        <v>45809</v>
      </c>
      <c r="B158" s="7">
        <f ca="1">IFERROR(__xludf.DUMMYFUNCTION("""COMPUTED_VALUE"""),45786)</f>
        <v>45786</v>
      </c>
      <c r="C158" s="1" t="str">
        <f ca="1">IFERROR(__xludf.DUMMYFUNCTION("""COMPUTED_VALUE"""),"Uber")</f>
        <v>Uber</v>
      </c>
      <c r="D158" s="2">
        <f ca="1">IFERROR(__xludf.DUMMYFUNCTION("""COMPUTED_VALUE"""),26.06)</f>
        <v>26.06</v>
      </c>
      <c r="E158" s="1" t="str">
        <f ca="1">IFERROR(__xludf.DUMMYFUNCTION("""COMPUTED_VALUE"""),"-")</f>
        <v>-</v>
      </c>
      <c r="F158" s="1" t="str">
        <f ca="1">IFERROR(__xludf.DUMMYFUNCTION("""COMPUTED_VALUE"""),"Uber")</f>
        <v>Uber</v>
      </c>
      <c r="G158" s="1" t="str">
        <f ca="1">IFERROR(__xludf.DUMMYFUNCTION("""COMPUTED_VALUE"""),"Uber/99")</f>
        <v>Uber/99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7">
        <f ca="1">IFERROR(__xludf.DUMMYFUNCTION("""COMPUTED_VALUE"""),45809)</f>
        <v>45809</v>
      </c>
      <c r="B159" s="7">
        <f ca="1">IFERROR(__xludf.DUMMYFUNCTION("""COMPUTED_VALUE"""),45787)</f>
        <v>45787</v>
      </c>
      <c r="C159" s="1" t="str">
        <f ca="1">IFERROR(__xludf.DUMMYFUNCTION("""COMPUTED_VALUE"""),"Uber")</f>
        <v>Uber</v>
      </c>
      <c r="D159" s="2">
        <f ca="1">IFERROR(__xludf.DUMMYFUNCTION("""COMPUTED_VALUE"""),13.59)</f>
        <v>13.59</v>
      </c>
      <c r="E159" s="1" t="str">
        <f ca="1">IFERROR(__xludf.DUMMYFUNCTION("""COMPUTED_VALUE"""),"-")</f>
        <v>-</v>
      </c>
      <c r="F159" s="1" t="str">
        <f ca="1">IFERROR(__xludf.DUMMYFUNCTION("""COMPUTED_VALUE"""),"Uber")</f>
        <v>Uber</v>
      </c>
      <c r="G159" s="1" t="str">
        <f ca="1">IFERROR(__xludf.DUMMYFUNCTION("""COMPUTED_VALUE"""),"Uber/99")</f>
        <v>Uber/99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7">
        <f ca="1">IFERROR(__xludf.DUMMYFUNCTION("""COMPUTED_VALUE"""),45809)</f>
        <v>45809</v>
      </c>
      <c r="B160" s="7">
        <f ca="1">IFERROR(__xludf.DUMMYFUNCTION("""COMPUTED_VALUE"""),45787)</f>
        <v>45787</v>
      </c>
      <c r="C160" s="1" t="str">
        <f ca="1">IFERROR(__xludf.DUMMYFUNCTION("""COMPUTED_VALUE"""),"Uber")</f>
        <v>Uber</v>
      </c>
      <c r="D160" s="2">
        <f ca="1">IFERROR(__xludf.DUMMYFUNCTION("""COMPUTED_VALUE"""),22.47)</f>
        <v>22.47</v>
      </c>
      <c r="E160" s="1" t="str">
        <f ca="1">IFERROR(__xludf.DUMMYFUNCTION("""COMPUTED_VALUE"""),"-")</f>
        <v>-</v>
      </c>
      <c r="F160" s="1" t="str">
        <f ca="1">IFERROR(__xludf.DUMMYFUNCTION("""COMPUTED_VALUE"""),"Uber")</f>
        <v>Uber</v>
      </c>
      <c r="G160" s="1" t="str">
        <f ca="1">IFERROR(__xludf.DUMMYFUNCTION("""COMPUTED_VALUE"""),"Uber/99")</f>
        <v>Uber/99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7">
        <f ca="1">IFERROR(__xludf.DUMMYFUNCTION("""COMPUTED_VALUE"""),45809)</f>
        <v>45809</v>
      </c>
      <c r="B161" s="7">
        <f ca="1">IFERROR(__xludf.DUMMYFUNCTION("""COMPUTED_VALUE"""),45787)</f>
        <v>45787</v>
      </c>
      <c r="C161" s="1" t="str">
        <f ca="1">IFERROR(__xludf.DUMMYFUNCTION("""COMPUTED_VALUE"""),"Spotify")</f>
        <v>Spotify</v>
      </c>
      <c r="D161" s="2">
        <f ca="1">IFERROR(__xludf.DUMMYFUNCTION("""COMPUTED_VALUE"""),34.9)</f>
        <v>34.9</v>
      </c>
      <c r="E161" s="1" t="str">
        <f ca="1">IFERROR(__xludf.DUMMYFUNCTION("""COMPUTED_VALUE"""),"-")</f>
        <v>-</v>
      </c>
      <c r="F161" s="1" t="str">
        <f ca="1">IFERROR(__xludf.DUMMYFUNCTION("""COMPUTED_VALUE"""),"Spotify")</f>
        <v>Spotify</v>
      </c>
      <c r="G161" s="1" t="str">
        <f ca="1">IFERROR(__xludf.DUMMYFUNCTION("""COMPUTED_VALUE"""),"Assinatura")</f>
        <v>Assinatura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7">
        <f ca="1">IFERROR(__xludf.DUMMYFUNCTION("""COMPUTED_VALUE"""),45809)</f>
        <v>45809</v>
      </c>
      <c r="B162" s="7">
        <f ca="1">IFERROR(__xludf.DUMMYFUNCTION("""COMPUTED_VALUE"""),45787)</f>
        <v>45787</v>
      </c>
      <c r="C162" s="1" t="str">
        <f ca="1">IFERROR(__xludf.DUMMYFUNCTION("""COMPUTED_VALUE"""),"Amazon")</f>
        <v>Amazon</v>
      </c>
      <c r="D162" s="2">
        <f ca="1">IFERROR(__xludf.DUMMYFUNCTION("""COMPUTED_VALUE"""),34.9)</f>
        <v>34.9</v>
      </c>
      <c r="E162" s="1" t="str">
        <f ca="1">IFERROR(__xludf.DUMMYFUNCTION("""COMPUTED_VALUE"""),"-")</f>
        <v>-</v>
      </c>
      <c r="F162" s="1" t="str">
        <f ca="1">IFERROR(__xludf.DUMMYFUNCTION("""COMPUTED_VALUE"""),"Amazon")</f>
        <v>Amazon</v>
      </c>
      <c r="G162" s="1" t="str">
        <f ca="1">IFERROR(__xludf.DUMMYFUNCTION("""COMPUTED_VALUE"""),"Compras")</f>
        <v>Compras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7">
        <f ca="1">IFERROR(__xludf.DUMMYFUNCTION("""COMPUTED_VALUE"""),45809)</f>
        <v>45809</v>
      </c>
      <c r="B163" s="7">
        <f ca="1">IFERROR(__xludf.DUMMYFUNCTION("""COMPUTED_VALUE"""),45788)</f>
        <v>45788</v>
      </c>
      <c r="C163" s="1" t="str">
        <f ca="1">IFERROR(__xludf.DUMMYFUNCTION("""COMPUTED_VALUE"""),"Shopee")</f>
        <v>Shopee</v>
      </c>
      <c r="D163" s="2">
        <f ca="1">IFERROR(__xludf.DUMMYFUNCTION("""COMPUTED_VALUE"""),101.38)</f>
        <v>101.38</v>
      </c>
      <c r="E163" s="1" t="str">
        <f ca="1">IFERROR(__xludf.DUMMYFUNCTION("""COMPUTED_VALUE"""),"-")</f>
        <v>-</v>
      </c>
      <c r="F163" s="1" t="str">
        <f ca="1">IFERROR(__xludf.DUMMYFUNCTION("""COMPUTED_VALUE"""),"Shopee")</f>
        <v>Shopee</v>
      </c>
      <c r="G163" s="1" t="str">
        <f ca="1">IFERROR(__xludf.DUMMYFUNCTION("""COMPUTED_VALUE"""),"Compras")</f>
        <v>Compras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7">
        <f ca="1">IFERROR(__xludf.DUMMYFUNCTION("""COMPUTED_VALUE"""),45809)</f>
        <v>45809</v>
      </c>
      <c r="B164" s="7">
        <f ca="1">IFERROR(__xludf.DUMMYFUNCTION("""COMPUTED_VALUE"""),45788)</f>
        <v>45788</v>
      </c>
      <c r="C164" s="1" t="str">
        <f ca="1">IFERROR(__xludf.DUMMYFUNCTION("""COMPUTED_VALUE"""),"Amazon")</f>
        <v>Amazon</v>
      </c>
      <c r="D164" s="2">
        <f ca="1">IFERROR(__xludf.DUMMYFUNCTION("""COMPUTED_VALUE"""),22.29)</f>
        <v>22.29</v>
      </c>
      <c r="E164" s="1" t="str">
        <f ca="1">IFERROR(__xludf.DUMMYFUNCTION("""COMPUTED_VALUE"""),"-")</f>
        <v>-</v>
      </c>
      <c r="F164" s="1" t="str">
        <f ca="1">IFERROR(__xludf.DUMMYFUNCTION("""COMPUTED_VALUE"""),"Amazon")</f>
        <v>Amazon</v>
      </c>
      <c r="G164" s="1" t="str">
        <f ca="1">IFERROR(__xludf.DUMMYFUNCTION("""COMPUTED_VALUE"""),"Compras")</f>
        <v>Compras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7">
        <f ca="1">IFERROR(__xludf.DUMMYFUNCTION("""COMPUTED_VALUE"""),45809)</f>
        <v>45809</v>
      </c>
      <c r="B165" s="7">
        <f ca="1">IFERROR(__xludf.DUMMYFUNCTION("""COMPUTED_VALUE"""),45788)</f>
        <v>45788</v>
      </c>
      <c r="C165" s="1" t="str">
        <f ca="1">IFERROR(__xludf.DUMMYFUNCTION("""COMPUTED_VALUE"""),"Amazon")</f>
        <v>Amazon</v>
      </c>
      <c r="D165" s="2">
        <f ca="1">IFERROR(__xludf.DUMMYFUNCTION("""COMPUTED_VALUE"""),63.11)</f>
        <v>63.11</v>
      </c>
      <c r="E165" s="1" t="str">
        <f ca="1">IFERROR(__xludf.DUMMYFUNCTION("""COMPUTED_VALUE"""),"-")</f>
        <v>-</v>
      </c>
      <c r="F165" s="1" t="str">
        <f ca="1">IFERROR(__xludf.DUMMYFUNCTION("""COMPUTED_VALUE"""),"Amazon")</f>
        <v>Amazon</v>
      </c>
      <c r="G165" s="1" t="str">
        <f ca="1">IFERROR(__xludf.DUMMYFUNCTION("""COMPUTED_VALUE"""),"Compras")</f>
        <v>Compras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7">
        <f ca="1">IFERROR(__xludf.DUMMYFUNCTION("""COMPUTED_VALUE"""),45809)</f>
        <v>45809</v>
      </c>
      <c r="B166" s="7">
        <f ca="1">IFERROR(__xludf.DUMMYFUNCTION("""COMPUTED_VALUE"""),45788)</f>
        <v>45788</v>
      </c>
      <c r="C166" s="1" t="str">
        <f ca="1">IFERROR(__xludf.DUMMYFUNCTION("""COMPUTED_VALUE"""),"Shopee")</f>
        <v>Shopee</v>
      </c>
      <c r="D166" s="2">
        <f ca="1">IFERROR(__xludf.DUMMYFUNCTION("""COMPUTED_VALUE"""),26.8)</f>
        <v>26.8</v>
      </c>
      <c r="E166" s="1" t="str">
        <f ca="1">IFERROR(__xludf.DUMMYFUNCTION("""COMPUTED_VALUE"""),"-")</f>
        <v>-</v>
      </c>
      <c r="F166" s="1" t="str">
        <f ca="1">IFERROR(__xludf.DUMMYFUNCTION("""COMPUTED_VALUE"""),"Shopee")</f>
        <v>Shopee</v>
      </c>
      <c r="G166" s="1" t="str">
        <f ca="1">IFERROR(__xludf.DUMMYFUNCTION("""COMPUTED_VALUE"""),"Compras")</f>
        <v>Compras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7">
        <f ca="1">IFERROR(__xludf.DUMMYFUNCTION("""COMPUTED_VALUE"""),45809)</f>
        <v>45809</v>
      </c>
      <c r="B167" s="7">
        <f ca="1">IFERROR(__xludf.DUMMYFUNCTION("""COMPUTED_VALUE"""),45788)</f>
        <v>45788</v>
      </c>
      <c r="C167" s="1" t="str">
        <f ca="1">IFERROR(__xludf.DUMMYFUNCTION("""COMPUTED_VALUE"""),"Shopee")</f>
        <v>Shopee</v>
      </c>
      <c r="D167" s="2">
        <f ca="1">IFERROR(__xludf.DUMMYFUNCTION("""COMPUTED_VALUE"""),59.9)</f>
        <v>59.9</v>
      </c>
      <c r="E167" s="1" t="str">
        <f ca="1">IFERROR(__xludf.DUMMYFUNCTION("""COMPUTED_VALUE"""),"-")</f>
        <v>-</v>
      </c>
      <c r="F167" s="1" t="str">
        <f ca="1">IFERROR(__xludf.DUMMYFUNCTION("""COMPUTED_VALUE"""),"Shopee")</f>
        <v>Shopee</v>
      </c>
      <c r="G167" s="1" t="str">
        <f ca="1">IFERROR(__xludf.DUMMYFUNCTION("""COMPUTED_VALUE"""),"Compras")</f>
        <v>Compras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7">
        <f ca="1">IFERROR(__xludf.DUMMYFUNCTION("""COMPUTED_VALUE"""),45809)</f>
        <v>45809</v>
      </c>
      <c r="B168" s="7">
        <f ca="1">IFERROR(__xludf.DUMMYFUNCTION("""COMPUTED_VALUE"""),45790)</f>
        <v>45790</v>
      </c>
      <c r="C168" s="1" t="str">
        <f ca="1">IFERROR(__xludf.DUMMYFUNCTION("""COMPUTED_VALUE"""),"Amazonmktplc Rtocomerc")</f>
        <v>Amazonmktplc Rtocomerc</v>
      </c>
      <c r="D168" s="2">
        <f ca="1">IFERROR(__xludf.DUMMYFUNCTION("""COMPUTED_VALUE"""),119.99)</f>
        <v>119.99</v>
      </c>
      <c r="E168" s="1" t="str">
        <f ca="1">IFERROR(__xludf.DUMMYFUNCTION("""COMPUTED_VALUE"""),"-")</f>
        <v>-</v>
      </c>
      <c r="F168" s="1" t="str">
        <f ca="1">IFERROR(__xludf.DUMMYFUNCTION("""COMPUTED_VALUE"""),"Amazonmktplc")</f>
        <v>Amazonmktplc</v>
      </c>
      <c r="G168" s="1" t="str">
        <f ca="1">IFERROR(__xludf.DUMMYFUNCTION("""COMPUTED_VALUE"""),"Compras")</f>
        <v>Compras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7">
        <f ca="1">IFERROR(__xludf.DUMMYFUNCTION("""COMPUTED_VALUE"""),45809)</f>
        <v>45809</v>
      </c>
      <c r="B169" s="7">
        <f ca="1">IFERROR(__xludf.DUMMYFUNCTION("""COMPUTED_VALUE"""),45790)</f>
        <v>45790</v>
      </c>
      <c r="C169" s="1" t="str">
        <f ca="1">IFERROR(__xludf.DUMMYFUNCTION("""COMPUTED_VALUE"""),"Amazonmktplc Pdncomerc")</f>
        <v>Amazonmktplc Pdncomerc</v>
      </c>
      <c r="D169" s="2">
        <f ca="1">IFERROR(__xludf.DUMMYFUNCTION("""COMPUTED_VALUE"""),43.9)</f>
        <v>43.9</v>
      </c>
      <c r="E169" s="1" t="str">
        <f ca="1">IFERROR(__xludf.DUMMYFUNCTION("""COMPUTED_VALUE"""),"-")</f>
        <v>-</v>
      </c>
      <c r="F169" s="1" t="str">
        <f ca="1">IFERROR(__xludf.DUMMYFUNCTION("""COMPUTED_VALUE"""),"Amazonmktplc")</f>
        <v>Amazonmktplc</v>
      </c>
      <c r="G169" s="1" t="str">
        <f ca="1">IFERROR(__xludf.DUMMYFUNCTION("""COMPUTED_VALUE"""),"Compras")</f>
        <v>Compras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7">
        <f ca="1">IFERROR(__xludf.DUMMYFUNCTION("""COMPUTED_VALUE"""),45809)</f>
        <v>45809</v>
      </c>
      <c r="B170" s="7">
        <f ca="1">IFERROR(__xludf.DUMMYFUNCTION("""COMPUTED_VALUE"""),45790)</f>
        <v>45790</v>
      </c>
      <c r="C170" s="1" t="str">
        <f ca="1">IFERROR(__xludf.DUMMYFUNCTION("""COMPUTED_VALUE"""),"Petrobrasprem")</f>
        <v>Petrobrasprem</v>
      </c>
      <c r="D170" s="2">
        <f ca="1">IFERROR(__xludf.DUMMYFUNCTION("""COMPUTED_VALUE"""),95.8)</f>
        <v>95.8</v>
      </c>
      <c r="E170" s="1" t="str">
        <f ca="1">IFERROR(__xludf.DUMMYFUNCTION("""COMPUTED_VALUE"""),"-")</f>
        <v>-</v>
      </c>
      <c r="F170" s="1" t="str">
        <f ca="1">IFERROR(__xludf.DUMMYFUNCTION("""COMPUTED_VALUE"""),"Petrobrasprem")</f>
        <v>Petrobrasprem</v>
      </c>
      <c r="G170" s="1" t="str">
        <f ca="1">IFERROR(__xludf.DUMMYFUNCTION("""COMPUTED_VALUE"""),"Carro")</f>
        <v>Carro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7">
        <f ca="1">IFERROR(__xludf.DUMMYFUNCTION("""COMPUTED_VALUE"""),45809)</f>
        <v>45809</v>
      </c>
      <c r="B171" s="7">
        <f ca="1">IFERROR(__xludf.DUMMYFUNCTION("""COMPUTED_VALUE"""),45791)</f>
        <v>45791</v>
      </c>
      <c r="C171" s="1" t="str">
        <f ca="1">IFERROR(__xludf.DUMMYFUNCTION("""COMPUTED_VALUE"""),"Youtube")</f>
        <v>Youtube</v>
      </c>
      <c r="D171" s="2">
        <f ca="1">IFERROR(__xludf.DUMMYFUNCTION("""COMPUTED_VALUE"""),19.99)</f>
        <v>19.989999999999998</v>
      </c>
      <c r="E171" s="1" t="str">
        <f ca="1">IFERROR(__xludf.DUMMYFUNCTION("""COMPUTED_VALUE"""),"-")</f>
        <v>-</v>
      </c>
      <c r="F171" s="1" t="str">
        <f ca="1">IFERROR(__xludf.DUMMYFUNCTION("""COMPUTED_VALUE"""),"Youtube")</f>
        <v>Youtube</v>
      </c>
      <c r="G171" s="1" t="str">
        <f ca="1">IFERROR(__xludf.DUMMYFUNCTION("""COMPUTED_VALUE"""),"Assinatura")</f>
        <v>Assinatura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7">
        <f ca="1">IFERROR(__xludf.DUMMYFUNCTION("""COMPUTED_VALUE"""),45809)</f>
        <v>45809</v>
      </c>
      <c r="B172" s="7">
        <f ca="1">IFERROR(__xludf.DUMMYFUNCTION("""COMPUTED_VALUE"""),45795)</f>
        <v>45795</v>
      </c>
      <c r="C172" s="1" t="str">
        <f ca="1">IFERROR(__xludf.DUMMYFUNCTION("""COMPUTED_VALUE"""),"Rdsaude Online")</f>
        <v>Rdsaude Online</v>
      </c>
      <c r="D172" s="2">
        <f ca="1">IFERROR(__xludf.DUMMYFUNCTION("""COMPUTED_VALUE"""),285.99)</f>
        <v>285.99</v>
      </c>
      <c r="E172" s="1" t="str">
        <f ca="1">IFERROR(__xludf.DUMMYFUNCTION("""COMPUTED_VALUE"""),"-")</f>
        <v>-</v>
      </c>
      <c r="F172" s="1" t="str">
        <f ca="1">IFERROR(__xludf.DUMMYFUNCTION("""COMPUTED_VALUE"""),"Rdsaude Online")</f>
        <v>Rdsaude Online</v>
      </c>
      <c r="G172" s="1" t="str">
        <f ca="1">IFERROR(__xludf.DUMMYFUNCTION("""COMPUTED_VALUE"""),"Viagem")</f>
        <v>Viagem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7">
        <f ca="1">IFERROR(__xludf.DUMMYFUNCTION("""COMPUTED_VALUE"""),45809)</f>
        <v>45809</v>
      </c>
      <c r="B173" s="7">
        <f ca="1">IFERROR(__xludf.DUMMYFUNCTION("""COMPUTED_VALUE"""),45796)</f>
        <v>45796</v>
      </c>
      <c r="C173" s="1" t="str">
        <f ca="1">IFERROR(__xludf.DUMMYFUNCTION("""COMPUTED_VALUE"""),"Shopee (1/2)")</f>
        <v>Shopee (1/2)</v>
      </c>
      <c r="D173" s="2">
        <f ca="1">IFERROR(__xludf.DUMMYFUNCTION("""COMPUTED_VALUE"""),127.56)</f>
        <v>127.56</v>
      </c>
      <c r="E173" s="1" t="str">
        <f ca="1">IFERROR(__xludf.DUMMYFUNCTION("""COMPUTED_VALUE"""),"-")</f>
        <v>-</v>
      </c>
      <c r="F173" s="1" t="str">
        <f ca="1">IFERROR(__xludf.DUMMYFUNCTION("""COMPUTED_VALUE"""),"Shopee")</f>
        <v>Shopee</v>
      </c>
      <c r="G173" s="1" t="str">
        <f ca="1">IFERROR(__xludf.DUMMYFUNCTION("""COMPUTED_VALUE"""),"Compras")</f>
        <v>Compras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7">
        <f ca="1">IFERROR(__xludf.DUMMYFUNCTION("""COMPUTED_VALUE"""),45809)</f>
        <v>45809</v>
      </c>
      <c r="B174" s="7">
        <f ca="1">IFERROR(__xludf.DUMMYFUNCTION("""COMPUTED_VALUE"""),45796)</f>
        <v>45796</v>
      </c>
      <c r="C174" s="1" t="str">
        <f ca="1">IFERROR(__xludf.DUMMYFUNCTION("""COMPUTED_VALUE"""),"Amazon")</f>
        <v>Amazon</v>
      </c>
      <c r="D174" s="2">
        <f ca="1">IFERROR(__xludf.DUMMYFUNCTION("""COMPUTED_VALUE"""),9.2)</f>
        <v>9.1999999999999993</v>
      </c>
      <c r="E174" s="1" t="str">
        <f ca="1">IFERROR(__xludf.DUMMYFUNCTION("""COMPUTED_VALUE"""),"-")</f>
        <v>-</v>
      </c>
      <c r="F174" s="1" t="str">
        <f ca="1">IFERROR(__xludf.DUMMYFUNCTION("""COMPUTED_VALUE"""),"Amazon")</f>
        <v>Amazon</v>
      </c>
      <c r="G174" s="1" t="str">
        <f ca="1">IFERROR(__xludf.DUMMYFUNCTION("""COMPUTED_VALUE"""),"Compras")</f>
        <v>Compras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7">
        <f ca="1">IFERROR(__xludf.DUMMYFUNCTION("""COMPUTED_VALUE"""),45809)</f>
        <v>45809</v>
      </c>
      <c r="B175" s="7">
        <f ca="1">IFERROR(__xludf.DUMMYFUNCTION("""COMPUTED_VALUE"""),45796)</f>
        <v>45796</v>
      </c>
      <c r="C175" s="1" t="str">
        <f ca="1">IFERROR(__xludf.DUMMYFUNCTION("""COMPUTED_VALUE"""),"Mercado Livre")</f>
        <v>Mercado Livre</v>
      </c>
      <c r="D175" s="2">
        <f ca="1">IFERROR(__xludf.DUMMYFUNCTION("""COMPUTED_VALUE"""),24.9)</f>
        <v>24.9</v>
      </c>
      <c r="E175" s="1" t="str">
        <f ca="1">IFERROR(__xludf.DUMMYFUNCTION("""COMPUTED_VALUE"""),"-")</f>
        <v>-</v>
      </c>
      <c r="F175" s="1" t="str">
        <f ca="1">IFERROR(__xludf.DUMMYFUNCTION("""COMPUTED_VALUE"""),"Mercado Livre")</f>
        <v>Mercado Livre</v>
      </c>
      <c r="G175" s="1" t="str">
        <f ca="1">IFERROR(__xludf.DUMMYFUNCTION("""COMPUTED_VALUE"""),"Compras")</f>
        <v>Compras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7">
        <f ca="1">IFERROR(__xludf.DUMMYFUNCTION("""COMPUTED_VALUE"""),45809)</f>
        <v>45809</v>
      </c>
      <c r="B176" s="7">
        <f ca="1">IFERROR(__xludf.DUMMYFUNCTION("""COMPUTED_VALUE"""),45796)</f>
        <v>45796</v>
      </c>
      <c r="C176" s="1" t="str">
        <f ca="1">IFERROR(__xludf.DUMMYFUNCTION("""COMPUTED_VALUE"""),"Shopee")</f>
        <v>Shopee</v>
      </c>
      <c r="D176" s="2">
        <f ca="1">IFERROR(__xludf.DUMMYFUNCTION("""COMPUTED_VALUE"""),74.57)</f>
        <v>74.569999999999993</v>
      </c>
      <c r="E176" s="1" t="str">
        <f ca="1">IFERROR(__xludf.DUMMYFUNCTION("""COMPUTED_VALUE"""),"-")</f>
        <v>-</v>
      </c>
      <c r="F176" s="1" t="str">
        <f ca="1">IFERROR(__xludf.DUMMYFUNCTION("""COMPUTED_VALUE"""),"Shopee")</f>
        <v>Shopee</v>
      </c>
      <c r="G176" s="1" t="str">
        <f ca="1">IFERROR(__xludf.DUMMYFUNCTION("""COMPUTED_VALUE"""),"Compras")</f>
        <v>Compras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7">
        <f ca="1">IFERROR(__xludf.DUMMYFUNCTION("""COMPUTED_VALUE"""),45809)</f>
        <v>45809</v>
      </c>
      <c r="B177" s="7">
        <f ca="1">IFERROR(__xludf.DUMMYFUNCTION("""COMPUTED_VALUE"""),45796)</f>
        <v>45796</v>
      </c>
      <c r="C177" s="1" t="str">
        <f ca="1">IFERROR(__xludf.DUMMYFUNCTION("""COMPUTED_VALUE"""),"Shopee")</f>
        <v>Shopee</v>
      </c>
      <c r="D177" s="2">
        <f ca="1">IFERROR(__xludf.DUMMYFUNCTION("""COMPUTED_VALUE"""),20.93)</f>
        <v>20.93</v>
      </c>
      <c r="E177" s="1" t="str">
        <f ca="1">IFERROR(__xludf.DUMMYFUNCTION("""COMPUTED_VALUE"""),"-")</f>
        <v>-</v>
      </c>
      <c r="F177" s="1" t="str">
        <f ca="1">IFERROR(__xludf.DUMMYFUNCTION("""COMPUTED_VALUE"""),"Shopee")</f>
        <v>Shopee</v>
      </c>
      <c r="G177" s="1" t="str">
        <f ca="1">IFERROR(__xludf.DUMMYFUNCTION("""COMPUTED_VALUE"""),"Compras")</f>
        <v>Compras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7">
        <f ca="1">IFERROR(__xludf.DUMMYFUNCTION("""COMPUTED_VALUE"""),45809)</f>
        <v>45809</v>
      </c>
      <c r="B178" s="7">
        <f ca="1">IFERROR(__xludf.DUMMYFUNCTION("""COMPUTED_VALUE"""),45796)</f>
        <v>45796</v>
      </c>
      <c r="C178" s="1" t="str">
        <f ca="1">IFERROR(__xludf.DUMMYFUNCTION("""COMPUTED_VALUE"""),"Shopee")</f>
        <v>Shopee</v>
      </c>
      <c r="D178" s="2">
        <f ca="1">IFERROR(__xludf.DUMMYFUNCTION("""COMPUTED_VALUE"""),22)</f>
        <v>22</v>
      </c>
      <c r="E178" s="1" t="str">
        <f ca="1">IFERROR(__xludf.DUMMYFUNCTION("""COMPUTED_VALUE"""),"-")</f>
        <v>-</v>
      </c>
      <c r="F178" s="1" t="str">
        <f ca="1">IFERROR(__xludf.DUMMYFUNCTION("""COMPUTED_VALUE"""),"Shopee")</f>
        <v>Shopee</v>
      </c>
      <c r="G178" s="1" t="str">
        <f ca="1">IFERROR(__xludf.DUMMYFUNCTION("""COMPUTED_VALUE"""),"Compras")</f>
        <v>Compras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7">
        <f ca="1">IFERROR(__xludf.DUMMYFUNCTION("""COMPUTED_VALUE"""),45809)</f>
        <v>45809</v>
      </c>
      <c r="B179" s="7">
        <f ca="1">IFERROR(__xludf.DUMMYFUNCTION("""COMPUTED_VALUE"""),45797)</f>
        <v>45797</v>
      </c>
      <c r="C179" s="1" t="str">
        <f ca="1">IFERROR(__xludf.DUMMYFUNCTION("""COMPUTED_VALUE"""),"Riachuelo Lo Riachuelo")</f>
        <v>Riachuelo Lo Riachuelo</v>
      </c>
      <c r="D179" s="2">
        <f ca="1">IFERROR(__xludf.DUMMYFUNCTION("""COMPUTED_VALUE"""),179.99)</f>
        <v>179.99</v>
      </c>
      <c r="E179" s="1" t="str">
        <f ca="1">IFERROR(__xludf.DUMMYFUNCTION("""COMPUTED_VALUE"""),"-")</f>
        <v>-</v>
      </c>
      <c r="F179" s="1" t="str">
        <f ca="1">IFERROR(__xludf.DUMMYFUNCTION("""COMPUTED_VALUE"""),"Riachuelo Lo Riachuelo")</f>
        <v>Riachuelo Lo Riachuelo</v>
      </c>
      <c r="G179" s="1" t="str">
        <f ca="1">IFERROR(__xludf.DUMMYFUNCTION("""COMPUTED_VALUE"""),"Compras")</f>
        <v>Compras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7">
        <f ca="1">IFERROR(__xludf.DUMMYFUNCTION("""COMPUTED_VALUE"""),45809)</f>
        <v>45809</v>
      </c>
      <c r="B180" s="7">
        <f ca="1">IFERROR(__xludf.DUMMYFUNCTION("""COMPUTED_VALUE"""),45797)</f>
        <v>45797</v>
      </c>
      <c r="C180" s="1" t="str">
        <f ca="1">IFERROR(__xludf.DUMMYFUNCTION("""COMPUTED_VALUE"""),"Petlove")</f>
        <v>Petlove</v>
      </c>
      <c r="D180" s="2">
        <f ca="1">IFERROR(__xludf.DUMMYFUNCTION("""COMPUTED_VALUE"""),119.88)</f>
        <v>119.88</v>
      </c>
      <c r="E180" s="1" t="str">
        <f ca="1">IFERROR(__xludf.DUMMYFUNCTION("""COMPUTED_VALUE"""),"-")</f>
        <v>-</v>
      </c>
      <c r="F180" s="1" t="str">
        <f ca="1">IFERROR(__xludf.DUMMYFUNCTION("""COMPUTED_VALUE"""),"Petlove")</f>
        <v>Petlove</v>
      </c>
      <c r="G180" s="1" t="str">
        <f ca="1">IFERROR(__xludf.DUMMYFUNCTION("""COMPUTED_VALUE"""),"Hulk")</f>
        <v>Hulk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7">
        <f ca="1">IFERROR(__xludf.DUMMYFUNCTION("""COMPUTED_VALUE"""),45809)</f>
        <v>45809</v>
      </c>
      <c r="B181" s="7">
        <f ca="1">IFERROR(__xludf.DUMMYFUNCTION("""COMPUTED_VALUE"""),45797)</f>
        <v>45797</v>
      </c>
      <c r="C181" s="1" t="str">
        <f ca="1">IFERROR(__xludf.DUMMYFUNCTION("""COMPUTED_VALUE"""),"Paypal Mj In")</f>
        <v>Paypal Mj In</v>
      </c>
      <c r="D181" s="2">
        <f ca="1">IFERROR(__xludf.DUMMYFUNCTION("""COMPUTED_VALUE"""),132.17)</f>
        <v>132.16999999999999</v>
      </c>
      <c r="E181" s="1" t="str">
        <f ca="1">IFERROR(__xludf.DUMMYFUNCTION("""COMPUTED_VALUE"""),"-")</f>
        <v>-</v>
      </c>
      <c r="F181" s="1" t="str">
        <f ca="1">IFERROR(__xludf.DUMMYFUNCTION("""COMPUTED_VALUE"""),"Paypal Mj In")</f>
        <v>Paypal Mj In</v>
      </c>
      <c r="G181" s="1" t="str">
        <f ca="1">IFERROR(__xludf.DUMMYFUNCTION("""COMPUTED_VALUE"""),"-")</f>
        <v>-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7">
        <f ca="1">IFERROR(__xludf.DUMMYFUNCTION("""COMPUTED_VALUE"""),45809)</f>
        <v>45809</v>
      </c>
      <c r="B182" s="7">
        <f ca="1">IFERROR(__xludf.DUMMYFUNCTION("""COMPUTED_VALUE"""),45799)</f>
        <v>45799</v>
      </c>
      <c r="C182" s="1" t="str">
        <f ca="1">IFERROR(__xludf.DUMMYFUNCTION("""COMPUTED_VALUE"""),"Drogaria Araujo")</f>
        <v>Drogaria Araujo</v>
      </c>
      <c r="D182" s="2">
        <f ca="1">IFERROR(__xludf.DUMMYFUNCTION("""COMPUTED_VALUE"""),25.99)</f>
        <v>25.99</v>
      </c>
      <c r="E182" s="1" t="str">
        <f ca="1">IFERROR(__xludf.DUMMYFUNCTION("""COMPUTED_VALUE"""),"-")</f>
        <v>-</v>
      </c>
      <c r="F182" s="1" t="str">
        <f ca="1">IFERROR(__xludf.DUMMYFUNCTION("""COMPUTED_VALUE"""),"Drogaria Araujo")</f>
        <v>Drogaria Araujo</v>
      </c>
      <c r="G182" s="1" t="str">
        <f ca="1">IFERROR(__xludf.DUMMYFUNCTION("""COMPUTED_VALUE"""),"Compras")</f>
        <v>Compras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7">
        <f ca="1">IFERROR(__xludf.DUMMYFUNCTION("""COMPUTED_VALUE"""),45809)</f>
        <v>45809</v>
      </c>
      <c r="B183" s="7">
        <f ca="1">IFERROR(__xludf.DUMMYFUNCTION("""COMPUTED_VALUE"""),45801)</f>
        <v>45801</v>
      </c>
      <c r="C183" s="1" t="str">
        <f ca="1">IFERROR(__xludf.DUMMYFUNCTION("""COMPUTED_VALUE"""),"Magalu")</f>
        <v>Magalu</v>
      </c>
      <c r="D183" s="2">
        <f ca="1">IFERROR(__xludf.DUMMYFUNCTION("""COMPUTED_VALUE"""),100.9)</f>
        <v>100.9</v>
      </c>
      <c r="E183" s="1" t="str">
        <f ca="1">IFERROR(__xludf.DUMMYFUNCTION("""COMPUTED_VALUE"""),"-")</f>
        <v>-</v>
      </c>
      <c r="F183" s="1" t="str">
        <f ca="1">IFERROR(__xludf.DUMMYFUNCTION("""COMPUTED_VALUE"""),"Magalu")</f>
        <v>Magalu</v>
      </c>
      <c r="G183" s="1" t="str">
        <f ca="1">IFERROR(__xludf.DUMMYFUNCTION("""COMPUTED_VALUE"""),"Compras")</f>
        <v>Compras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7">
        <f ca="1">IFERROR(__xludf.DUMMYFUNCTION("""COMPUTED_VALUE"""),45809)</f>
        <v>45809</v>
      </c>
      <c r="B184" s="7">
        <f ca="1">IFERROR(__xludf.DUMMYFUNCTION("""COMPUTED_VALUE"""),45801)</f>
        <v>45801</v>
      </c>
      <c r="C184" s="1" t="str">
        <f ca="1">IFERROR(__xludf.DUMMYFUNCTION("""COMPUTED_VALUE"""),"Shopee")</f>
        <v>Shopee</v>
      </c>
      <c r="D184" s="2">
        <f ca="1">IFERROR(__xludf.DUMMYFUNCTION("""COMPUTED_VALUE"""),41.21)</f>
        <v>41.21</v>
      </c>
      <c r="E184" s="1" t="str">
        <f ca="1">IFERROR(__xludf.DUMMYFUNCTION("""COMPUTED_VALUE"""),"-")</f>
        <v>-</v>
      </c>
      <c r="F184" s="1" t="str">
        <f ca="1">IFERROR(__xludf.DUMMYFUNCTION("""COMPUTED_VALUE"""),"Shopee")</f>
        <v>Shopee</v>
      </c>
      <c r="G184" s="1" t="str">
        <f ca="1">IFERROR(__xludf.DUMMYFUNCTION("""COMPUTED_VALUE"""),"Compras")</f>
        <v>Compras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7">
        <f ca="1">IFERROR(__xludf.DUMMYFUNCTION("""COMPUTED_VALUE"""),45809)</f>
        <v>45809</v>
      </c>
      <c r="B185" s="7">
        <f ca="1">IFERROR(__xludf.DUMMYFUNCTION("""COMPUTED_VALUE"""),45802)</f>
        <v>45802</v>
      </c>
      <c r="C185" s="1" t="str">
        <f ca="1">IFERROR(__xludf.DUMMYFUNCTION("""COMPUTED_VALUE"""),"Orthocrin")</f>
        <v>Orthocrin</v>
      </c>
      <c r="D185" s="2">
        <f ca="1">IFERROR(__xludf.DUMMYFUNCTION("""COMPUTED_VALUE"""),64.13)</f>
        <v>64.13</v>
      </c>
      <c r="E185" s="1" t="str">
        <f ca="1">IFERROR(__xludf.DUMMYFUNCTION("""COMPUTED_VALUE"""),"-")</f>
        <v>-</v>
      </c>
      <c r="F185" s="1" t="str">
        <f ca="1">IFERROR(__xludf.DUMMYFUNCTION("""COMPUTED_VALUE"""),"Orthocrin")</f>
        <v>Orthocrin</v>
      </c>
      <c r="G185" s="1" t="str">
        <f ca="1">IFERROR(__xludf.DUMMYFUNCTION("""COMPUTED_VALUE"""),"Compras")</f>
        <v>Compras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7">
        <f ca="1">IFERROR(__xludf.DUMMYFUNCTION("""COMPUTED_VALUE"""),45809)</f>
        <v>45809</v>
      </c>
      <c r="B186" s="7">
        <f ca="1">IFERROR(__xludf.DUMMYFUNCTION("""COMPUTED_VALUE"""),45802)</f>
        <v>45802</v>
      </c>
      <c r="C186" s="1" t="str">
        <f ca="1">IFERROR(__xludf.DUMMYFUNCTION("""COMPUTED_VALUE"""),"Farmácias Pa")</f>
        <v>Farmácias Pa</v>
      </c>
      <c r="D186" s="2">
        <f ca="1">IFERROR(__xludf.DUMMYFUNCTION("""COMPUTED_VALUE"""),79.84)</f>
        <v>79.84</v>
      </c>
      <c r="E186" s="1" t="str">
        <f ca="1">IFERROR(__xludf.DUMMYFUNCTION("""COMPUTED_VALUE"""),"-")</f>
        <v>-</v>
      </c>
      <c r="F186" s="1" t="str">
        <f ca="1">IFERROR(__xludf.DUMMYFUNCTION("""COMPUTED_VALUE"""),"Farmácias Pa")</f>
        <v>Farmácias Pa</v>
      </c>
      <c r="G186" s="1" t="str">
        <f ca="1">IFERROR(__xludf.DUMMYFUNCTION("""COMPUTED_VALUE"""),"Compras")</f>
        <v>Compras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7">
        <f ca="1">IFERROR(__xludf.DUMMYFUNCTION("""COMPUTED_VALUE"""),45809)</f>
        <v>45809</v>
      </c>
      <c r="B187" s="7">
        <f ca="1">IFERROR(__xludf.DUMMYFUNCTION("""COMPUTED_VALUE"""),45803)</f>
        <v>45803</v>
      </c>
      <c r="C187" s="1" t="str">
        <f ca="1">IFERROR(__xludf.DUMMYFUNCTION("""COMPUTED_VALUE"""),"Amazonmktplc Ghscomerc")</f>
        <v>Amazonmktplc Ghscomerc</v>
      </c>
      <c r="D187" s="2">
        <f ca="1">IFERROR(__xludf.DUMMYFUNCTION("""COMPUTED_VALUE"""),59.9)</f>
        <v>59.9</v>
      </c>
      <c r="E187" s="1" t="str">
        <f ca="1">IFERROR(__xludf.DUMMYFUNCTION("""COMPUTED_VALUE"""),"-")</f>
        <v>-</v>
      </c>
      <c r="F187" s="1" t="str">
        <f ca="1">IFERROR(__xludf.DUMMYFUNCTION("""COMPUTED_VALUE"""),"Amazonmktplc")</f>
        <v>Amazonmktplc</v>
      </c>
      <c r="G187" s="1" t="str">
        <f ca="1">IFERROR(__xludf.DUMMYFUNCTION("""COMPUTED_VALUE"""),"Compras")</f>
        <v>Compras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7">
        <f ca="1">IFERROR(__xludf.DUMMYFUNCTION("""COMPUTED_VALUE"""),45809)</f>
        <v>45809</v>
      </c>
      <c r="B188" s="7">
        <f ca="1">IFERROR(__xludf.DUMMYFUNCTION("""COMPUTED_VALUE"""),45773)</f>
        <v>45773</v>
      </c>
      <c r="C188" s="1" t="str">
        <f ca="1">IFERROR(__xludf.DUMMYFUNCTION("""COMPUTED_VALUE"""),"Drogaria Araujo")</f>
        <v>Drogaria Araujo</v>
      </c>
      <c r="D188" s="2">
        <f ca="1">IFERROR(__xludf.DUMMYFUNCTION("""COMPUTED_VALUE"""),2.99)</f>
        <v>2.99</v>
      </c>
      <c r="E188" s="1" t="str">
        <f ca="1">IFERROR(__xludf.DUMMYFUNCTION("""COMPUTED_VALUE"""),"-")</f>
        <v>-</v>
      </c>
      <c r="F188" s="1" t="str">
        <f ca="1">IFERROR(__xludf.DUMMYFUNCTION("""COMPUTED_VALUE"""),"Drogaria Araujo")</f>
        <v>Drogaria Araujo</v>
      </c>
      <c r="G188" s="1" t="str">
        <f ca="1">IFERROR(__xludf.DUMMYFUNCTION("""COMPUTED_VALUE"""),"Compras")</f>
        <v>Compras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7">
        <f ca="1">IFERROR(__xludf.DUMMYFUNCTION("""COMPUTED_VALUE"""),45809)</f>
        <v>45809</v>
      </c>
      <c r="B189" s="7">
        <f ca="1">IFERROR(__xludf.DUMMYFUNCTION("""COMPUTED_VALUE"""),45775)</f>
        <v>45775</v>
      </c>
      <c r="C189" s="1" t="str">
        <f ca="1">IFERROR(__xludf.DUMMYFUNCTION("""COMPUTED_VALUE"""),"Super Nosso")</f>
        <v>Super Nosso</v>
      </c>
      <c r="D189" s="2">
        <f ca="1">IFERROR(__xludf.DUMMYFUNCTION("""COMPUTED_VALUE"""),16.23)</f>
        <v>16.23</v>
      </c>
      <c r="E189" s="1" t="str">
        <f ca="1">IFERROR(__xludf.DUMMYFUNCTION("""COMPUTED_VALUE"""),"-")</f>
        <v>-</v>
      </c>
      <c r="F189" s="1" t="str">
        <f ca="1">IFERROR(__xludf.DUMMYFUNCTION("""COMPUTED_VALUE"""),"Super Nosso")</f>
        <v>Super Nosso</v>
      </c>
      <c r="G189" s="1" t="str">
        <f ca="1">IFERROR(__xludf.DUMMYFUNCTION("""COMPUTED_VALUE"""),"Supermercado")</f>
        <v>Supermercado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7">
        <f ca="1">IFERROR(__xludf.DUMMYFUNCTION("""COMPUTED_VALUE"""),45809)</f>
        <v>45809</v>
      </c>
      <c r="B190" s="7">
        <f ca="1">IFERROR(__xludf.DUMMYFUNCTION("""COMPUTED_VALUE"""),45776)</f>
        <v>45776</v>
      </c>
      <c r="C190" s="1" t="str">
        <f ca="1">IFERROR(__xludf.DUMMYFUNCTION("""COMPUTED_VALUE"""),"Lojas Rede")</f>
        <v>Lojas Rede</v>
      </c>
      <c r="D190" s="2">
        <f ca="1">IFERROR(__xludf.DUMMYFUNCTION("""COMPUTED_VALUE"""),9.18)</f>
        <v>9.18</v>
      </c>
      <c r="E190" s="1" t="str">
        <f ca="1">IFERROR(__xludf.DUMMYFUNCTION("""COMPUTED_VALUE"""),"-")</f>
        <v>-</v>
      </c>
      <c r="F190" s="1" t="str">
        <f ca="1">IFERROR(__xludf.DUMMYFUNCTION("""COMPUTED_VALUE"""),"Lojas Rede")</f>
        <v>Lojas Rede</v>
      </c>
      <c r="G190" s="1" t="str">
        <f ca="1">IFERROR(__xludf.DUMMYFUNCTION("""COMPUTED_VALUE"""),"dti")</f>
        <v>dti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7">
        <f ca="1">IFERROR(__xludf.DUMMYFUNCTION("""COMPUTED_VALUE"""),45809)</f>
        <v>45809</v>
      </c>
      <c r="B191" s="7">
        <f ca="1">IFERROR(__xludf.DUMMYFUNCTION("""COMPUTED_VALUE"""),45777)</f>
        <v>45777</v>
      </c>
      <c r="C191" s="1" t="str">
        <f ca="1">IFERROR(__xludf.DUMMYFUNCTION("""COMPUTED_VALUE"""),"Dma Distribuidora Sa")</f>
        <v>Dma Distribuidora Sa</v>
      </c>
      <c r="D191" s="2">
        <f ca="1">IFERROR(__xludf.DUMMYFUNCTION("""COMPUTED_VALUE"""),64.8)</f>
        <v>64.8</v>
      </c>
      <c r="E191" s="1" t="str">
        <f ca="1">IFERROR(__xludf.DUMMYFUNCTION("""COMPUTED_VALUE"""),"-")</f>
        <v>-</v>
      </c>
      <c r="F191" s="1" t="str">
        <f ca="1">IFERROR(__xludf.DUMMYFUNCTION("""COMPUTED_VALUE"""),"Dma Distribuidora Sa")</f>
        <v>Dma Distribuidora Sa</v>
      </c>
      <c r="G191" s="1" t="str">
        <f ca="1">IFERROR(__xludf.DUMMYFUNCTION("""COMPUTED_VALUE"""),"dti")</f>
        <v>dti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7">
        <f ca="1">IFERROR(__xludf.DUMMYFUNCTION("""COMPUTED_VALUE"""),45809)</f>
        <v>45809</v>
      </c>
      <c r="B192" s="7">
        <f ca="1">IFERROR(__xludf.DUMMYFUNCTION("""COMPUTED_VALUE"""),45779)</f>
        <v>45779</v>
      </c>
      <c r="C192" s="1" t="str">
        <f ca="1">IFERROR(__xludf.DUMMYFUNCTION("""COMPUTED_VALUE"""),"Alameda 288")</f>
        <v>Alameda 288</v>
      </c>
      <c r="D192" s="2">
        <f ca="1">IFERROR(__xludf.DUMMYFUNCTION("""COMPUTED_VALUE"""),37.25)</f>
        <v>37.25</v>
      </c>
      <c r="E192" s="1" t="str">
        <f ca="1">IFERROR(__xludf.DUMMYFUNCTION("""COMPUTED_VALUE"""),"-")</f>
        <v>-</v>
      </c>
      <c r="F192" s="1" t="str">
        <f ca="1">IFERROR(__xludf.DUMMYFUNCTION("""COMPUTED_VALUE"""),"Alameda 288")</f>
        <v>Alameda 288</v>
      </c>
      <c r="G192" s="1" t="str">
        <f ca="1">IFERROR(__xludf.DUMMYFUNCTION("""COMPUTED_VALUE"""),"Comida")</f>
        <v>Comida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7">
        <f ca="1">IFERROR(__xludf.DUMMYFUNCTION("""COMPUTED_VALUE"""),45809)</f>
        <v>45809</v>
      </c>
      <c r="B193" s="7">
        <f ca="1">IFERROR(__xludf.DUMMYFUNCTION("""COMPUTED_VALUE"""),45786)</f>
        <v>45786</v>
      </c>
      <c r="C193" s="1" t="str">
        <f ca="1">IFERROR(__xludf.DUMMYFUNCTION("""COMPUTED_VALUE"""),"L Amour Restaurante L")</f>
        <v>L Amour Restaurante L</v>
      </c>
      <c r="D193" s="2">
        <f ca="1">IFERROR(__xludf.DUMMYFUNCTION("""COMPUTED_VALUE"""),37.26)</f>
        <v>37.26</v>
      </c>
      <c r="E193" s="1" t="str">
        <f ca="1">IFERROR(__xludf.DUMMYFUNCTION("""COMPUTED_VALUE"""),"-")</f>
        <v>-</v>
      </c>
      <c r="F193" s="1" t="str">
        <f ca="1">IFERROR(__xludf.DUMMYFUNCTION("""COMPUTED_VALUE"""),"L Amour Restaurante L")</f>
        <v>L Amour Restaurante L</v>
      </c>
      <c r="G193" s="1" t="str">
        <f ca="1">IFERROR(__xludf.DUMMYFUNCTION("""COMPUTED_VALUE"""),"Comida")</f>
        <v>Comida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7">
        <f ca="1">IFERROR(__xludf.DUMMYFUNCTION("""COMPUTED_VALUE"""),45809)</f>
        <v>45809</v>
      </c>
      <c r="B194" s="7">
        <f ca="1">IFERROR(__xludf.DUMMYFUNCTION("""COMPUTED_VALUE"""),45786)</f>
        <v>45786</v>
      </c>
      <c r="C194" s="1" t="str">
        <f ca="1">IFERROR(__xludf.DUMMYFUNCTION("""COMPUTED_VALUE"""),"Lojas Rede")</f>
        <v>Lojas Rede</v>
      </c>
      <c r="D194" s="2">
        <f ca="1">IFERROR(__xludf.DUMMYFUNCTION("""COMPUTED_VALUE"""),9.75)</f>
        <v>9.75</v>
      </c>
      <c r="E194" s="1" t="str">
        <f ca="1">IFERROR(__xludf.DUMMYFUNCTION("""COMPUTED_VALUE"""),"-")</f>
        <v>-</v>
      </c>
      <c r="F194" s="1" t="str">
        <f ca="1">IFERROR(__xludf.DUMMYFUNCTION("""COMPUTED_VALUE"""),"Lojas Rede")</f>
        <v>Lojas Rede</v>
      </c>
      <c r="G194" s="1" t="str">
        <f ca="1">IFERROR(__xludf.DUMMYFUNCTION("""COMPUTED_VALUE"""),"Compras")</f>
        <v>Compras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7">
        <f ca="1">IFERROR(__xludf.DUMMYFUNCTION("""COMPUTED_VALUE"""),45809)</f>
        <v>45809</v>
      </c>
      <c r="B195" s="7">
        <f ca="1">IFERROR(__xludf.DUMMYFUNCTION("""COMPUTED_VALUE"""),45789)</f>
        <v>45789</v>
      </c>
      <c r="C195" s="1" t="str">
        <f ca="1">IFERROR(__xludf.DUMMYFUNCTION("""COMPUTED_VALUE"""),"Lavih Spa")</f>
        <v>Lavih Spa</v>
      </c>
      <c r="D195" s="2">
        <f ca="1">IFERROR(__xludf.DUMMYFUNCTION("""COMPUTED_VALUE"""),224.1)</f>
        <v>224.1</v>
      </c>
      <c r="E195" s="1" t="str">
        <f ca="1">IFERROR(__xludf.DUMMYFUNCTION("""COMPUTED_VALUE"""),"-")</f>
        <v>-</v>
      </c>
      <c r="F195" s="1" t="str">
        <f ca="1">IFERROR(__xludf.DUMMYFUNCTION("""COMPUTED_VALUE"""),"Lavih Spa")</f>
        <v>Lavih Spa</v>
      </c>
      <c r="G195" s="1" t="str">
        <f ca="1">IFERROR(__xludf.DUMMYFUNCTION("""COMPUTED_VALUE"""),"-")</f>
        <v>-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7">
        <f ca="1">IFERROR(__xludf.DUMMYFUNCTION("""COMPUTED_VALUE"""),45809)</f>
        <v>45809</v>
      </c>
      <c r="B196" s="7">
        <f ca="1">IFERROR(__xludf.DUMMYFUNCTION("""COMPUTED_VALUE"""),45789)</f>
        <v>45789</v>
      </c>
      <c r="C196" s="1" t="str">
        <f ca="1">IFERROR(__xludf.DUMMYFUNCTION("""COMPUTED_VALUE"""),"Franquia Lupo")</f>
        <v>Franquia Lupo</v>
      </c>
      <c r="D196" s="2">
        <f ca="1">IFERROR(__xludf.DUMMYFUNCTION("""COMPUTED_VALUE"""),46.9)</f>
        <v>46.9</v>
      </c>
      <c r="E196" s="1" t="str">
        <f ca="1">IFERROR(__xludf.DUMMYFUNCTION("""COMPUTED_VALUE"""),"-")</f>
        <v>-</v>
      </c>
      <c r="F196" s="1" t="str">
        <f ca="1">IFERROR(__xludf.DUMMYFUNCTION("""COMPUTED_VALUE"""),"Franquia Lupo")</f>
        <v>Franquia Lupo</v>
      </c>
      <c r="G196" s="1" t="str">
        <f ca="1">IFERROR(__xludf.DUMMYFUNCTION("""COMPUTED_VALUE"""),"Compras")</f>
        <v>Compras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7">
        <f ca="1">IFERROR(__xludf.DUMMYFUNCTION("""COMPUTED_VALUE"""),45809)</f>
        <v>45809</v>
      </c>
      <c r="B197" s="7">
        <f ca="1">IFERROR(__xludf.DUMMYFUNCTION("""COMPUTED_VALUE"""),45789)</f>
        <v>45789</v>
      </c>
      <c r="C197" s="1" t="str">
        <f ca="1">IFERROR(__xludf.DUMMYFUNCTION("""COMPUTED_VALUE"""),"Mg Bh Savassi Sh (1/2)")</f>
        <v>Mg Bh Savassi Sh (1/2)</v>
      </c>
      <c r="D197" s="2">
        <f ca="1">IFERROR(__xludf.DUMMYFUNCTION("""COMPUTED_VALUE"""),100)</f>
        <v>100</v>
      </c>
      <c r="E197" s="1" t="str">
        <f ca="1">IFERROR(__xludf.DUMMYFUNCTION("""COMPUTED_VALUE"""),"-")</f>
        <v>-</v>
      </c>
      <c r="F197" s="1" t="str">
        <f ca="1">IFERROR(__xludf.DUMMYFUNCTION("""COMPUTED_VALUE"""),"Mg Bh Savassi Sh")</f>
        <v>Mg Bh Savassi Sh</v>
      </c>
      <c r="G197" s="1" t="str">
        <f ca="1">IFERROR(__xludf.DUMMYFUNCTION("""COMPUTED_VALUE"""),"Compras")</f>
        <v>Compras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7">
        <f ca="1">IFERROR(__xludf.DUMMYFUNCTION("""COMPUTED_VALUE"""),45809)</f>
        <v>45809</v>
      </c>
      <c r="B198" s="7">
        <f ca="1">IFERROR(__xludf.DUMMYFUNCTION("""COMPUTED_VALUE"""),45781)</f>
        <v>45781</v>
      </c>
      <c r="C198" s="1" t="str">
        <f ca="1">IFERROR(__xludf.DUMMYFUNCTION("""COMPUTED_VALUE"""),"Magazine Mangabeiras")</f>
        <v>Magazine Mangabeiras</v>
      </c>
      <c r="D198" s="2">
        <f ca="1">IFERROR(__xludf.DUMMYFUNCTION("""COMPUTED_VALUE"""),14.99)</f>
        <v>14.99</v>
      </c>
      <c r="E198" s="1" t="str">
        <f ca="1">IFERROR(__xludf.DUMMYFUNCTION("""COMPUTED_VALUE"""),"-")</f>
        <v>-</v>
      </c>
      <c r="F198" s="1" t="str">
        <f ca="1">IFERROR(__xludf.DUMMYFUNCTION("""COMPUTED_VALUE"""),"Magazine Mangabeiras")</f>
        <v>Magazine Mangabeiras</v>
      </c>
      <c r="G198" s="1" t="str">
        <f ca="1">IFERROR(__xludf.DUMMYFUNCTION("""COMPUTED_VALUE"""),"Compras")</f>
        <v>Compras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7">
        <f ca="1">IFERROR(__xludf.DUMMYFUNCTION("""COMPUTED_VALUE"""),45809)</f>
        <v>45809</v>
      </c>
      <c r="B199" s="7">
        <f ca="1">IFERROR(__xludf.DUMMYFUNCTION("""COMPUTED_VALUE"""),45782)</f>
        <v>45782</v>
      </c>
      <c r="C199" s="1" t="str">
        <f ca="1">IFERROR(__xludf.DUMMYFUNCTION("""COMPUTED_VALUE"""),"Super Nosso")</f>
        <v>Super Nosso</v>
      </c>
      <c r="D199" s="2">
        <f ca="1">IFERROR(__xludf.DUMMYFUNCTION("""COMPUTED_VALUE"""),10.68)</f>
        <v>10.68</v>
      </c>
      <c r="E199" s="1" t="str">
        <f ca="1">IFERROR(__xludf.DUMMYFUNCTION("""COMPUTED_VALUE"""),"-")</f>
        <v>-</v>
      </c>
      <c r="F199" s="1" t="str">
        <f ca="1">IFERROR(__xludf.DUMMYFUNCTION("""COMPUTED_VALUE"""),"Super Nosso")</f>
        <v>Super Nosso</v>
      </c>
      <c r="G199" s="1" t="str">
        <f ca="1">IFERROR(__xludf.DUMMYFUNCTION("""COMPUTED_VALUE"""),"Supermercado")</f>
        <v>Supermercado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7">
        <f ca="1">IFERROR(__xludf.DUMMYFUNCTION("""COMPUTED_VALUE"""),45809)</f>
        <v>45809</v>
      </c>
      <c r="B200" s="7">
        <f ca="1">IFERROR(__xludf.DUMMYFUNCTION("""COMPUTED_VALUE"""),45783)</f>
        <v>45783</v>
      </c>
      <c r="C200" s="1" t="str">
        <f ca="1">IFERROR(__xludf.DUMMYFUNCTION("""COMPUTED_VALUE"""),"Megapark")</f>
        <v>Megapark</v>
      </c>
      <c r="D200" s="2">
        <f ca="1">IFERROR(__xludf.DUMMYFUNCTION("""COMPUTED_VALUE"""),285)</f>
        <v>285</v>
      </c>
      <c r="E200" s="1" t="str">
        <f ca="1">IFERROR(__xludf.DUMMYFUNCTION("""COMPUTED_VALUE"""),"-")</f>
        <v>-</v>
      </c>
      <c r="F200" s="1" t="str">
        <f ca="1">IFERROR(__xludf.DUMMYFUNCTION("""COMPUTED_VALUE"""),"Megapark")</f>
        <v>Megapark</v>
      </c>
      <c r="G200" s="1" t="str">
        <f ca="1">IFERROR(__xludf.DUMMYFUNCTION("""COMPUTED_VALUE"""),"-")</f>
        <v>-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7">
        <f ca="1">IFERROR(__xludf.DUMMYFUNCTION("""COMPUTED_VALUE"""),45809)</f>
        <v>45809</v>
      </c>
      <c r="B201" s="7">
        <f ca="1">IFERROR(__xludf.DUMMYFUNCTION("""COMPUTED_VALUE"""),45784)</f>
        <v>45784</v>
      </c>
      <c r="C201" s="1" t="str">
        <f ca="1">IFERROR(__xludf.DUMMYFUNCTION("""COMPUTED_VALUE"""),"Droga Raia")</f>
        <v>Droga Raia</v>
      </c>
      <c r="D201" s="2">
        <f ca="1">IFERROR(__xludf.DUMMYFUNCTION("""COMPUTED_VALUE"""),20.09)</f>
        <v>20.09</v>
      </c>
      <c r="E201" s="1" t="str">
        <f ca="1">IFERROR(__xludf.DUMMYFUNCTION("""COMPUTED_VALUE"""),"-")</f>
        <v>-</v>
      </c>
      <c r="F201" s="1" t="str">
        <f ca="1">IFERROR(__xludf.DUMMYFUNCTION("""COMPUTED_VALUE"""),"Droga Raia")</f>
        <v>Droga Raia</v>
      </c>
      <c r="G201" s="1" t="str">
        <f ca="1">IFERROR(__xludf.DUMMYFUNCTION("""COMPUTED_VALUE"""),"Compras")</f>
        <v>Compras</v>
      </c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7">
        <f ca="1">IFERROR(__xludf.DUMMYFUNCTION("""COMPUTED_VALUE"""),45809)</f>
        <v>45809</v>
      </c>
      <c r="B202" s="7">
        <f ca="1">IFERROR(__xludf.DUMMYFUNCTION("""COMPUTED_VALUE"""),45785)</f>
        <v>45785</v>
      </c>
      <c r="C202" s="1" t="str">
        <f ca="1">IFERROR(__xludf.DUMMYFUNCTION("""COMPUTED_VALUE"""),"Vila 21 Restaurante")</f>
        <v>Vila 21 Restaurante</v>
      </c>
      <c r="D202" s="2">
        <f ca="1">IFERROR(__xludf.DUMMYFUNCTION("""COMPUTED_VALUE"""),30.29)</f>
        <v>30.29</v>
      </c>
      <c r="E202" s="1" t="str">
        <f ca="1">IFERROR(__xludf.DUMMYFUNCTION("""COMPUTED_VALUE"""),"-")</f>
        <v>-</v>
      </c>
      <c r="F202" s="1" t="str">
        <f ca="1">IFERROR(__xludf.DUMMYFUNCTION("""COMPUTED_VALUE"""),"Vila 21 Restaurante")</f>
        <v>Vila 21 Restaurante</v>
      </c>
      <c r="G202" s="1" t="str">
        <f ca="1">IFERROR(__xludf.DUMMYFUNCTION("""COMPUTED_VALUE"""),"Comida")</f>
        <v>Comida</v>
      </c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7">
        <f ca="1">IFERROR(__xludf.DUMMYFUNCTION("""COMPUTED_VALUE"""),45809)</f>
        <v>45809</v>
      </c>
      <c r="B203" s="7">
        <f ca="1">IFERROR(__xludf.DUMMYFUNCTION("""COMPUTED_VALUE"""),45785)</f>
        <v>45785</v>
      </c>
      <c r="C203" s="1" t="str">
        <f ca="1">IFERROR(__xludf.DUMMYFUNCTION("""COMPUTED_VALUE"""),"Drogaria Araujo")</f>
        <v>Drogaria Araujo</v>
      </c>
      <c r="D203" s="2">
        <f ca="1">IFERROR(__xludf.DUMMYFUNCTION("""COMPUTED_VALUE"""),12.26)</f>
        <v>12.26</v>
      </c>
      <c r="E203" s="1" t="str">
        <f ca="1">IFERROR(__xludf.DUMMYFUNCTION("""COMPUTED_VALUE"""),"-")</f>
        <v>-</v>
      </c>
      <c r="F203" s="1" t="str">
        <f ca="1">IFERROR(__xludf.DUMMYFUNCTION("""COMPUTED_VALUE"""),"Drogaria Araujo")</f>
        <v>Drogaria Araujo</v>
      </c>
      <c r="G203" s="1" t="str">
        <f ca="1">IFERROR(__xludf.DUMMYFUNCTION("""COMPUTED_VALUE"""),"Compras")</f>
        <v>Compras</v>
      </c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7">
        <f ca="1">IFERROR(__xludf.DUMMYFUNCTION("""COMPUTED_VALUE"""),45809)</f>
        <v>45809</v>
      </c>
      <c r="B204" s="7">
        <f ca="1">IFERROR(__xludf.DUMMYFUNCTION("""COMPUTED_VALUE"""),45789)</f>
        <v>45789</v>
      </c>
      <c r="C204" s="1" t="str">
        <f ca="1">IFERROR(__xludf.DUMMYFUNCTION("""COMPUTED_VALUE"""),"Kiko Cosméticos")</f>
        <v>Kiko Cosméticos</v>
      </c>
      <c r="D204" s="2">
        <f ca="1">IFERROR(__xludf.DUMMYFUNCTION("""COMPUTED_VALUE"""),39.9)</f>
        <v>39.9</v>
      </c>
      <c r="E204" s="1" t="str">
        <f ca="1">IFERROR(__xludf.DUMMYFUNCTION("""COMPUTED_VALUE"""),"-")</f>
        <v>-</v>
      </c>
      <c r="F204" s="1" t="str">
        <f ca="1">IFERROR(__xludf.DUMMYFUNCTION("""COMPUTED_VALUE"""),"Kiko Cosméticos")</f>
        <v>Kiko Cosméticos</v>
      </c>
      <c r="G204" s="1" t="str">
        <f ca="1">IFERROR(__xludf.DUMMYFUNCTION("""COMPUTED_VALUE"""),"Compras")</f>
        <v>Compras</v>
      </c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7">
        <f ca="1">IFERROR(__xludf.DUMMYFUNCTION("""COMPUTED_VALUE"""),45809)</f>
        <v>45809</v>
      </c>
      <c r="B205" s="7">
        <f ca="1">IFERROR(__xludf.DUMMYFUNCTION("""COMPUTED_VALUE"""),45790)</f>
        <v>45790</v>
      </c>
      <c r="C205" s="1" t="str">
        <f ca="1">IFERROR(__xludf.DUMMYFUNCTION("""COMPUTED_VALUE"""),"Barnabe Emporio")</f>
        <v>Barnabe Emporio</v>
      </c>
      <c r="D205" s="2">
        <f ca="1">IFERROR(__xludf.DUMMYFUNCTION("""COMPUTED_VALUE"""),23)</f>
        <v>23</v>
      </c>
      <c r="E205" s="1" t="str">
        <f ca="1">IFERROR(__xludf.DUMMYFUNCTION("""COMPUTED_VALUE"""),"-")</f>
        <v>-</v>
      </c>
      <c r="F205" s="1" t="str">
        <f ca="1">IFERROR(__xludf.DUMMYFUNCTION("""COMPUTED_VALUE"""),"Barnabe Emporio")</f>
        <v>Barnabe Emporio</v>
      </c>
      <c r="G205" s="1" t="str">
        <f ca="1">IFERROR(__xludf.DUMMYFUNCTION("""COMPUTED_VALUE"""),"Comida")</f>
        <v>Comida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7">
        <f ca="1">IFERROR(__xludf.DUMMYFUNCTION("""COMPUTED_VALUE"""),45809)</f>
        <v>45809</v>
      </c>
      <c r="B206" s="7">
        <f ca="1">IFERROR(__xludf.DUMMYFUNCTION("""COMPUTED_VALUE"""),45793)</f>
        <v>45793</v>
      </c>
      <c r="C206" s="1" t="str">
        <f ca="1">IFERROR(__xludf.DUMMYFUNCTION("""COMPUTED_VALUE"""),"Relicario Trem Bie")</f>
        <v>Relicario Trem Bie</v>
      </c>
      <c r="D206" s="2">
        <f ca="1">IFERROR(__xludf.DUMMYFUNCTION("""COMPUTED_VALUE"""),8)</f>
        <v>8</v>
      </c>
      <c r="E206" s="1" t="str">
        <f ca="1">IFERROR(__xludf.DUMMYFUNCTION("""COMPUTED_VALUE"""),"-")</f>
        <v>-</v>
      </c>
      <c r="F206" s="1" t="str">
        <f ca="1">IFERROR(__xludf.DUMMYFUNCTION("""COMPUTED_VALUE"""),"Relicario Trem Bie")</f>
        <v>Relicario Trem Bie</v>
      </c>
      <c r="G206" s="1" t="str">
        <f ca="1">IFERROR(__xludf.DUMMYFUNCTION("""COMPUTED_VALUE"""),"Viagem")</f>
        <v>Viagem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7">
        <f ca="1">IFERROR(__xludf.DUMMYFUNCTION("""COMPUTED_VALUE"""),45809)</f>
        <v>45809</v>
      </c>
      <c r="B207" s="7">
        <f ca="1">IFERROR(__xludf.DUMMYFUNCTION("""COMPUTED_VALUE"""),45795)</f>
        <v>45795</v>
      </c>
      <c r="C207" s="1" t="str">
        <f ca="1">IFERROR(__xludf.DUMMYFUNCTION("""COMPUTED_VALUE"""),"Sabor Da Empda")</f>
        <v>Sabor Da Empda</v>
      </c>
      <c r="D207" s="2">
        <f ca="1">IFERROR(__xludf.DUMMYFUNCTION("""COMPUTED_VALUE"""),19.5)</f>
        <v>19.5</v>
      </c>
      <c r="E207" s="1" t="str">
        <f ca="1">IFERROR(__xludf.DUMMYFUNCTION("""COMPUTED_VALUE"""),"-")</f>
        <v>-</v>
      </c>
      <c r="F207" s="1" t="str">
        <f ca="1">IFERROR(__xludf.DUMMYFUNCTION("""COMPUTED_VALUE"""),"Sabor Da Empda")</f>
        <v>Sabor Da Empda</v>
      </c>
      <c r="G207" s="1" t="str">
        <f ca="1">IFERROR(__xludf.DUMMYFUNCTION("""COMPUTED_VALUE"""),"Viagem")</f>
        <v>Viagem</v>
      </c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7">
        <f ca="1">IFERROR(__xludf.DUMMYFUNCTION("""COMPUTED_VALUE"""),45809)</f>
        <v>45809</v>
      </c>
      <c r="B208" s="7">
        <f ca="1">IFERROR(__xludf.DUMMYFUNCTION("""COMPUTED_VALUE"""),45801)</f>
        <v>45801</v>
      </c>
      <c r="C208" s="1" t="str">
        <f ca="1">IFERROR(__xludf.DUMMYFUNCTION("""COMPUTED_VALUE"""),"Sangiorgi E Franca Com")</f>
        <v>Sangiorgi E Franca Com</v>
      </c>
      <c r="D208" s="2">
        <f ca="1">IFERROR(__xludf.DUMMYFUNCTION("""COMPUTED_VALUE"""),12.1)</f>
        <v>12.1</v>
      </c>
      <c r="E208" s="1" t="str">
        <f ca="1">IFERROR(__xludf.DUMMYFUNCTION("""COMPUTED_VALUE"""),"-")</f>
        <v>-</v>
      </c>
      <c r="F208" s="1" t="str">
        <f ca="1">IFERROR(__xludf.DUMMYFUNCTION("""COMPUTED_VALUE"""),"Sangiorgi E Franca Com")</f>
        <v>Sangiorgi E Franca Com</v>
      </c>
      <c r="G208" s="1" t="str">
        <f ca="1">IFERROR(__xludf.DUMMYFUNCTION("""COMPUTED_VALUE"""),"-")</f>
        <v>-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7">
        <f ca="1">IFERROR(__xludf.DUMMYFUNCTION("""COMPUTED_VALUE"""),45809)</f>
        <v>45809</v>
      </c>
      <c r="B209" s="7">
        <f ca="1">IFERROR(__xludf.DUMMYFUNCTION("""COMPUTED_VALUE"""),45801)</f>
        <v>45801</v>
      </c>
      <c r="C209" s="1" t="str">
        <f ca="1">IFERROR(__xludf.DUMMYFUNCTION("""COMPUTED_VALUE"""),"Drogaria Araujo")</f>
        <v>Drogaria Araujo</v>
      </c>
      <c r="D209" s="2">
        <f ca="1">IFERROR(__xludf.DUMMYFUNCTION("""COMPUTED_VALUE"""),96.45)</f>
        <v>96.45</v>
      </c>
      <c r="E209" s="1" t="str">
        <f ca="1">IFERROR(__xludf.DUMMYFUNCTION("""COMPUTED_VALUE"""),"-")</f>
        <v>-</v>
      </c>
      <c r="F209" s="1" t="str">
        <f ca="1">IFERROR(__xludf.DUMMYFUNCTION("""COMPUTED_VALUE"""),"Drogaria Araujo")</f>
        <v>Drogaria Araujo</v>
      </c>
      <c r="G209" s="1" t="str">
        <f ca="1">IFERROR(__xludf.DUMMYFUNCTION("""COMPUTED_VALUE"""),"Compras")</f>
        <v>Compras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7">
        <f ca="1">IFERROR(__xludf.DUMMYFUNCTION("""COMPUTED_VALUE"""),45839)</f>
        <v>45839</v>
      </c>
      <c r="B210" s="7">
        <f ca="1">IFERROR(__xludf.DUMMYFUNCTION("""COMPUTED_VALUE"""),45831)</f>
        <v>45831</v>
      </c>
      <c r="C210" s="1" t="str">
        <f ca="1">IFERROR(__xludf.DUMMYFUNCTION("""COMPUTED_VALUE"""),"Cancelamento - Shopee -")</f>
        <v>Cancelamento - Shopee -</v>
      </c>
      <c r="D210" s="2">
        <f ca="1">IFERROR(__xludf.DUMMYFUNCTION("""COMPUTED_VALUE"""),-10.1)</f>
        <v>-10.1</v>
      </c>
      <c r="E210" s="1" t="str">
        <f ca="1">IFERROR(__xludf.DUMMYFUNCTION("""COMPUTED_VALUE"""),"-")</f>
        <v>-</v>
      </c>
      <c r="F210" s="1" t="str">
        <f ca="1">IFERROR(__xludf.DUMMYFUNCTION("""COMPUTED_VALUE"""),"Cancelamento - Shopee -")</f>
        <v>Cancelamento - Shopee -</v>
      </c>
      <c r="G210" s="1" t="str">
        <f ca="1">IFERROR(__xludf.DUMMYFUNCTION("""COMPUTED_VALUE"""),"Shopee")</f>
        <v>Shopee</v>
      </c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7">
        <f ca="1">IFERROR(__xludf.DUMMYFUNCTION("""COMPUTED_VALUE"""),45839)</f>
        <v>45839</v>
      </c>
      <c r="B211" s="7">
        <f ca="1">IFERROR(__xludf.DUMMYFUNCTION("""COMPUTED_VALUE"""),45831)</f>
        <v>45831</v>
      </c>
      <c r="C211" s="1" t="str">
        <f ca="1">IFERROR(__xludf.DUMMYFUNCTION("""COMPUTED_VALUE"""),"Cancelamento - Shopee -")</f>
        <v>Cancelamento - Shopee -</v>
      </c>
      <c r="D211" s="2">
        <f ca="1">IFERROR(__xludf.DUMMYFUNCTION("""COMPUTED_VALUE"""),-26.9)</f>
        <v>-26.9</v>
      </c>
      <c r="E211" s="1" t="str">
        <f ca="1">IFERROR(__xludf.DUMMYFUNCTION("""COMPUTED_VALUE"""),"-")</f>
        <v>-</v>
      </c>
      <c r="F211" s="1" t="str">
        <f ca="1">IFERROR(__xludf.DUMMYFUNCTION("""COMPUTED_VALUE"""),"Cancelamento - Shopee -")</f>
        <v>Cancelamento - Shopee -</v>
      </c>
      <c r="G211" s="1" t="str">
        <f ca="1">IFERROR(__xludf.DUMMYFUNCTION("""COMPUTED_VALUE"""),"Shopee")</f>
        <v>Shopee</v>
      </c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7">
        <f ca="1">IFERROR(__xludf.DUMMYFUNCTION("""COMPUTED_VALUE"""),45839)</f>
        <v>45839</v>
      </c>
      <c r="B212" s="7">
        <f ca="1">IFERROR(__xludf.DUMMYFUNCTION("""COMPUTED_VALUE"""),45831)</f>
        <v>45831</v>
      </c>
      <c r="C212" s="1" t="str">
        <f ca="1">IFERROR(__xludf.DUMMYFUNCTION("""COMPUTED_VALUE"""),"Cancelamento - Shopee -")</f>
        <v>Cancelamento - Shopee -</v>
      </c>
      <c r="D212" s="2">
        <f ca="1">IFERROR(__xludf.DUMMYFUNCTION("""COMPUTED_VALUE"""),-29.99)</f>
        <v>-29.99</v>
      </c>
      <c r="E212" s="1" t="str">
        <f ca="1">IFERROR(__xludf.DUMMYFUNCTION("""COMPUTED_VALUE"""),"-")</f>
        <v>-</v>
      </c>
      <c r="F212" s="1" t="str">
        <f ca="1">IFERROR(__xludf.DUMMYFUNCTION("""COMPUTED_VALUE"""),"Cancelamento - Shopee -")</f>
        <v>Cancelamento - Shopee -</v>
      </c>
      <c r="G212" s="1" t="str">
        <f ca="1">IFERROR(__xludf.DUMMYFUNCTION("""COMPUTED_VALUE"""),"Shopee")</f>
        <v>Shopee</v>
      </c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7">
        <f ca="1">IFERROR(__xludf.DUMMYFUNCTION("""COMPUTED_VALUE"""),45839)</f>
        <v>45839</v>
      </c>
      <c r="B213" s="7">
        <f ca="1">IFERROR(__xludf.DUMMYFUNCTION("""COMPUTED_VALUE"""),45831)</f>
        <v>45831</v>
      </c>
      <c r="C213" s="1" t="str">
        <f ca="1">IFERROR(__xludf.DUMMYFUNCTION("""COMPUTED_VALUE"""),"Cancelamento - Shopee -")</f>
        <v>Cancelamento - Shopee -</v>
      </c>
      <c r="D213" s="2">
        <f ca="1">IFERROR(__xludf.DUMMYFUNCTION("""COMPUTED_VALUE"""),-32.89)</f>
        <v>-32.89</v>
      </c>
      <c r="E213" s="1" t="str">
        <f ca="1">IFERROR(__xludf.DUMMYFUNCTION("""COMPUTED_VALUE"""),"-")</f>
        <v>-</v>
      </c>
      <c r="F213" s="1" t="str">
        <f ca="1">IFERROR(__xludf.DUMMYFUNCTION("""COMPUTED_VALUE"""),"Cancelamento - Shopee -")</f>
        <v>Cancelamento - Shopee -</v>
      </c>
      <c r="G213" s="1" t="str">
        <f ca="1">IFERROR(__xludf.DUMMYFUNCTION("""COMPUTED_VALUE"""),"Shopee")</f>
        <v>Shopee</v>
      </c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7">
        <f ca="1">IFERROR(__xludf.DUMMYFUNCTION("""COMPUTED_VALUE"""),45839)</f>
        <v>45839</v>
      </c>
      <c r="B214" s="7">
        <f ca="1">IFERROR(__xludf.DUMMYFUNCTION("""COMPUTED_VALUE"""),45831)</f>
        <v>45831</v>
      </c>
      <c r="C214" s="1" t="str">
        <f ca="1">IFERROR(__xludf.DUMMYFUNCTION("""COMPUTED_VALUE"""),"Cancelamento - Shopee -")</f>
        <v>Cancelamento - Shopee -</v>
      </c>
      <c r="D214" s="2">
        <f ca="1">IFERROR(__xludf.DUMMYFUNCTION("""COMPUTED_VALUE"""),-34.9)</f>
        <v>-34.9</v>
      </c>
      <c r="E214" s="1" t="str">
        <f ca="1">IFERROR(__xludf.DUMMYFUNCTION("""COMPUTED_VALUE"""),"-")</f>
        <v>-</v>
      </c>
      <c r="F214" s="1" t="str">
        <f ca="1">IFERROR(__xludf.DUMMYFUNCTION("""COMPUTED_VALUE"""),"Cancelamento - Shopee -")</f>
        <v>Cancelamento - Shopee -</v>
      </c>
      <c r="G214" s="1" t="str">
        <f ca="1">IFERROR(__xludf.DUMMYFUNCTION("""COMPUTED_VALUE"""),"Shopee")</f>
        <v>Shopee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7">
        <f ca="1">IFERROR(__xludf.DUMMYFUNCTION("""COMPUTED_VALUE"""),45839)</f>
        <v>45839</v>
      </c>
      <c r="B215" s="7">
        <f ca="1">IFERROR(__xludf.DUMMYFUNCTION("""COMPUTED_VALUE"""),45831)</f>
        <v>45831</v>
      </c>
      <c r="C215" s="1" t="str">
        <f ca="1">IFERROR(__xludf.DUMMYFUNCTION("""COMPUTED_VALUE"""),"Cancelamento - Copkosto -")</f>
        <v>Cancelamento - Copkosto -</v>
      </c>
      <c r="D215" s="2">
        <f ca="1">IFERROR(__xludf.DUMMYFUNCTION("""COMPUTED_VALUE"""),-32.78)</f>
        <v>-32.78</v>
      </c>
      <c r="E215" s="1" t="str">
        <f ca="1">IFERROR(__xludf.DUMMYFUNCTION("""COMPUTED_VALUE"""),"-")</f>
        <v>-</v>
      </c>
      <c r="F215" s="1" t="str">
        <f ca="1">IFERROR(__xludf.DUMMYFUNCTION("""COMPUTED_VALUE"""),"Cancelamento - Copkosto -")</f>
        <v>Cancelamento - Copkosto -</v>
      </c>
      <c r="G215" s="1" t="str">
        <f ca="1">IFERROR(__xludf.DUMMYFUNCTION("""COMPUTED_VALUE"""),"Shopee")</f>
        <v>Shopee</v>
      </c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7">
        <f ca="1">IFERROR(__xludf.DUMMYFUNCTION("""COMPUTED_VALUE"""),45839)</f>
        <v>45839</v>
      </c>
      <c r="B216" s="7">
        <f ca="1">IFERROR(__xludf.DUMMYFUNCTION("""COMPUTED_VALUE"""),45835)</f>
        <v>45835</v>
      </c>
      <c r="C216" s="1" t="str">
        <f ca="1">IFERROR(__xludf.DUMMYFUNCTION("""COMPUTED_VALUE"""),"Desconto Na Parcela 10 De 12 -")</f>
        <v>Desconto Na Parcela 10 De 12 -</v>
      </c>
      <c r="D216" s="2">
        <f ca="1">IFERROR(__xludf.DUMMYFUNCTION("""COMPUTED_VALUE"""),-0.4)</f>
        <v>-0.4</v>
      </c>
      <c r="E216" s="1" t="str">
        <f ca="1">IFERROR(__xludf.DUMMYFUNCTION("""COMPUTED_VALUE"""),"-")</f>
        <v>-</v>
      </c>
      <c r="F216" s="1" t="str">
        <f ca="1">IFERROR(__xludf.DUMMYFUNCTION("""COMPUTED_VALUE"""),"Desconto Na Parcela 10 De 12 -")</f>
        <v>Desconto Na Parcela 10 De 12 -</v>
      </c>
      <c r="G216" s="1" t="str">
        <f ca="1">IFERROR(__xludf.DUMMYFUNCTION("""COMPUTED_VALUE"""),"-")</f>
        <v>-</v>
      </c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7">
        <f ca="1">IFERROR(__xludf.DUMMYFUNCTION("""COMPUTED_VALUE"""),45839)</f>
        <v>45839</v>
      </c>
      <c r="B217" s="7">
        <f ca="1">IFERROR(__xludf.DUMMYFUNCTION("""COMPUTED_VALUE"""),45835)</f>
        <v>45835</v>
      </c>
      <c r="C217" s="1" t="str">
        <f ca="1">IFERROR(__xludf.DUMMYFUNCTION("""COMPUTED_VALUE"""),"Desconto Na Parcela 11 De 12 -")</f>
        <v>Desconto Na Parcela 11 De 12 -</v>
      </c>
      <c r="D217" s="2">
        <f ca="1">IFERROR(__xludf.DUMMYFUNCTION("""COMPUTED_VALUE"""),-0.46)</f>
        <v>-0.46</v>
      </c>
      <c r="E217" s="1" t="str">
        <f ca="1">IFERROR(__xludf.DUMMYFUNCTION("""COMPUTED_VALUE"""),"-")</f>
        <v>-</v>
      </c>
      <c r="F217" s="1" t="str">
        <f ca="1">IFERROR(__xludf.DUMMYFUNCTION("""COMPUTED_VALUE"""),"Desconto Na Parcela 11 De 12 -")</f>
        <v>Desconto Na Parcela 11 De 12 -</v>
      </c>
      <c r="G217" s="1" t="str">
        <f ca="1">IFERROR(__xludf.DUMMYFUNCTION("""COMPUTED_VALUE"""),"-")</f>
        <v>-</v>
      </c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7">
        <f ca="1">IFERROR(__xludf.DUMMYFUNCTION("""COMPUTED_VALUE"""),45839)</f>
        <v>45839</v>
      </c>
      <c r="B218" s="7">
        <f ca="1">IFERROR(__xludf.DUMMYFUNCTION("""COMPUTED_VALUE"""),45835)</f>
        <v>45835</v>
      </c>
      <c r="C218" s="1" t="str">
        <f ca="1">IFERROR(__xludf.DUMMYFUNCTION("""COMPUTED_VALUE"""),"Desconto Na Parcela 12 De 12 -")</f>
        <v>Desconto Na Parcela 12 De 12 -</v>
      </c>
      <c r="D218" s="2">
        <f ca="1">IFERROR(__xludf.DUMMYFUNCTION("""COMPUTED_VALUE"""),-0.5)</f>
        <v>-0.5</v>
      </c>
      <c r="E218" s="1" t="str">
        <f ca="1">IFERROR(__xludf.DUMMYFUNCTION("""COMPUTED_VALUE"""),"-")</f>
        <v>-</v>
      </c>
      <c r="F218" s="1" t="str">
        <f ca="1">IFERROR(__xludf.DUMMYFUNCTION("""COMPUTED_VALUE"""),"Desconto Na Parcela 12 De 12 -")</f>
        <v>Desconto Na Parcela 12 De 12 -</v>
      </c>
      <c r="G218" s="1" t="str">
        <f ca="1">IFERROR(__xludf.DUMMYFUNCTION("""COMPUTED_VALUE"""),"-")</f>
        <v>-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7">
        <f ca="1">IFERROR(__xludf.DUMMYFUNCTION("""COMPUTED_VALUE"""),45839)</f>
        <v>45839</v>
      </c>
      <c r="B219" s="7">
        <f ca="1">IFERROR(__xludf.DUMMYFUNCTION("""COMPUTED_VALUE"""),45835)</f>
        <v>45835</v>
      </c>
      <c r="C219" s="1" t="str">
        <f ca="1">IFERROR(__xludf.DUMMYFUNCTION("""COMPUTED_VALUE"""),"Desconto Na Parcela 8 De 12 -")</f>
        <v>Desconto Na Parcela 8 De 12 -</v>
      </c>
      <c r="D219" s="2">
        <f ca="1">IFERROR(__xludf.DUMMYFUNCTION("""COMPUTED_VALUE"""),-0.31)</f>
        <v>-0.31</v>
      </c>
      <c r="E219" s="1" t="str">
        <f ca="1">IFERROR(__xludf.DUMMYFUNCTION("""COMPUTED_VALUE"""),"-")</f>
        <v>-</v>
      </c>
      <c r="F219" s="1" t="str">
        <f ca="1">IFERROR(__xludf.DUMMYFUNCTION("""COMPUTED_VALUE"""),"Desconto Na Parcela 8 De 12 -")</f>
        <v>Desconto Na Parcela 8 De 12 -</v>
      </c>
      <c r="G219" s="1" t="str">
        <f ca="1">IFERROR(__xludf.DUMMYFUNCTION("""COMPUTED_VALUE"""),"-")</f>
        <v>-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7">
        <f ca="1">IFERROR(__xludf.DUMMYFUNCTION("""COMPUTED_VALUE"""),45839)</f>
        <v>45839</v>
      </c>
      <c r="B220" s="7">
        <f ca="1">IFERROR(__xludf.DUMMYFUNCTION("""COMPUTED_VALUE"""),45835)</f>
        <v>45835</v>
      </c>
      <c r="C220" s="1" t="str">
        <f ca="1">IFERROR(__xludf.DUMMYFUNCTION("""COMPUTED_VALUE"""),"Desconto Na Parcela 9 De 12 -")</f>
        <v>Desconto Na Parcela 9 De 12 -</v>
      </c>
      <c r="D220" s="2">
        <f ca="1">IFERROR(__xludf.DUMMYFUNCTION("""COMPUTED_VALUE"""),-0.36)</f>
        <v>-0.36</v>
      </c>
      <c r="E220" s="1" t="str">
        <f ca="1">IFERROR(__xludf.DUMMYFUNCTION("""COMPUTED_VALUE"""),"-")</f>
        <v>-</v>
      </c>
      <c r="F220" s="1" t="str">
        <f ca="1">IFERROR(__xludf.DUMMYFUNCTION("""COMPUTED_VALUE"""),"Desconto Na Parcela 9 De 12 -")</f>
        <v>Desconto Na Parcela 9 De 12 -</v>
      </c>
      <c r="G220" s="1" t="str">
        <f ca="1">IFERROR(__xludf.DUMMYFUNCTION("""COMPUTED_VALUE"""),"-")</f>
        <v>-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7">
        <f ca="1">IFERROR(__xludf.DUMMYFUNCTION("""COMPUTED_VALUE"""),45839)</f>
        <v>45839</v>
      </c>
      <c r="B221" s="7">
        <f ca="1">IFERROR(__xludf.DUMMYFUNCTION("""COMPUTED_VALUE"""),45835)</f>
        <v>45835</v>
      </c>
      <c r="C221" s="1" t="str">
        <f ca="1">IFERROR(__xludf.DUMMYFUNCTION("""COMPUTED_VALUE"""),"Desconto Na Parcela 6 De 12 -")</f>
        <v>Desconto Na Parcela 6 De 12 -</v>
      </c>
      <c r="D221" s="2">
        <f ca="1">IFERROR(__xludf.DUMMYFUNCTION("""COMPUTED_VALUE"""),-0.21)</f>
        <v>-0.21</v>
      </c>
      <c r="E221" s="1" t="str">
        <f ca="1">IFERROR(__xludf.DUMMYFUNCTION("""COMPUTED_VALUE"""),"-")</f>
        <v>-</v>
      </c>
      <c r="F221" s="1" t="str">
        <f ca="1">IFERROR(__xludf.DUMMYFUNCTION("""COMPUTED_VALUE"""),"Desconto Na Parcela 6 De 12 -")</f>
        <v>Desconto Na Parcela 6 De 12 -</v>
      </c>
      <c r="G221" s="1" t="str">
        <f ca="1">IFERROR(__xludf.DUMMYFUNCTION("""COMPUTED_VALUE"""),"-")</f>
        <v>-</v>
      </c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7">
        <f ca="1">IFERROR(__xludf.DUMMYFUNCTION("""COMPUTED_VALUE"""),45839)</f>
        <v>45839</v>
      </c>
      <c r="B222" s="7">
        <f ca="1">IFERROR(__xludf.DUMMYFUNCTION("""COMPUTED_VALUE"""),45835)</f>
        <v>45835</v>
      </c>
      <c r="C222" s="1" t="str">
        <f ca="1">IFERROR(__xludf.DUMMYFUNCTION("""COMPUTED_VALUE"""),"Desconto Na Parcela 7 De 12 -")</f>
        <v>Desconto Na Parcela 7 De 12 -</v>
      </c>
      <c r="D222" s="2">
        <f ca="1">IFERROR(__xludf.DUMMYFUNCTION("""COMPUTED_VALUE"""),-0.26)</f>
        <v>-0.26</v>
      </c>
      <c r="E222" s="1" t="str">
        <f ca="1">IFERROR(__xludf.DUMMYFUNCTION("""COMPUTED_VALUE"""),"-")</f>
        <v>-</v>
      </c>
      <c r="F222" s="1" t="str">
        <f ca="1">IFERROR(__xludf.DUMMYFUNCTION("""COMPUTED_VALUE"""),"Desconto Na Parcela 7 De 12 -")</f>
        <v>Desconto Na Parcela 7 De 12 -</v>
      </c>
      <c r="G222" s="1" t="str">
        <f ca="1">IFERROR(__xludf.DUMMYFUNCTION("""COMPUTED_VALUE"""),"-")</f>
        <v>-</v>
      </c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7">
        <f ca="1">IFERROR(__xludf.DUMMYFUNCTION("""COMPUTED_VALUE"""),45839)</f>
        <v>45839</v>
      </c>
      <c r="B223" s="7">
        <f ca="1">IFERROR(__xludf.DUMMYFUNCTION("""COMPUTED_VALUE"""),45835)</f>
        <v>45835</v>
      </c>
      <c r="C223" s="1" t="str">
        <f ca="1">IFERROR(__xludf.DUMMYFUNCTION("""COMPUTED_VALUE"""),"Desconto Na Parcela 4 De 12 -")</f>
        <v>Desconto Na Parcela 4 De 12 -</v>
      </c>
      <c r="D223" s="2">
        <f ca="1">IFERROR(__xludf.DUMMYFUNCTION("""COMPUTED_VALUE"""),-0.1)</f>
        <v>-0.1</v>
      </c>
      <c r="E223" s="1" t="str">
        <f ca="1">IFERROR(__xludf.DUMMYFUNCTION("""COMPUTED_VALUE"""),"-")</f>
        <v>-</v>
      </c>
      <c r="F223" s="1" t="str">
        <f ca="1">IFERROR(__xludf.DUMMYFUNCTION("""COMPUTED_VALUE"""),"Desconto Na Parcela 4 De 12 -")</f>
        <v>Desconto Na Parcela 4 De 12 -</v>
      </c>
      <c r="G223" s="1" t="str">
        <f ca="1">IFERROR(__xludf.DUMMYFUNCTION("""COMPUTED_VALUE"""),"-")</f>
        <v>-</v>
      </c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7">
        <f ca="1">IFERROR(__xludf.DUMMYFUNCTION("""COMPUTED_VALUE"""),45839)</f>
        <v>45839</v>
      </c>
      <c r="B224" s="7">
        <f ca="1">IFERROR(__xludf.DUMMYFUNCTION("""COMPUTED_VALUE"""),45835)</f>
        <v>45835</v>
      </c>
      <c r="C224" s="1" t="str">
        <f ca="1">IFERROR(__xludf.DUMMYFUNCTION("""COMPUTED_VALUE"""),"Desconto Na Parcela 5 De 12 -")</f>
        <v>Desconto Na Parcela 5 De 12 -</v>
      </c>
      <c r="D224" s="2">
        <f ca="1">IFERROR(__xludf.DUMMYFUNCTION("""COMPUTED_VALUE"""),-0.15)</f>
        <v>-0.15</v>
      </c>
      <c r="E224" s="1" t="str">
        <f ca="1">IFERROR(__xludf.DUMMYFUNCTION("""COMPUTED_VALUE"""),"-")</f>
        <v>-</v>
      </c>
      <c r="F224" s="1" t="str">
        <f ca="1">IFERROR(__xludf.DUMMYFUNCTION("""COMPUTED_VALUE"""),"Desconto Na Parcela 5 De 12 -")</f>
        <v>Desconto Na Parcela 5 De 12 -</v>
      </c>
      <c r="G224" s="1" t="str">
        <f ca="1">IFERROR(__xludf.DUMMYFUNCTION("""COMPUTED_VALUE"""),"-")</f>
        <v>-</v>
      </c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7">
        <f ca="1">IFERROR(__xludf.DUMMYFUNCTION("""COMPUTED_VALUE"""),45839)</f>
        <v>45839</v>
      </c>
      <c r="B225" s="7">
        <f ca="1">IFERROR(__xludf.DUMMYFUNCTION("""COMPUTED_VALUE"""),45835)</f>
        <v>45835</v>
      </c>
      <c r="C225" s="1" t="str">
        <f ca="1">IFERROR(__xludf.DUMMYFUNCTION("""COMPUTED_VALUE"""),"Desconto Na Parcela 3 De 12 -")</f>
        <v>Desconto Na Parcela 3 De 12 -</v>
      </c>
      <c r="D225" s="2">
        <f ca="1">IFERROR(__xludf.DUMMYFUNCTION("""COMPUTED_VALUE"""),-0.05)</f>
        <v>-0.05</v>
      </c>
      <c r="E225" s="1" t="str">
        <f ca="1">IFERROR(__xludf.DUMMYFUNCTION("""COMPUTED_VALUE"""),"-")</f>
        <v>-</v>
      </c>
      <c r="F225" s="1" t="str">
        <f ca="1">IFERROR(__xludf.DUMMYFUNCTION("""COMPUTED_VALUE"""),"Desconto Na Parcela 3 De 12 -")</f>
        <v>Desconto Na Parcela 3 De 12 -</v>
      </c>
      <c r="G225" s="1" t="str">
        <f ca="1">IFERROR(__xludf.DUMMYFUNCTION("""COMPUTED_VALUE"""),"-")</f>
        <v>-</v>
      </c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7">
        <f ca="1">IFERROR(__xludf.DUMMYFUNCTION("""COMPUTED_VALUE"""),45839)</f>
        <v>45839</v>
      </c>
      <c r="B226" s="7">
        <f ca="1">IFERROR(__xludf.DUMMYFUNCTION("""COMPUTED_VALUE"""),45837)</f>
        <v>45837</v>
      </c>
      <c r="C226" s="1" t="str">
        <f ca="1">IFERROR(__xludf.DUMMYFUNCTION("""COMPUTED_VALUE"""),"Desconto Na Parcela 5 De 5 Simple -")</f>
        <v>Desconto Na Parcela 5 De 5 Simple -</v>
      </c>
      <c r="D226" s="2">
        <f ca="1">IFERROR(__xludf.DUMMYFUNCTION("""COMPUTED_VALUE"""),-0.36)</f>
        <v>-0.36</v>
      </c>
      <c r="E226" s="1" t="str">
        <f ca="1">IFERROR(__xludf.DUMMYFUNCTION("""COMPUTED_VALUE"""),"-")</f>
        <v>-</v>
      </c>
      <c r="F226" s="1" t="str">
        <f ca="1">IFERROR(__xludf.DUMMYFUNCTION("""COMPUTED_VALUE"""),"Desconto Na Parcela 5 De 5 Simple -")</f>
        <v>Desconto Na Parcela 5 De 5 Simple -</v>
      </c>
      <c r="G226" s="1" t="str">
        <f ca="1">IFERROR(__xludf.DUMMYFUNCTION("""COMPUTED_VALUE"""),"-")</f>
        <v>-</v>
      </c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7">
        <f ca="1">IFERROR(__xludf.DUMMYFUNCTION("""COMPUTED_VALUE"""),45839)</f>
        <v>45839</v>
      </c>
      <c r="B227" s="7">
        <f ca="1">IFERROR(__xludf.DUMMYFUNCTION("""COMPUTED_VALUE"""),45837)</f>
        <v>45837</v>
      </c>
      <c r="C227" s="1" t="str">
        <f ca="1">IFERROR(__xludf.DUMMYFUNCTION("""COMPUTED_VALUE"""),"Desconto Na Parcela 2 De 5 Simple -")</f>
        <v>Desconto Na Parcela 2 De 5 Simple -</v>
      </c>
      <c r="D227" s="2">
        <f ca="1">IFERROR(__xludf.DUMMYFUNCTION("""COMPUTED_VALUE"""),-0.09)</f>
        <v>-0.09</v>
      </c>
      <c r="E227" s="1" t="str">
        <f ca="1">IFERROR(__xludf.DUMMYFUNCTION("""COMPUTED_VALUE"""),"-")</f>
        <v>-</v>
      </c>
      <c r="F227" s="1" t="str">
        <f ca="1">IFERROR(__xludf.DUMMYFUNCTION("""COMPUTED_VALUE"""),"Desconto Na Parcela 2 De 5 Simple -")</f>
        <v>Desconto Na Parcela 2 De 5 Simple -</v>
      </c>
      <c r="G227" s="1" t="str">
        <f ca="1">IFERROR(__xludf.DUMMYFUNCTION("""COMPUTED_VALUE"""),"-")</f>
        <v>-</v>
      </c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7">
        <f ca="1">IFERROR(__xludf.DUMMYFUNCTION("""COMPUTED_VALUE"""),45839)</f>
        <v>45839</v>
      </c>
      <c r="B228" s="7">
        <f ca="1">IFERROR(__xludf.DUMMYFUNCTION("""COMPUTED_VALUE"""),45837)</f>
        <v>45837</v>
      </c>
      <c r="C228" s="1" t="str">
        <f ca="1">IFERROR(__xludf.DUMMYFUNCTION("""COMPUTED_VALUE"""),"Desconto Na Parcela 3 De 5 Simple -")</f>
        <v>Desconto Na Parcela 3 De 5 Simple -</v>
      </c>
      <c r="D228" s="2">
        <f ca="1">IFERROR(__xludf.DUMMYFUNCTION("""COMPUTED_VALUE"""),-0.18)</f>
        <v>-0.18</v>
      </c>
      <c r="E228" s="1" t="str">
        <f ca="1">IFERROR(__xludf.DUMMYFUNCTION("""COMPUTED_VALUE"""),"-")</f>
        <v>-</v>
      </c>
      <c r="F228" s="1" t="str">
        <f ca="1">IFERROR(__xludf.DUMMYFUNCTION("""COMPUTED_VALUE"""),"Desconto Na Parcela 3 De 5 Simple -")</f>
        <v>Desconto Na Parcela 3 De 5 Simple -</v>
      </c>
      <c r="G228" s="1" t="str">
        <f ca="1">IFERROR(__xludf.DUMMYFUNCTION("""COMPUTED_VALUE"""),"-")</f>
        <v>-</v>
      </c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7">
        <f ca="1">IFERROR(__xludf.DUMMYFUNCTION("""COMPUTED_VALUE"""),45839)</f>
        <v>45839</v>
      </c>
      <c r="B229" s="7">
        <f ca="1">IFERROR(__xludf.DUMMYFUNCTION("""COMPUTED_VALUE"""),45837)</f>
        <v>45837</v>
      </c>
      <c r="C229" s="1" t="str">
        <f ca="1">IFERROR(__xludf.DUMMYFUNCTION("""COMPUTED_VALUE"""),"Desconto Na Parcela 4 De 5 Simple -")</f>
        <v>Desconto Na Parcela 4 De 5 Simple -</v>
      </c>
      <c r="D229" s="2">
        <f ca="1">IFERROR(__xludf.DUMMYFUNCTION("""COMPUTED_VALUE"""),-0.27)</f>
        <v>-0.27</v>
      </c>
      <c r="E229" s="1" t="str">
        <f ca="1">IFERROR(__xludf.DUMMYFUNCTION("""COMPUTED_VALUE"""),"-")</f>
        <v>-</v>
      </c>
      <c r="F229" s="1" t="str">
        <f ca="1">IFERROR(__xludf.DUMMYFUNCTION("""COMPUTED_VALUE"""),"Desconto Na Parcela 4 De 5 Simple -")</f>
        <v>Desconto Na Parcela 4 De 5 Simple -</v>
      </c>
      <c r="G229" s="1" t="str">
        <f ca="1">IFERROR(__xludf.DUMMYFUNCTION("""COMPUTED_VALUE"""),"-")</f>
        <v>-</v>
      </c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7">
        <f ca="1">IFERROR(__xludf.DUMMYFUNCTION("""COMPUTED_VALUE"""),45839)</f>
        <v>45839</v>
      </c>
      <c r="B230" s="7">
        <f ca="1">IFERROR(__xludf.DUMMYFUNCTION("""COMPUTED_VALUE"""),45837)</f>
        <v>45837</v>
      </c>
      <c r="C230" s="1" t="str">
        <f ca="1">IFERROR(__xludf.DUMMYFUNCTION("""COMPUTED_VALUE"""),"Desconto Na Parcela 2 De 2 -")</f>
        <v>Desconto Na Parcela 2 De 2 -</v>
      </c>
      <c r="D230" s="2">
        <f ca="1">IFERROR(__xludf.DUMMYFUNCTION("""COMPUTED_VALUE"""),-0.09)</f>
        <v>-0.09</v>
      </c>
      <c r="E230" s="1" t="str">
        <f ca="1">IFERROR(__xludf.DUMMYFUNCTION("""COMPUTED_VALUE"""),"-")</f>
        <v>-</v>
      </c>
      <c r="F230" s="1" t="str">
        <f ca="1">IFERROR(__xludf.DUMMYFUNCTION("""COMPUTED_VALUE"""),"Desconto Na Parcela 2 De 2 -")</f>
        <v>Desconto Na Parcela 2 De 2 -</v>
      </c>
      <c r="G230" s="1" t="str">
        <f ca="1">IFERROR(__xludf.DUMMYFUNCTION("""COMPUTED_VALUE"""),"-")</f>
        <v>-</v>
      </c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7">
        <f ca="1">IFERROR(__xludf.DUMMYFUNCTION("""COMPUTED_VALUE"""),45839)</f>
        <v>45839</v>
      </c>
      <c r="B231" s="7">
        <f ca="1">IFERROR(__xludf.DUMMYFUNCTION("""COMPUTED_VALUE"""),45837)</f>
        <v>45837</v>
      </c>
      <c r="C231" s="1" t="str">
        <f ca="1">IFERROR(__xludf.DUMMYFUNCTION("""COMPUTED_VALUE"""),"Desconto Na Parcela 3 De 3 Dma -")</f>
        <v>Desconto Na Parcela 3 De 3 Dma -</v>
      </c>
      <c r="D231" s="2">
        <f ca="1">IFERROR(__xludf.DUMMYFUNCTION("""COMPUTED_VALUE"""),-0.28)</f>
        <v>-0.28000000000000003</v>
      </c>
      <c r="E231" s="1" t="str">
        <f ca="1">IFERROR(__xludf.DUMMYFUNCTION("""COMPUTED_VALUE"""),"-")</f>
        <v>-</v>
      </c>
      <c r="F231" s="1" t="str">
        <f ca="1">IFERROR(__xludf.DUMMYFUNCTION("""COMPUTED_VALUE"""),"Desconto Na Parcela 3 De 3 Dma -")</f>
        <v>Desconto Na Parcela 3 De 3 Dma -</v>
      </c>
      <c r="G231" s="1" t="str">
        <f ca="1">IFERROR(__xludf.DUMMYFUNCTION("""COMPUTED_VALUE"""),"-")</f>
        <v>-</v>
      </c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7">
        <f ca="1">IFERROR(__xludf.DUMMYFUNCTION("""COMPUTED_VALUE"""),45839)</f>
        <v>45839</v>
      </c>
      <c r="B232" s="7">
        <f ca="1">IFERROR(__xludf.DUMMYFUNCTION("""COMPUTED_VALUE"""),45837)</f>
        <v>45837</v>
      </c>
      <c r="C232" s="1" t="str">
        <f ca="1">IFERROR(__xludf.DUMMYFUNCTION("""COMPUTED_VALUE"""),"Desconto Na Parcela 2 De 3 Dma -")</f>
        <v>Desconto Na Parcela 2 De 3 Dma -</v>
      </c>
      <c r="D232" s="2">
        <f ca="1">IFERROR(__xludf.DUMMYFUNCTION("""COMPUTED_VALUE"""),-0.14)</f>
        <v>-0.14000000000000001</v>
      </c>
      <c r="E232" s="1" t="str">
        <f ca="1">IFERROR(__xludf.DUMMYFUNCTION("""COMPUTED_VALUE"""),"-")</f>
        <v>-</v>
      </c>
      <c r="F232" s="1" t="str">
        <f ca="1">IFERROR(__xludf.DUMMYFUNCTION("""COMPUTED_VALUE"""),"Desconto Na Parcela 2 De 3 Dma -")</f>
        <v>Desconto Na Parcela 2 De 3 Dma -</v>
      </c>
      <c r="G232" s="1" t="str">
        <f ca="1">IFERROR(__xludf.DUMMYFUNCTION("""COMPUTED_VALUE"""),"-")</f>
        <v>-</v>
      </c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7">
        <f ca="1">IFERROR(__xludf.DUMMYFUNCTION("""COMPUTED_VALUE"""),45839)</f>
        <v>45839</v>
      </c>
      <c r="B233" s="7">
        <f ca="1">IFERROR(__xludf.DUMMYFUNCTION("""COMPUTED_VALUE"""),45839)</f>
        <v>45839</v>
      </c>
      <c r="C233" s="1" t="str">
        <f ca="1">IFERROR(__xludf.DUMMYFUNCTION("""COMPUTED_VALUE"""),"Desconto Na Parcela 3 De 3 -")</f>
        <v>Desconto Na Parcela 3 De 3 -</v>
      </c>
      <c r="D233" s="2">
        <f ca="1">IFERROR(__xludf.DUMMYFUNCTION("""COMPUTED_VALUE"""),-0.31)</f>
        <v>-0.31</v>
      </c>
      <c r="E233" s="1" t="str">
        <f ca="1">IFERROR(__xludf.DUMMYFUNCTION("""COMPUTED_VALUE"""),"-")</f>
        <v>-</v>
      </c>
      <c r="F233" s="1" t="str">
        <f ca="1">IFERROR(__xludf.DUMMYFUNCTION("""COMPUTED_VALUE"""),"Desconto Na Parcela 3 De 3 -")</f>
        <v>Desconto Na Parcela 3 De 3 -</v>
      </c>
      <c r="G233" s="1" t="str">
        <f ca="1">IFERROR(__xludf.DUMMYFUNCTION("""COMPUTED_VALUE"""),"-")</f>
        <v>-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7">
        <f ca="1">IFERROR(__xludf.DUMMYFUNCTION("""COMPUTED_VALUE"""),45839)</f>
        <v>45839</v>
      </c>
      <c r="B234" s="7">
        <f ca="1">IFERROR(__xludf.DUMMYFUNCTION("""COMPUTED_VALUE"""),45839)</f>
        <v>45839</v>
      </c>
      <c r="C234" s="1" t="str">
        <f ca="1">IFERROR(__xludf.DUMMYFUNCTION("""COMPUTED_VALUE"""),"Desconto Na Parcela 2 De 3 -")</f>
        <v>Desconto Na Parcela 2 De 3 -</v>
      </c>
      <c r="D234" s="2">
        <f ca="1">IFERROR(__xludf.DUMMYFUNCTION("""COMPUTED_VALUE"""),-0.15)</f>
        <v>-0.15</v>
      </c>
      <c r="E234" s="1" t="str">
        <f ca="1">IFERROR(__xludf.DUMMYFUNCTION("""COMPUTED_VALUE"""),"-")</f>
        <v>-</v>
      </c>
      <c r="F234" s="1" t="str">
        <f ca="1">IFERROR(__xludf.DUMMYFUNCTION("""COMPUTED_VALUE"""),"Desconto Na Parcela 2 De 3 -")</f>
        <v>Desconto Na Parcela 2 De 3 -</v>
      </c>
      <c r="G234" s="1" t="str">
        <f ca="1">IFERROR(__xludf.DUMMYFUNCTION("""COMPUTED_VALUE"""),"-")</f>
        <v>-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7">
        <f ca="1">IFERROR(__xludf.DUMMYFUNCTION("""COMPUTED_VALUE"""),45839)</f>
        <v>45839</v>
      </c>
      <c r="B235" s="7">
        <f ca="1">IFERROR(__xludf.DUMMYFUNCTION("""COMPUTED_VALUE"""),45780)</f>
        <v>45780</v>
      </c>
      <c r="C235" s="1" t="str">
        <f ca="1">IFERROR(__xludf.DUMMYFUNCTION("""COMPUTED_VALUE"""),"Constance (2/2)")</f>
        <v>Constance (2/2)</v>
      </c>
      <c r="D235" s="2">
        <f ca="1">IFERROR(__xludf.DUMMYFUNCTION("""COMPUTED_VALUE"""),89.99)</f>
        <v>89.99</v>
      </c>
      <c r="E235" s="1" t="str">
        <f ca="1">IFERROR(__xludf.DUMMYFUNCTION("""COMPUTED_VALUE"""),"-")</f>
        <v>-</v>
      </c>
      <c r="F235" s="1" t="str">
        <f ca="1">IFERROR(__xludf.DUMMYFUNCTION("""COMPUTED_VALUE"""),"Constance")</f>
        <v>Constance</v>
      </c>
      <c r="G235" s="1" t="str">
        <f ca="1">IFERROR(__xludf.DUMMYFUNCTION("""COMPUTED_VALUE"""),"Compras")</f>
        <v>Compras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7">
        <f ca="1">IFERROR(__xludf.DUMMYFUNCTION("""COMPUTED_VALUE"""),45839)</f>
        <v>45839</v>
      </c>
      <c r="B236" s="7">
        <f ca="1">IFERROR(__xludf.DUMMYFUNCTION("""COMPUTED_VALUE"""),45791)</f>
        <v>45791</v>
      </c>
      <c r="C236" s="1" t="str">
        <f ca="1">IFERROR(__xludf.DUMMYFUNCTION("""COMPUTED_VALUE"""),"Centro De Excelencia (2/2)")</f>
        <v>Centro De Excelencia (2/2)</v>
      </c>
      <c r="D236" s="2">
        <f ca="1">IFERROR(__xludf.DUMMYFUNCTION("""COMPUTED_VALUE"""),520)</f>
        <v>520</v>
      </c>
      <c r="E236" s="1" t="str">
        <f ca="1">IFERROR(__xludf.DUMMYFUNCTION("""COMPUTED_VALUE"""),"-")</f>
        <v>-</v>
      </c>
      <c r="F236" s="1" t="str">
        <f ca="1">IFERROR(__xludf.DUMMYFUNCTION("""COMPUTED_VALUE"""),"Centro De Excelencia")</f>
        <v>Centro De Excelencia</v>
      </c>
      <c r="G236" s="1" t="str">
        <f ca="1">IFERROR(__xludf.DUMMYFUNCTION("""COMPUTED_VALUE"""),"-")</f>
        <v>-</v>
      </c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7">
        <f ca="1">IFERROR(__xludf.DUMMYFUNCTION("""COMPUTED_VALUE"""),45839)</f>
        <v>45839</v>
      </c>
      <c r="B237" s="7">
        <f ca="1">IFERROR(__xludf.DUMMYFUNCTION("""COMPUTED_VALUE"""),45804)</f>
        <v>45804</v>
      </c>
      <c r="C237" s="1" t="str">
        <f ca="1">IFERROR(__xludf.DUMMYFUNCTION("""COMPUTED_VALUE"""),"Copiar")</f>
        <v>Copiar</v>
      </c>
      <c r="D237" s="2">
        <f ca="1">IFERROR(__xludf.DUMMYFUNCTION("""COMPUTED_VALUE"""),23.5)</f>
        <v>23.5</v>
      </c>
      <c r="E237" s="1" t="str">
        <f ca="1">IFERROR(__xludf.DUMMYFUNCTION("""COMPUTED_VALUE"""),"-")</f>
        <v>-</v>
      </c>
      <c r="F237" s="1" t="str">
        <f ca="1">IFERROR(__xludf.DUMMYFUNCTION("""COMPUTED_VALUE"""),"Copiar")</f>
        <v>Copiar</v>
      </c>
      <c r="G237" s="1" t="str">
        <f ca="1">IFERROR(__xludf.DUMMYFUNCTION("""COMPUTED_VALUE"""),"-")</f>
        <v>-</v>
      </c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7">
        <f ca="1">IFERROR(__xludf.DUMMYFUNCTION("""COMPUTED_VALUE"""),45839)</f>
        <v>45839</v>
      </c>
      <c r="B238" s="7">
        <f ca="1">IFERROR(__xludf.DUMMYFUNCTION("""COMPUTED_VALUE"""),45804)</f>
        <v>45804</v>
      </c>
      <c r="C238" s="1" t="str">
        <f ca="1">IFERROR(__xludf.DUMMYFUNCTION("""COMPUTED_VALUE"""),"Multiplan")</f>
        <v>Multiplan</v>
      </c>
      <c r="D238" s="2">
        <f ca="1">IFERROR(__xludf.DUMMYFUNCTION("""COMPUTED_VALUE"""),10.5)</f>
        <v>10.5</v>
      </c>
      <c r="E238" s="1" t="str">
        <f ca="1">IFERROR(__xludf.DUMMYFUNCTION("""COMPUTED_VALUE"""),"-")</f>
        <v>-</v>
      </c>
      <c r="F238" s="1" t="str">
        <f ca="1">IFERROR(__xludf.DUMMYFUNCTION("""COMPUTED_VALUE"""),"Multiplan")</f>
        <v>Multiplan</v>
      </c>
      <c r="G238" s="1" t="str">
        <f ca="1">IFERROR(__xludf.DUMMYFUNCTION("""COMPUTED_VALUE"""),"-")</f>
        <v>-</v>
      </c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7">
        <f ca="1">IFERROR(__xludf.DUMMYFUNCTION("""COMPUTED_VALUE"""),45839)</f>
        <v>45839</v>
      </c>
      <c r="B239" s="7">
        <f ca="1">IFERROR(__xludf.DUMMYFUNCTION("""COMPUTED_VALUE"""),45804)</f>
        <v>45804</v>
      </c>
      <c r="C239" s="1" t="str">
        <f ca="1">IFERROR(__xludf.DUMMYFUNCTION("""COMPUTED_VALUE"""),"Panif Mendes Sion")</f>
        <v>Panif Mendes Sion</v>
      </c>
      <c r="D239" s="2">
        <f ca="1">IFERROR(__xludf.DUMMYFUNCTION("""COMPUTED_VALUE"""),9.9)</f>
        <v>9.9</v>
      </c>
      <c r="E239" s="1" t="str">
        <f ca="1">IFERROR(__xludf.DUMMYFUNCTION("""COMPUTED_VALUE"""),"-")</f>
        <v>-</v>
      </c>
      <c r="F239" s="1" t="str">
        <f ca="1">IFERROR(__xludf.DUMMYFUNCTION("""COMPUTED_VALUE"""),"Panif Mendes Sion")</f>
        <v>Panif Mendes Sion</v>
      </c>
      <c r="G239" s="1" t="str">
        <f ca="1">IFERROR(__xludf.DUMMYFUNCTION("""COMPUTED_VALUE"""),"Comida")</f>
        <v>Comida</v>
      </c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7">
        <f ca="1">IFERROR(__xludf.DUMMYFUNCTION("""COMPUTED_VALUE"""),45839)</f>
        <v>45839</v>
      </c>
      <c r="B240" s="7">
        <f ca="1">IFERROR(__xludf.DUMMYFUNCTION("""COMPUTED_VALUE"""),45805)</f>
        <v>45805</v>
      </c>
      <c r="C240" s="1" t="str">
        <f ca="1">IFERROR(__xludf.DUMMYFUNCTION("""COMPUTED_VALUE"""),"Panif Mendes Sion")</f>
        <v>Panif Mendes Sion</v>
      </c>
      <c r="D240" s="2">
        <f ca="1">IFERROR(__xludf.DUMMYFUNCTION("""COMPUTED_VALUE"""),6.8)</f>
        <v>6.8</v>
      </c>
      <c r="E240" s="1" t="str">
        <f ca="1">IFERROR(__xludf.DUMMYFUNCTION("""COMPUTED_VALUE"""),"-")</f>
        <v>-</v>
      </c>
      <c r="F240" s="1" t="str">
        <f ca="1">IFERROR(__xludf.DUMMYFUNCTION("""COMPUTED_VALUE"""),"Panif Mendes Sion")</f>
        <v>Panif Mendes Sion</v>
      </c>
      <c r="G240" s="1" t="str">
        <f ca="1">IFERROR(__xludf.DUMMYFUNCTION("""COMPUTED_VALUE"""),"Comida")</f>
        <v>Comida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7">
        <f ca="1">IFERROR(__xludf.DUMMYFUNCTION("""COMPUTED_VALUE"""),45839)</f>
        <v>45839</v>
      </c>
      <c r="B241" s="7">
        <f ca="1">IFERROR(__xludf.DUMMYFUNCTION("""COMPUTED_VALUE"""),45805)</f>
        <v>45805</v>
      </c>
      <c r="C241" s="1" t="str">
        <f ca="1">IFERROR(__xludf.DUMMYFUNCTION("""COMPUTED_VALUE"""),"Sion 1001 Festas")</f>
        <v>Sion 1001 Festas</v>
      </c>
      <c r="D241" s="2">
        <f ca="1">IFERROR(__xludf.DUMMYFUNCTION("""COMPUTED_VALUE"""),488.6)</f>
        <v>488.6</v>
      </c>
      <c r="E241" s="1" t="str">
        <f ca="1">IFERROR(__xludf.DUMMYFUNCTION("""COMPUTED_VALUE"""),"-")</f>
        <v>-</v>
      </c>
      <c r="F241" s="1" t="str">
        <f ca="1">IFERROR(__xludf.DUMMYFUNCTION("""COMPUTED_VALUE"""),"Sion 1001 Festas")</f>
        <v>Sion 1001 Festas</v>
      </c>
      <c r="G241" s="1" t="str">
        <f ca="1">IFERROR(__xludf.DUMMYFUNCTION("""COMPUTED_VALUE"""),"-")</f>
        <v>-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7">
        <f ca="1">IFERROR(__xludf.DUMMYFUNCTION("""COMPUTED_VALUE"""),45839)</f>
        <v>45839</v>
      </c>
      <c r="B242" s="7">
        <f ca="1">IFERROR(__xludf.DUMMYFUNCTION("""COMPUTED_VALUE"""),45805)</f>
        <v>45805</v>
      </c>
      <c r="C242" s="1" t="str">
        <f ca="1">IFERROR(__xludf.DUMMYFUNCTION("""COMPUTED_VALUE"""),"Supermercado &amp; Padaria")</f>
        <v>Supermercado &amp; Padaria</v>
      </c>
      <c r="D242" s="2">
        <f ca="1">IFERROR(__xludf.DUMMYFUNCTION("""COMPUTED_VALUE"""),33.05)</f>
        <v>33.049999999999997</v>
      </c>
      <c r="E242" s="1" t="str">
        <f ca="1">IFERROR(__xludf.DUMMYFUNCTION("""COMPUTED_VALUE"""),"-")</f>
        <v>-</v>
      </c>
      <c r="F242" s="1" t="str">
        <f ca="1">IFERROR(__xludf.DUMMYFUNCTION("""COMPUTED_VALUE"""),"Supermercado &amp; Padaria")</f>
        <v>Supermercado &amp; Padaria</v>
      </c>
      <c r="G242" s="1" t="str">
        <f ca="1">IFERROR(__xludf.DUMMYFUNCTION("""COMPUTED_VALUE"""),"Comida")</f>
        <v>Comida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7">
        <f ca="1">IFERROR(__xludf.DUMMYFUNCTION("""COMPUTED_VALUE"""),45839)</f>
        <v>45839</v>
      </c>
      <c r="B243" s="7">
        <f ca="1">IFERROR(__xludf.DUMMYFUNCTION("""COMPUTED_VALUE"""),45806)</f>
        <v>45806</v>
      </c>
      <c r="C243" s="1" t="str">
        <f ca="1">IFERROR(__xludf.DUMMYFUNCTION("""COMPUTED_VALUE"""),"Dma Distribuidora Sa")</f>
        <v>Dma Distribuidora Sa</v>
      </c>
      <c r="D243" s="2">
        <f ca="1">IFERROR(__xludf.DUMMYFUNCTION("""COMPUTED_VALUE"""),173.03)</f>
        <v>173.03</v>
      </c>
      <c r="E243" s="1" t="str">
        <f ca="1">IFERROR(__xludf.DUMMYFUNCTION("""COMPUTED_VALUE"""),"-")</f>
        <v>-</v>
      </c>
      <c r="F243" s="1" t="str">
        <f ca="1">IFERROR(__xludf.DUMMYFUNCTION("""COMPUTED_VALUE"""),"Dma Distribuidora Sa")</f>
        <v>Dma Distribuidora Sa</v>
      </c>
      <c r="G243" s="1" t="str">
        <f ca="1">IFERROR(__xludf.DUMMYFUNCTION("""COMPUTED_VALUE"""),"-")</f>
        <v>-</v>
      </c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7">
        <f ca="1">IFERROR(__xludf.DUMMYFUNCTION("""COMPUTED_VALUE"""),45839)</f>
        <v>45839</v>
      </c>
      <c r="B244" s="7">
        <f ca="1">IFERROR(__xludf.DUMMYFUNCTION("""COMPUTED_VALUE"""),45807)</f>
        <v>45807</v>
      </c>
      <c r="C244" s="1" t="str">
        <f ca="1">IFERROR(__xludf.DUMMYFUNCTION("""COMPUTED_VALUE"""),"Vila Arabe Lourdes")</f>
        <v>Vila Arabe Lourdes</v>
      </c>
      <c r="D244" s="2">
        <f ca="1">IFERROR(__xludf.DUMMYFUNCTION("""COMPUTED_VALUE"""),37.58)</f>
        <v>37.58</v>
      </c>
      <c r="E244" s="1" t="str">
        <f ca="1">IFERROR(__xludf.DUMMYFUNCTION("""COMPUTED_VALUE"""),"-")</f>
        <v>-</v>
      </c>
      <c r="F244" s="1" t="str">
        <f ca="1">IFERROR(__xludf.DUMMYFUNCTION("""COMPUTED_VALUE"""),"Vila Arabe Lourdes")</f>
        <v>Vila Arabe Lourdes</v>
      </c>
      <c r="G244" s="1" t="str">
        <f ca="1">IFERROR(__xludf.DUMMYFUNCTION("""COMPUTED_VALUE"""),"-")</f>
        <v>-</v>
      </c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7">
        <f ca="1">IFERROR(__xludf.DUMMYFUNCTION("""COMPUTED_VALUE"""),45839)</f>
        <v>45839</v>
      </c>
      <c r="B245" s="7">
        <f ca="1">IFERROR(__xludf.DUMMYFUNCTION("""COMPUTED_VALUE"""),45807)</f>
        <v>45807</v>
      </c>
      <c r="C245" s="1" t="str">
        <f ca="1">IFERROR(__xludf.DUMMYFUNCTION("""COMPUTED_VALUE"""),"Gelateria Mfps Mg2")</f>
        <v>Gelateria Mfps Mg2</v>
      </c>
      <c r="D245" s="2">
        <f ca="1">IFERROR(__xludf.DUMMYFUNCTION("""COMPUTED_VALUE"""),21)</f>
        <v>21</v>
      </c>
      <c r="E245" s="1" t="str">
        <f ca="1">IFERROR(__xludf.DUMMYFUNCTION("""COMPUTED_VALUE"""),"-")</f>
        <v>-</v>
      </c>
      <c r="F245" s="1" t="str">
        <f ca="1">IFERROR(__xludf.DUMMYFUNCTION("""COMPUTED_VALUE"""),"Gelateria Mfps Mg2")</f>
        <v>Gelateria Mfps Mg2</v>
      </c>
      <c r="G245" s="1" t="str">
        <f ca="1">IFERROR(__xludf.DUMMYFUNCTION("""COMPUTED_VALUE"""),"-")</f>
        <v>-</v>
      </c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7">
        <f ca="1">IFERROR(__xludf.DUMMYFUNCTION("""COMPUTED_VALUE"""),45839)</f>
        <v>45839</v>
      </c>
      <c r="B246" s="7">
        <f ca="1">IFERROR(__xludf.DUMMYFUNCTION("""COMPUTED_VALUE"""),45807)</f>
        <v>45807</v>
      </c>
      <c r="C246" s="1" t="str">
        <f ca="1">IFERROR(__xludf.DUMMYFUNCTION("""COMPUTED_VALUE"""),"Oakberry")</f>
        <v>Oakberry</v>
      </c>
      <c r="D246" s="2">
        <f ca="1">IFERROR(__xludf.DUMMYFUNCTION("""COMPUTED_VALUE"""),33.98)</f>
        <v>33.979999999999997</v>
      </c>
      <c r="E246" s="1" t="str">
        <f ca="1">IFERROR(__xludf.DUMMYFUNCTION("""COMPUTED_VALUE"""),"-")</f>
        <v>-</v>
      </c>
      <c r="F246" s="1" t="str">
        <f ca="1">IFERROR(__xludf.DUMMYFUNCTION("""COMPUTED_VALUE"""),"Oakberry")</f>
        <v>Oakberry</v>
      </c>
      <c r="G246" s="1" t="str">
        <f ca="1">IFERROR(__xludf.DUMMYFUNCTION("""COMPUTED_VALUE"""),"-")</f>
        <v>-</v>
      </c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7">
        <f ca="1">IFERROR(__xludf.DUMMYFUNCTION("""COMPUTED_VALUE"""),45839)</f>
        <v>45839</v>
      </c>
      <c r="B247" s="7">
        <f ca="1">IFERROR(__xludf.DUMMYFUNCTION("""COMPUTED_VALUE"""),45807)</f>
        <v>45807</v>
      </c>
      <c r="C247" s="1" t="str">
        <f ca="1">IFERROR(__xludf.DUMMYFUNCTION("""COMPUTED_VALUE"""),"Oakberry")</f>
        <v>Oakberry</v>
      </c>
      <c r="D247" s="2">
        <f ca="1">IFERROR(__xludf.DUMMYFUNCTION("""COMPUTED_VALUE"""),27.89)</f>
        <v>27.89</v>
      </c>
      <c r="E247" s="1" t="str">
        <f ca="1">IFERROR(__xludf.DUMMYFUNCTION("""COMPUTED_VALUE"""),"-")</f>
        <v>-</v>
      </c>
      <c r="F247" s="1" t="str">
        <f ca="1">IFERROR(__xludf.DUMMYFUNCTION("""COMPUTED_VALUE"""),"Oakberry")</f>
        <v>Oakberry</v>
      </c>
      <c r="G247" s="1" t="str">
        <f ca="1">IFERROR(__xludf.DUMMYFUNCTION("""COMPUTED_VALUE"""),"-")</f>
        <v>-</v>
      </c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7">
        <f ca="1">IFERROR(__xludf.DUMMYFUNCTION("""COMPUTED_VALUE"""),45839)</f>
        <v>45839</v>
      </c>
      <c r="B248" s="7">
        <f ca="1">IFERROR(__xludf.DUMMYFUNCTION("""COMPUTED_VALUE"""),45807)</f>
        <v>45807</v>
      </c>
      <c r="C248" s="1" t="str">
        <f ca="1">IFERROR(__xludf.DUMMYFUNCTION("""COMPUTED_VALUE"""),"Cobasi")</f>
        <v>Cobasi</v>
      </c>
      <c r="D248" s="2">
        <f ca="1">IFERROR(__xludf.DUMMYFUNCTION("""COMPUTED_VALUE"""),108.8)</f>
        <v>108.8</v>
      </c>
      <c r="E248" s="1" t="str">
        <f ca="1">IFERROR(__xludf.DUMMYFUNCTION("""COMPUTED_VALUE"""),"-")</f>
        <v>-</v>
      </c>
      <c r="F248" s="1" t="str">
        <f ca="1">IFERROR(__xludf.DUMMYFUNCTION("""COMPUTED_VALUE"""),"Cobasi")</f>
        <v>Cobasi</v>
      </c>
      <c r="G248" s="1" t="str">
        <f ca="1">IFERROR(__xludf.DUMMYFUNCTION("""COMPUTED_VALUE"""),"-")</f>
        <v>-</v>
      </c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7">
        <f ca="1">IFERROR(__xludf.DUMMYFUNCTION("""COMPUTED_VALUE"""),45839)</f>
        <v>45839</v>
      </c>
      <c r="B249" s="7">
        <f ca="1">IFERROR(__xludf.DUMMYFUNCTION("""COMPUTED_VALUE"""),45808)</f>
        <v>45808</v>
      </c>
      <c r="C249" s="1" t="str">
        <f ca="1">IFERROR(__xludf.DUMMYFUNCTION("""COMPUTED_VALUE"""),"Panif Mendes Sion")</f>
        <v>Panif Mendes Sion</v>
      </c>
      <c r="D249" s="2">
        <f ca="1">IFERROR(__xludf.DUMMYFUNCTION("""COMPUTED_VALUE"""),12.4)</f>
        <v>12.4</v>
      </c>
      <c r="E249" s="1" t="str">
        <f ca="1">IFERROR(__xludf.DUMMYFUNCTION("""COMPUTED_VALUE"""),"-")</f>
        <v>-</v>
      </c>
      <c r="F249" s="1" t="str">
        <f ca="1">IFERROR(__xludf.DUMMYFUNCTION("""COMPUTED_VALUE"""),"Panif Mendes Sion")</f>
        <v>Panif Mendes Sion</v>
      </c>
      <c r="G249" s="1" t="str">
        <f ca="1">IFERROR(__xludf.DUMMYFUNCTION("""COMPUTED_VALUE"""),"Comida")</f>
        <v>Comida</v>
      </c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7">
        <f ca="1">IFERROR(__xludf.DUMMYFUNCTION("""COMPUTED_VALUE"""),45839)</f>
        <v>45839</v>
      </c>
      <c r="B250" s="7">
        <f ca="1">IFERROR(__xludf.DUMMYFUNCTION("""COMPUTED_VALUE"""),45808)</f>
        <v>45808</v>
      </c>
      <c r="C250" s="1" t="str">
        <f ca="1">IFERROR(__xludf.DUMMYFUNCTION("""COMPUTED_VALUE"""),"Sion 1001 Festas")</f>
        <v>Sion 1001 Festas</v>
      </c>
      <c r="D250" s="2">
        <f ca="1">IFERROR(__xludf.DUMMYFUNCTION("""COMPUTED_VALUE"""),88.98)</f>
        <v>88.98</v>
      </c>
      <c r="E250" s="1" t="str">
        <f ca="1">IFERROR(__xludf.DUMMYFUNCTION("""COMPUTED_VALUE"""),"-")</f>
        <v>-</v>
      </c>
      <c r="F250" s="1" t="str">
        <f ca="1">IFERROR(__xludf.DUMMYFUNCTION("""COMPUTED_VALUE"""),"Sion 1001 Festas")</f>
        <v>Sion 1001 Festas</v>
      </c>
      <c r="G250" s="1" t="str">
        <f ca="1">IFERROR(__xludf.DUMMYFUNCTION("""COMPUTED_VALUE"""),"-")</f>
        <v>-</v>
      </c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7">
        <f ca="1">IFERROR(__xludf.DUMMYFUNCTION("""COMPUTED_VALUE"""),45839)</f>
        <v>45839</v>
      </c>
      <c r="B251" s="7">
        <f ca="1">IFERROR(__xludf.DUMMYFUNCTION("""COMPUTED_VALUE"""),45808)</f>
        <v>45808</v>
      </c>
      <c r="C251" s="1" t="str">
        <f ca="1">IFERROR(__xludf.DUMMYFUNCTION("""COMPUTED_VALUE"""),"Cobasi")</f>
        <v>Cobasi</v>
      </c>
      <c r="D251" s="2">
        <f ca="1">IFERROR(__xludf.DUMMYFUNCTION("""COMPUTED_VALUE"""),15.6)</f>
        <v>15.6</v>
      </c>
      <c r="E251" s="1" t="str">
        <f ca="1">IFERROR(__xludf.DUMMYFUNCTION("""COMPUTED_VALUE"""),"-")</f>
        <v>-</v>
      </c>
      <c r="F251" s="1" t="str">
        <f ca="1">IFERROR(__xludf.DUMMYFUNCTION("""COMPUTED_VALUE"""),"Cobasi")</f>
        <v>Cobasi</v>
      </c>
      <c r="G251" s="1" t="str">
        <f ca="1">IFERROR(__xludf.DUMMYFUNCTION("""COMPUTED_VALUE"""),"-")</f>
        <v>-</v>
      </c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7">
        <f ca="1">IFERROR(__xludf.DUMMYFUNCTION("""COMPUTED_VALUE"""),45839)</f>
        <v>45839</v>
      </c>
      <c r="B252" s="7">
        <f ca="1">IFERROR(__xludf.DUMMYFUNCTION("""COMPUTED_VALUE"""),45808)</f>
        <v>45808</v>
      </c>
      <c r="C252" s="1" t="str">
        <f ca="1">IFERROR(__xludf.DUMMYFUNCTION("""COMPUTED_VALUE"""),"Supermercado &amp; Padaria")</f>
        <v>Supermercado &amp; Padaria</v>
      </c>
      <c r="D252" s="2">
        <f ca="1">IFERROR(__xludf.DUMMYFUNCTION("""COMPUTED_VALUE"""),431.29)</f>
        <v>431.29</v>
      </c>
      <c r="E252" s="1" t="str">
        <f ca="1">IFERROR(__xludf.DUMMYFUNCTION("""COMPUTED_VALUE"""),"-")</f>
        <v>-</v>
      </c>
      <c r="F252" s="1" t="str">
        <f ca="1">IFERROR(__xludf.DUMMYFUNCTION("""COMPUTED_VALUE"""),"Supermercado &amp; Padaria")</f>
        <v>Supermercado &amp; Padaria</v>
      </c>
      <c r="G252" s="1" t="str">
        <f ca="1">IFERROR(__xludf.DUMMYFUNCTION("""COMPUTED_VALUE"""),"Comida")</f>
        <v>Comida</v>
      </c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7">
        <f ca="1">IFERROR(__xludf.DUMMYFUNCTION("""COMPUTED_VALUE"""),45839)</f>
        <v>45839</v>
      </c>
      <c r="B253" s="7">
        <f ca="1">IFERROR(__xludf.DUMMYFUNCTION("""COMPUTED_VALUE"""),45808)</f>
        <v>45808</v>
      </c>
      <c r="C253" s="1" t="str">
        <f ca="1">IFERROR(__xludf.DUMMYFUNCTION("""COMPUTED_VALUE"""),"Estufa Mangabera Butiq")</f>
        <v>Estufa Mangabera Butiq</v>
      </c>
      <c r="D253" s="2">
        <f ca="1">IFERROR(__xludf.DUMMYFUNCTION("""COMPUTED_VALUE"""),69.96)</f>
        <v>69.959999999999994</v>
      </c>
      <c r="E253" s="1" t="str">
        <f ca="1">IFERROR(__xludf.DUMMYFUNCTION("""COMPUTED_VALUE"""),"-")</f>
        <v>-</v>
      </c>
      <c r="F253" s="1" t="str">
        <f ca="1">IFERROR(__xludf.DUMMYFUNCTION("""COMPUTED_VALUE"""),"Estufa Mangabera Butiq")</f>
        <v>Estufa Mangabera Butiq</v>
      </c>
      <c r="G253" s="1" t="str">
        <f ca="1">IFERROR(__xludf.DUMMYFUNCTION("""COMPUTED_VALUE"""),"-")</f>
        <v>-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7">
        <f ca="1">IFERROR(__xludf.DUMMYFUNCTION("""COMPUTED_VALUE"""),45839)</f>
        <v>45839</v>
      </c>
      <c r="B254" s="7">
        <f ca="1">IFERROR(__xludf.DUMMYFUNCTION("""COMPUTED_VALUE"""),45809)</f>
        <v>45809</v>
      </c>
      <c r="C254" s="1" t="str">
        <f ca="1">IFERROR(__xludf.DUMMYFUNCTION("""COMPUTED_VALUE"""),"Panif Mendes Sion")</f>
        <v>Panif Mendes Sion</v>
      </c>
      <c r="D254" s="2">
        <f ca="1">IFERROR(__xludf.DUMMYFUNCTION("""COMPUTED_VALUE"""),29.6)</f>
        <v>29.6</v>
      </c>
      <c r="E254" s="1" t="str">
        <f ca="1">IFERROR(__xludf.DUMMYFUNCTION("""COMPUTED_VALUE"""),"-")</f>
        <v>-</v>
      </c>
      <c r="F254" s="1" t="str">
        <f ca="1">IFERROR(__xludf.DUMMYFUNCTION("""COMPUTED_VALUE"""),"Panif Mendes Sion")</f>
        <v>Panif Mendes Sion</v>
      </c>
      <c r="G254" s="1" t="str">
        <f ca="1">IFERROR(__xludf.DUMMYFUNCTION("""COMPUTED_VALUE"""),"Comida")</f>
        <v>Comida</v>
      </c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7">
        <f ca="1">IFERROR(__xludf.DUMMYFUNCTION("""COMPUTED_VALUE"""),45839)</f>
        <v>45839</v>
      </c>
      <c r="B255" s="7">
        <f ca="1">IFERROR(__xludf.DUMMYFUNCTION("""COMPUTED_VALUE"""),45810)</f>
        <v>45810</v>
      </c>
      <c r="C255" s="1" t="str">
        <f ca="1">IFERROR(__xludf.DUMMYFUNCTION("""COMPUTED_VALUE"""),"Sion 1001 Festas")</f>
        <v>Sion 1001 Festas</v>
      </c>
      <c r="D255" s="2">
        <f ca="1">IFERROR(__xludf.DUMMYFUNCTION("""COMPUTED_VALUE"""),5.19)</f>
        <v>5.19</v>
      </c>
      <c r="E255" s="1" t="str">
        <f ca="1">IFERROR(__xludf.DUMMYFUNCTION("""COMPUTED_VALUE"""),"-")</f>
        <v>-</v>
      </c>
      <c r="F255" s="1" t="str">
        <f ca="1">IFERROR(__xludf.DUMMYFUNCTION("""COMPUTED_VALUE"""),"Sion 1001 Festas")</f>
        <v>Sion 1001 Festas</v>
      </c>
      <c r="G255" s="1" t="str">
        <f ca="1">IFERROR(__xludf.DUMMYFUNCTION("""COMPUTED_VALUE"""),"-")</f>
        <v>-</v>
      </c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7">
        <f ca="1">IFERROR(__xludf.DUMMYFUNCTION("""COMPUTED_VALUE"""),45839)</f>
        <v>45839</v>
      </c>
      <c r="B256" s="7">
        <f ca="1">IFERROR(__xludf.DUMMYFUNCTION("""COMPUTED_VALUE"""),45820)</f>
        <v>45820</v>
      </c>
      <c r="C256" s="1" t="str">
        <f ca="1">IFERROR(__xludf.DUMMYFUNCTION("""COMPUTED_VALUE"""),"Panif Mendes Sion")</f>
        <v>Panif Mendes Sion</v>
      </c>
      <c r="D256" s="2">
        <f ca="1">IFERROR(__xludf.DUMMYFUNCTION("""COMPUTED_VALUE"""),25.12)</f>
        <v>25.12</v>
      </c>
      <c r="E256" s="1" t="str">
        <f ca="1">IFERROR(__xludf.DUMMYFUNCTION("""COMPUTED_VALUE"""),"-")</f>
        <v>-</v>
      </c>
      <c r="F256" s="1" t="str">
        <f ca="1">IFERROR(__xludf.DUMMYFUNCTION("""COMPUTED_VALUE"""),"Panif Mendes Sion")</f>
        <v>Panif Mendes Sion</v>
      </c>
      <c r="G256" s="1" t="str">
        <f ca="1">IFERROR(__xludf.DUMMYFUNCTION("""COMPUTED_VALUE"""),"Comida")</f>
        <v>Comida</v>
      </c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7">
        <f ca="1">IFERROR(__xludf.DUMMYFUNCTION("""COMPUTED_VALUE"""),45839)</f>
        <v>45839</v>
      </c>
      <c r="B257" s="7">
        <f ca="1">IFERROR(__xludf.DUMMYFUNCTION("""COMPUTED_VALUE"""),45820)</f>
        <v>45820</v>
      </c>
      <c r="C257" s="1" t="str">
        <f ca="1">IFERROR(__xludf.DUMMYFUNCTION("""COMPUTED_VALUE"""),"Drogaria Araujo")</f>
        <v>Drogaria Araujo</v>
      </c>
      <c r="D257" s="2">
        <f ca="1">IFERROR(__xludf.DUMMYFUNCTION("""COMPUTED_VALUE"""),31.46)</f>
        <v>31.46</v>
      </c>
      <c r="E257" s="1" t="str">
        <f ca="1">IFERROR(__xludf.DUMMYFUNCTION("""COMPUTED_VALUE"""),"-")</f>
        <v>-</v>
      </c>
      <c r="F257" s="1" t="str">
        <f ca="1">IFERROR(__xludf.DUMMYFUNCTION("""COMPUTED_VALUE"""),"Drogaria Araujo")</f>
        <v>Drogaria Araujo</v>
      </c>
      <c r="G257" s="1" t="str">
        <f ca="1">IFERROR(__xludf.DUMMYFUNCTION("""COMPUTED_VALUE"""),"Compras")</f>
        <v>Compras</v>
      </c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7">
        <f ca="1">IFERROR(__xludf.DUMMYFUNCTION("""COMPUTED_VALUE"""),45839)</f>
        <v>45839</v>
      </c>
      <c r="B258" s="7">
        <f ca="1">IFERROR(__xludf.DUMMYFUNCTION("""COMPUTED_VALUE"""),45820)</f>
        <v>45820</v>
      </c>
      <c r="C258" s="1" t="str">
        <f ca="1">IFERROR(__xludf.DUMMYFUNCTION("""COMPUTED_VALUE"""),"Super Sacolao")</f>
        <v>Super Sacolao</v>
      </c>
      <c r="D258" s="2">
        <f ca="1">IFERROR(__xludf.DUMMYFUNCTION("""COMPUTED_VALUE"""),88.68)</f>
        <v>88.68</v>
      </c>
      <c r="E258" s="1" t="str">
        <f ca="1">IFERROR(__xludf.DUMMYFUNCTION("""COMPUTED_VALUE"""),"-")</f>
        <v>-</v>
      </c>
      <c r="F258" s="1" t="str">
        <f ca="1">IFERROR(__xludf.DUMMYFUNCTION("""COMPUTED_VALUE"""),"Super Sacolao")</f>
        <v>Super Sacolao</v>
      </c>
      <c r="G258" s="1" t="str">
        <f ca="1">IFERROR(__xludf.DUMMYFUNCTION("""COMPUTED_VALUE"""),"-")</f>
        <v>-</v>
      </c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7">
        <f ca="1">IFERROR(__xludf.DUMMYFUNCTION("""COMPUTED_VALUE"""),45839)</f>
        <v>45839</v>
      </c>
      <c r="B259" s="7">
        <f ca="1">IFERROR(__xludf.DUMMYFUNCTION("""COMPUTED_VALUE"""),45822)</f>
        <v>45822</v>
      </c>
      <c r="C259" s="1" t="str">
        <f ca="1">IFERROR(__xludf.DUMMYFUNCTION("""COMPUTED_VALUE"""),"Santa Rosa Acabamentos")</f>
        <v>Santa Rosa Acabamentos</v>
      </c>
      <c r="D259" s="2">
        <f ca="1">IFERROR(__xludf.DUMMYFUNCTION("""COMPUTED_VALUE"""),7.8)</f>
        <v>7.8</v>
      </c>
      <c r="E259" s="1" t="str">
        <f ca="1">IFERROR(__xludf.DUMMYFUNCTION("""COMPUTED_VALUE"""),"-")</f>
        <v>-</v>
      </c>
      <c r="F259" s="1" t="str">
        <f ca="1">IFERROR(__xludf.DUMMYFUNCTION("""COMPUTED_VALUE"""),"Santa Rosa Acabamentos")</f>
        <v>Santa Rosa Acabamentos</v>
      </c>
      <c r="G259" s="1" t="str">
        <f ca="1">IFERROR(__xludf.DUMMYFUNCTION("""COMPUTED_VALUE"""),"-")</f>
        <v>-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7">
        <f ca="1">IFERROR(__xludf.DUMMYFUNCTION("""COMPUTED_VALUE"""),45839)</f>
        <v>45839</v>
      </c>
      <c r="B260" s="7">
        <f ca="1">IFERROR(__xludf.DUMMYFUNCTION("""COMPUTED_VALUE"""),45822)</f>
        <v>45822</v>
      </c>
      <c r="C260" s="1" t="str">
        <f ca="1">IFERROR(__xludf.DUMMYFUNCTION("""COMPUTED_VALUE"""),"Santissimo Pao")</f>
        <v>Santissimo Pao</v>
      </c>
      <c r="D260" s="2">
        <f ca="1">IFERROR(__xludf.DUMMYFUNCTION("""COMPUTED_VALUE"""),23)</f>
        <v>23</v>
      </c>
      <c r="E260" s="1" t="str">
        <f ca="1">IFERROR(__xludf.DUMMYFUNCTION("""COMPUTED_VALUE"""),"-")</f>
        <v>-</v>
      </c>
      <c r="F260" s="1" t="str">
        <f ca="1">IFERROR(__xludf.DUMMYFUNCTION("""COMPUTED_VALUE"""),"Santissimo Pao")</f>
        <v>Santissimo Pao</v>
      </c>
      <c r="G260" s="1" t="str">
        <f ca="1">IFERROR(__xludf.DUMMYFUNCTION("""COMPUTED_VALUE"""),"-")</f>
        <v>-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7">
        <f ca="1">IFERROR(__xludf.DUMMYFUNCTION("""COMPUTED_VALUE"""),45839)</f>
        <v>45839</v>
      </c>
      <c r="B261" s="7">
        <f ca="1">IFERROR(__xludf.DUMMYFUNCTION("""COMPUTED_VALUE"""),45822)</f>
        <v>45822</v>
      </c>
      <c r="C261" s="1" t="str">
        <f ca="1">IFERROR(__xludf.DUMMYFUNCTION("""COMPUTED_VALUE"""),"Golden Pet")</f>
        <v>Golden Pet</v>
      </c>
      <c r="D261" s="2">
        <f ca="1">IFERROR(__xludf.DUMMYFUNCTION("""COMPUTED_VALUE"""),85.5)</f>
        <v>85.5</v>
      </c>
      <c r="E261" s="1" t="str">
        <f ca="1">IFERROR(__xludf.DUMMYFUNCTION("""COMPUTED_VALUE"""),"-")</f>
        <v>-</v>
      </c>
      <c r="F261" s="1" t="str">
        <f ca="1">IFERROR(__xludf.DUMMYFUNCTION("""COMPUTED_VALUE"""),"Golden Pet")</f>
        <v>Golden Pet</v>
      </c>
      <c r="G261" s="1" t="str">
        <f ca="1">IFERROR(__xludf.DUMMYFUNCTION("""COMPUTED_VALUE"""),"Hulk")</f>
        <v>Hulk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7">
        <f ca="1">IFERROR(__xludf.DUMMYFUNCTION("""COMPUTED_VALUE"""),45839)</f>
        <v>45839</v>
      </c>
      <c r="B262" s="7">
        <f ca="1">IFERROR(__xludf.DUMMYFUNCTION("""COMPUTED_VALUE"""),45822)</f>
        <v>45822</v>
      </c>
      <c r="C262" s="1" t="str">
        <f ca="1">IFERROR(__xludf.DUMMYFUNCTION("""COMPUTED_VALUE"""),"Panif Mendes Sion")</f>
        <v>Panif Mendes Sion</v>
      </c>
      <c r="D262" s="2">
        <f ca="1">IFERROR(__xludf.DUMMYFUNCTION("""COMPUTED_VALUE"""),10.84)</f>
        <v>10.84</v>
      </c>
      <c r="E262" s="1" t="str">
        <f ca="1">IFERROR(__xludf.DUMMYFUNCTION("""COMPUTED_VALUE"""),"-")</f>
        <v>-</v>
      </c>
      <c r="F262" s="1" t="str">
        <f ca="1">IFERROR(__xludf.DUMMYFUNCTION("""COMPUTED_VALUE"""),"Panif Mendes Sion")</f>
        <v>Panif Mendes Sion</v>
      </c>
      <c r="G262" s="1" t="str">
        <f ca="1">IFERROR(__xludf.DUMMYFUNCTION("""COMPUTED_VALUE"""),"Comida")</f>
        <v>Comida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7">
        <f ca="1">IFERROR(__xludf.DUMMYFUNCTION("""COMPUTED_VALUE"""),45839)</f>
        <v>45839</v>
      </c>
      <c r="B263" s="7">
        <f ca="1">IFERROR(__xludf.DUMMYFUNCTION("""COMPUTED_VALUE"""),45823)</f>
        <v>45823</v>
      </c>
      <c r="C263" s="1" t="str">
        <f ca="1">IFERROR(__xludf.DUMMYFUNCTION("""COMPUTED_VALUE"""),"Panif Mendes Sion")</f>
        <v>Panif Mendes Sion</v>
      </c>
      <c r="D263" s="2">
        <f ca="1">IFERROR(__xludf.DUMMYFUNCTION("""COMPUTED_VALUE"""),41.61)</f>
        <v>41.61</v>
      </c>
      <c r="E263" s="1" t="str">
        <f ca="1">IFERROR(__xludf.DUMMYFUNCTION("""COMPUTED_VALUE"""),"-")</f>
        <v>-</v>
      </c>
      <c r="F263" s="1" t="str">
        <f ca="1">IFERROR(__xludf.DUMMYFUNCTION("""COMPUTED_VALUE"""),"Panif Mendes Sion")</f>
        <v>Panif Mendes Sion</v>
      </c>
      <c r="G263" s="1" t="str">
        <f ca="1">IFERROR(__xludf.DUMMYFUNCTION("""COMPUTED_VALUE"""),"Comida")</f>
        <v>Comida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7">
        <f ca="1">IFERROR(__xludf.DUMMYFUNCTION("""COMPUTED_VALUE"""),45839)</f>
        <v>45839</v>
      </c>
      <c r="B264" s="7">
        <f ca="1">IFERROR(__xludf.DUMMYFUNCTION("""COMPUTED_VALUE"""),45823)</f>
        <v>45823</v>
      </c>
      <c r="C264" s="1" t="str">
        <f ca="1">IFERROR(__xludf.DUMMYFUNCTION("""COMPUTED_VALUE"""),"Bem Hortifruti")</f>
        <v>Bem Hortifruti</v>
      </c>
      <c r="D264" s="2">
        <f ca="1">IFERROR(__xludf.DUMMYFUNCTION("""COMPUTED_VALUE"""),84.96)</f>
        <v>84.96</v>
      </c>
      <c r="E264" s="1" t="str">
        <f ca="1">IFERROR(__xludf.DUMMYFUNCTION("""COMPUTED_VALUE"""),"-")</f>
        <v>-</v>
      </c>
      <c r="F264" s="1" t="str">
        <f ca="1">IFERROR(__xludf.DUMMYFUNCTION("""COMPUTED_VALUE"""),"Bem Hortifruti")</f>
        <v>Bem Hortifruti</v>
      </c>
      <c r="G264" s="1" t="str">
        <f ca="1">IFERROR(__xludf.DUMMYFUNCTION("""COMPUTED_VALUE"""),"-")</f>
        <v>-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7">
        <f ca="1">IFERROR(__xludf.DUMMYFUNCTION("""COMPUTED_VALUE"""),45839)</f>
        <v>45839</v>
      </c>
      <c r="B265" s="7">
        <f ca="1">IFERROR(__xludf.DUMMYFUNCTION("""COMPUTED_VALUE"""),45823)</f>
        <v>45823</v>
      </c>
      <c r="C265" s="1" t="str">
        <f ca="1">IFERROR(__xludf.DUMMYFUNCTION("""COMPUTED_VALUE"""),"Drogaria Araujo")</f>
        <v>Drogaria Araujo</v>
      </c>
      <c r="D265" s="2">
        <f ca="1">IFERROR(__xludf.DUMMYFUNCTION("""COMPUTED_VALUE"""),18.99)</f>
        <v>18.989999999999998</v>
      </c>
      <c r="E265" s="1" t="str">
        <f ca="1">IFERROR(__xludf.DUMMYFUNCTION("""COMPUTED_VALUE"""),"-")</f>
        <v>-</v>
      </c>
      <c r="F265" s="1" t="str">
        <f ca="1">IFERROR(__xludf.DUMMYFUNCTION("""COMPUTED_VALUE"""),"Drogaria Araujo")</f>
        <v>Drogaria Araujo</v>
      </c>
      <c r="G265" s="1" t="str">
        <f ca="1">IFERROR(__xludf.DUMMYFUNCTION("""COMPUTED_VALUE"""),"Compras")</f>
        <v>Compras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7">
        <f ca="1">IFERROR(__xludf.DUMMYFUNCTION("""COMPUTED_VALUE"""),45839)</f>
        <v>45839</v>
      </c>
      <c r="B266" s="7">
        <f ca="1">IFERROR(__xludf.DUMMYFUNCTION("""COMPUTED_VALUE"""),45823)</f>
        <v>45823</v>
      </c>
      <c r="C266" s="1" t="str">
        <f ca="1">IFERROR(__xludf.DUMMYFUNCTION("""COMPUTED_VALUE"""),"Panif Mendes Sion")</f>
        <v>Panif Mendes Sion</v>
      </c>
      <c r="D266" s="2">
        <f ca="1">IFERROR(__xludf.DUMMYFUNCTION("""COMPUTED_VALUE"""),24.9)</f>
        <v>24.9</v>
      </c>
      <c r="E266" s="1" t="str">
        <f ca="1">IFERROR(__xludf.DUMMYFUNCTION("""COMPUTED_VALUE"""),"-")</f>
        <v>-</v>
      </c>
      <c r="F266" s="1" t="str">
        <f ca="1">IFERROR(__xludf.DUMMYFUNCTION("""COMPUTED_VALUE"""),"Panif Mendes Sion")</f>
        <v>Panif Mendes Sion</v>
      </c>
      <c r="G266" s="1" t="str">
        <f ca="1">IFERROR(__xludf.DUMMYFUNCTION("""COMPUTED_VALUE"""),"Comida")</f>
        <v>Comida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7">
        <f ca="1">IFERROR(__xludf.DUMMYFUNCTION("""COMPUTED_VALUE"""),45839)</f>
        <v>45839</v>
      </c>
      <c r="B267" s="7">
        <f ca="1">IFERROR(__xludf.DUMMYFUNCTION("""COMPUTED_VALUE"""),45825)</f>
        <v>45825</v>
      </c>
      <c r="C267" s="1" t="str">
        <f ca="1">IFERROR(__xludf.DUMMYFUNCTION("""COMPUTED_VALUE"""),"Panif Mendes Sion")</f>
        <v>Panif Mendes Sion</v>
      </c>
      <c r="D267" s="2">
        <f ca="1">IFERROR(__xludf.DUMMYFUNCTION("""COMPUTED_VALUE"""),14.02)</f>
        <v>14.02</v>
      </c>
      <c r="E267" s="1" t="str">
        <f ca="1">IFERROR(__xludf.DUMMYFUNCTION("""COMPUTED_VALUE"""),"-")</f>
        <v>-</v>
      </c>
      <c r="F267" s="1" t="str">
        <f ca="1">IFERROR(__xludf.DUMMYFUNCTION("""COMPUTED_VALUE"""),"Panif Mendes Sion")</f>
        <v>Panif Mendes Sion</v>
      </c>
      <c r="G267" s="1" t="str">
        <f ca="1">IFERROR(__xludf.DUMMYFUNCTION("""COMPUTED_VALUE"""),"Comida")</f>
        <v>Comida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7">
        <f ca="1">IFERROR(__xludf.DUMMYFUNCTION("""COMPUTED_VALUE"""),45839)</f>
        <v>45839</v>
      </c>
      <c r="B268" s="7">
        <f ca="1">IFERROR(__xludf.DUMMYFUNCTION("""COMPUTED_VALUE"""),45825)</f>
        <v>45825</v>
      </c>
      <c r="C268" s="1" t="str">
        <f ca="1">IFERROR(__xludf.DUMMYFUNCTION("""COMPUTED_VALUE"""),"B1 Sist Ester De Lima")</f>
        <v>B1 Sist Ester De Lima</v>
      </c>
      <c r="D268" s="2">
        <f ca="1">IFERROR(__xludf.DUMMYFUNCTION("""COMPUTED_VALUE"""),353.2)</f>
        <v>353.2</v>
      </c>
      <c r="E268" s="1" t="str">
        <f ca="1">IFERROR(__xludf.DUMMYFUNCTION("""COMPUTED_VALUE"""),"-")</f>
        <v>-</v>
      </c>
      <c r="F268" s="1" t="str">
        <f ca="1">IFERROR(__xludf.DUMMYFUNCTION("""COMPUTED_VALUE"""),"B1 Sist Ester De Lima")</f>
        <v>B1 Sist Ester De Lima</v>
      </c>
      <c r="G268" s="1" t="str">
        <f ca="1">IFERROR(__xludf.DUMMYFUNCTION("""COMPUTED_VALUE"""),"-")</f>
        <v>-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7">
        <f ca="1">IFERROR(__xludf.DUMMYFUNCTION("""COMPUTED_VALUE"""),45839)</f>
        <v>45839</v>
      </c>
      <c r="B269" s="7">
        <f ca="1">IFERROR(__xludf.DUMMYFUNCTION("""COMPUTED_VALUE"""),45825)</f>
        <v>45825</v>
      </c>
      <c r="C269" s="1" t="str">
        <f ca="1">IFERROR(__xludf.DUMMYFUNCTION("""COMPUTED_VALUE"""),"Soul De Queijo")</f>
        <v>Soul De Queijo</v>
      </c>
      <c r="D269" s="2">
        <f ca="1">IFERROR(__xludf.DUMMYFUNCTION("""COMPUTED_VALUE"""),7)</f>
        <v>7</v>
      </c>
      <c r="E269" s="1" t="str">
        <f ca="1">IFERROR(__xludf.DUMMYFUNCTION("""COMPUTED_VALUE"""),"-")</f>
        <v>-</v>
      </c>
      <c r="F269" s="1" t="str">
        <f ca="1">IFERROR(__xludf.DUMMYFUNCTION("""COMPUTED_VALUE"""),"Soul De Queijo")</f>
        <v>Soul De Queijo</v>
      </c>
      <c r="G269" s="1" t="str">
        <f ca="1">IFERROR(__xludf.DUMMYFUNCTION("""COMPUTED_VALUE"""),"-")</f>
        <v>-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7">
        <f ca="1">IFERROR(__xludf.DUMMYFUNCTION("""COMPUTED_VALUE"""),45839)</f>
        <v>45839</v>
      </c>
      <c r="B270" s="7">
        <f ca="1">IFERROR(__xludf.DUMMYFUNCTION("""COMPUTED_VALUE"""),45825)</f>
        <v>45825</v>
      </c>
      <c r="C270" s="1" t="str">
        <f ca="1">IFERROR(__xludf.DUMMYFUNCTION("""COMPUTED_VALUE"""),"Drogaria Araujo")</f>
        <v>Drogaria Araujo</v>
      </c>
      <c r="D270" s="2">
        <f ca="1">IFERROR(__xludf.DUMMYFUNCTION("""COMPUTED_VALUE"""),10.59)</f>
        <v>10.59</v>
      </c>
      <c r="E270" s="1" t="str">
        <f ca="1">IFERROR(__xludf.DUMMYFUNCTION("""COMPUTED_VALUE"""),"-")</f>
        <v>-</v>
      </c>
      <c r="F270" s="1" t="str">
        <f ca="1">IFERROR(__xludf.DUMMYFUNCTION("""COMPUTED_VALUE"""),"Drogaria Araujo")</f>
        <v>Drogaria Araujo</v>
      </c>
      <c r="G270" s="1" t="str">
        <f ca="1">IFERROR(__xludf.DUMMYFUNCTION("""COMPUTED_VALUE"""),"Compras")</f>
        <v>Compras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7">
        <f ca="1">IFERROR(__xludf.DUMMYFUNCTION("""COMPUTED_VALUE"""),45839)</f>
        <v>45839</v>
      </c>
      <c r="B271" s="7">
        <f ca="1">IFERROR(__xludf.DUMMYFUNCTION("""COMPUTED_VALUE"""),45825)</f>
        <v>45825</v>
      </c>
      <c r="C271" s="1" t="str">
        <f ca="1">IFERROR(__xludf.DUMMYFUNCTION("""COMPUTED_VALUE"""),"Panif Mendes Sion")</f>
        <v>Panif Mendes Sion</v>
      </c>
      <c r="D271" s="2">
        <f ca="1">IFERROR(__xludf.DUMMYFUNCTION("""COMPUTED_VALUE"""),5.7)</f>
        <v>5.7</v>
      </c>
      <c r="E271" s="1" t="str">
        <f ca="1">IFERROR(__xludf.DUMMYFUNCTION("""COMPUTED_VALUE"""),"-")</f>
        <v>-</v>
      </c>
      <c r="F271" s="1" t="str">
        <f ca="1">IFERROR(__xludf.DUMMYFUNCTION("""COMPUTED_VALUE"""),"Panif Mendes Sion")</f>
        <v>Panif Mendes Sion</v>
      </c>
      <c r="G271" s="1" t="str">
        <f ca="1">IFERROR(__xludf.DUMMYFUNCTION("""COMPUTED_VALUE"""),"Comida")</f>
        <v>Comida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7">
        <f ca="1">IFERROR(__xludf.DUMMYFUNCTION("""COMPUTED_VALUE"""),45839)</f>
        <v>45839</v>
      </c>
      <c r="B272" s="7">
        <f ca="1">IFERROR(__xludf.DUMMYFUNCTION("""COMPUTED_VALUE"""),45826)</f>
        <v>45826</v>
      </c>
      <c r="C272" s="1" t="str">
        <f ca="1">IFERROR(__xludf.DUMMYFUNCTION("""COMPUTED_VALUE"""),"Eletirca Llrd")</f>
        <v>Eletirca Llrd</v>
      </c>
      <c r="D272" s="2">
        <f ca="1">IFERROR(__xludf.DUMMYFUNCTION("""COMPUTED_VALUE"""),148.99)</f>
        <v>148.99</v>
      </c>
      <c r="E272" s="1" t="str">
        <f ca="1">IFERROR(__xludf.DUMMYFUNCTION("""COMPUTED_VALUE"""),"-")</f>
        <v>-</v>
      </c>
      <c r="F272" s="1" t="str">
        <f ca="1">IFERROR(__xludf.DUMMYFUNCTION("""COMPUTED_VALUE"""),"Eletirca Llrd")</f>
        <v>Eletirca Llrd</v>
      </c>
      <c r="G272" s="1" t="str">
        <f ca="1">IFERROR(__xludf.DUMMYFUNCTION("""COMPUTED_VALUE"""),"-")</f>
        <v>-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7">
        <f ca="1">IFERROR(__xludf.DUMMYFUNCTION("""COMPUTED_VALUE"""),45839)</f>
        <v>45839</v>
      </c>
      <c r="B273" s="7">
        <f ca="1">IFERROR(__xludf.DUMMYFUNCTION("""COMPUTED_VALUE"""),45827)</f>
        <v>45827</v>
      </c>
      <c r="C273" s="1" t="str">
        <f ca="1">IFERROR(__xludf.DUMMYFUNCTION("""COMPUTED_VALUE"""),"Drogaria Araujo")</f>
        <v>Drogaria Araujo</v>
      </c>
      <c r="D273" s="2">
        <f ca="1">IFERROR(__xludf.DUMMYFUNCTION("""COMPUTED_VALUE"""),0.49)</f>
        <v>0.49</v>
      </c>
      <c r="E273" s="1" t="str">
        <f ca="1">IFERROR(__xludf.DUMMYFUNCTION("""COMPUTED_VALUE"""),"-")</f>
        <v>-</v>
      </c>
      <c r="F273" s="1" t="str">
        <f ca="1">IFERROR(__xludf.DUMMYFUNCTION("""COMPUTED_VALUE"""),"Drogaria Araujo")</f>
        <v>Drogaria Araujo</v>
      </c>
      <c r="G273" s="1" t="str">
        <f ca="1">IFERROR(__xludf.DUMMYFUNCTION("""COMPUTED_VALUE"""),"Compras")</f>
        <v>Compras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7">
        <f ca="1">IFERROR(__xludf.DUMMYFUNCTION("""COMPUTED_VALUE"""),45839)</f>
        <v>45839</v>
      </c>
      <c r="B274" s="7">
        <f ca="1">IFERROR(__xludf.DUMMYFUNCTION("""COMPUTED_VALUE"""),45827)</f>
        <v>45827</v>
      </c>
      <c r="C274" s="1" t="str">
        <f ca="1">IFERROR(__xludf.DUMMYFUNCTION("""COMPUTED_VALUE"""),"Panif Mendes Sion")</f>
        <v>Panif Mendes Sion</v>
      </c>
      <c r="D274" s="2">
        <f ca="1">IFERROR(__xludf.DUMMYFUNCTION("""COMPUTED_VALUE"""),5.33)</f>
        <v>5.33</v>
      </c>
      <c r="E274" s="1" t="str">
        <f ca="1">IFERROR(__xludf.DUMMYFUNCTION("""COMPUTED_VALUE"""),"-")</f>
        <v>-</v>
      </c>
      <c r="F274" s="1" t="str">
        <f ca="1">IFERROR(__xludf.DUMMYFUNCTION("""COMPUTED_VALUE"""),"Panif Mendes Sion")</f>
        <v>Panif Mendes Sion</v>
      </c>
      <c r="G274" s="1" t="str">
        <f ca="1">IFERROR(__xludf.DUMMYFUNCTION("""COMPUTED_VALUE"""),"Comida")</f>
        <v>Comida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7">
        <f ca="1">IFERROR(__xludf.DUMMYFUNCTION("""COMPUTED_VALUE"""),45839)</f>
        <v>45839</v>
      </c>
      <c r="B275" s="7">
        <f ca="1">IFERROR(__xludf.DUMMYFUNCTION("""COMPUTED_VALUE"""),45831)</f>
        <v>45831</v>
      </c>
      <c r="C275" s="1" t="str">
        <f ca="1">IFERROR(__xludf.DUMMYFUNCTION("""COMPUTED_VALUE"""),"Leroy Merlin")</f>
        <v>Leroy Merlin</v>
      </c>
      <c r="D275" s="2">
        <f ca="1">IFERROR(__xludf.DUMMYFUNCTION("""COMPUTED_VALUE"""),542.78)</f>
        <v>542.78</v>
      </c>
      <c r="E275" s="1" t="str">
        <f ca="1">IFERROR(__xludf.DUMMYFUNCTION("""COMPUTED_VALUE"""),"-")</f>
        <v>-</v>
      </c>
      <c r="F275" s="1" t="str">
        <f ca="1">IFERROR(__xludf.DUMMYFUNCTION("""COMPUTED_VALUE"""),"Leroy Merlin")</f>
        <v>Leroy Merlin</v>
      </c>
      <c r="G275" s="1" t="str">
        <f ca="1">IFERROR(__xludf.DUMMYFUNCTION("""COMPUTED_VALUE"""),"-")</f>
        <v>-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7">
        <f ca="1">IFERROR(__xludf.DUMMYFUNCTION("""COMPUTED_VALUE"""),45839)</f>
        <v>45839</v>
      </c>
      <c r="B276" s="7">
        <f ca="1">IFERROR(__xludf.DUMMYFUNCTION("""COMPUTED_VALUE"""),45831)</f>
        <v>45831</v>
      </c>
      <c r="C276" s="1" t="str">
        <f ca="1">IFERROR(__xludf.DUMMYFUNCTION("""COMPUTED_VALUE"""),"Drogaria Araujo")</f>
        <v>Drogaria Araujo</v>
      </c>
      <c r="D276" s="2">
        <f ca="1">IFERROR(__xludf.DUMMYFUNCTION("""COMPUTED_VALUE"""),42.88)</f>
        <v>42.88</v>
      </c>
      <c r="E276" s="1" t="str">
        <f ca="1">IFERROR(__xludf.DUMMYFUNCTION("""COMPUTED_VALUE"""),"-")</f>
        <v>-</v>
      </c>
      <c r="F276" s="1" t="str">
        <f ca="1">IFERROR(__xludf.DUMMYFUNCTION("""COMPUTED_VALUE"""),"Drogaria Araujo")</f>
        <v>Drogaria Araujo</v>
      </c>
      <c r="G276" s="1" t="str">
        <f ca="1">IFERROR(__xludf.DUMMYFUNCTION("""COMPUTED_VALUE"""),"Compras")</f>
        <v>Compras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7">
        <f ca="1">IFERROR(__xludf.DUMMYFUNCTION("""COMPUTED_VALUE"""),45839)</f>
        <v>45839</v>
      </c>
      <c r="B277" s="7">
        <f ca="1">IFERROR(__xludf.DUMMYFUNCTION("""COMPUTED_VALUE"""),45812)</f>
        <v>45812</v>
      </c>
      <c r="C277" s="1" t="str">
        <f ca="1">IFERROR(__xludf.DUMMYFUNCTION("""COMPUTED_VALUE"""),"Simone Lanches")</f>
        <v>Simone Lanches</v>
      </c>
      <c r="D277" s="2">
        <f ca="1">IFERROR(__xludf.DUMMYFUNCTION("""COMPUTED_VALUE"""),4)</f>
        <v>4</v>
      </c>
      <c r="E277" s="1" t="str">
        <f ca="1">IFERROR(__xludf.DUMMYFUNCTION("""COMPUTED_VALUE"""),"-")</f>
        <v>-</v>
      </c>
      <c r="F277" s="1" t="str">
        <f ca="1">IFERROR(__xludf.DUMMYFUNCTION("""COMPUTED_VALUE"""),"Simone Lanches")</f>
        <v>Simone Lanches</v>
      </c>
      <c r="G277" s="1" t="str">
        <f ca="1">IFERROR(__xludf.DUMMYFUNCTION("""COMPUTED_VALUE"""),"-")</f>
        <v>-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7">
        <f ca="1">IFERROR(__xludf.DUMMYFUNCTION("""COMPUTED_VALUE"""),45839)</f>
        <v>45839</v>
      </c>
      <c r="B278" s="7">
        <f ca="1">IFERROR(__xludf.DUMMYFUNCTION("""COMPUTED_VALUE"""),45812)</f>
        <v>45812</v>
      </c>
      <c r="C278" s="1" t="str">
        <f ca="1">IFERROR(__xludf.DUMMYFUNCTION("""COMPUTED_VALUE"""),"Drogaria Araujo")</f>
        <v>Drogaria Araujo</v>
      </c>
      <c r="D278" s="2">
        <f ca="1">IFERROR(__xludf.DUMMYFUNCTION("""COMPUTED_VALUE"""),3.99)</f>
        <v>3.99</v>
      </c>
      <c r="E278" s="1" t="str">
        <f ca="1">IFERROR(__xludf.DUMMYFUNCTION("""COMPUTED_VALUE"""),"-")</f>
        <v>-</v>
      </c>
      <c r="F278" s="1" t="str">
        <f ca="1">IFERROR(__xludf.DUMMYFUNCTION("""COMPUTED_VALUE"""),"Drogaria Araujo")</f>
        <v>Drogaria Araujo</v>
      </c>
      <c r="G278" s="1" t="str">
        <f ca="1">IFERROR(__xludf.DUMMYFUNCTION("""COMPUTED_VALUE"""),"Compras")</f>
        <v>Compras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7">
        <f ca="1">IFERROR(__xludf.DUMMYFUNCTION("""COMPUTED_VALUE"""),45839)</f>
        <v>45839</v>
      </c>
      <c r="B279" s="7">
        <f ca="1">IFERROR(__xludf.DUMMYFUNCTION("""COMPUTED_VALUE"""),45812)</f>
        <v>45812</v>
      </c>
      <c r="C279" s="1" t="str">
        <f ca="1">IFERROR(__xludf.DUMMYFUNCTION("""COMPUTED_VALUE"""),"Estufa Mangabera Butiq")</f>
        <v>Estufa Mangabera Butiq</v>
      </c>
      <c r="D279" s="2">
        <f ca="1">IFERROR(__xludf.DUMMYFUNCTION("""COMPUTED_VALUE"""),65.67)</f>
        <v>65.67</v>
      </c>
      <c r="E279" s="1" t="str">
        <f ca="1">IFERROR(__xludf.DUMMYFUNCTION("""COMPUTED_VALUE"""),"-")</f>
        <v>-</v>
      </c>
      <c r="F279" s="1" t="str">
        <f ca="1">IFERROR(__xludf.DUMMYFUNCTION("""COMPUTED_VALUE"""),"Estufa Mangabera Butiq")</f>
        <v>Estufa Mangabera Butiq</v>
      </c>
      <c r="G279" s="1" t="str">
        <f ca="1">IFERROR(__xludf.DUMMYFUNCTION("""COMPUTED_VALUE"""),"-")</f>
        <v>-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7">
        <f ca="1">IFERROR(__xludf.DUMMYFUNCTION("""COMPUTED_VALUE"""),45839)</f>
        <v>45839</v>
      </c>
      <c r="B280" s="7">
        <f ca="1">IFERROR(__xludf.DUMMYFUNCTION("""COMPUTED_VALUE"""),45813)</f>
        <v>45813</v>
      </c>
      <c r="C280" s="1" t="str">
        <f ca="1">IFERROR(__xludf.DUMMYFUNCTION("""COMPUTED_VALUE"""),"Pacheco Barbearia")</f>
        <v>Pacheco Barbearia</v>
      </c>
      <c r="D280" s="2">
        <f ca="1">IFERROR(__xludf.DUMMYFUNCTION("""COMPUTED_VALUE"""),75)</f>
        <v>75</v>
      </c>
      <c r="E280" s="1" t="str">
        <f ca="1">IFERROR(__xludf.DUMMYFUNCTION("""COMPUTED_VALUE"""),"-")</f>
        <v>-</v>
      </c>
      <c r="F280" s="1" t="str">
        <f ca="1">IFERROR(__xludf.DUMMYFUNCTION("""COMPUTED_VALUE"""),"Pacheco Barbearia")</f>
        <v>Pacheco Barbearia</v>
      </c>
      <c r="G280" s="1" t="str">
        <f ca="1">IFERROR(__xludf.DUMMYFUNCTION("""COMPUTED_VALUE"""),"-")</f>
        <v>-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7">
        <f ca="1">IFERROR(__xludf.DUMMYFUNCTION("""COMPUTED_VALUE"""),45839)</f>
        <v>45839</v>
      </c>
      <c r="B281" s="7">
        <f ca="1">IFERROR(__xludf.DUMMYFUNCTION("""COMPUTED_VALUE"""),45814)</f>
        <v>45814</v>
      </c>
      <c r="C281" s="1" t="str">
        <f ca="1">IFERROR(__xludf.DUMMYFUNCTION("""COMPUTED_VALUE"""),"Ricks Café Pastelaria")</f>
        <v>Ricks Café Pastelaria</v>
      </c>
      <c r="D281" s="2">
        <f ca="1">IFERROR(__xludf.DUMMYFUNCTION("""COMPUTED_VALUE"""),4)</f>
        <v>4</v>
      </c>
      <c r="E281" s="1" t="str">
        <f ca="1">IFERROR(__xludf.DUMMYFUNCTION("""COMPUTED_VALUE"""),"-")</f>
        <v>-</v>
      </c>
      <c r="F281" s="1" t="str">
        <f ca="1">IFERROR(__xludf.DUMMYFUNCTION("""COMPUTED_VALUE"""),"Ricks Café Pastelaria")</f>
        <v>Ricks Café Pastelaria</v>
      </c>
      <c r="G281" s="1" t="str">
        <f ca="1">IFERROR(__xludf.DUMMYFUNCTION("""COMPUTED_VALUE"""),"-")</f>
        <v>-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7">
        <f ca="1">IFERROR(__xludf.DUMMYFUNCTION("""COMPUTED_VALUE"""),45839)</f>
        <v>45839</v>
      </c>
      <c r="B282" s="7">
        <f ca="1">IFERROR(__xludf.DUMMYFUNCTION("""COMPUTED_VALUE"""),45814)</f>
        <v>45814</v>
      </c>
      <c r="C282" s="1" t="str">
        <f ca="1">IFERROR(__xludf.DUMMYFUNCTION("""COMPUTED_VALUE"""),"Supermercado Epa")</f>
        <v>Supermercado Epa</v>
      </c>
      <c r="D282" s="2">
        <f ca="1">IFERROR(__xludf.DUMMYFUNCTION("""COMPUTED_VALUE"""),19.98)</f>
        <v>19.98</v>
      </c>
      <c r="E282" s="1" t="str">
        <f ca="1">IFERROR(__xludf.DUMMYFUNCTION("""COMPUTED_VALUE"""),"-")</f>
        <v>-</v>
      </c>
      <c r="F282" s="1" t="str">
        <f ca="1">IFERROR(__xludf.DUMMYFUNCTION("""COMPUTED_VALUE"""),"Supermercado Epa")</f>
        <v>Supermercado Epa</v>
      </c>
      <c r="G282" s="1" t="str">
        <f ca="1">IFERROR(__xludf.DUMMYFUNCTION("""COMPUTED_VALUE"""),"-")</f>
        <v>-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7">
        <f ca="1">IFERROR(__xludf.DUMMYFUNCTION("""COMPUTED_VALUE"""),45839)</f>
        <v>45839</v>
      </c>
      <c r="B283" s="7">
        <f ca="1">IFERROR(__xludf.DUMMYFUNCTION("""COMPUTED_VALUE"""),45815)</f>
        <v>45815</v>
      </c>
      <c r="C283" s="1" t="str">
        <f ca="1">IFERROR(__xludf.DUMMYFUNCTION("""COMPUTED_VALUE"""),"Panif Mendes Sion")</f>
        <v>Panif Mendes Sion</v>
      </c>
      <c r="D283" s="2">
        <f ca="1">IFERROR(__xludf.DUMMYFUNCTION("""COMPUTED_VALUE"""),12.8)</f>
        <v>12.8</v>
      </c>
      <c r="E283" s="1" t="str">
        <f ca="1">IFERROR(__xludf.DUMMYFUNCTION("""COMPUTED_VALUE"""),"-")</f>
        <v>-</v>
      </c>
      <c r="F283" s="1" t="str">
        <f ca="1">IFERROR(__xludf.DUMMYFUNCTION("""COMPUTED_VALUE"""),"Panif Mendes Sion")</f>
        <v>Panif Mendes Sion</v>
      </c>
      <c r="G283" s="1" t="str">
        <f ca="1">IFERROR(__xludf.DUMMYFUNCTION("""COMPUTED_VALUE"""),"Comida")</f>
        <v>Comida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7">
        <f ca="1">IFERROR(__xludf.DUMMYFUNCTION("""COMPUTED_VALUE"""),45839)</f>
        <v>45839</v>
      </c>
      <c r="B284" s="7">
        <f ca="1">IFERROR(__xludf.DUMMYFUNCTION("""COMPUTED_VALUE"""),45816)</f>
        <v>45816</v>
      </c>
      <c r="C284" s="1" t="str">
        <f ca="1">IFERROR(__xludf.DUMMYFUNCTION("""COMPUTED_VALUE"""),"O Bhar")</f>
        <v>O Bhar</v>
      </c>
      <c r="D284" s="2">
        <f ca="1">IFERROR(__xludf.DUMMYFUNCTION("""COMPUTED_VALUE"""),57.75)</f>
        <v>57.75</v>
      </c>
      <c r="E284" s="1" t="str">
        <f ca="1">IFERROR(__xludf.DUMMYFUNCTION("""COMPUTED_VALUE"""),"-")</f>
        <v>-</v>
      </c>
      <c r="F284" s="1" t="str">
        <f ca="1">IFERROR(__xludf.DUMMYFUNCTION("""COMPUTED_VALUE"""),"O Bhar")</f>
        <v>O Bhar</v>
      </c>
      <c r="G284" s="1" t="str">
        <f ca="1">IFERROR(__xludf.DUMMYFUNCTION("""COMPUTED_VALUE"""),"Comida")</f>
        <v>Comida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7">
        <f ca="1">IFERROR(__xludf.DUMMYFUNCTION("""COMPUTED_VALUE"""),45839)</f>
        <v>45839</v>
      </c>
      <c r="B285" s="7">
        <f ca="1">IFERROR(__xludf.DUMMYFUNCTION("""COMPUTED_VALUE"""),45816)</f>
        <v>45816</v>
      </c>
      <c r="C285" s="1" t="str">
        <f ca="1">IFERROR(__xludf.DUMMYFUNCTION("""COMPUTED_VALUE"""),"Drogaria Araujo")</f>
        <v>Drogaria Araujo</v>
      </c>
      <c r="D285" s="2">
        <f ca="1">IFERROR(__xludf.DUMMYFUNCTION("""COMPUTED_VALUE"""),44.08)</f>
        <v>44.08</v>
      </c>
      <c r="E285" s="1" t="str">
        <f ca="1">IFERROR(__xludf.DUMMYFUNCTION("""COMPUTED_VALUE"""),"-")</f>
        <v>-</v>
      </c>
      <c r="F285" s="1" t="str">
        <f ca="1">IFERROR(__xludf.DUMMYFUNCTION("""COMPUTED_VALUE"""),"Drogaria Araujo")</f>
        <v>Drogaria Araujo</v>
      </c>
      <c r="G285" s="1" t="str">
        <f ca="1">IFERROR(__xludf.DUMMYFUNCTION("""COMPUTED_VALUE"""),"Compras")</f>
        <v>Compras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7">
        <f ca="1">IFERROR(__xludf.DUMMYFUNCTION("""COMPUTED_VALUE"""),45839)</f>
        <v>45839</v>
      </c>
      <c r="B286" s="7">
        <f ca="1">IFERROR(__xludf.DUMMYFUNCTION("""COMPUTED_VALUE"""),45818)</f>
        <v>45818</v>
      </c>
      <c r="C286" s="1" t="str">
        <f ca="1">IFERROR(__xludf.DUMMYFUNCTION("""COMPUTED_VALUE"""),"Ricks Café Pastelaria")</f>
        <v>Ricks Café Pastelaria</v>
      </c>
      <c r="D286" s="2">
        <f ca="1">IFERROR(__xludf.DUMMYFUNCTION("""COMPUTED_VALUE"""),4)</f>
        <v>4</v>
      </c>
      <c r="E286" s="1" t="str">
        <f ca="1">IFERROR(__xludf.DUMMYFUNCTION("""COMPUTED_VALUE"""),"-")</f>
        <v>-</v>
      </c>
      <c r="F286" s="1" t="str">
        <f ca="1">IFERROR(__xludf.DUMMYFUNCTION("""COMPUTED_VALUE"""),"Ricks Café Pastelaria")</f>
        <v>Ricks Café Pastelaria</v>
      </c>
      <c r="G286" s="1" t="str">
        <f ca="1">IFERROR(__xludf.DUMMYFUNCTION("""COMPUTED_VALUE"""),"-")</f>
        <v>-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7">
        <f ca="1">IFERROR(__xludf.DUMMYFUNCTION("""COMPUTED_VALUE"""),45839)</f>
        <v>45839</v>
      </c>
      <c r="B287" s="7">
        <f ca="1">IFERROR(__xludf.DUMMYFUNCTION("""COMPUTED_VALUE"""),45818)</f>
        <v>45818</v>
      </c>
      <c r="C287" s="1" t="str">
        <f ca="1">IFERROR(__xludf.DUMMYFUNCTION("""COMPUTED_VALUE"""),"Crstina Marcia (1/10)")</f>
        <v>Crstina Marcia (1/10)</v>
      </c>
      <c r="D287" s="2">
        <f ca="1">IFERROR(__xludf.DUMMYFUNCTION("""COMPUTED_VALUE"""),696)</f>
        <v>696</v>
      </c>
      <c r="E287" s="1" t="str">
        <f ca="1">IFERROR(__xludf.DUMMYFUNCTION("""COMPUTED_VALUE"""),"-")</f>
        <v>-</v>
      </c>
      <c r="F287" s="1" t="str">
        <f ca="1">IFERROR(__xludf.DUMMYFUNCTION("""COMPUTED_VALUE"""),"Crstina Marcia")</f>
        <v>Crstina Marcia</v>
      </c>
      <c r="G287" s="1" t="str">
        <f ca="1">IFERROR(__xludf.DUMMYFUNCTION("""COMPUTED_VALUE"""),"-")</f>
        <v>-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7">
        <f ca="1">IFERROR(__xludf.DUMMYFUNCTION("""COMPUTED_VALUE"""),45839)</f>
        <v>45839</v>
      </c>
      <c r="B288" s="7">
        <f ca="1">IFERROR(__xludf.DUMMYFUNCTION("""COMPUTED_VALUE"""),45819)</f>
        <v>45819</v>
      </c>
      <c r="C288" s="1" t="str">
        <f ca="1">IFERROR(__xludf.DUMMYFUNCTION("""COMPUTED_VALUE"""),"Vila Restaurante")</f>
        <v>Vila Restaurante</v>
      </c>
      <c r="D288" s="2">
        <f ca="1">IFERROR(__xludf.DUMMYFUNCTION("""COMPUTED_VALUE"""),25.5)</f>
        <v>25.5</v>
      </c>
      <c r="E288" s="1" t="str">
        <f ca="1">IFERROR(__xludf.DUMMYFUNCTION("""COMPUTED_VALUE"""),"-")</f>
        <v>-</v>
      </c>
      <c r="F288" s="1" t="str">
        <f ca="1">IFERROR(__xludf.DUMMYFUNCTION("""COMPUTED_VALUE"""),"Vila Restaurante")</f>
        <v>Vila Restaurante</v>
      </c>
      <c r="G288" s="1" t="str">
        <f ca="1">IFERROR(__xludf.DUMMYFUNCTION("""COMPUTED_VALUE"""),"-")</f>
        <v>-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7">
        <f ca="1">IFERROR(__xludf.DUMMYFUNCTION("""COMPUTED_VALUE"""),45839)</f>
        <v>45839</v>
      </c>
      <c r="B289" s="7">
        <f ca="1">IFERROR(__xludf.DUMMYFUNCTION("""COMPUTED_VALUE"""),45819)</f>
        <v>45819</v>
      </c>
      <c r="C289" s="1" t="str">
        <f ca="1">IFERROR(__xludf.DUMMYFUNCTION("""COMPUTED_VALUE"""),"Vila Restaurante")</f>
        <v>Vila Restaurante</v>
      </c>
      <c r="D289" s="2">
        <f ca="1">IFERROR(__xludf.DUMMYFUNCTION("""COMPUTED_VALUE"""),12)</f>
        <v>12</v>
      </c>
      <c r="E289" s="1" t="str">
        <f ca="1">IFERROR(__xludf.DUMMYFUNCTION("""COMPUTED_VALUE"""),"-")</f>
        <v>-</v>
      </c>
      <c r="F289" s="1" t="str">
        <f ca="1">IFERROR(__xludf.DUMMYFUNCTION("""COMPUTED_VALUE"""),"Vila Restaurante")</f>
        <v>Vila Restaurante</v>
      </c>
      <c r="G289" s="1" t="str">
        <f ca="1">IFERROR(__xludf.DUMMYFUNCTION("""COMPUTED_VALUE"""),"-")</f>
        <v>-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7">
        <f ca="1">IFERROR(__xludf.DUMMYFUNCTION("""COMPUTED_VALUE"""),45839)</f>
        <v>45839</v>
      </c>
      <c r="B290" s="7">
        <f ca="1">IFERROR(__xludf.DUMMYFUNCTION("""COMPUTED_VALUE"""),45820)</f>
        <v>45820</v>
      </c>
      <c r="C290" s="1" t="str">
        <f ca="1">IFERROR(__xludf.DUMMYFUNCTION("""COMPUTED_VALUE"""),"Drogaria Araujo")</f>
        <v>Drogaria Araujo</v>
      </c>
      <c r="D290" s="2">
        <f ca="1">IFERROR(__xludf.DUMMYFUNCTION("""COMPUTED_VALUE"""),294.23)</f>
        <v>294.23</v>
      </c>
      <c r="E290" s="1" t="str">
        <f ca="1">IFERROR(__xludf.DUMMYFUNCTION("""COMPUTED_VALUE"""),"-")</f>
        <v>-</v>
      </c>
      <c r="F290" s="1" t="str">
        <f ca="1">IFERROR(__xludf.DUMMYFUNCTION("""COMPUTED_VALUE"""),"Drogaria Araujo")</f>
        <v>Drogaria Araujo</v>
      </c>
      <c r="G290" s="1" t="str">
        <f ca="1">IFERROR(__xludf.DUMMYFUNCTION("""COMPUTED_VALUE"""),"Compras")</f>
        <v>Compras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7">
        <f ca="1">IFERROR(__xludf.DUMMYFUNCTION("""COMPUTED_VALUE"""),45839)</f>
        <v>45839</v>
      </c>
      <c r="B291" s="7">
        <f ca="1">IFERROR(__xludf.DUMMYFUNCTION("""COMPUTED_VALUE"""),45833)</f>
        <v>45833</v>
      </c>
      <c r="C291" s="1" t="str">
        <f ca="1">IFERROR(__xludf.DUMMYFUNCTION("""COMPUTED_VALUE"""),"Carmo Sion Mat Const")</f>
        <v>Carmo Sion Mat Const</v>
      </c>
      <c r="D291" s="2">
        <f ca="1">IFERROR(__xludf.DUMMYFUNCTION("""COMPUTED_VALUE"""),16.39)</f>
        <v>16.39</v>
      </c>
      <c r="E291" s="1" t="str">
        <f ca="1">IFERROR(__xludf.DUMMYFUNCTION("""COMPUTED_VALUE"""),"-")</f>
        <v>-</v>
      </c>
      <c r="F291" s="1" t="str">
        <f ca="1">IFERROR(__xludf.DUMMYFUNCTION("""COMPUTED_VALUE"""),"Carmo Sion Mat Const")</f>
        <v>Carmo Sion Mat Const</v>
      </c>
      <c r="G291" s="1" t="str">
        <f ca="1">IFERROR(__xludf.DUMMYFUNCTION("""COMPUTED_VALUE"""),"-")</f>
        <v>-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7">
        <f ca="1">IFERROR(__xludf.DUMMYFUNCTION("""COMPUTED_VALUE"""),45839)</f>
        <v>45839</v>
      </c>
      <c r="B292" s="7">
        <f ca="1">IFERROR(__xludf.DUMMYFUNCTION("""COMPUTED_VALUE"""),45834)</f>
        <v>45834</v>
      </c>
      <c r="C292" s="1" t="str">
        <f ca="1">IFERROR(__xludf.DUMMYFUNCTION("""COMPUTED_VALUE"""),"Dma Distribuidora Sa (3/3)")</f>
        <v>Dma Distribuidora Sa (3/3)</v>
      </c>
      <c r="D292" s="2">
        <f ca="1">IFERROR(__xludf.DUMMYFUNCTION("""COMPUTED_VALUE"""),37.84)</f>
        <v>37.840000000000003</v>
      </c>
      <c r="E292" s="1" t="str">
        <f ca="1">IFERROR(__xludf.DUMMYFUNCTION("""COMPUTED_VALUE"""),"-")</f>
        <v>-</v>
      </c>
      <c r="F292" s="1" t="str">
        <f ca="1">IFERROR(__xludf.DUMMYFUNCTION("""COMPUTED_VALUE"""),"Dma Distribuidora Sa")</f>
        <v>Dma Distribuidora Sa</v>
      </c>
      <c r="G292" s="1" t="str">
        <f ca="1">IFERROR(__xludf.DUMMYFUNCTION("""COMPUTED_VALUE"""),"-")</f>
        <v>-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7">
        <f ca="1">IFERROR(__xludf.DUMMYFUNCTION("""COMPUTED_VALUE"""),45839)</f>
        <v>45839</v>
      </c>
      <c r="B293" s="7">
        <f ca="1">IFERROR(__xludf.DUMMYFUNCTION("""COMPUTED_VALUE"""),45834)</f>
        <v>45834</v>
      </c>
      <c r="C293" s="1" t="str">
        <f ca="1">IFERROR(__xludf.DUMMYFUNCTION("""COMPUTED_VALUE"""),"Dma Distribuidora Sa (2/3)")</f>
        <v>Dma Distribuidora Sa (2/3)</v>
      </c>
      <c r="D293" s="2">
        <f ca="1">IFERROR(__xludf.DUMMYFUNCTION("""COMPUTED_VALUE"""),37.84)</f>
        <v>37.840000000000003</v>
      </c>
      <c r="E293" s="1" t="str">
        <f ca="1">IFERROR(__xludf.DUMMYFUNCTION("""COMPUTED_VALUE"""),"-")</f>
        <v>-</v>
      </c>
      <c r="F293" s="1" t="str">
        <f ca="1">IFERROR(__xludf.DUMMYFUNCTION("""COMPUTED_VALUE"""),"Dma Distribuidora Sa")</f>
        <v>Dma Distribuidora Sa</v>
      </c>
      <c r="G293" s="1" t="str">
        <f ca="1">IFERROR(__xludf.DUMMYFUNCTION("""COMPUTED_VALUE"""),"-")</f>
        <v>-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7">
        <f ca="1">IFERROR(__xludf.DUMMYFUNCTION("""COMPUTED_VALUE"""),45839)</f>
        <v>45839</v>
      </c>
      <c r="B294" s="7">
        <f ca="1">IFERROR(__xludf.DUMMYFUNCTION("""COMPUTED_VALUE"""),45834)</f>
        <v>45834</v>
      </c>
      <c r="C294" s="1" t="str">
        <f ca="1">IFERROR(__xludf.DUMMYFUNCTION("""COMPUTED_VALUE"""),"Dma Distribuidora Sa (1/3)")</f>
        <v>Dma Distribuidora Sa (1/3)</v>
      </c>
      <c r="D294" s="2">
        <f ca="1">IFERROR(__xludf.DUMMYFUNCTION("""COMPUTED_VALUE"""),37.85)</f>
        <v>37.85</v>
      </c>
      <c r="E294" s="1" t="str">
        <f ca="1">IFERROR(__xludf.DUMMYFUNCTION("""COMPUTED_VALUE"""),"-")</f>
        <v>-</v>
      </c>
      <c r="F294" s="1" t="str">
        <f ca="1">IFERROR(__xludf.DUMMYFUNCTION("""COMPUTED_VALUE"""),"Dma Distribuidora Sa")</f>
        <v>Dma Distribuidora Sa</v>
      </c>
      <c r="G294" s="1" t="str">
        <f ca="1">IFERROR(__xludf.DUMMYFUNCTION("""COMPUTED_VALUE"""),"-")</f>
        <v>-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7">
        <f ca="1">IFERROR(__xludf.DUMMYFUNCTION("""COMPUTED_VALUE"""),45839)</f>
        <v>45839</v>
      </c>
      <c r="B295" s="7">
        <f ca="1">IFERROR(__xludf.DUMMYFUNCTION("""COMPUTED_VALUE"""),45834)</f>
        <v>45834</v>
      </c>
      <c r="C295" s="1" t="str">
        <f ca="1">IFERROR(__xludf.DUMMYFUNCTION("""COMPUTED_VALUE"""),"Leroy Merlin")</f>
        <v>Leroy Merlin</v>
      </c>
      <c r="D295" s="2">
        <f ca="1">IFERROR(__xludf.DUMMYFUNCTION("""COMPUTED_VALUE"""),11.76)</f>
        <v>11.76</v>
      </c>
      <c r="E295" s="1" t="str">
        <f ca="1">IFERROR(__xludf.DUMMYFUNCTION("""COMPUTED_VALUE"""),"-")</f>
        <v>-</v>
      </c>
      <c r="F295" s="1" t="str">
        <f ca="1">IFERROR(__xludf.DUMMYFUNCTION("""COMPUTED_VALUE"""),"Leroy Merlin")</f>
        <v>Leroy Merlin</v>
      </c>
      <c r="G295" s="1" t="str">
        <f ca="1">IFERROR(__xludf.DUMMYFUNCTION("""COMPUTED_VALUE"""),"-")</f>
        <v>-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7">
        <f ca="1">IFERROR(__xludf.DUMMYFUNCTION("""COMPUTED_VALUE"""),45839)</f>
        <v>45839</v>
      </c>
      <c r="B296" s="7">
        <f ca="1">IFERROR(__xludf.DUMMYFUNCTION("""COMPUTED_VALUE"""),45834)</f>
        <v>45834</v>
      </c>
      <c r="C296" s="1" t="str">
        <f ca="1">IFERROR(__xludf.DUMMYFUNCTION("""COMPUTED_VALUE"""),"Estacionamento De Veic")</f>
        <v>Estacionamento De Veic</v>
      </c>
      <c r="D296" s="2">
        <f ca="1">IFERROR(__xludf.DUMMYFUNCTION("""COMPUTED_VALUE"""),10.5)</f>
        <v>10.5</v>
      </c>
      <c r="E296" s="1" t="str">
        <f ca="1">IFERROR(__xludf.DUMMYFUNCTION("""COMPUTED_VALUE"""),"-")</f>
        <v>-</v>
      </c>
      <c r="F296" s="1" t="str">
        <f ca="1">IFERROR(__xludf.DUMMYFUNCTION("""COMPUTED_VALUE"""),"Estacionamento De Veic")</f>
        <v>Estacionamento De Veic</v>
      </c>
      <c r="G296" s="1" t="str">
        <f ca="1">IFERROR(__xludf.DUMMYFUNCTION("""COMPUTED_VALUE"""),"-")</f>
        <v>-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7">
        <f ca="1">IFERROR(__xludf.DUMMYFUNCTION("""COMPUTED_VALUE"""),45839)</f>
        <v>45839</v>
      </c>
      <c r="B297" s="7">
        <f ca="1">IFERROR(__xludf.DUMMYFUNCTION("""COMPUTED_VALUE"""),45835)</f>
        <v>45835</v>
      </c>
      <c r="C297" s="1" t="str">
        <f ca="1">IFERROR(__xludf.DUMMYFUNCTION("""COMPUTED_VALUE"""),"Golden Pet")</f>
        <v>Golden Pet</v>
      </c>
      <c r="D297" s="2">
        <f ca="1">IFERROR(__xludf.DUMMYFUNCTION("""COMPUTED_VALUE"""),55)</f>
        <v>55</v>
      </c>
      <c r="E297" s="1" t="str">
        <f ca="1">IFERROR(__xludf.DUMMYFUNCTION("""COMPUTED_VALUE"""),"-")</f>
        <v>-</v>
      </c>
      <c r="F297" s="1" t="str">
        <f ca="1">IFERROR(__xludf.DUMMYFUNCTION("""COMPUTED_VALUE"""),"Golden Pet")</f>
        <v>Golden Pet</v>
      </c>
      <c r="G297" s="1" t="str">
        <f ca="1">IFERROR(__xludf.DUMMYFUNCTION("""COMPUTED_VALUE"""),"Hulk")</f>
        <v>Hulk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7">
        <f ca="1">IFERROR(__xludf.DUMMYFUNCTION("""COMPUTED_VALUE"""),45839)</f>
        <v>45839</v>
      </c>
      <c r="B298" s="7">
        <f ca="1">IFERROR(__xludf.DUMMYFUNCTION("""COMPUTED_VALUE"""),45837)</f>
        <v>45837</v>
      </c>
      <c r="C298" s="1" t="str">
        <f ca="1">IFERROR(__xludf.DUMMYFUNCTION("""COMPUTED_VALUE"""),"Ifood")</f>
        <v>Ifood</v>
      </c>
      <c r="D298" s="2">
        <f ca="1">IFERROR(__xludf.DUMMYFUNCTION("""COMPUTED_VALUE"""),5.95)</f>
        <v>5.95</v>
      </c>
      <c r="E298" s="1" t="str">
        <f ca="1">IFERROR(__xludf.DUMMYFUNCTION("""COMPUTED_VALUE"""),"-")</f>
        <v>-</v>
      </c>
      <c r="F298" s="1" t="str">
        <f ca="1">IFERROR(__xludf.DUMMYFUNCTION("""COMPUTED_VALUE"""),"Ifood")</f>
        <v>Ifood</v>
      </c>
      <c r="G298" s="1" t="str">
        <f ca="1">IFERROR(__xludf.DUMMYFUNCTION("""COMPUTED_VALUE"""),"-")</f>
        <v>-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7">
        <f ca="1">IFERROR(__xludf.DUMMYFUNCTION("""COMPUTED_VALUE"""),45839)</f>
        <v>45839</v>
      </c>
      <c r="B299" s="7">
        <f ca="1">IFERROR(__xludf.DUMMYFUNCTION("""COMPUTED_VALUE"""),45837)</f>
        <v>45837</v>
      </c>
      <c r="C299" s="1" t="str">
        <f ca="1">IFERROR(__xludf.DUMMYFUNCTION("""COMPUTED_VALUE"""),"Niberna Sorvetes")</f>
        <v>Niberna Sorvetes</v>
      </c>
      <c r="D299" s="2">
        <f ca="1">IFERROR(__xludf.DUMMYFUNCTION("""COMPUTED_VALUE"""),30.88)</f>
        <v>30.88</v>
      </c>
      <c r="E299" s="1" t="str">
        <f ca="1">IFERROR(__xludf.DUMMYFUNCTION("""COMPUTED_VALUE"""),"-")</f>
        <v>-</v>
      </c>
      <c r="F299" s="1" t="str">
        <f ca="1">IFERROR(__xludf.DUMMYFUNCTION("""COMPUTED_VALUE"""),"Niberna Sorvetes")</f>
        <v>Niberna Sorvetes</v>
      </c>
      <c r="G299" s="1" t="str">
        <f ca="1">IFERROR(__xludf.DUMMYFUNCTION("""COMPUTED_VALUE"""),"-")</f>
        <v>-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7">
        <f ca="1">IFERROR(__xludf.DUMMYFUNCTION("""COMPUTED_VALUE"""),45839)</f>
        <v>45839</v>
      </c>
      <c r="B300" s="7">
        <f ca="1">IFERROR(__xludf.DUMMYFUNCTION("""COMPUTED_VALUE"""),45838)</f>
        <v>45838</v>
      </c>
      <c r="C300" s="1" t="str">
        <f ca="1">IFERROR(__xludf.DUMMYFUNCTION("""COMPUTED_VALUE"""),"Panif Mendes Sion")</f>
        <v>Panif Mendes Sion</v>
      </c>
      <c r="D300" s="2">
        <f ca="1">IFERROR(__xludf.DUMMYFUNCTION("""COMPUTED_VALUE"""),19.12)</f>
        <v>19.12</v>
      </c>
      <c r="E300" s="1" t="str">
        <f ca="1">IFERROR(__xludf.DUMMYFUNCTION("""COMPUTED_VALUE"""),"-")</f>
        <v>-</v>
      </c>
      <c r="F300" s="1" t="str">
        <f ca="1">IFERROR(__xludf.DUMMYFUNCTION("""COMPUTED_VALUE"""),"Panif Mendes Sion")</f>
        <v>Panif Mendes Sion</v>
      </c>
      <c r="G300" s="1" t="str">
        <f ca="1">IFERROR(__xludf.DUMMYFUNCTION("""COMPUTED_VALUE"""),"Comida")</f>
        <v>Comida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7">
        <f ca="1">IFERROR(__xludf.DUMMYFUNCTION("""COMPUTED_VALUE"""),45839)</f>
        <v>45839</v>
      </c>
      <c r="B301" s="7">
        <f ca="1">IFERROR(__xludf.DUMMYFUNCTION("""COMPUTED_VALUE"""),45839)</f>
        <v>45839</v>
      </c>
      <c r="C301" s="1" t="str">
        <f ca="1">IFERROR(__xludf.DUMMYFUNCTION("""COMPUTED_VALUE"""),"Drogaria Araujo")</f>
        <v>Drogaria Araujo</v>
      </c>
      <c r="D301" s="2">
        <f ca="1">IFERROR(__xludf.DUMMYFUNCTION("""COMPUTED_VALUE"""),8.59)</f>
        <v>8.59</v>
      </c>
      <c r="E301" s="1" t="str">
        <f ca="1">IFERROR(__xludf.DUMMYFUNCTION("""COMPUTED_VALUE"""),"-")</f>
        <v>-</v>
      </c>
      <c r="F301" s="1" t="str">
        <f ca="1">IFERROR(__xludf.DUMMYFUNCTION("""COMPUTED_VALUE"""),"Drogaria Araujo")</f>
        <v>Drogaria Araujo</v>
      </c>
      <c r="G301" s="1" t="str">
        <f ca="1">IFERROR(__xludf.DUMMYFUNCTION("""COMPUTED_VALUE"""),"Compras")</f>
        <v>Compras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7">
        <f ca="1">IFERROR(__xludf.DUMMYFUNCTION("""COMPUTED_VALUE"""),45839)</f>
        <v>45839</v>
      </c>
      <c r="B302" s="7">
        <f ca="1">IFERROR(__xludf.DUMMYFUNCTION("""COMPUTED_VALUE"""),45840)</f>
        <v>45840</v>
      </c>
      <c r="C302" s="1" t="str">
        <f ca="1">IFERROR(__xludf.DUMMYFUNCTION("""COMPUTED_VALUE"""),"Papelaria Alegria")</f>
        <v>Papelaria Alegria</v>
      </c>
      <c r="D302" s="2">
        <f ca="1">IFERROR(__xludf.DUMMYFUNCTION("""COMPUTED_VALUE"""),7.9)</f>
        <v>7.9</v>
      </c>
      <c r="E302" s="1" t="str">
        <f ca="1">IFERROR(__xludf.DUMMYFUNCTION("""COMPUTED_VALUE"""),"-")</f>
        <v>-</v>
      </c>
      <c r="F302" s="1" t="str">
        <f ca="1">IFERROR(__xludf.DUMMYFUNCTION("""COMPUTED_VALUE"""),"Papelaria Alegria")</f>
        <v>Papelaria Alegria</v>
      </c>
      <c r="G302" s="1" t="str">
        <f ca="1">IFERROR(__xludf.DUMMYFUNCTION("""COMPUTED_VALUE"""),"-")</f>
        <v>-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7">
        <f ca="1">IFERROR(__xludf.DUMMYFUNCTION("""COMPUTED_VALUE"""),45839)</f>
        <v>45839</v>
      </c>
      <c r="B303" s="7">
        <f ca="1">IFERROR(__xludf.DUMMYFUNCTION("""COMPUTED_VALUE"""),45840)</f>
        <v>45840</v>
      </c>
      <c r="C303" s="1" t="str">
        <f ca="1">IFERROR(__xludf.DUMMYFUNCTION("""COMPUTED_VALUE"""),"Shopee")</f>
        <v>Shopee</v>
      </c>
      <c r="D303" s="2">
        <f ca="1">IFERROR(__xludf.DUMMYFUNCTION("""COMPUTED_VALUE"""),10.1)</f>
        <v>10.1</v>
      </c>
      <c r="E303" s="1" t="str">
        <f ca="1">IFERROR(__xludf.DUMMYFUNCTION("""COMPUTED_VALUE"""),"-")</f>
        <v>-</v>
      </c>
      <c r="F303" s="1" t="str">
        <f ca="1">IFERROR(__xludf.DUMMYFUNCTION("""COMPUTED_VALUE"""),"Shopee")</f>
        <v>Shopee</v>
      </c>
      <c r="G303" s="1" t="str">
        <f ca="1">IFERROR(__xludf.DUMMYFUNCTION("""COMPUTED_VALUE"""),"Compras")</f>
        <v>Compras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7">
        <f ca="1">IFERROR(__xludf.DUMMYFUNCTION("""COMPUTED_VALUE"""),45839)</f>
        <v>45839</v>
      </c>
      <c r="B304" s="7">
        <f ca="1">IFERROR(__xludf.DUMMYFUNCTION("""COMPUTED_VALUE"""),45840)</f>
        <v>45840</v>
      </c>
      <c r="C304" s="1" t="str">
        <f ca="1">IFERROR(__xludf.DUMMYFUNCTION("""COMPUTED_VALUE"""),"Shopee")</f>
        <v>Shopee</v>
      </c>
      <c r="D304" s="2">
        <f ca="1">IFERROR(__xludf.DUMMYFUNCTION("""COMPUTED_VALUE"""),29.99)</f>
        <v>29.99</v>
      </c>
      <c r="E304" s="1" t="str">
        <f ca="1">IFERROR(__xludf.DUMMYFUNCTION("""COMPUTED_VALUE"""),"-")</f>
        <v>-</v>
      </c>
      <c r="F304" s="1" t="str">
        <f ca="1">IFERROR(__xludf.DUMMYFUNCTION("""COMPUTED_VALUE"""),"Shopee")</f>
        <v>Shopee</v>
      </c>
      <c r="G304" s="1" t="str">
        <f ca="1">IFERROR(__xludf.DUMMYFUNCTION("""COMPUTED_VALUE"""),"Compras")</f>
        <v>Compras</v>
      </c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7">
        <f ca="1">IFERROR(__xludf.DUMMYFUNCTION("""COMPUTED_VALUE"""),45839)</f>
        <v>45839</v>
      </c>
      <c r="B305" s="7">
        <f ca="1">IFERROR(__xludf.DUMMYFUNCTION("""COMPUTED_VALUE"""),45808)</f>
        <v>45808</v>
      </c>
      <c r="C305" s="1" t="str">
        <f ca="1">IFERROR(__xludf.DUMMYFUNCTION("""COMPUTED_VALUE"""),"Cancelamento - Shopee -")</f>
        <v>Cancelamento - Shopee -</v>
      </c>
      <c r="D305" s="2">
        <f ca="1">IFERROR(__xludf.DUMMYFUNCTION("""COMPUTED_VALUE"""),-17.9)</f>
        <v>-17.899999999999999</v>
      </c>
      <c r="E305" s="1" t="str">
        <f ca="1">IFERROR(__xludf.DUMMYFUNCTION("""COMPUTED_VALUE"""),"-")</f>
        <v>-</v>
      </c>
      <c r="F305" s="1" t="str">
        <f ca="1">IFERROR(__xludf.DUMMYFUNCTION("""COMPUTED_VALUE"""),"Cancelamento - Shopee -")</f>
        <v>Cancelamento - Shopee -</v>
      </c>
      <c r="G305" s="1" t="str">
        <f ca="1">IFERROR(__xludf.DUMMYFUNCTION("""COMPUTED_VALUE"""),"Shopee")</f>
        <v>Shopee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7">
        <f ca="1">IFERROR(__xludf.DUMMYFUNCTION("""COMPUTED_VALUE"""),45839)</f>
        <v>45839</v>
      </c>
      <c r="B306" s="7">
        <f ca="1">IFERROR(__xludf.DUMMYFUNCTION("""COMPUTED_VALUE"""),45822)</f>
        <v>45822</v>
      </c>
      <c r="C306" s="1" t="str">
        <f ca="1">IFERROR(__xludf.DUMMYFUNCTION("""COMPUTED_VALUE"""),"Cancelamento - Amazon -")</f>
        <v>Cancelamento - Amazon -</v>
      </c>
      <c r="D306" s="2">
        <f ca="1">IFERROR(__xludf.DUMMYFUNCTION("""COMPUTED_VALUE"""),-51.9)</f>
        <v>-51.9</v>
      </c>
      <c r="E306" s="1" t="str">
        <f ca="1">IFERROR(__xludf.DUMMYFUNCTION("""COMPUTED_VALUE"""),"-")</f>
        <v>-</v>
      </c>
      <c r="F306" s="1" t="str">
        <f ca="1">IFERROR(__xludf.DUMMYFUNCTION("""COMPUTED_VALUE"""),"Cancelamento - Amazon -")</f>
        <v>Cancelamento - Amazon -</v>
      </c>
      <c r="G306" s="1" t="str">
        <f ca="1">IFERROR(__xludf.DUMMYFUNCTION("""COMPUTED_VALUE"""),"Amazon")</f>
        <v>Amazon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7">
        <f ca="1">IFERROR(__xludf.DUMMYFUNCTION("""COMPUTED_VALUE"""),45839)</f>
        <v>45839</v>
      </c>
      <c r="B307" s="7">
        <f ca="1">IFERROR(__xludf.DUMMYFUNCTION("""COMPUTED_VALUE"""),45829)</f>
        <v>45829</v>
      </c>
      <c r="C307" s="1" t="str">
        <f ca="1">IFERROR(__xludf.DUMMYFUNCTION("""COMPUTED_VALUE"""),"Cancelamento - Shopee -")</f>
        <v>Cancelamento - Shopee -</v>
      </c>
      <c r="D307" s="2">
        <f ca="1">IFERROR(__xludf.DUMMYFUNCTION("""COMPUTED_VALUE"""),-10.1)</f>
        <v>-10.1</v>
      </c>
      <c r="E307" s="1" t="str">
        <f ca="1">IFERROR(__xludf.DUMMYFUNCTION("""COMPUTED_VALUE"""),"-")</f>
        <v>-</v>
      </c>
      <c r="F307" s="1" t="str">
        <f ca="1">IFERROR(__xludf.DUMMYFUNCTION("""COMPUTED_VALUE"""),"Cancelamento - Shopee -")</f>
        <v>Cancelamento - Shopee -</v>
      </c>
      <c r="G307" s="1" t="str">
        <f ca="1">IFERROR(__xludf.DUMMYFUNCTION("""COMPUTED_VALUE"""),"Shopee")</f>
        <v>Shopee</v>
      </c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7">
        <f ca="1">IFERROR(__xludf.DUMMYFUNCTION("""COMPUTED_VALUE"""),45839)</f>
        <v>45839</v>
      </c>
      <c r="B308" s="7">
        <f ca="1">IFERROR(__xludf.DUMMYFUNCTION("""COMPUTED_VALUE"""),45829)</f>
        <v>45829</v>
      </c>
      <c r="C308" s="1" t="str">
        <f ca="1">IFERROR(__xludf.DUMMYFUNCTION("""COMPUTED_VALUE"""),"Cancelamento - Shopee -")</f>
        <v>Cancelamento - Shopee -</v>
      </c>
      <c r="D308" s="2">
        <f ca="1">IFERROR(__xludf.DUMMYFUNCTION("""COMPUTED_VALUE"""),-10.1)</f>
        <v>-10.1</v>
      </c>
      <c r="E308" s="1" t="str">
        <f ca="1">IFERROR(__xludf.DUMMYFUNCTION("""COMPUTED_VALUE"""),"-")</f>
        <v>-</v>
      </c>
      <c r="F308" s="1" t="str">
        <f ca="1">IFERROR(__xludf.DUMMYFUNCTION("""COMPUTED_VALUE"""),"Cancelamento - Shopee -")</f>
        <v>Cancelamento - Shopee -</v>
      </c>
      <c r="G308" s="1" t="str">
        <f ca="1">IFERROR(__xludf.DUMMYFUNCTION("""COMPUTED_VALUE"""),"Shopee")</f>
        <v>Shopee</v>
      </c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7">
        <f ca="1">IFERROR(__xludf.DUMMYFUNCTION("""COMPUTED_VALUE"""),45839)</f>
        <v>45839</v>
      </c>
      <c r="B309" s="7">
        <f ca="1">IFERROR(__xludf.DUMMYFUNCTION("""COMPUTED_VALUE"""),45829)</f>
        <v>45829</v>
      </c>
      <c r="C309" s="1" t="str">
        <f ca="1">IFERROR(__xludf.DUMMYFUNCTION("""COMPUTED_VALUE"""),"Cancelamento - Shopee -")</f>
        <v>Cancelamento - Shopee -</v>
      </c>
      <c r="D309" s="2">
        <f ca="1">IFERROR(__xludf.DUMMYFUNCTION("""COMPUTED_VALUE"""),-29.99)</f>
        <v>-29.99</v>
      </c>
      <c r="E309" s="1" t="str">
        <f ca="1">IFERROR(__xludf.DUMMYFUNCTION("""COMPUTED_VALUE"""),"-")</f>
        <v>-</v>
      </c>
      <c r="F309" s="1" t="str">
        <f ca="1">IFERROR(__xludf.DUMMYFUNCTION("""COMPUTED_VALUE"""),"Cancelamento - Shopee -")</f>
        <v>Cancelamento - Shopee -</v>
      </c>
      <c r="G309" s="1" t="str">
        <f ca="1">IFERROR(__xludf.DUMMYFUNCTION("""COMPUTED_VALUE"""),"Shopee")</f>
        <v>Shopee</v>
      </c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7">
        <f ca="1">IFERROR(__xludf.DUMMYFUNCTION("""COMPUTED_VALUE"""),45839)</f>
        <v>45839</v>
      </c>
      <c r="B310" s="7">
        <f ca="1">IFERROR(__xludf.DUMMYFUNCTION("""COMPUTED_VALUE"""),45829)</f>
        <v>45829</v>
      </c>
      <c r="C310" s="1" t="str">
        <f ca="1">IFERROR(__xludf.DUMMYFUNCTION("""COMPUTED_VALUE"""),"Cancelamento - Shopee -")</f>
        <v>Cancelamento - Shopee -</v>
      </c>
      <c r="D310" s="2">
        <f ca="1">IFERROR(__xludf.DUMMYFUNCTION("""COMPUTED_VALUE"""),-29.99)</f>
        <v>-29.99</v>
      </c>
      <c r="E310" s="1" t="str">
        <f ca="1">IFERROR(__xludf.DUMMYFUNCTION("""COMPUTED_VALUE"""),"-")</f>
        <v>-</v>
      </c>
      <c r="F310" s="1" t="str">
        <f ca="1">IFERROR(__xludf.DUMMYFUNCTION("""COMPUTED_VALUE"""),"Cancelamento - Shopee -")</f>
        <v>Cancelamento - Shopee -</v>
      </c>
      <c r="G310" s="1" t="str">
        <f ca="1">IFERROR(__xludf.DUMMYFUNCTION("""COMPUTED_VALUE"""),"Shopee")</f>
        <v>Shopee</v>
      </c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7">
        <f ca="1">IFERROR(__xludf.DUMMYFUNCTION("""COMPUTED_VALUE"""),45839)</f>
        <v>45839</v>
      </c>
      <c r="B311" s="7">
        <f ca="1">IFERROR(__xludf.DUMMYFUNCTION("""COMPUTED_VALUE"""),45834)</f>
        <v>45834</v>
      </c>
      <c r="C311" s="1" t="str">
        <f ca="1">IFERROR(__xludf.DUMMYFUNCTION("""COMPUTED_VALUE"""),"Cancelamento - Amazon -")</f>
        <v>Cancelamento - Amazon -</v>
      </c>
      <c r="D311" s="2">
        <f ca="1">IFERROR(__xludf.DUMMYFUNCTION("""COMPUTED_VALUE"""),-21.12)</f>
        <v>-21.12</v>
      </c>
      <c r="E311" s="1" t="str">
        <f ca="1">IFERROR(__xludf.DUMMYFUNCTION("""COMPUTED_VALUE"""),"-")</f>
        <v>-</v>
      </c>
      <c r="F311" s="1" t="str">
        <f ca="1">IFERROR(__xludf.DUMMYFUNCTION("""COMPUTED_VALUE"""),"Cancelamento - Amazon -")</f>
        <v>Cancelamento - Amazon -</v>
      </c>
      <c r="G311" s="1" t="str">
        <f ca="1">IFERROR(__xludf.DUMMYFUNCTION("""COMPUTED_VALUE"""),"Amazon")</f>
        <v>Amazon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7">
        <f ca="1">IFERROR(__xludf.DUMMYFUNCTION("""COMPUTED_VALUE"""),45839)</f>
        <v>45839</v>
      </c>
      <c r="B312" s="7">
        <f ca="1">IFERROR(__xludf.DUMMYFUNCTION("""COMPUTED_VALUE"""),45757)</f>
        <v>45757</v>
      </c>
      <c r="C312" s="1" t="str">
        <f ca="1">IFERROR(__xludf.DUMMYFUNCTION("""COMPUTED_VALUE"""),"Amazon (3/3)")</f>
        <v>Amazon (3/3)</v>
      </c>
      <c r="D312" s="2">
        <f ca="1">IFERROR(__xludf.DUMMYFUNCTION("""COMPUTED_VALUE"""),84.53)</f>
        <v>84.53</v>
      </c>
      <c r="E312" s="1" t="str">
        <f ca="1">IFERROR(__xludf.DUMMYFUNCTION("""COMPUTED_VALUE"""),"-")</f>
        <v>-</v>
      </c>
      <c r="F312" s="1" t="str">
        <f ca="1">IFERROR(__xludf.DUMMYFUNCTION("""COMPUTED_VALUE"""),"Amazon")</f>
        <v>Amazon</v>
      </c>
      <c r="G312" s="1" t="str">
        <f ca="1">IFERROR(__xludf.DUMMYFUNCTION("""COMPUTED_VALUE"""),"Compras")</f>
        <v>Compras</v>
      </c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7">
        <f ca="1">IFERROR(__xludf.DUMMYFUNCTION("""COMPUTED_VALUE"""),45839)</f>
        <v>45839</v>
      </c>
      <c r="B313" s="7">
        <f ca="1">IFERROR(__xludf.DUMMYFUNCTION("""COMPUTED_VALUE"""),45765)</f>
        <v>45765</v>
      </c>
      <c r="C313" s="1" t="str">
        <f ca="1">IFERROR(__xludf.DUMMYFUNCTION("""COMPUTED_VALUE"""),"Casas Bahia (3/10)")</f>
        <v>Casas Bahia (3/10)</v>
      </c>
      <c r="D313" s="2">
        <f ca="1">IFERROR(__xludf.DUMMYFUNCTION("""COMPUTED_VALUE"""),361.46)</f>
        <v>361.46</v>
      </c>
      <c r="E313" s="1" t="str">
        <f ca="1">IFERROR(__xludf.DUMMYFUNCTION("""COMPUTED_VALUE"""),"-")</f>
        <v>-</v>
      </c>
      <c r="F313" s="1" t="str">
        <f ca="1">IFERROR(__xludf.DUMMYFUNCTION("""COMPUTED_VALUE"""),"Casas Bahia")</f>
        <v>Casas Bahia</v>
      </c>
      <c r="G313" s="1" t="str">
        <f ca="1">IFERROR(__xludf.DUMMYFUNCTION("""COMPUTED_VALUE"""),"Compras")</f>
        <v>Compras</v>
      </c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7">
        <f ca="1">IFERROR(__xludf.DUMMYFUNCTION("""COMPUTED_VALUE"""),45839)</f>
        <v>45839</v>
      </c>
      <c r="B314" s="7">
        <f ca="1">IFERROR(__xludf.DUMMYFUNCTION("""COMPUTED_VALUE"""),45765)</f>
        <v>45765</v>
      </c>
      <c r="C314" s="1" t="str">
        <f ca="1">IFERROR(__xludf.DUMMYFUNCTION("""COMPUTED_VALUE"""),"Shopee (3/3)")</f>
        <v>Shopee (3/3)</v>
      </c>
      <c r="D314" s="2">
        <f ca="1">IFERROR(__xludf.DUMMYFUNCTION("""COMPUTED_VALUE"""),89.63)</f>
        <v>89.63</v>
      </c>
      <c r="E314" s="1" t="str">
        <f ca="1">IFERROR(__xludf.DUMMYFUNCTION("""COMPUTED_VALUE"""),"-")</f>
        <v>-</v>
      </c>
      <c r="F314" s="1" t="str">
        <f ca="1">IFERROR(__xludf.DUMMYFUNCTION("""COMPUTED_VALUE"""),"Shopee")</f>
        <v>Shopee</v>
      </c>
      <c r="G314" s="1" t="str">
        <f ca="1">IFERROR(__xludf.DUMMYFUNCTION("""COMPUTED_VALUE"""),"Compras")</f>
        <v>Compras</v>
      </c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7">
        <f ca="1">IFERROR(__xludf.DUMMYFUNCTION("""COMPUTED_VALUE"""),45839)</f>
        <v>45839</v>
      </c>
      <c r="B315" s="7">
        <f ca="1">IFERROR(__xludf.DUMMYFUNCTION("""COMPUTED_VALUE"""),45765)</f>
        <v>45765</v>
      </c>
      <c r="C315" s="1" t="str">
        <f ca="1">IFERROR(__xludf.DUMMYFUNCTION("""COMPUTED_VALUE"""),"Yogi Baby (3/3)")</f>
        <v>Yogi Baby (3/3)</v>
      </c>
      <c r="D315" s="2">
        <f ca="1">IFERROR(__xludf.DUMMYFUNCTION("""COMPUTED_VALUE"""),24.48)</f>
        <v>24.48</v>
      </c>
      <c r="E315" s="1" t="str">
        <f ca="1">IFERROR(__xludf.DUMMYFUNCTION("""COMPUTED_VALUE"""),"-")</f>
        <v>-</v>
      </c>
      <c r="F315" s="1" t="str">
        <f ca="1">IFERROR(__xludf.DUMMYFUNCTION("""COMPUTED_VALUE"""),"Yogi Baby")</f>
        <v>Yogi Baby</v>
      </c>
      <c r="G315" s="1" t="str">
        <f ca="1">IFERROR(__xludf.DUMMYFUNCTION("""COMPUTED_VALUE"""),"Compras")</f>
        <v>Compras</v>
      </c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7">
        <f ca="1">IFERROR(__xludf.DUMMYFUNCTION("""COMPUTED_VALUE"""),45839)</f>
        <v>45839</v>
      </c>
      <c r="B316" s="7">
        <f ca="1">IFERROR(__xludf.DUMMYFUNCTION("""COMPUTED_VALUE"""),45766)</f>
        <v>45766</v>
      </c>
      <c r="C316" s="1" t="str">
        <f ca="1">IFERROR(__xludf.DUMMYFUNCTION("""COMPUTED_VALUE"""),"Petlove (3/3)")</f>
        <v>Petlove (3/3)</v>
      </c>
      <c r="D316" s="2">
        <f ca="1">IFERROR(__xludf.DUMMYFUNCTION("""COMPUTED_VALUE"""),149)</f>
        <v>149</v>
      </c>
      <c r="E316" s="1" t="str">
        <f ca="1">IFERROR(__xludf.DUMMYFUNCTION("""COMPUTED_VALUE"""),"-")</f>
        <v>-</v>
      </c>
      <c r="F316" s="1" t="str">
        <f ca="1">IFERROR(__xludf.DUMMYFUNCTION("""COMPUTED_VALUE"""),"Petlove")</f>
        <v>Petlove</v>
      </c>
      <c r="G316" s="1" t="str">
        <f ca="1">IFERROR(__xludf.DUMMYFUNCTION("""COMPUTED_VALUE"""),"Hulk")</f>
        <v>Hulk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7">
        <f ca="1">IFERROR(__xludf.DUMMYFUNCTION("""COMPUTED_VALUE"""),45839)</f>
        <v>45839</v>
      </c>
      <c r="B317" s="7">
        <f ca="1">IFERROR(__xludf.DUMMYFUNCTION("""COMPUTED_VALUE"""),45768)</f>
        <v>45768</v>
      </c>
      <c r="C317" s="1" t="str">
        <f ca="1">IFERROR(__xludf.DUMMYFUNCTION("""COMPUTED_VALUE"""),"Lellis Baby (3/3)")</f>
        <v>Lellis Baby (3/3)</v>
      </c>
      <c r="D317" s="2">
        <f ca="1">IFERROR(__xludf.DUMMYFUNCTION("""COMPUTED_VALUE"""),137.13)</f>
        <v>137.13</v>
      </c>
      <c r="E317" s="1" t="str">
        <f ca="1">IFERROR(__xludf.DUMMYFUNCTION("""COMPUTED_VALUE"""),"-")</f>
        <v>-</v>
      </c>
      <c r="F317" s="1" t="str">
        <f ca="1">IFERROR(__xludf.DUMMYFUNCTION("""COMPUTED_VALUE"""),"Lellis Baby")</f>
        <v>Lellis Baby</v>
      </c>
      <c r="G317" s="1" t="str">
        <f ca="1">IFERROR(__xludf.DUMMYFUNCTION("""COMPUTED_VALUE"""),"Compras")</f>
        <v>Compras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7">
        <f ca="1">IFERROR(__xludf.DUMMYFUNCTION("""COMPUTED_VALUE"""),45839)</f>
        <v>45839</v>
      </c>
      <c r="B318" s="7">
        <f ca="1">IFERROR(__xludf.DUMMYFUNCTION("""COMPUTED_VALUE"""),45768)</f>
        <v>45768</v>
      </c>
      <c r="C318" s="1" t="str">
        <f ca="1">IFERROR(__xludf.DUMMYFUNCTION("""COMPUTED_VALUE"""),"Alce (3/3)")</f>
        <v>Alce (3/3)</v>
      </c>
      <c r="D318" s="2">
        <f ca="1">IFERROR(__xludf.DUMMYFUNCTION("""COMPUTED_VALUE"""),139.17)</f>
        <v>139.16999999999999</v>
      </c>
      <c r="E318" s="1" t="str">
        <f ca="1">IFERROR(__xludf.DUMMYFUNCTION("""COMPUTED_VALUE"""),"-")</f>
        <v>-</v>
      </c>
      <c r="F318" s="1" t="str">
        <f ca="1">IFERROR(__xludf.DUMMYFUNCTION("""COMPUTED_VALUE"""),"Alce")</f>
        <v>Alce</v>
      </c>
      <c r="G318" s="1" t="str">
        <f ca="1">IFERROR(__xludf.DUMMYFUNCTION("""COMPUTED_VALUE"""),"Compras")</f>
        <v>Compras</v>
      </c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7">
        <f ca="1">IFERROR(__xludf.DUMMYFUNCTION("""COMPUTED_VALUE"""),45839)</f>
        <v>45839</v>
      </c>
      <c r="B319" s="7">
        <f ca="1">IFERROR(__xludf.DUMMYFUNCTION("""COMPUTED_VALUE"""),45784)</f>
        <v>45784</v>
      </c>
      <c r="C319" s="1" t="str">
        <f ca="1">IFERROR(__xludf.DUMMYFUNCTION("""COMPUTED_VALUE"""),"Amazon Prime (12/12)")</f>
        <v>Amazon Prime (12/12)</v>
      </c>
      <c r="D319" s="2">
        <f ca="1">IFERROR(__xludf.DUMMYFUNCTION("""COMPUTED_VALUE"""),13.9)</f>
        <v>13.9</v>
      </c>
      <c r="E319" s="1" t="str">
        <f ca="1">IFERROR(__xludf.DUMMYFUNCTION("""COMPUTED_VALUE"""),"-")</f>
        <v>-</v>
      </c>
      <c r="F319" s="1" t="str">
        <f ca="1">IFERROR(__xludf.DUMMYFUNCTION("""COMPUTED_VALUE"""),"Amazon Prime")</f>
        <v>Amazon Prime</v>
      </c>
      <c r="G319" s="1" t="str">
        <f ca="1">IFERROR(__xludf.DUMMYFUNCTION("""COMPUTED_VALUE"""),"Assinatura")</f>
        <v>Assinatura</v>
      </c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7">
        <f ca="1">IFERROR(__xludf.DUMMYFUNCTION("""COMPUTED_VALUE"""),45839)</f>
        <v>45839</v>
      </c>
      <c r="B320" s="7">
        <f ca="1">IFERROR(__xludf.DUMMYFUNCTION("""COMPUTED_VALUE"""),45784)</f>
        <v>45784</v>
      </c>
      <c r="C320" s="1" t="str">
        <f ca="1">IFERROR(__xludf.DUMMYFUNCTION("""COMPUTED_VALUE"""),"Amazon Prime (11/12)")</f>
        <v>Amazon Prime (11/12)</v>
      </c>
      <c r="D320" s="2">
        <f ca="1">IFERROR(__xludf.DUMMYFUNCTION("""COMPUTED_VALUE"""),13.9)</f>
        <v>13.9</v>
      </c>
      <c r="E320" s="1" t="str">
        <f ca="1">IFERROR(__xludf.DUMMYFUNCTION("""COMPUTED_VALUE"""),"-")</f>
        <v>-</v>
      </c>
      <c r="F320" s="1" t="str">
        <f ca="1">IFERROR(__xludf.DUMMYFUNCTION("""COMPUTED_VALUE"""),"Amazon Prime")</f>
        <v>Amazon Prime</v>
      </c>
      <c r="G320" s="1" t="str">
        <f ca="1">IFERROR(__xludf.DUMMYFUNCTION("""COMPUTED_VALUE"""),"Assinatura")</f>
        <v>Assinatura</v>
      </c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7">
        <f ca="1">IFERROR(__xludf.DUMMYFUNCTION("""COMPUTED_VALUE"""),45839)</f>
        <v>45839</v>
      </c>
      <c r="B321" s="7">
        <f ca="1">IFERROR(__xludf.DUMMYFUNCTION("""COMPUTED_VALUE"""),45784)</f>
        <v>45784</v>
      </c>
      <c r="C321" s="1" t="str">
        <f ca="1">IFERROR(__xludf.DUMMYFUNCTION("""COMPUTED_VALUE"""),"Amazon Prime (10/12)")</f>
        <v>Amazon Prime (10/12)</v>
      </c>
      <c r="D321" s="2">
        <f ca="1">IFERROR(__xludf.DUMMYFUNCTION("""COMPUTED_VALUE"""),13.9)</f>
        <v>13.9</v>
      </c>
      <c r="E321" s="1" t="str">
        <f ca="1">IFERROR(__xludf.DUMMYFUNCTION("""COMPUTED_VALUE"""),"-")</f>
        <v>-</v>
      </c>
      <c r="F321" s="1" t="str">
        <f ca="1">IFERROR(__xludf.DUMMYFUNCTION("""COMPUTED_VALUE"""),"Amazon Prime")</f>
        <v>Amazon Prime</v>
      </c>
      <c r="G321" s="1" t="str">
        <f ca="1">IFERROR(__xludf.DUMMYFUNCTION("""COMPUTED_VALUE"""),"Assinatura")</f>
        <v>Assinatura</v>
      </c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7">
        <f ca="1">IFERROR(__xludf.DUMMYFUNCTION("""COMPUTED_VALUE"""),45839)</f>
        <v>45839</v>
      </c>
      <c r="B322" s="7">
        <f ca="1">IFERROR(__xludf.DUMMYFUNCTION("""COMPUTED_VALUE"""),45784)</f>
        <v>45784</v>
      </c>
      <c r="C322" s="1" t="str">
        <f ca="1">IFERROR(__xludf.DUMMYFUNCTION("""COMPUTED_VALUE"""),"Amazon Prime (9/12)")</f>
        <v>Amazon Prime (9/12)</v>
      </c>
      <c r="D322" s="2">
        <f ca="1">IFERROR(__xludf.DUMMYFUNCTION("""COMPUTED_VALUE"""),13.9)</f>
        <v>13.9</v>
      </c>
      <c r="E322" s="1" t="str">
        <f ca="1">IFERROR(__xludf.DUMMYFUNCTION("""COMPUTED_VALUE"""),"-")</f>
        <v>-</v>
      </c>
      <c r="F322" s="1" t="str">
        <f ca="1">IFERROR(__xludf.DUMMYFUNCTION("""COMPUTED_VALUE"""),"Amazon Prime")</f>
        <v>Amazon Prime</v>
      </c>
      <c r="G322" s="1" t="str">
        <f ca="1">IFERROR(__xludf.DUMMYFUNCTION("""COMPUTED_VALUE"""),"Assinatura")</f>
        <v>Assinatura</v>
      </c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7">
        <f ca="1">IFERROR(__xludf.DUMMYFUNCTION("""COMPUTED_VALUE"""),45839)</f>
        <v>45839</v>
      </c>
      <c r="B323" s="7">
        <f ca="1">IFERROR(__xludf.DUMMYFUNCTION("""COMPUTED_VALUE"""),45784)</f>
        <v>45784</v>
      </c>
      <c r="C323" s="1" t="str">
        <f ca="1">IFERROR(__xludf.DUMMYFUNCTION("""COMPUTED_VALUE"""),"Amazon Prime (8/12)")</f>
        <v>Amazon Prime (8/12)</v>
      </c>
      <c r="D323" s="2">
        <f ca="1">IFERROR(__xludf.DUMMYFUNCTION("""COMPUTED_VALUE"""),13.9)</f>
        <v>13.9</v>
      </c>
      <c r="E323" s="1" t="str">
        <f ca="1">IFERROR(__xludf.DUMMYFUNCTION("""COMPUTED_VALUE"""),"-")</f>
        <v>-</v>
      </c>
      <c r="F323" s="1" t="str">
        <f ca="1">IFERROR(__xludf.DUMMYFUNCTION("""COMPUTED_VALUE"""),"Amazon Prime")</f>
        <v>Amazon Prime</v>
      </c>
      <c r="G323" s="1" t="str">
        <f ca="1">IFERROR(__xludf.DUMMYFUNCTION("""COMPUTED_VALUE"""),"Assinatura")</f>
        <v>Assinatura</v>
      </c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7">
        <f ca="1">IFERROR(__xludf.DUMMYFUNCTION("""COMPUTED_VALUE"""),45839)</f>
        <v>45839</v>
      </c>
      <c r="B324" s="7">
        <f ca="1">IFERROR(__xludf.DUMMYFUNCTION("""COMPUTED_VALUE"""),45784)</f>
        <v>45784</v>
      </c>
      <c r="C324" s="1" t="str">
        <f ca="1">IFERROR(__xludf.DUMMYFUNCTION("""COMPUTED_VALUE"""),"Amazon Prime (7/12)")</f>
        <v>Amazon Prime (7/12)</v>
      </c>
      <c r="D324" s="2">
        <f ca="1">IFERROR(__xludf.DUMMYFUNCTION("""COMPUTED_VALUE"""),13.9)</f>
        <v>13.9</v>
      </c>
      <c r="E324" s="1" t="str">
        <f ca="1">IFERROR(__xludf.DUMMYFUNCTION("""COMPUTED_VALUE"""),"-")</f>
        <v>-</v>
      </c>
      <c r="F324" s="1" t="str">
        <f ca="1">IFERROR(__xludf.DUMMYFUNCTION("""COMPUTED_VALUE"""),"Amazon Prime")</f>
        <v>Amazon Prime</v>
      </c>
      <c r="G324" s="1" t="str">
        <f ca="1">IFERROR(__xludf.DUMMYFUNCTION("""COMPUTED_VALUE"""),"Assinatura")</f>
        <v>Assinatura</v>
      </c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7">
        <f ca="1">IFERROR(__xludf.DUMMYFUNCTION("""COMPUTED_VALUE"""),45839)</f>
        <v>45839</v>
      </c>
      <c r="B325" s="7">
        <f ca="1">IFERROR(__xludf.DUMMYFUNCTION("""COMPUTED_VALUE"""),45784)</f>
        <v>45784</v>
      </c>
      <c r="C325" s="1" t="str">
        <f ca="1">IFERROR(__xludf.DUMMYFUNCTION("""COMPUTED_VALUE"""),"Amazon Prime (6/12)")</f>
        <v>Amazon Prime (6/12)</v>
      </c>
      <c r="D325" s="2">
        <f ca="1">IFERROR(__xludf.DUMMYFUNCTION("""COMPUTED_VALUE"""),13.9)</f>
        <v>13.9</v>
      </c>
      <c r="E325" s="1" t="str">
        <f ca="1">IFERROR(__xludf.DUMMYFUNCTION("""COMPUTED_VALUE"""),"-")</f>
        <v>-</v>
      </c>
      <c r="F325" s="1" t="str">
        <f ca="1">IFERROR(__xludf.DUMMYFUNCTION("""COMPUTED_VALUE"""),"Amazon Prime")</f>
        <v>Amazon Prime</v>
      </c>
      <c r="G325" s="1" t="str">
        <f ca="1">IFERROR(__xludf.DUMMYFUNCTION("""COMPUTED_VALUE"""),"Assinatura")</f>
        <v>Assinatura</v>
      </c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7">
        <f ca="1">IFERROR(__xludf.DUMMYFUNCTION("""COMPUTED_VALUE"""),45839)</f>
        <v>45839</v>
      </c>
      <c r="B326" s="7">
        <f ca="1">IFERROR(__xludf.DUMMYFUNCTION("""COMPUTED_VALUE"""),45784)</f>
        <v>45784</v>
      </c>
      <c r="C326" s="1" t="str">
        <f ca="1">IFERROR(__xludf.DUMMYFUNCTION("""COMPUTED_VALUE"""),"Amazon Prime (5/12)")</f>
        <v>Amazon Prime (5/12)</v>
      </c>
      <c r="D326" s="2">
        <f ca="1">IFERROR(__xludf.DUMMYFUNCTION("""COMPUTED_VALUE"""),13.9)</f>
        <v>13.9</v>
      </c>
      <c r="E326" s="1" t="str">
        <f ca="1">IFERROR(__xludf.DUMMYFUNCTION("""COMPUTED_VALUE"""),"-")</f>
        <v>-</v>
      </c>
      <c r="F326" s="1" t="str">
        <f ca="1">IFERROR(__xludf.DUMMYFUNCTION("""COMPUTED_VALUE"""),"Amazon Prime")</f>
        <v>Amazon Prime</v>
      </c>
      <c r="G326" s="1" t="str">
        <f ca="1">IFERROR(__xludf.DUMMYFUNCTION("""COMPUTED_VALUE"""),"Assinatura")</f>
        <v>Assinatura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7">
        <f ca="1">IFERROR(__xludf.DUMMYFUNCTION("""COMPUTED_VALUE"""),45839)</f>
        <v>45839</v>
      </c>
      <c r="B327" s="7">
        <f ca="1">IFERROR(__xludf.DUMMYFUNCTION("""COMPUTED_VALUE"""),45784)</f>
        <v>45784</v>
      </c>
      <c r="C327" s="1" t="str">
        <f ca="1">IFERROR(__xludf.DUMMYFUNCTION("""COMPUTED_VALUE"""),"Amazon Prime (4/12)")</f>
        <v>Amazon Prime (4/12)</v>
      </c>
      <c r="D327" s="2">
        <f ca="1">IFERROR(__xludf.DUMMYFUNCTION("""COMPUTED_VALUE"""),13.9)</f>
        <v>13.9</v>
      </c>
      <c r="E327" s="1" t="str">
        <f ca="1">IFERROR(__xludf.DUMMYFUNCTION("""COMPUTED_VALUE"""),"-")</f>
        <v>-</v>
      </c>
      <c r="F327" s="1" t="str">
        <f ca="1">IFERROR(__xludf.DUMMYFUNCTION("""COMPUTED_VALUE"""),"Amazon Prime")</f>
        <v>Amazon Prime</v>
      </c>
      <c r="G327" s="1" t="str">
        <f ca="1">IFERROR(__xludf.DUMMYFUNCTION("""COMPUTED_VALUE"""),"Assinatura")</f>
        <v>Assinatura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7">
        <f ca="1">IFERROR(__xludf.DUMMYFUNCTION("""COMPUTED_VALUE"""),45839)</f>
        <v>45839</v>
      </c>
      <c r="B328" s="7">
        <f ca="1">IFERROR(__xludf.DUMMYFUNCTION("""COMPUTED_VALUE"""),45784)</f>
        <v>45784</v>
      </c>
      <c r="C328" s="1" t="str">
        <f ca="1">IFERROR(__xludf.DUMMYFUNCTION("""COMPUTED_VALUE"""),"Amazon Prime (3/12)")</f>
        <v>Amazon Prime (3/12)</v>
      </c>
      <c r="D328" s="2">
        <f ca="1">IFERROR(__xludf.DUMMYFUNCTION("""COMPUTED_VALUE"""),13.9)</f>
        <v>13.9</v>
      </c>
      <c r="E328" s="1" t="str">
        <f ca="1">IFERROR(__xludf.DUMMYFUNCTION("""COMPUTED_VALUE"""),"-")</f>
        <v>-</v>
      </c>
      <c r="F328" s="1" t="str">
        <f ca="1">IFERROR(__xludf.DUMMYFUNCTION("""COMPUTED_VALUE"""),"Amazon Prime")</f>
        <v>Amazon Prime</v>
      </c>
      <c r="G328" s="1" t="str">
        <f ca="1">IFERROR(__xludf.DUMMYFUNCTION("""COMPUTED_VALUE"""),"Assinatura")</f>
        <v>Assinatura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7">
        <f ca="1">IFERROR(__xludf.DUMMYFUNCTION("""COMPUTED_VALUE"""),45839)</f>
        <v>45839</v>
      </c>
      <c r="B329" s="7">
        <f ca="1">IFERROR(__xludf.DUMMYFUNCTION("""COMPUTED_VALUE"""),45784)</f>
        <v>45784</v>
      </c>
      <c r="C329" s="1" t="str">
        <f ca="1">IFERROR(__xludf.DUMMYFUNCTION("""COMPUTED_VALUE"""),"Amazon Prime (2/12)")</f>
        <v>Amazon Prime (2/12)</v>
      </c>
      <c r="D329" s="2">
        <f ca="1">IFERROR(__xludf.DUMMYFUNCTION("""COMPUTED_VALUE"""),13.9)</f>
        <v>13.9</v>
      </c>
      <c r="E329" s="1" t="str">
        <f ca="1">IFERROR(__xludf.DUMMYFUNCTION("""COMPUTED_VALUE"""),"-")</f>
        <v>-</v>
      </c>
      <c r="F329" s="1" t="str">
        <f ca="1">IFERROR(__xludf.DUMMYFUNCTION("""COMPUTED_VALUE"""),"Amazon Prime")</f>
        <v>Amazon Prime</v>
      </c>
      <c r="G329" s="1" t="str">
        <f ca="1">IFERROR(__xludf.DUMMYFUNCTION("""COMPUTED_VALUE"""),"Assinatura")</f>
        <v>Assinatura</v>
      </c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7">
        <f ca="1">IFERROR(__xludf.DUMMYFUNCTION("""COMPUTED_VALUE"""),45839)</f>
        <v>45839</v>
      </c>
      <c r="B330" s="7">
        <f ca="1">IFERROR(__xludf.DUMMYFUNCTION("""COMPUTED_VALUE"""),45826)</f>
        <v>45826</v>
      </c>
      <c r="C330" s="1" t="str">
        <f ca="1">IFERROR(__xludf.DUMMYFUNCTION("""COMPUTED_VALUE"""),"Drogaria Pacheco")</f>
        <v>Drogaria Pacheco</v>
      </c>
      <c r="D330" s="2">
        <f ca="1">IFERROR(__xludf.DUMMYFUNCTION("""COMPUTED_VALUE"""),16.59)</f>
        <v>16.59</v>
      </c>
      <c r="E330" s="1" t="str">
        <f ca="1">IFERROR(__xludf.DUMMYFUNCTION("""COMPUTED_VALUE"""),"-")</f>
        <v>-</v>
      </c>
      <c r="F330" s="1" t="str">
        <f ca="1">IFERROR(__xludf.DUMMYFUNCTION("""COMPUTED_VALUE"""),"Drogaria Pacheco")</f>
        <v>Drogaria Pacheco</v>
      </c>
      <c r="G330" s="1" t="str">
        <f ca="1">IFERROR(__xludf.DUMMYFUNCTION("""COMPUTED_VALUE"""),"Compras")</f>
        <v>Compras</v>
      </c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7">
        <f ca="1">IFERROR(__xludf.DUMMYFUNCTION("""COMPUTED_VALUE"""),45839)</f>
        <v>45839</v>
      </c>
      <c r="B331" s="7">
        <f ca="1">IFERROR(__xludf.DUMMYFUNCTION("""COMPUTED_VALUE"""),45826)</f>
        <v>45826</v>
      </c>
      <c r="C331" s="1" t="str">
        <f ca="1">IFERROR(__xludf.DUMMYFUNCTION("""COMPUTED_VALUE"""),"Mercado Livre")</f>
        <v>Mercado Livre</v>
      </c>
      <c r="D331" s="2">
        <f ca="1">IFERROR(__xludf.DUMMYFUNCTION("""COMPUTED_VALUE"""),24.9)</f>
        <v>24.9</v>
      </c>
      <c r="E331" s="1" t="str">
        <f ca="1">IFERROR(__xludf.DUMMYFUNCTION("""COMPUTED_VALUE"""),"-")</f>
        <v>-</v>
      </c>
      <c r="F331" s="1" t="str">
        <f ca="1">IFERROR(__xludf.DUMMYFUNCTION("""COMPUTED_VALUE"""),"Mercado Livre")</f>
        <v>Mercado Livre</v>
      </c>
      <c r="G331" s="1" t="str">
        <f ca="1">IFERROR(__xludf.DUMMYFUNCTION("""COMPUTED_VALUE"""),"Compras")</f>
        <v>Compras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7">
        <f ca="1">IFERROR(__xludf.DUMMYFUNCTION("""COMPUTED_VALUE"""),45839)</f>
        <v>45839</v>
      </c>
      <c r="B332" s="7">
        <f ca="1">IFERROR(__xludf.DUMMYFUNCTION("""COMPUTED_VALUE"""),45826)</f>
        <v>45826</v>
      </c>
      <c r="C332" s="1" t="str">
        <f ca="1">IFERROR(__xludf.DUMMYFUNCTION("""COMPUTED_VALUE"""),"Amazon")</f>
        <v>Amazon</v>
      </c>
      <c r="D332" s="2">
        <f ca="1">IFERROR(__xludf.DUMMYFUNCTION("""COMPUTED_VALUE"""),22.69)</f>
        <v>22.69</v>
      </c>
      <c r="E332" s="1" t="str">
        <f ca="1">IFERROR(__xludf.DUMMYFUNCTION("""COMPUTED_VALUE"""),"-")</f>
        <v>-</v>
      </c>
      <c r="F332" s="1" t="str">
        <f ca="1">IFERROR(__xludf.DUMMYFUNCTION("""COMPUTED_VALUE"""),"Amazon")</f>
        <v>Amazon</v>
      </c>
      <c r="G332" s="1" t="str">
        <f ca="1">IFERROR(__xludf.DUMMYFUNCTION("""COMPUTED_VALUE"""),"Compras")</f>
        <v>Compras</v>
      </c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7">
        <f ca="1">IFERROR(__xludf.DUMMYFUNCTION("""COMPUTED_VALUE"""),45839)</f>
        <v>45839</v>
      </c>
      <c r="B333" s="7">
        <f ca="1">IFERROR(__xludf.DUMMYFUNCTION("""COMPUTED_VALUE"""),45828)</f>
        <v>45828</v>
      </c>
      <c r="C333" s="1" t="str">
        <f ca="1">IFERROR(__xludf.DUMMYFUNCTION("""COMPUTED_VALUE"""),"Amazonmktplc Tscomerci")</f>
        <v>Amazonmktplc Tscomerci</v>
      </c>
      <c r="D333" s="2">
        <f ca="1">IFERROR(__xludf.DUMMYFUNCTION("""COMPUTED_VALUE"""),155)</f>
        <v>155</v>
      </c>
      <c r="E333" s="1" t="str">
        <f ca="1">IFERROR(__xludf.DUMMYFUNCTION("""COMPUTED_VALUE"""),"-")</f>
        <v>-</v>
      </c>
      <c r="F333" s="1" t="str">
        <f ca="1">IFERROR(__xludf.DUMMYFUNCTION("""COMPUTED_VALUE"""),"Amazonmktplc")</f>
        <v>Amazonmktplc</v>
      </c>
      <c r="G333" s="1" t="str">
        <f ca="1">IFERROR(__xludf.DUMMYFUNCTION("""COMPUTED_VALUE"""),"Compras")</f>
        <v>Compras</v>
      </c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7">
        <f ca="1">IFERROR(__xludf.DUMMYFUNCTION("""COMPUTED_VALUE"""),45839)</f>
        <v>45839</v>
      </c>
      <c r="B334" s="7">
        <f ca="1">IFERROR(__xludf.DUMMYFUNCTION("""COMPUTED_VALUE"""),45828)</f>
        <v>45828</v>
      </c>
      <c r="C334" s="1" t="str">
        <f ca="1">IFERROR(__xludf.DUMMYFUNCTION("""COMPUTED_VALUE"""),"Shopee")</f>
        <v>Shopee</v>
      </c>
      <c r="D334" s="2">
        <f ca="1">IFERROR(__xludf.DUMMYFUNCTION("""COMPUTED_VALUE"""),19.48)</f>
        <v>19.48</v>
      </c>
      <c r="E334" s="1" t="str">
        <f ca="1">IFERROR(__xludf.DUMMYFUNCTION("""COMPUTED_VALUE"""),"-")</f>
        <v>-</v>
      </c>
      <c r="F334" s="1" t="str">
        <f ca="1">IFERROR(__xludf.DUMMYFUNCTION("""COMPUTED_VALUE"""),"Shopee")</f>
        <v>Shopee</v>
      </c>
      <c r="G334" s="1" t="str">
        <f ca="1">IFERROR(__xludf.DUMMYFUNCTION("""COMPUTED_VALUE"""),"Compras")</f>
        <v>Compras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7">
        <f ca="1">IFERROR(__xludf.DUMMYFUNCTION("""COMPUTED_VALUE"""),45839)</f>
        <v>45839</v>
      </c>
      <c r="B335" s="7">
        <f ca="1">IFERROR(__xludf.DUMMYFUNCTION("""COMPUTED_VALUE"""),45828)</f>
        <v>45828</v>
      </c>
      <c r="C335" s="1" t="str">
        <f ca="1">IFERROR(__xludf.DUMMYFUNCTION("""COMPUTED_VALUE"""),"Shopee")</f>
        <v>Shopee</v>
      </c>
      <c r="D335" s="2">
        <f ca="1">IFERROR(__xludf.DUMMYFUNCTION("""COMPUTED_VALUE"""),16.99)</f>
        <v>16.989999999999998</v>
      </c>
      <c r="E335" s="1" t="str">
        <f ca="1">IFERROR(__xludf.DUMMYFUNCTION("""COMPUTED_VALUE"""),"-")</f>
        <v>-</v>
      </c>
      <c r="F335" s="1" t="str">
        <f ca="1">IFERROR(__xludf.DUMMYFUNCTION("""COMPUTED_VALUE"""),"Shopee")</f>
        <v>Shopee</v>
      </c>
      <c r="G335" s="1" t="str">
        <f ca="1">IFERROR(__xludf.DUMMYFUNCTION("""COMPUTED_VALUE"""),"Compras")</f>
        <v>Compras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7">
        <f ca="1">IFERROR(__xludf.DUMMYFUNCTION("""COMPUTED_VALUE"""),45839)</f>
        <v>45839</v>
      </c>
      <c r="B336" s="7">
        <f ca="1">IFERROR(__xludf.DUMMYFUNCTION("""COMPUTED_VALUE"""),45828)</f>
        <v>45828</v>
      </c>
      <c r="C336" s="1" t="str">
        <f ca="1">IFERROR(__xludf.DUMMYFUNCTION("""COMPUTED_VALUE"""),"Comtexti")</f>
        <v>Comtexti</v>
      </c>
      <c r="D336" s="2">
        <f ca="1">IFERROR(__xludf.DUMMYFUNCTION("""COMPUTED_VALUE"""),130.9)</f>
        <v>130.9</v>
      </c>
      <c r="E336" s="1" t="str">
        <f ca="1">IFERROR(__xludf.DUMMYFUNCTION("""COMPUTED_VALUE"""),"-")</f>
        <v>-</v>
      </c>
      <c r="F336" s="1" t="str">
        <f ca="1">IFERROR(__xludf.DUMMYFUNCTION("""COMPUTED_VALUE"""),"Comtexti")</f>
        <v>Comtexti</v>
      </c>
      <c r="G336" s="1" t="str">
        <f ca="1">IFERROR(__xludf.DUMMYFUNCTION("""COMPUTED_VALUE"""),"-")</f>
        <v>-</v>
      </c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7">
        <f ca="1">IFERROR(__xludf.DUMMYFUNCTION("""COMPUTED_VALUE"""),45839)</f>
        <v>45839</v>
      </c>
      <c r="B337" s="7">
        <f ca="1">IFERROR(__xludf.DUMMYFUNCTION("""COMPUTED_VALUE"""),45828)</f>
        <v>45828</v>
      </c>
      <c r="C337" s="1" t="str">
        <f ca="1">IFERROR(__xludf.DUMMYFUNCTION("""COMPUTED_VALUE"""),"Shpstecnologia")</f>
        <v>Shpstecnologia</v>
      </c>
      <c r="D337" s="2">
        <f ca="1">IFERROR(__xludf.DUMMYFUNCTION("""COMPUTED_VALUE"""),35.54)</f>
        <v>35.54</v>
      </c>
      <c r="E337" s="1" t="str">
        <f ca="1">IFERROR(__xludf.DUMMYFUNCTION("""COMPUTED_VALUE"""),"-")</f>
        <v>-</v>
      </c>
      <c r="F337" s="1" t="str">
        <f ca="1">IFERROR(__xludf.DUMMYFUNCTION("""COMPUTED_VALUE"""),"Shpstecnologia")</f>
        <v>Shpstecnologia</v>
      </c>
      <c r="G337" s="1" t="str">
        <f ca="1">IFERROR(__xludf.DUMMYFUNCTION("""COMPUTED_VALUE"""),"-")</f>
        <v>-</v>
      </c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7">
        <f ca="1">IFERROR(__xludf.DUMMYFUNCTION("""COMPUTED_VALUE"""),45839)</f>
        <v>45839</v>
      </c>
      <c r="B338" s="7">
        <f ca="1">IFERROR(__xludf.DUMMYFUNCTION("""COMPUTED_VALUE"""),45829)</f>
        <v>45829</v>
      </c>
      <c r="C338" s="1" t="str">
        <f ca="1">IFERROR(__xludf.DUMMYFUNCTION("""COMPUTED_VALUE"""),"Shopee")</f>
        <v>Shopee</v>
      </c>
      <c r="D338" s="2">
        <f ca="1">IFERROR(__xludf.DUMMYFUNCTION("""COMPUTED_VALUE"""),32.89)</f>
        <v>32.89</v>
      </c>
      <c r="E338" s="1" t="str">
        <f ca="1">IFERROR(__xludf.DUMMYFUNCTION("""COMPUTED_VALUE"""),"-")</f>
        <v>-</v>
      </c>
      <c r="F338" s="1" t="str">
        <f ca="1">IFERROR(__xludf.DUMMYFUNCTION("""COMPUTED_VALUE"""),"Shopee")</f>
        <v>Shopee</v>
      </c>
      <c r="G338" s="1" t="str">
        <f ca="1">IFERROR(__xludf.DUMMYFUNCTION("""COMPUTED_VALUE"""),"Compras")</f>
        <v>Compras</v>
      </c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7">
        <f ca="1">IFERROR(__xludf.DUMMYFUNCTION("""COMPUTED_VALUE"""),45839)</f>
        <v>45839</v>
      </c>
      <c r="B339" s="7">
        <f ca="1">IFERROR(__xludf.DUMMYFUNCTION("""COMPUTED_VALUE"""),45829)</f>
        <v>45829</v>
      </c>
      <c r="C339" s="1" t="str">
        <f ca="1">IFERROR(__xludf.DUMMYFUNCTION("""COMPUTED_VALUE"""),"Shopee")</f>
        <v>Shopee</v>
      </c>
      <c r="D339" s="2">
        <f ca="1">IFERROR(__xludf.DUMMYFUNCTION("""COMPUTED_VALUE"""),32.89)</f>
        <v>32.89</v>
      </c>
      <c r="E339" s="1" t="str">
        <f ca="1">IFERROR(__xludf.DUMMYFUNCTION("""COMPUTED_VALUE"""),"-")</f>
        <v>-</v>
      </c>
      <c r="F339" s="1" t="str">
        <f ca="1">IFERROR(__xludf.DUMMYFUNCTION("""COMPUTED_VALUE"""),"Shopee")</f>
        <v>Shopee</v>
      </c>
      <c r="G339" s="1" t="str">
        <f ca="1">IFERROR(__xludf.DUMMYFUNCTION("""COMPUTED_VALUE"""),"Compras")</f>
        <v>Compras</v>
      </c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7">
        <f ca="1">IFERROR(__xludf.DUMMYFUNCTION("""COMPUTED_VALUE"""),45839)</f>
        <v>45839</v>
      </c>
      <c r="B340" s="7">
        <f ca="1">IFERROR(__xludf.DUMMYFUNCTION("""COMPUTED_VALUE"""),45829)</f>
        <v>45829</v>
      </c>
      <c r="C340" s="1" t="str">
        <f ca="1">IFERROR(__xludf.DUMMYFUNCTION("""COMPUTED_VALUE"""),"Copkosto")</f>
        <v>Copkosto</v>
      </c>
      <c r="D340" s="2">
        <f ca="1">IFERROR(__xludf.DUMMYFUNCTION("""COMPUTED_VALUE"""),32.78)</f>
        <v>32.78</v>
      </c>
      <c r="E340" s="1" t="str">
        <f ca="1">IFERROR(__xludf.DUMMYFUNCTION("""COMPUTED_VALUE"""),"-")</f>
        <v>-</v>
      </c>
      <c r="F340" s="1" t="str">
        <f ca="1">IFERROR(__xludf.DUMMYFUNCTION("""COMPUTED_VALUE"""),"Copkosto")</f>
        <v>Copkosto</v>
      </c>
      <c r="G340" s="1" t="str">
        <f ca="1">IFERROR(__xludf.DUMMYFUNCTION("""COMPUTED_VALUE"""),"-")</f>
        <v>-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7">
        <f ca="1">IFERROR(__xludf.DUMMYFUNCTION("""COMPUTED_VALUE"""),45839)</f>
        <v>45839</v>
      </c>
      <c r="B341" s="7">
        <f ca="1">IFERROR(__xludf.DUMMYFUNCTION("""COMPUTED_VALUE"""),45829)</f>
        <v>45829</v>
      </c>
      <c r="C341" s="1" t="str">
        <f ca="1">IFERROR(__xludf.DUMMYFUNCTION("""COMPUTED_VALUE"""),"Copkosto")</f>
        <v>Copkosto</v>
      </c>
      <c r="D341" s="2">
        <f ca="1">IFERROR(__xludf.DUMMYFUNCTION("""COMPUTED_VALUE"""),32.78)</f>
        <v>32.78</v>
      </c>
      <c r="E341" s="1" t="str">
        <f ca="1">IFERROR(__xludf.DUMMYFUNCTION("""COMPUTED_VALUE"""),"-")</f>
        <v>-</v>
      </c>
      <c r="F341" s="1" t="str">
        <f ca="1">IFERROR(__xludf.DUMMYFUNCTION("""COMPUTED_VALUE"""),"Copkosto")</f>
        <v>Copkosto</v>
      </c>
      <c r="G341" s="1" t="str">
        <f ca="1">IFERROR(__xludf.DUMMYFUNCTION("""COMPUTED_VALUE"""),"-")</f>
        <v>-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7">
        <f ca="1">IFERROR(__xludf.DUMMYFUNCTION("""COMPUTED_VALUE"""),45839)</f>
        <v>45839</v>
      </c>
      <c r="B342" s="7">
        <f ca="1">IFERROR(__xludf.DUMMYFUNCTION("""COMPUTED_VALUE"""),45829)</f>
        <v>45829</v>
      </c>
      <c r="C342" s="1" t="str">
        <f ca="1">IFERROR(__xludf.DUMMYFUNCTION("""COMPUTED_VALUE"""),"Shopee")</f>
        <v>Shopee</v>
      </c>
      <c r="D342" s="2">
        <f ca="1">IFERROR(__xludf.DUMMYFUNCTION("""COMPUTED_VALUE"""),10.1)</f>
        <v>10.1</v>
      </c>
      <c r="E342" s="1" t="str">
        <f ca="1">IFERROR(__xludf.DUMMYFUNCTION("""COMPUTED_VALUE"""),"-")</f>
        <v>-</v>
      </c>
      <c r="F342" s="1" t="str">
        <f ca="1">IFERROR(__xludf.DUMMYFUNCTION("""COMPUTED_VALUE"""),"Shopee")</f>
        <v>Shopee</v>
      </c>
      <c r="G342" s="1" t="str">
        <f ca="1">IFERROR(__xludf.DUMMYFUNCTION("""COMPUTED_VALUE"""),"Compras")</f>
        <v>Compras</v>
      </c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7">
        <f ca="1">IFERROR(__xludf.DUMMYFUNCTION("""COMPUTED_VALUE"""),45839)</f>
        <v>45839</v>
      </c>
      <c r="B343" s="7">
        <f ca="1">IFERROR(__xludf.DUMMYFUNCTION("""COMPUTED_VALUE"""),45829)</f>
        <v>45829</v>
      </c>
      <c r="C343" s="1" t="str">
        <f ca="1">IFERROR(__xludf.DUMMYFUNCTION("""COMPUTED_VALUE"""),"Shopee")</f>
        <v>Shopee</v>
      </c>
      <c r="D343" s="2">
        <f ca="1">IFERROR(__xludf.DUMMYFUNCTION("""COMPUTED_VALUE"""),10.1)</f>
        <v>10.1</v>
      </c>
      <c r="E343" s="1" t="str">
        <f ca="1">IFERROR(__xludf.DUMMYFUNCTION("""COMPUTED_VALUE"""),"-")</f>
        <v>-</v>
      </c>
      <c r="F343" s="1" t="str">
        <f ca="1">IFERROR(__xludf.DUMMYFUNCTION("""COMPUTED_VALUE"""),"Shopee")</f>
        <v>Shopee</v>
      </c>
      <c r="G343" s="1" t="str">
        <f ca="1">IFERROR(__xludf.DUMMYFUNCTION("""COMPUTED_VALUE"""),"Compras")</f>
        <v>Compras</v>
      </c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7">
        <f ca="1">IFERROR(__xludf.DUMMYFUNCTION("""COMPUTED_VALUE"""),45839)</f>
        <v>45839</v>
      </c>
      <c r="B344" s="7">
        <f ca="1">IFERROR(__xludf.DUMMYFUNCTION("""COMPUTED_VALUE"""),45829)</f>
        <v>45829</v>
      </c>
      <c r="C344" s="1" t="str">
        <f ca="1">IFERROR(__xludf.DUMMYFUNCTION("""COMPUTED_VALUE"""),"Shopee")</f>
        <v>Shopee</v>
      </c>
      <c r="D344" s="2">
        <f ca="1">IFERROR(__xludf.DUMMYFUNCTION("""COMPUTED_VALUE"""),29.99)</f>
        <v>29.99</v>
      </c>
      <c r="E344" s="1" t="str">
        <f ca="1">IFERROR(__xludf.DUMMYFUNCTION("""COMPUTED_VALUE"""),"-")</f>
        <v>-</v>
      </c>
      <c r="F344" s="1" t="str">
        <f ca="1">IFERROR(__xludf.DUMMYFUNCTION("""COMPUTED_VALUE"""),"Shopee")</f>
        <v>Shopee</v>
      </c>
      <c r="G344" s="1" t="str">
        <f ca="1">IFERROR(__xludf.DUMMYFUNCTION("""COMPUTED_VALUE"""),"Compras")</f>
        <v>Compras</v>
      </c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7">
        <f ca="1">IFERROR(__xludf.DUMMYFUNCTION("""COMPUTED_VALUE"""),45839)</f>
        <v>45839</v>
      </c>
      <c r="B345" s="7">
        <f ca="1">IFERROR(__xludf.DUMMYFUNCTION("""COMPUTED_VALUE"""),45829)</f>
        <v>45829</v>
      </c>
      <c r="C345" s="1" t="str">
        <f ca="1">IFERROR(__xludf.DUMMYFUNCTION("""COMPUTED_VALUE"""),"Shopee")</f>
        <v>Shopee</v>
      </c>
      <c r="D345" s="2">
        <f ca="1">IFERROR(__xludf.DUMMYFUNCTION("""COMPUTED_VALUE"""),29.99)</f>
        <v>29.99</v>
      </c>
      <c r="E345" s="1" t="str">
        <f ca="1">IFERROR(__xludf.DUMMYFUNCTION("""COMPUTED_VALUE"""),"-")</f>
        <v>-</v>
      </c>
      <c r="F345" s="1" t="str">
        <f ca="1">IFERROR(__xludf.DUMMYFUNCTION("""COMPUTED_VALUE"""),"Shopee")</f>
        <v>Shopee</v>
      </c>
      <c r="G345" s="1" t="str">
        <f ca="1">IFERROR(__xludf.DUMMYFUNCTION("""COMPUTED_VALUE"""),"Compras")</f>
        <v>Compras</v>
      </c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7">
        <f ca="1">IFERROR(__xludf.DUMMYFUNCTION("""COMPUTED_VALUE"""),45839)</f>
        <v>45839</v>
      </c>
      <c r="B346" s="7">
        <f ca="1">IFERROR(__xludf.DUMMYFUNCTION("""COMPUTED_VALUE"""),45829)</f>
        <v>45829</v>
      </c>
      <c r="C346" s="1" t="str">
        <f ca="1">IFERROR(__xludf.DUMMYFUNCTION("""COMPUTED_VALUE"""),"Shopee")</f>
        <v>Shopee</v>
      </c>
      <c r="D346" s="2">
        <f ca="1">IFERROR(__xludf.DUMMYFUNCTION("""COMPUTED_VALUE"""),34.9)</f>
        <v>34.9</v>
      </c>
      <c r="E346" s="1" t="str">
        <f ca="1">IFERROR(__xludf.DUMMYFUNCTION("""COMPUTED_VALUE"""),"-")</f>
        <v>-</v>
      </c>
      <c r="F346" s="1" t="str">
        <f ca="1">IFERROR(__xludf.DUMMYFUNCTION("""COMPUTED_VALUE"""),"Shopee")</f>
        <v>Shopee</v>
      </c>
      <c r="G346" s="1" t="str">
        <f ca="1">IFERROR(__xludf.DUMMYFUNCTION("""COMPUTED_VALUE"""),"Compras")</f>
        <v>Compras</v>
      </c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7">
        <f ca="1">IFERROR(__xludf.DUMMYFUNCTION("""COMPUTED_VALUE"""),45839)</f>
        <v>45839</v>
      </c>
      <c r="B347" s="7">
        <f ca="1">IFERROR(__xludf.DUMMYFUNCTION("""COMPUTED_VALUE"""),45829)</f>
        <v>45829</v>
      </c>
      <c r="C347" s="1" t="str">
        <f ca="1">IFERROR(__xludf.DUMMYFUNCTION("""COMPUTED_VALUE"""),"Shopee")</f>
        <v>Shopee</v>
      </c>
      <c r="D347" s="2">
        <f ca="1">IFERROR(__xludf.DUMMYFUNCTION("""COMPUTED_VALUE"""),34.9)</f>
        <v>34.9</v>
      </c>
      <c r="E347" s="1" t="str">
        <f ca="1">IFERROR(__xludf.DUMMYFUNCTION("""COMPUTED_VALUE"""),"-")</f>
        <v>-</v>
      </c>
      <c r="F347" s="1" t="str">
        <f ca="1">IFERROR(__xludf.DUMMYFUNCTION("""COMPUTED_VALUE"""),"Shopee")</f>
        <v>Shopee</v>
      </c>
      <c r="G347" s="1" t="str">
        <f ca="1">IFERROR(__xludf.DUMMYFUNCTION("""COMPUTED_VALUE"""),"Compras")</f>
        <v>Compras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7">
        <f ca="1">IFERROR(__xludf.DUMMYFUNCTION("""COMPUTED_VALUE"""),45839)</f>
        <v>45839</v>
      </c>
      <c r="B348" s="7">
        <f ca="1">IFERROR(__xludf.DUMMYFUNCTION("""COMPUTED_VALUE"""),45786)</f>
        <v>45786</v>
      </c>
      <c r="C348" s="1" t="str">
        <f ca="1">IFERROR(__xludf.DUMMYFUNCTION("""COMPUTED_VALUE"""),"Shopee (2/2)")</f>
        <v>Shopee (2/2)</v>
      </c>
      <c r="D348" s="2">
        <f ca="1">IFERROR(__xludf.DUMMYFUNCTION("""COMPUTED_VALUE"""),60.54)</f>
        <v>60.54</v>
      </c>
      <c r="E348" s="1" t="str">
        <f ca="1">IFERROR(__xludf.DUMMYFUNCTION("""COMPUTED_VALUE"""),"-")</f>
        <v>-</v>
      </c>
      <c r="F348" s="1" t="str">
        <f ca="1">IFERROR(__xludf.DUMMYFUNCTION("""COMPUTED_VALUE"""),"Shopee")</f>
        <v>Shopee</v>
      </c>
      <c r="G348" s="1" t="str">
        <f ca="1">IFERROR(__xludf.DUMMYFUNCTION("""COMPUTED_VALUE"""),"Compras")</f>
        <v>Compras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7">
        <f ca="1">IFERROR(__xludf.DUMMYFUNCTION("""COMPUTED_VALUE"""),45839)</f>
        <v>45839</v>
      </c>
      <c r="B349" s="7">
        <f ca="1">IFERROR(__xludf.DUMMYFUNCTION("""COMPUTED_VALUE"""),45796)</f>
        <v>45796</v>
      </c>
      <c r="C349" s="1" t="str">
        <f ca="1">IFERROR(__xludf.DUMMYFUNCTION("""COMPUTED_VALUE"""),"Shopee (2/2)")</f>
        <v>Shopee (2/2)</v>
      </c>
      <c r="D349" s="2">
        <f ca="1">IFERROR(__xludf.DUMMYFUNCTION("""COMPUTED_VALUE"""),127.55)</f>
        <v>127.55</v>
      </c>
      <c r="E349" s="1" t="str">
        <f ca="1">IFERROR(__xludf.DUMMYFUNCTION("""COMPUTED_VALUE"""),"-")</f>
        <v>-</v>
      </c>
      <c r="F349" s="1" t="str">
        <f ca="1">IFERROR(__xludf.DUMMYFUNCTION("""COMPUTED_VALUE"""),"Shopee")</f>
        <v>Shopee</v>
      </c>
      <c r="G349" s="1" t="str">
        <f ca="1">IFERROR(__xludf.DUMMYFUNCTION("""COMPUTED_VALUE"""),"Compras")</f>
        <v>Compras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7">
        <f ca="1">IFERROR(__xludf.DUMMYFUNCTION("""COMPUTED_VALUE"""),45839)</f>
        <v>45839</v>
      </c>
      <c r="B350" s="7">
        <f ca="1">IFERROR(__xludf.DUMMYFUNCTION("""COMPUTED_VALUE"""),45805)</f>
        <v>45805</v>
      </c>
      <c r="C350" s="1" t="str">
        <f ca="1">IFERROR(__xludf.DUMMYFUNCTION("""COMPUTED_VALUE"""),"Amazon")</f>
        <v>Amazon</v>
      </c>
      <c r="D350" s="2">
        <f ca="1">IFERROR(__xludf.DUMMYFUNCTION("""COMPUTED_VALUE"""),12.99)</f>
        <v>12.99</v>
      </c>
      <c r="E350" s="1" t="str">
        <f ca="1">IFERROR(__xludf.DUMMYFUNCTION("""COMPUTED_VALUE"""),"-")</f>
        <v>-</v>
      </c>
      <c r="F350" s="1" t="str">
        <f ca="1">IFERROR(__xludf.DUMMYFUNCTION("""COMPUTED_VALUE"""),"Amazon")</f>
        <v>Amazon</v>
      </c>
      <c r="G350" s="1" t="str">
        <f ca="1">IFERROR(__xludf.DUMMYFUNCTION("""COMPUTED_VALUE"""),"Compras")</f>
        <v>Compras</v>
      </c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7">
        <f ca="1">IFERROR(__xludf.DUMMYFUNCTION("""COMPUTED_VALUE"""),45839)</f>
        <v>45839</v>
      </c>
      <c r="B351" s="7">
        <f ca="1">IFERROR(__xludf.DUMMYFUNCTION("""COMPUTED_VALUE"""),45806)</f>
        <v>45806</v>
      </c>
      <c r="C351" s="1" t="str">
        <f ca="1">IFERROR(__xludf.DUMMYFUNCTION("""COMPUTED_VALUE"""),"Uber")</f>
        <v>Uber</v>
      </c>
      <c r="D351" s="2">
        <f ca="1">IFERROR(__xludf.DUMMYFUNCTION("""COMPUTED_VALUE"""),14.23)</f>
        <v>14.23</v>
      </c>
      <c r="E351" s="1" t="str">
        <f ca="1">IFERROR(__xludf.DUMMYFUNCTION("""COMPUTED_VALUE"""),"-")</f>
        <v>-</v>
      </c>
      <c r="F351" s="1" t="str">
        <f ca="1">IFERROR(__xludf.DUMMYFUNCTION("""COMPUTED_VALUE"""),"Uber")</f>
        <v>Uber</v>
      </c>
      <c r="G351" s="1" t="str">
        <f ca="1">IFERROR(__xludf.DUMMYFUNCTION("""COMPUTED_VALUE"""),"Uber/99")</f>
        <v>Uber/99</v>
      </c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7">
        <f ca="1">IFERROR(__xludf.DUMMYFUNCTION("""COMPUTED_VALUE"""),45839)</f>
        <v>45839</v>
      </c>
      <c r="B352" s="7">
        <f ca="1">IFERROR(__xludf.DUMMYFUNCTION("""COMPUTED_VALUE"""),45806)</f>
        <v>45806</v>
      </c>
      <c r="C352" s="1" t="str">
        <f ca="1">IFERROR(__xludf.DUMMYFUNCTION("""COMPUTED_VALUE"""),"Amazon")</f>
        <v>Amazon</v>
      </c>
      <c r="D352" s="2">
        <f ca="1">IFERROR(__xludf.DUMMYFUNCTION("""COMPUTED_VALUE"""),37.94)</f>
        <v>37.94</v>
      </c>
      <c r="E352" s="1" t="str">
        <f ca="1">IFERROR(__xludf.DUMMYFUNCTION("""COMPUTED_VALUE"""),"-")</f>
        <v>-</v>
      </c>
      <c r="F352" s="1" t="str">
        <f ca="1">IFERROR(__xludf.DUMMYFUNCTION("""COMPUTED_VALUE"""),"Amazon")</f>
        <v>Amazon</v>
      </c>
      <c r="G352" s="1" t="str">
        <f ca="1">IFERROR(__xludf.DUMMYFUNCTION("""COMPUTED_VALUE"""),"Compras")</f>
        <v>Compras</v>
      </c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7">
        <f ca="1">IFERROR(__xludf.DUMMYFUNCTION("""COMPUTED_VALUE"""),45839)</f>
        <v>45839</v>
      </c>
      <c r="B353" s="7">
        <f ca="1">IFERROR(__xludf.DUMMYFUNCTION("""COMPUTED_VALUE"""),45808)</f>
        <v>45808</v>
      </c>
      <c r="C353" s="1" t="str">
        <f ca="1">IFERROR(__xludf.DUMMYFUNCTION("""COMPUTED_VALUE"""),"Uber")</f>
        <v>Uber</v>
      </c>
      <c r="D353" s="2">
        <f ca="1">IFERROR(__xludf.DUMMYFUNCTION("""COMPUTED_VALUE"""),10.35)</f>
        <v>10.35</v>
      </c>
      <c r="E353" s="1" t="str">
        <f ca="1">IFERROR(__xludf.DUMMYFUNCTION("""COMPUTED_VALUE"""),"-")</f>
        <v>-</v>
      </c>
      <c r="F353" s="1" t="str">
        <f ca="1">IFERROR(__xludf.DUMMYFUNCTION("""COMPUTED_VALUE"""),"Uber")</f>
        <v>Uber</v>
      </c>
      <c r="G353" s="1" t="str">
        <f ca="1">IFERROR(__xludf.DUMMYFUNCTION("""COMPUTED_VALUE"""),"Uber/99")</f>
        <v>Uber/99</v>
      </c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7">
        <f ca="1">IFERROR(__xludf.DUMMYFUNCTION("""COMPUTED_VALUE"""),45839)</f>
        <v>45839</v>
      </c>
      <c r="B354" s="7">
        <f ca="1">IFERROR(__xludf.DUMMYFUNCTION("""COMPUTED_VALUE"""),45810)</f>
        <v>45810</v>
      </c>
      <c r="C354" s="1" t="str">
        <f ca="1">IFERROR(__xludf.DUMMYFUNCTION("""COMPUTED_VALUE"""),"Uber")</f>
        <v>Uber</v>
      </c>
      <c r="D354" s="2">
        <f ca="1">IFERROR(__xludf.DUMMYFUNCTION("""COMPUTED_VALUE"""),25.98)</f>
        <v>25.98</v>
      </c>
      <c r="E354" s="1" t="str">
        <f ca="1">IFERROR(__xludf.DUMMYFUNCTION("""COMPUTED_VALUE"""),"-")</f>
        <v>-</v>
      </c>
      <c r="F354" s="1" t="str">
        <f ca="1">IFERROR(__xludf.DUMMYFUNCTION("""COMPUTED_VALUE"""),"Uber")</f>
        <v>Uber</v>
      </c>
      <c r="G354" s="1" t="str">
        <f ca="1">IFERROR(__xludf.DUMMYFUNCTION("""COMPUTED_VALUE"""),"Uber/99")</f>
        <v>Uber/99</v>
      </c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7">
        <f ca="1">IFERROR(__xludf.DUMMYFUNCTION("""COMPUTED_VALUE"""),45839)</f>
        <v>45839</v>
      </c>
      <c r="B355" s="7">
        <f ca="1">IFERROR(__xludf.DUMMYFUNCTION("""COMPUTED_VALUE"""),45810)</f>
        <v>45810</v>
      </c>
      <c r="C355" s="1">
        <f ca="1">IFERROR(__xludf.DUMMYFUNCTION("""COMPUTED_VALUE"""),99)</f>
        <v>99</v>
      </c>
      <c r="D355" s="2">
        <f ca="1">IFERROR(__xludf.DUMMYFUNCTION("""COMPUTED_VALUE"""),21.6)</f>
        <v>21.6</v>
      </c>
      <c r="E355" s="1" t="str">
        <f ca="1">IFERROR(__xludf.DUMMYFUNCTION("""COMPUTED_VALUE"""),"-")</f>
        <v>-</v>
      </c>
      <c r="F355" s="1" t="str">
        <f ca="1">IFERROR(__xludf.DUMMYFUNCTION("""COMPUTED_VALUE"""),"99")</f>
        <v>99</v>
      </c>
      <c r="G355" s="1" t="str">
        <f ca="1">IFERROR(__xludf.DUMMYFUNCTION("""COMPUTED_VALUE"""),"Uber/99")</f>
        <v>Uber/99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7">
        <f ca="1">IFERROR(__xludf.DUMMYFUNCTION("""COMPUTED_VALUE"""),45839)</f>
        <v>45839</v>
      </c>
      <c r="B356" s="7">
        <f ca="1">IFERROR(__xludf.DUMMYFUNCTION("""COMPUTED_VALUE"""),45811)</f>
        <v>45811</v>
      </c>
      <c r="C356" s="1" t="str">
        <f ca="1">IFERROR(__xludf.DUMMYFUNCTION("""COMPUTED_VALUE"""),"Amazon")</f>
        <v>Amazon</v>
      </c>
      <c r="D356" s="2">
        <f ca="1">IFERROR(__xludf.DUMMYFUNCTION("""COMPUTED_VALUE"""),38.25)</f>
        <v>38.25</v>
      </c>
      <c r="E356" s="1" t="str">
        <f ca="1">IFERROR(__xludf.DUMMYFUNCTION("""COMPUTED_VALUE"""),"-")</f>
        <v>-</v>
      </c>
      <c r="F356" s="1" t="str">
        <f ca="1">IFERROR(__xludf.DUMMYFUNCTION("""COMPUTED_VALUE"""),"Amazon")</f>
        <v>Amazon</v>
      </c>
      <c r="G356" s="1" t="str">
        <f ca="1">IFERROR(__xludf.DUMMYFUNCTION("""COMPUTED_VALUE"""),"Compras")</f>
        <v>Compras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7">
        <f ca="1">IFERROR(__xludf.DUMMYFUNCTION("""COMPUTED_VALUE"""),45839)</f>
        <v>45839</v>
      </c>
      <c r="B357" s="7">
        <f ca="1">IFERROR(__xludf.DUMMYFUNCTION("""COMPUTED_VALUE"""),45812)</f>
        <v>45812</v>
      </c>
      <c r="C357" s="1" t="str">
        <f ca="1">IFERROR(__xludf.DUMMYFUNCTION("""COMPUTED_VALUE"""),"Amazon")</f>
        <v>Amazon</v>
      </c>
      <c r="D357" s="2">
        <f ca="1">IFERROR(__xludf.DUMMYFUNCTION("""COMPUTED_VALUE"""),24.61)</f>
        <v>24.61</v>
      </c>
      <c r="E357" s="1" t="str">
        <f ca="1">IFERROR(__xludf.DUMMYFUNCTION("""COMPUTED_VALUE"""),"-")</f>
        <v>-</v>
      </c>
      <c r="F357" s="1" t="str">
        <f ca="1">IFERROR(__xludf.DUMMYFUNCTION("""COMPUTED_VALUE"""),"Amazon")</f>
        <v>Amazon</v>
      </c>
      <c r="G357" s="1" t="str">
        <f ca="1">IFERROR(__xludf.DUMMYFUNCTION("""COMPUTED_VALUE"""),"Compras")</f>
        <v>Compras</v>
      </c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7">
        <f ca="1">IFERROR(__xludf.DUMMYFUNCTION("""COMPUTED_VALUE"""),45839)</f>
        <v>45839</v>
      </c>
      <c r="B358" s="7">
        <f ca="1">IFERROR(__xludf.DUMMYFUNCTION("""COMPUTED_VALUE"""),45813)</f>
        <v>45813</v>
      </c>
      <c r="C358" s="1" t="str">
        <f ca="1">IFERROR(__xludf.DUMMYFUNCTION("""COMPUTED_VALUE"""),"Petrobrasprem")</f>
        <v>Petrobrasprem</v>
      </c>
      <c r="D358" s="2">
        <f ca="1">IFERROR(__xludf.DUMMYFUNCTION("""COMPUTED_VALUE"""),278.06)</f>
        <v>278.06</v>
      </c>
      <c r="E358" s="1" t="str">
        <f ca="1">IFERROR(__xludf.DUMMYFUNCTION("""COMPUTED_VALUE"""),"-")</f>
        <v>-</v>
      </c>
      <c r="F358" s="1" t="str">
        <f ca="1">IFERROR(__xludf.DUMMYFUNCTION("""COMPUTED_VALUE"""),"Petrobrasprem")</f>
        <v>Petrobrasprem</v>
      </c>
      <c r="G358" s="1" t="str">
        <f ca="1">IFERROR(__xludf.DUMMYFUNCTION("""COMPUTED_VALUE"""),"Carro")</f>
        <v>Carro</v>
      </c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7">
        <f ca="1">IFERROR(__xludf.DUMMYFUNCTION("""COMPUTED_VALUE"""),45839)</f>
        <v>45839</v>
      </c>
      <c r="B359" s="7">
        <f ca="1">IFERROR(__xludf.DUMMYFUNCTION("""COMPUTED_VALUE"""),45813)</f>
        <v>45813</v>
      </c>
      <c r="C359" s="1">
        <f ca="1">IFERROR(__xludf.DUMMYFUNCTION("""COMPUTED_VALUE"""),99)</f>
        <v>99</v>
      </c>
      <c r="D359" s="2">
        <f ca="1">IFERROR(__xludf.DUMMYFUNCTION("""COMPUTED_VALUE"""),10.53)</f>
        <v>10.53</v>
      </c>
      <c r="E359" s="1" t="str">
        <f ca="1">IFERROR(__xludf.DUMMYFUNCTION("""COMPUTED_VALUE"""),"-")</f>
        <v>-</v>
      </c>
      <c r="F359" s="1" t="str">
        <f ca="1">IFERROR(__xludf.DUMMYFUNCTION("""COMPUTED_VALUE"""),"99")</f>
        <v>99</v>
      </c>
      <c r="G359" s="1" t="str">
        <f ca="1">IFERROR(__xludf.DUMMYFUNCTION("""COMPUTED_VALUE"""),"Uber/99")</f>
        <v>Uber/99</v>
      </c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7">
        <f ca="1">IFERROR(__xludf.DUMMYFUNCTION("""COMPUTED_VALUE"""),45839)</f>
        <v>45839</v>
      </c>
      <c r="B360" s="7">
        <f ca="1">IFERROR(__xludf.DUMMYFUNCTION("""COMPUTED_VALUE"""),45816)</f>
        <v>45816</v>
      </c>
      <c r="C360" s="1" t="str">
        <f ca="1">IFERROR(__xludf.DUMMYFUNCTION("""COMPUTED_VALUE"""),"Livelo")</f>
        <v>Livelo</v>
      </c>
      <c r="D360" s="2">
        <f ca="1">IFERROR(__xludf.DUMMYFUNCTION("""COMPUTED_VALUE"""),177.98)</f>
        <v>177.98</v>
      </c>
      <c r="E360" s="1" t="str">
        <f ca="1">IFERROR(__xludf.DUMMYFUNCTION("""COMPUTED_VALUE"""),"-")</f>
        <v>-</v>
      </c>
      <c r="F360" s="1" t="str">
        <f ca="1">IFERROR(__xludf.DUMMYFUNCTION("""COMPUTED_VALUE"""),"Livelo")</f>
        <v>Livelo</v>
      </c>
      <c r="G360" s="1" t="str">
        <f ca="1">IFERROR(__xludf.DUMMYFUNCTION("""COMPUTED_VALUE"""),"-")</f>
        <v>-</v>
      </c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7">
        <f ca="1">IFERROR(__xludf.DUMMYFUNCTION("""COMPUTED_VALUE"""),45839)</f>
        <v>45839</v>
      </c>
      <c r="B361" s="7">
        <f ca="1">IFERROR(__xludf.DUMMYFUNCTION("""COMPUTED_VALUE"""),45817)</f>
        <v>45817</v>
      </c>
      <c r="C361" s="1" t="str">
        <f ca="1">IFERROR(__xludf.DUMMYFUNCTION("""COMPUTED_VALUE"""),"Mercado Livre")</f>
        <v>Mercado Livre</v>
      </c>
      <c r="D361" s="2">
        <f ca="1">IFERROR(__xludf.DUMMYFUNCTION("""COMPUTED_VALUE"""),65.09)</f>
        <v>65.09</v>
      </c>
      <c r="E361" s="1" t="str">
        <f ca="1">IFERROR(__xludf.DUMMYFUNCTION("""COMPUTED_VALUE"""),"-")</f>
        <v>-</v>
      </c>
      <c r="F361" s="1" t="str">
        <f ca="1">IFERROR(__xludf.DUMMYFUNCTION("""COMPUTED_VALUE"""),"Mercado Livre")</f>
        <v>Mercado Livre</v>
      </c>
      <c r="G361" s="1" t="str">
        <f ca="1">IFERROR(__xludf.DUMMYFUNCTION("""COMPUTED_VALUE"""),"Compras")</f>
        <v>Compras</v>
      </c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7">
        <f ca="1">IFERROR(__xludf.DUMMYFUNCTION("""COMPUTED_VALUE"""),45839)</f>
        <v>45839</v>
      </c>
      <c r="B362" s="7">
        <f ca="1">IFERROR(__xludf.DUMMYFUNCTION("""COMPUTED_VALUE"""),45817)</f>
        <v>45817</v>
      </c>
      <c r="C362" s="1" t="str">
        <f ca="1">IFERROR(__xludf.DUMMYFUNCTION("""COMPUTED_VALUE"""),"Amazon")</f>
        <v>Amazon</v>
      </c>
      <c r="D362" s="2">
        <f ca="1">IFERROR(__xludf.DUMMYFUNCTION("""COMPUTED_VALUE"""),99.9)</f>
        <v>99.9</v>
      </c>
      <c r="E362" s="1" t="str">
        <f ca="1">IFERROR(__xludf.DUMMYFUNCTION("""COMPUTED_VALUE"""),"-")</f>
        <v>-</v>
      </c>
      <c r="F362" s="1" t="str">
        <f ca="1">IFERROR(__xludf.DUMMYFUNCTION("""COMPUTED_VALUE"""),"Amazon")</f>
        <v>Amazon</v>
      </c>
      <c r="G362" s="1" t="str">
        <f ca="1">IFERROR(__xludf.DUMMYFUNCTION("""COMPUTED_VALUE"""),"Compras")</f>
        <v>Compras</v>
      </c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7">
        <f ca="1">IFERROR(__xludf.DUMMYFUNCTION("""COMPUTED_VALUE"""),45839)</f>
        <v>45839</v>
      </c>
      <c r="B363" s="7">
        <f ca="1">IFERROR(__xludf.DUMMYFUNCTION("""COMPUTED_VALUE"""),45818)</f>
        <v>45818</v>
      </c>
      <c r="C363" s="1" t="str">
        <f ca="1">IFERROR(__xludf.DUMMYFUNCTION("""COMPUTED_VALUE"""),"Spotify")</f>
        <v>Spotify</v>
      </c>
      <c r="D363" s="2">
        <f ca="1">IFERROR(__xludf.DUMMYFUNCTION("""COMPUTED_VALUE"""),34.9)</f>
        <v>34.9</v>
      </c>
      <c r="E363" s="1" t="str">
        <f ca="1">IFERROR(__xludf.DUMMYFUNCTION("""COMPUTED_VALUE"""),"-")</f>
        <v>-</v>
      </c>
      <c r="F363" s="1" t="str">
        <f ca="1">IFERROR(__xludf.DUMMYFUNCTION("""COMPUTED_VALUE"""),"Spotify")</f>
        <v>Spotify</v>
      </c>
      <c r="G363" s="1" t="str">
        <f ca="1">IFERROR(__xludf.DUMMYFUNCTION("""COMPUTED_VALUE"""),"Assinatura")</f>
        <v>Assinatura</v>
      </c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7">
        <f ca="1">IFERROR(__xludf.DUMMYFUNCTION("""COMPUTED_VALUE"""),45839)</f>
        <v>45839</v>
      </c>
      <c r="B364" s="7">
        <f ca="1">IFERROR(__xludf.DUMMYFUNCTION("""COMPUTED_VALUE"""),45819)</f>
        <v>45819</v>
      </c>
      <c r="C364" s="1" t="str">
        <f ca="1">IFERROR(__xludf.DUMMYFUNCTION("""COMPUTED_VALUE"""),"Amazon")</f>
        <v>Amazon</v>
      </c>
      <c r="D364" s="2">
        <f ca="1">IFERROR(__xludf.DUMMYFUNCTION("""COMPUTED_VALUE"""),149.9)</f>
        <v>149.9</v>
      </c>
      <c r="E364" s="1" t="str">
        <f ca="1">IFERROR(__xludf.DUMMYFUNCTION("""COMPUTED_VALUE"""),"-")</f>
        <v>-</v>
      </c>
      <c r="F364" s="1" t="str">
        <f ca="1">IFERROR(__xludf.DUMMYFUNCTION("""COMPUTED_VALUE"""),"Amazon")</f>
        <v>Amazon</v>
      </c>
      <c r="G364" s="1" t="str">
        <f ca="1">IFERROR(__xludf.DUMMYFUNCTION("""COMPUTED_VALUE"""),"Compras")</f>
        <v>Compras</v>
      </c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7">
        <f ca="1">IFERROR(__xludf.DUMMYFUNCTION("""COMPUTED_VALUE"""),45839)</f>
        <v>45839</v>
      </c>
      <c r="B365" s="7">
        <f ca="1">IFERROR(__xludf.DUMMYFUNCTION("""COMPUTED_VALUE"""),45821)</f>
        <v>45821</v>
      </c>
      <c r="C365" s="1" t="str">
        <f ca="1">IFERROR(__xludf.DUMMYFUNCTION("""COMPUTED_VALUE"""),"Amazon")</f>
        <v>Amazon</v>
      </c>
      <c r="D365" s="2">
        <f ca="1">IFERROR(__xludf.DUMMYFUNCTION("""COMPUTED_VALUE"""),83.47)</f>
        <v>83.47</v>
      </c>
      <c r="E365" s="1" t="str">
        <f ca="1">IFERROR(__xludf.DUMMYFUNCTION("""COMPUTED_VALUE"""),"-")</f>
        <v>-</v>
      </c>
      <c r="F365" s="1" t="str">
        <f ca="1">IFERROR(__xludf.DUMMYFUNCTION("""COMPUTED_VALUE"""),"Amazon")</f>
        <v>Amazon</v>
      </c>
      <c r="G365" s="1" t="str">
        <f ca="1">IFERROR(__xludf.DUMMYFUNCTION("""COMPUTED_VALUE"""),"Compras")</f>
        <v>Compras</v>
      </c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7">
        <f ca="1">IFERROR(__xludf.DUMMYFUNCTION("""COMPUTED_VALUE"""),45839)</f>
        <v>45839</v>
      </c>
      <c r="B366" s="7">
        <f ca="1">IFERROR(__xludf.DUMMYFUNCTION("""COMPUTED_VALUE"""),45821)</f>
        <v>45821</v>
      </c>
      <c r="C366" s="1" t="str">
        <f ca="1">IFERROR(__xludf.DUMMYFUNCTION("""COMPUTED_VALUE"""),"Amazon")</f>
        <v>Amazon</v>
      </c>
      <c r="D366" s="2">
        <f ca="1">IFERROR(__xludf.DUMMYFUNCTION("""COMPUTED_VALUE"""),48.08)</f>
        <v>48.08</v>
      </c>
      <c r="E366" s="1" t="str">
        <f ca="1">IFERROR(__xludf.DUMMYFUNCTION("""COMPUTED_VALUE"""),"-")</f>
        <v>-</v>
      </c>
      <c r="F366" s="1" t="str">
        <f ca="1">IFERROR(__xludf.DUMMYFUNCTION("""COMPUTED_VALUE"""),"Amazon")</f>
        <v>Amazon</v>
      </c>
      <c r="G366" s="1" t="str">
        <f ca="1">IFERROR(__xludf.DUMMYFUNCTION("""COMPUTED_VALUE"""),"Compras")</f>
        <v>Compras</v>
      </c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7">
        <f ca="1">IFERROR(__xludf.DUMMYFUNCTION("""COMPUTED_VALUE"""),45839)</f>
        <v>45839</v>
      </c>
      <c r="B367" s="7">
        <f ca="1">IFERROR(__xludf.DUMMYFUNCTION("""COMPUTED_VALUE"""),45822)</f>
        <v>45822</v>
      </c>
      <c r="C367" s="1" t="str">
        <f ca="1">IFERROR(__xludf.DUMMYFUNCTION("""COMPUTED_VALUE"""),"Youtube")</f>
        <v>Youtube</v>
      </c>
      <c r="D367" s="2">
        <f ca="1">IFERROR(__xludf.DUMMYFUNCTION("""COMPUTED_VALUE"""),19.99)</f>
        <v>19.989999999999998</v>
      </c>
      <c r="E367" s="1" t="str">
        <f ca="1">IFERROR(__xludf.DUMMYFUNCTION("""COMPUTED_VALUE"""),"-")</f>
        <v>-</v>
      </c>
      <c r="F367" s="1" t="str">
        <f ca="1">IFERROR(__xludf.DUMMYFUNCTION("""COMPUTED_VALUE"""),"Youtube")</f>
        <v>Youtube</v>
      </c>
      <c r="G367" s="1" t="str">
        <f ca="1">IFERROR(__xludf.DUMMYFUNCTION("""COMPUTED_VALUE"""),"Assinatura")</f>
        <v>Assinatura</v>
      </c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7">
        <f ca="1">IFERROR(__xludf.DUMMYFUNCTION("""COMPUTED_VALUE"""),45839)</f>
        <v>45839</v>
      </c>
      <c r="B368" s="7">
        <f ca="1">IFERROR(__xludf.DUMMYFUNCTION("""COMPUTED_VALUE"""),45822)</f>
        <v>45822</v>
      </c>
      <c r="C368" s="1" t="str">
        <f ca="1">IFERROR(__xludf.DUMMYFUNCTION("""COMPUTED_VALUE"""),"Amazon")</f>
        <v>Amazon</v>
      </c>
      <c r="D368" s="2">
        <f ca="1">IFERROR(__xludf.DUMMYFUNCTION("""COMPUTED_VALUE"""),4.74)</f>
        <v>4.74</v>
      </c>
      <c r="E368" s="1" t="str">
        <f ca="1">IFERROR(__xludf.DUMMYFUNCTION("""COMPUTED_VALUE"""),"-")</f>
        <v>-</v>
      </c>
      <c r="F368" s="1" t="str">
        <f ca="1">IFERROR(__xludf.DUMMYFUNCTION("""COMPUTED_VALUE"""),"Amazon")</f>
        <v>Amazon</v>
      </c>
      <c r="G368" s="1" t="str">
        <f ca="1">IFERROR(__xludf.DUMMYFUNCTION("""COMPUTED_VALUE"""),"Compras")</f>
        <v>Compras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7">
        <f ca="1">IFERROR(__xludf.DUMMYFUNCTION("""COMPUTED_VALUE"""),45839)</f>
        <v>45839</v>
      </c>
      <c r="B369" s="7">
        <f ca="1">IFERROR(__xludf.DUMMYFUNCTION("""COMPUTED_VALUE"""),45822)</f>
        <v>45822</v>
      </c>
      <c r="C369" s="1" t="str">
        <f ca="1">IFERROR(__xludf.DUMMYFUNCTION("""COMPUTED_VALUE"""),"Amazon")</f>
        <v>Amazon</v>
      </c>
      <c r="D369" s="2">
        <f ca="1">IFERROR(__xludf.DUMMYFUNCTION("""COMPUTED_VALUE"""),51.9)</f>
        <v>51.9</v>
      </c>
      <c r="E369" s="1" t="str">
        <f ca="1">IFERROR(__xludf.DUMMYFUNCTION("""COMPUTED_VALUE"""),"-")</f>
        <v>-</v>
      </c>
      <c r="F369" s="1" t="str">
        <f ca="1">IFERROR(__xludf.DUMMYFUNCTION("""COMPUTED_VALUE"""),"Amazon")</f>
        <v>Amazon</v>
      </c>
      <c r="G369" s="1" t="str">
        <f ca="1">IFERROR(__xludf.DUMMYFUNCTION("""COMPUTED_VALUE"""),"Compras")</f>
        <v>Compras</v>
      </c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7">
        <f ca="1">IFERROR(__xludf.DUMMYFUNCTION("""COMPUTED_VALUE"""),45839)</f>
        <v>45839</v>
      </c>
      <c r="B370" s="7">
        <f ca="1">IFERROR(__xludf.DUMMYFUNCTION("""COMPUTED_VALUE"""),45822)</f>
        <v>45822</v>
      </c>
      <c r="C370" s="1" t="str">
        <f ca="1">IFERROR(__xludf.DUMMYFUNCTION("""COMPUTED_VALUE"""),"Farmácias Pa 324")</f>
        <v>Farmácias Pa 324</v>
      </c>
      <c r="D370" s="2">
        <f ca="1">IFERROR(__xludf.DUMMYFUNCTION("""COMPUTED_VALUE"""),86.39)</f>
        <v>86.39</v>
      </c>
      <c r="E370" s="1" t="str">
        <f ca="1">IFERROR(__xludf.DUMMYFUNCTION("""COMPUTED_VALUE"""),"-")</f>
        <v>-</v>
      </c>
      <c r="F370" s="1" t="str">
        <f ca="1">IFERROR(__xludf.DUMMYFUNCTION("""COMPUTED_VALUE"""),"Farmácias Pa 324")</f>
        <v>Farmácias Pa 324</v>
      </c>
      <c r="G370" s="1" t="str">
        <f ca="1">IFERROR(__xludf.DUMMYFUNCTION("""COMPUTED_VALUE"""),"-")</f>
        <v>-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7">
        <f ca="1">IFERROR(__xludf.DUMMYFUNCTION("""COMPUTED_VALUE"""),45839)</f>
        <v>45839</v>
      </c>
      <c r="B371" s="7">
        <f ca="1">IFERROR(__xludf.DUMMYFUNCTION("""COMPUTED_VALUE"""),45823)</f>
        <v>45823</v>
      </c>
      <c r="C371" s="1" t="str">
        <f ca="1">IFERROR(__xludf.DUMMYFUNCTION("""COMPUTED_VALUE"""),"Mercado Livre")</f>
        <v>Mercado Livre</v>
      </c>
      <c r="D371" s="2">
        <f ca="1">IFERROR(__xludf.DUMMYFUNCTION("""COMPUTED_VALUE"""),125.93)</f>
        <v>125.93</v>
      </c>
      <c r="E371" s="1" t="str">
        <f ca="1">IFERROR(__xludf.DUMMYFUNCTION("""COMPUTED_VALUE"""),"-")</f>
        <v>-</v>
      </c>
      <c r="F371" s="1" t="str">
        <f ca="1">IFERROR(__xludf.DUMMYFUNCTION("""COMPUTED_VALUE"""),"Mercado Livre")</f>
        <v>Mercado Livre</v>
      </c>
      <c r="G371" s="1" t="str">
        <f ca="1">IFERROR(__xludf.DUMMYFUNCTION("""COMPUTED_VALUE"""),"Compras")</f>
        <v>Compras</v>
      </c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7">
        <f ca="1">IFERROR(__xludf.DUMMYFUNCTION("""COMPUTED_VALUE"""),45839)</f>
        <v>45839</v>
      </c>
      <c r="B372" s="7">
        <f ca="1">IFERROR(__xludf.DUMMYFUNCTION("""COMPUTED_VALUE"""),45824)</f>
        <v>45824</v>
      </c>
      <c r="C372" s="1" t="str">
        <f ca="1">IFERROR(__xludf.DUMMYFUNCTION("""COMPUTED_VALUE"""),"Unisant")</f>
        <v>Unisant</v>
      </c>
      <c r="D372" s="2">
        <f ca="1">IFERROR(__xludf.DUMMYFUNCTION("""COMPUTED_VALUE"""),225.53)</f>
        <v>225.53</v>
      </c>
      <c r="E372" s="1" t="str">
        <f ca="1">IFERROR(__xludf.DUMMYFUNCTION("""COMPUTED_VALUE"""),"-")</f>
        <v>-</v>
      </c>
      <c r="F372" s="1" t="str">
        <f ca="1">IFERROR(__xludf.DUMMYFUNCTION("""COMPUTED_VALUE"""),"Unisant")</f>
        <v>Unisant</v>
      </c>
      <c r="G372" s="1" t="str">
        <f ca="1">IFERROR(__xludf.DUMMYFUNCTION("""COMPUTED_VALUE"""),"-")</f>
        <v>-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7">
        <f ca="1">IFERROR(__xludf.DUMMYFUNCTION("""COMPUTED_VALUE"""),45839)</f>
        <v>45839</v>
      </c>
      <c r="B373" s="7">
        <f ca="1">IFERROR(__xludf.DUMMYFUNCTION("""COMPUTED_VALUE"""),45824)</f>
        <v>45824</v>
      </c>
      <c r="C373" s="1" t="str">
        <f ca="1">IFERROR(__xludf.DUMMYFUNCTION("""COMPUTED_VALUE"""),"Amazon")</f>
        <v>Amazon</v>
      </c>
      <c r="D373" s="2">
        <f ca="1">IFERROR(__xludf.DUMMYFUNCTION("""COMPUTED_VALUE"""),25.08)</f>
        <v>25.08</v>
      </c>
      <c r="E373" s="1" t="str">
        <f ca="1">IFERROR(__xludf.DUMMYFUNCTION("""COMPUTED_VALUE"""),"-")</f>
        <v>-</v>
      </c>
      <c r="F373" s="1" t="str">
        <f ca="1">IFERROR(__xludf.DUMMYFUNCTION("""COMPUTED_VALUE"""),"Amazon")</f>
        <v>Amazon</v>
      </c>
      <c r="G373" s="1" t="str">
        <f ca="1">IFERROR(__xludf.DUMMYFUNCTION("""COMPUTED_VALUE"""),"Compras")</f>
        <v>Compras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7">
        <f ca="1">IFERROR(__xludf.DUMMYFUNCTION("""COMPUTED_VALUE"""),45839)</f>
        <v>45839</v>
      </c>
      <c r="B374" s="7">
        <f ca="1">IFERROR(__xludf.DUMMYFUNCTION("""COMPUTED_VALUE"""),45825)</f>
        <v>45825</v>
      </c>
      <c r="C374" s="1" t="str">
        <f ca="1">IFERROR(__xludf.DUMMYFUNCTION("""COMPUTED_VALUE"""),"Riachuelo Lo Riachuelo")</f>
        <v>Riachuelo Lo Riachuelo</v>
      </c>
      <c r="D374" s="2">
        <f ca="1">IFERROR(__xludf.DUMMYFUNCTION("""COMPUTED_VALUE"""),134.99)</f>
        <v>134.99</v>
      </c>
      <c r="E374" s="1" t="str">
        <f ca="1">IFERROR(__xludf.DUMMYFUNCTION("""COMPUTED_VALUE"""),"-")</f>
        <v>-</v>
      </c>
      <c r="F374" s="1" t="str">
        <f ca="1">IFERROR(__xludf.DUMMYFUNCTION("""COMPUTED_VALUE"""),"Riachuelo Lo Riachuelo")</f>
        <v>Riachuelo Lo Riachuelo</v>
      </c>
      <c r="G374" s="1" t="str">
        <f ca="1">IFERROR(__xludf.DUMMYFUNCTION("""COMPUTED_VALUE"""),"Compras")</f>
        <v>Compras</v>
      </c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7">
        <f ca="1">IFERROR(__xludf.DUMMYFUNCTION("""COMPUTED_VALUE"""),45839)</f>
        <v>45839</v>
      </c>
      <c r="B375" s="7">
        <f ca="1">IFERROR(__xludf.DUMMYFUNCTION("""COMPUTED_VALUE"""),45825)</f>
        <v>45825</v>
      </c>
      <c r="C375" s="1" t="str">
        <f ca="1">IFERROR(__xludf.DUMMYFUNCTION("""COMPUTED_VALUE"""),"Amazonmktplc Matellass")</f>
        <v>Amazonmktplc Matellass</v>
      </c>
      <c r="D375" s="2">
        <f ca="1">IFERROR(__xludf.DUMMYFUNCTION("""COMPUTED_VALUE"""),95.44)</f>
        <v>95.44</v>
      </c>
      <c r="E375" s="1" t="str">
        <f ca="1">IFERROR(__xludf.DUMMYFUNCTION("""COMPUTED_VALUE"""),"-")</f>
        <v>-</v>
      </c>
      <c r="F375" s="1" t="str">
        <f ca="1">IFERROR(__xludf.DUMMYFUNCTION("""COMPUTED_VALUE"""),"Amazonmktplc")</f>
        <v>Amazonmktplc</v>
      </c>
      <c r="G375" s="1" t="str">
        <f ca="1">IFERROR(__xludf.DUMMYFUNCTION("""COMPUTED_VALUE"""),"Compras")</f>
        <v>Compras</v>
      </c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7">
        <f ca="1">IFERROR(__xludf.DUMMYFUNCTION("""COMPUTED_VALUE"""),45839)</f>
        <v>45839</v>
      </c>
      <c r="B376" s="7">
        <f ca="1">IFERROR(__xludf.DUMMYFUNCTION("""COMPUTED_VALUE"""),45826)</f>
        <v>45826</v>
      </c>
      <c r="C376" s="1" t="str">
        <f ca="1">IFERROR(__xludf.DUMMYFUNCTION("""COMPUTED_VALUE"""),"Elo7")</f>
        <v>Elo7</v>
      </c>
      <c r="D376" s="2">
        <f ca="1">IFERROR(__xludf.DUMMYFUNCTION("""COMPUTED_VALUE"""),63.15)</f>
        <v>63.15</v>
      </c>
      <c r="E376" s="1" t="str">
        <f ca="1">IFERROR(__xludf.DUMMYFUNCTION("""COMPUTED_VALUE"""),"-")</f>
        <v>-</v>
      </c>
      <c r="F376" s="1" t="str">
        <f ca="1">IFERROR(__xludf.DUMMYFUNCTION("""COMPUTED_VALUE"""),"Elo7")</f>
        <v>Elo7</v>
      </c>
      <c r="G376" s="1" t="str">
        <f ca="1">IFERROR(__xludf.DUMMYFUNCTION("""COMPUTED_VALUE"""),"-")</f>
        <v>-</v>
      </c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7">
        <f ca="1">IFERROR(__xludf.DUMMYFUNCTION("""COMPUTED_VALUE"""),45839)</f>
        <v>45839</v>
      </c>
      <c r="B377" s="7">
        <f ca="1">IFERROR(__xludf.DUMMYFUNCTION("""COMPUTED_VALUE"""),45826)</f>
        <v>45826</v>
      </c>
      <c r="C377" s="1" t="str">
        <f ca="1">IFERROR(__xludf.DUMMYFUNCTION("""COMPUTED_VALUE"""),"Drogaria Araujo")</f>
        <v>Drogaria Araujo</v>
      </c>
      <c r="D377" s="2">
        <f ca="1">IFERROR(__xludf.DUMMYFUNCTION("""COMPUTED_VALUE"""),198.56)</f>
        <v>198.56</v>
      </c>
      <c r="E377" s="1" t="str">
        <f ca="1">IFERROR(__xludf.DUMMYFUNCTION("""COMPUTED_VALUE"""),"-")</f>
        <v>-</v>
      </c>
      <c r="F377" s="1" t="str">
        <f ca="1">IFERROR(__xludf.DUMMYFUNCTION("""COMPUTED_VALUE"""),"Drogaria Araujo")</f>
        <v>Drogaria Araujo</v>
      </c>
      <c r="G377" s="1" t="str">
        <f ca="1">IFERROR(__xludf.DUMMYFUNCTION("""COMPUTED_VALUE"""),"Compras")</f>
        <v>Compras</v>
      </c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7">
        <f ca="1">IFERROR(__xludf.DUMMYFUNCTION("""COMPUTED_VALUE"""),45839)</f>
        <v>45839</v>
      </c>
      <c r="B378" s="7">
        <f ca="1">IFERROR(__xludf.DUMMYFUNCTION("""COMPUTED_VALUE"""),45826)</f>
        <v>45826</v>
      </c>
      <c r="C378" s="1" t="str">
        <f ca="1">IFERROR(__xludf.DUMMYFUNCTION("""COMPUTED_VALUE"""),"Drogaria Pacheco")</f>
        <v>Drogaria Pacheco</v>
      </c>
      <c r="D378" s="2">
        <f ca="1">IFERROR(__xludf.DUMMYFUNCTION("""COMPUTED_VALUE"""),26.9)</f>
        <v>26.9</v>
      </c>
      <c r="E378" s="1" t="str">
        <f ca="1">IFERROR(__xludf.DUMMYFUNCTION("""COMPUTED_VALUE"""),"-")</f>
        <v>-</v>
      </c>
      <c r="F378" s="1" t="str">
        <f ca="1">IFERROR(__xludf.DUMMYFUNCTION("""COMPUTED_VALUE"""),"Drogaria Pacheco")</f>
        <v>Drogaria Pacheco</v>
      </c>
      <c r="G378" s="1" t="str">
        <f ca="1">IFERROR(__xludf.DUMMYFUNCTION("""COMPUTED_VALUE"""),"Compras")</f>
        <v>Compras</v>
      </c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7">
        <f ca="1">IFERROR(__xludf.DUMMYFUNCTION("""COMPUTED_VALUE"""),45839)</f>
        <v>45839</v>
      </c>
      <c r="B379" s="7">
        <f ca="1">IFERROR(__xludf.DUMMYFUNCTION("""COMPUTED_VALUE"""),45826)</f>
        <v>45826</v>
      </c>
      <c r="C379" s="1" t="str">
        <f ca="1">IFERROR(__xludf.DUMMYFUNCTION("""COMPUTED_VALUE"""),"Drogaria Araujo")</f>
        <v>Drogaria Araujo</v>
      </c>
      <c r="D379" s="2">
        <f ca="1">IFERROR(__xludf.DUMMYFUNCTION("""COMPUTED_VALUE"""),12.99)</f>
        <v>12.99</v>
      </c>
      <c r="E379" s="1" t="str">
        <f ca="1">IFERROR(__xludf.DUMMYFUNCTION("""COMPUTED_VALUE"""),"-")</f>
        <v>-</v>
      </c>
      <c r="F379" s="1" t="str">
        <f ca="1">IFERROR(__xludf.DUMMYFUNCTION("""COMPUTED_VALUE"""),"Drogaria Araujo")</f>
        <v>Drogaria Araujo</v>
      </c>
      <c r="G379" s="1" t="str">
        <f ca="1">IFERROR(__xludf.DUMMYFUNCTION("""COMPUTED_VALUE"""),"Compras")</f>
        <v>Compras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7">
        <f ca="1">IFERROR(__xludf.DUMMYFUNCTION("""COMPUTED_VALUE"""),45839)</f>
        <v>45839</v>
      </c>
      <c r="B380" s="7">
        <f ca="1">IFERROR(__xludf.DUMMYFUNCTION("""COMPUTED_VALUE"""),45826)</f>
        <v>45826</v>
      </c>
      <c r="C380" s="1" t="str">
        <f ca="1">IFERROR(__xludf.DUMMYFUNCTION("""COMPUTED_VALUE"""),"Drogaria Araujo")</f>
        <v>Drogaria Araujo</v>
      </c>
      <c r="D380" s="2">
        <f ca="1">IFERROR(__xludf.DUMMYFUNCTION("""COMPUTED_VALUE"""),64.17)</f>
        <v>64.17</v>
      </c>
      <c r="E380" s="1" t="str">
        <f ca="1">IFERROR(__xludf.DUMMYFUNCTION("""COMPUTED_VALUE"""),"-")</f>
        <v>-</v>
      </c>
      <c r="F380" s="1" t="str">
        <f ca="1">IFERROR(__xludf.DUMMYFUNCTION("""COMPUTED_VALUE"""),"Drogaria Araujo")</f>
        <v>Drogaria Araujo</v>
      </c>
      <c r="G380" s="1" t="str">
        <f ca="1">IFERROR(__xludf.DUMMYFUNCTION("""COMPUTED_VALUE"""),"Compras")</f>
        <v>Compras</v>
      </c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7">
        <f ca="1">IFERROR(__xludf.DUMMYFUNCTION("""COMPUTED_VALUE"""),45839)</f>
        <v>45839</v>
      </c>
      <c r="B381" s="7">
        <f ca="1">IFERROR(__xludf.DUMMYFUNCTION("""COMPUTED_VALUE"""),45826)</f>
        <v>45826</v>
      </c>
      <c r="C381" s="1" t="str">
        <f ca="1">IFERROR(__xludf.DUMMYFUNCTION("""COMPUTED_VALUE"""),"Drogaria Araujo")</f>
        <v>Drogaria Araujo</v>
      </c>
      <c r="D381" s="2">
        <f ca="1">IFERROR(__xludf.DUMMYFUNCTION("""COMPUTED_VALUE"""),10.98)</f>
        <v>10.98</v>
      </c>
      <c r="E381" s="1" t="str">
        <f ca="1">IFERROR(__xludf.DUMMYFUNCTION("""COMPUTED_VALUE"""),"-")</f>
        <v>-</v>
      </c>
      <c r="F381" s="1" t="str">
        <f ca="1">IFERROR(__xludf.DUMMYFUNCTION("""COMPUTED_VALUE"""),"Drogaria Araujo")</f>
        <v>Drogaria Araujo</v>
      </c>
      <c r="G381" s="1" t="str">
        <f ca="1">IFERROR(__xludf.DUMMYFUNCTION("""COMPUTED_VALUE"""),"Compras")</f>
        <v>Compras</v>
      </c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7">
        <f ca="1">IFERROR(__xludf.DUMMYFUNCTION("""COMPUTED_VALUE"""),45839)</f>
        <v>45839</v>
      </c>
      <c r="B382" s="7">
        <f ca="1">IFERROR(__xludf.DUMMYFUNCTION("""COMPUTED_VALUE"""),45826)</f>
        <v>45826</v>
      </c>
      <c r="C382" s="1" t="str">
        <f ca="1">IFERROR(__xludf.DUMMYFUNCTION("""COMPUTED_VALUE"""),"Amazon")</f>
        <v>Amazon</v>
      </c>
      <c r="D382" s="2">
        <f ca="1">IFERROR(__xludf.DUMMYFUNCTION("""COMPUTED_VALUE"""),32.36)</f>
        <v>32.36</v>
      </c>
      <c r="E382" s="1" t="str">
        <f ca="1">IFERROR(__xludf.DUMMYFUNCTION("""COMPUTED_VALUE"""),"-")</f>
        <v>-</v>
      </c>
      <c r="F382" s="1" t="str">
        <f ca="1">IFERROR(__xludf.DUMMYFUNCTION("""COMPUTED_VALUE"""),"Amazon")</f>
        <v>Amazon</v>
      </c>
      <c r="G382" s="1" t="str">
        <f ca="1">IFERROR(__xludf.DUMMYFUNCTION("""COMPUTED_VALUE"""),"Compras")</f>
        <v>Compras</v>
      </c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7">
        <f ca="1">IFERROR(__xludf.DUMMYFUNCTION("""COMPUTED_VALUE"""),45839)</f>
        <v>45839</v>
      </c>
      <c r="B383" s="7">
        <f ca="1">IFERROR(__xludf.DUMMYFUNCTION("""COMPUTED_VALUE"""),45826)</f>
        <v>45826</v>
      </c>
      <c r="C383" s="1" t="str">
        <f ca="1">IFERROR(__xludf.DUMMYFUNCTION("""COMPUTED_VALUE"""),"Drogaria Pacheco")</f>
        <v>Drogaria Pacheco</v>
      </c>
      <c r="D383" s="2">
        <f ca="1">IFERROR(__xludf.DUMMYFUNCTION("""COMPUTED_VALUE"""),57.98)</f>
        <v>57.98</v>
      </c>
      <c r="E383" s="1" t="str">
        <f ca="1">IFERROR(__xludf.DUMMYFUNCTION("""COMPUTED_VALUE"""),"-")</f>
        <v>-</v>
      </c>
      <c r="F383" s="1" t="str">
        <f ca="1">IFERROR(__xludf.DUMMYFUNCTION("""COMPUTED_VALUE"""),"Drogaria Pacheco")</f>
        <v>Drogaria Pacheco</v>
      </c>
      <c r="G383" s="1" t="str">
        <f ca="1">IFERROR(__xludf.DUMMYFUNCTION("""COMPUTED_VALUE"""),"Compras")</f>
        <v>Compras</v>
      </c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7">
        <f ca="1">IFERROR(__xludf.DUMMYFUNCTION("""COMPUTED_VALUE"""),45839)</f>
        <v>45839</v>
      </c>
      <c r="B384" s="7">
        <f ca="1">IFERROR(__xludf.DUMMYFUNCTION("""COMPUTED_VALUE"""),45829)</f>
        <v>45829</v>
      </c>
      <c r="C384" s="1" t="str">
        <f ca="1">IFERROR(__xludf.DUMMYFUNCTION("""COMPUTED_VALUE"""),"Shopee")</f>
        <v>Shopee</v>
      </c>
      <c r="D384" s="2">
        <f ca="1">IFERROR(__xludf.DUMMYFUNCTION("""COMPUTED_VALUE"""),26.9)</f>
        <v>26.9</v>
      </c>
      <c r="E384" s="1" t="str">
        <f ca="1">IFERROR(__xludf.DUMMYFUNCTION("""COMPUTED_VALUE"""),"-")</f>
        <v>-</v>
      </c>
      <c r="F384" s="1" t="str">
        <f ca="1">IFERROR(__xludf.DUMMYFUNCTION("""COMPUTED_VALUE"""),"Shopee")</f>
        <v>Shopee</v>
      </c>
      <c r="G384" s="1" t="str">
        <f ca="1">IFERROR(__xludf.DUMMYFUNCTION("""COMPUTED_VALUE"""),"Compras")</f>
        <v>Compras</v>
      </c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7">
        <f ca="1">IFERROR(__xludf.DUMMYFUNCTION("""COMPUTED_VALUE"""),45839)</f>
        <v>45839</v>
      </c>
      <c r="B385" s="7">
        <f ca="1">IFERROR(__xludf.DUMMYFUNCTION("""COMPUTED_VALUE"""),45829)</f>
        <v>45829</v>
      </c>
      <c r="C385" s="1" t="str">
        <f ca="1">IFERROR(__xludf.DUMMYFUNCTION("""COMPUTED_VALUE"""),"Shopee")</f>
        <v>Shopee</v>
      </c>
      <c r="D385" s="2">
        <f ca="1">IFERROR(__xludf.DUMMYFUNCTION("""COMPUTED_VALUE"""),26.9)</f>
        <v>26.9</v>
      </c>
      <c r="E385" s="1" t="str">
        <f ca="1">IFERROR(__xludf.DUMMYFUNCTION("""COMPUTED_VALUE"""),"-")</f>
        <v>-</v>
      </c>
      <c r="F385" s="1" t="str">
        <f ca="1">IFERROR(__xludf.DUMMYFUNCTION("""COMPUTED_VALUE"""),"Shopee")</f>
        <v>Shopee</v>
      </c>
      <c r="G385" s="1" t="str">
        <f ca="1">IFERROR(__xludf.DUMMYFUNCTION("""COMPUTED_VALUE"""),"Compras")</f>
        <v>Compras</v>
      </c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7">
        <f ca="1">IFERROR(__xludf.DUMMYFUNCTION("""COMPUTED_VALUE"""),45839)</f>
        <v>45839</v>
      </c>
      <c r="B386" s="7">
        <f ca="1">IFERROR(__xludf.DUMMYFUNCTION("""COMPUTED_VALUE"""),45829)</f>
        <v>45829</v>
      </c>
      <c r="C386" s="1" t="str">
        <f ca="1">IFERROR(__xludf.DUMMYFUNCTION("""COMPUTED_VALUE"""),"Marisa")</f>
        <v>Marisa</v>
      </c>
      <c r="D386" s="2">
        <f ca="1">IFERROR(__xludf.DUMMYFUNCTION("""COMPUTED_VALUE"""),79.28)</f>
        <v>79.28</v>
      </c>
      <c r="E386" s="1" t="str">
        <f ca="1">IFERROR(__xludf.DUMMYFUNCTION("""COMPUTED_VALUE"""),"-")</f>
        <v>-</v>
      </c>
      <c r="F386" s="1" t="str">
        <f ca="1">IFERROR(__xludf.DUMMYFUNCTION("""COMPUTED_VALUE"""),"Marisa")</f>
        <v>Marisa</v>
      </c>
      <c r="G386" s="1" t="str">
        <f ca="1">IFERROR(__xludf.DUMMYFUNCTION("""COMPUTED_VALUE"""),"-")</f>
        <v>-</v>
      </c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7">
        <f ca="1">IFERROR(__xludf.DUMMYFUNCTION("""COMPUTED_VALUE"""),45839)</f>
        <v>45839</v>
      </c>
      <c r="B387" s="7">
        <f ca="1">IFERROR(__xludf.DUMMYFUNCTION("""COMPUTED_VALUE"""),45829)</f>
        <v>45829</v>
      </c>
      <c r="C387" s="1" t="str">
        <f ca="1">IFERROR(__xludf.DUMMYFUNCTION("""COMPUTED_VALUE"""),"Amazon")</f>
        <v>Amazon</v>
      </c>
      <c r="D387" s="2">
        <f ca="1">IFERROR(__xludf.DUMMYFUNCTION("""COMPUTED_VALUE"""),29.98)</f>
        <v>29.98</v>
      </c>
      <c r="E387" s="1" t="str">
        <f ca="1">IFERROR(__xludf.DUMMYFUNCTION("""COMPUTED_VALUE"""),"-")</f>
        <v>-</v>
      </c>
      <c r="F387" s="1" t="str">
        <f ca="1">IFERROR(__xludf.DUMMYFUNCTION("""COMPUTED_VALUE"""),"Amazon")</f>
        <v>Amazon</v>
      </c>
      <c r="G387" s="1" t="str">
        <f ca="1">IFERROR(__xludf.DUMMYFUNCTION("""COMPUTED_VALUE"""),"Compras")</f>
        <v>Compras</v>
      </c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7">
        <f ca="1">IFERROR(__xludf.DUMMYFUNCTION("""COMPUTED_VALUE"""),45839)</f>
        <v>45839</v>
      </c>
      <c r="B388" s="7">
        <f ca="1">IFERROR(__xludf.DUMMYFUNCTION("""COMPUTED_VALUE"""),45830)</f>
        <v>45830</v>
      </c>
      <c r="C388" s="1" t="str">
        <f ca="1">IFERROR(__xludf.DUMMYFUNCTION("""COMPUTED_VALUE"""),"Ebazarco")</f>
        <v>Ebazarco</v>
      </c>
      <c r="D388" s="2">
        <f ca="1">IFERROR(__xludf.DUMMYFUNCTION("""COMPUTED_VALUE"""),44.97)</f>
        <v>44.97</v>
      </c>
      <c r="E388" s="1" t="str">
        <f ca="1">IFERROR(__xludf.DUMMYFUNCTION("""COMPUTED_VALUE"""),"-")</f>
        <v>-</v>
      </c>
      <c r="F388" s="1" t="str">
        <f ca="1">IFERROR(__xludf.DUMMYFUNCTION("""COMPUTED_VALUE"""),"Ebazarco")</f>
        <v>Ebazarco</v>
      </c>
      <c r="G388" s="1" t="str">
        <f ca="1">IFERROR(__xludf.DUMMYFUNCTION("""COMPUTED_VALUE"""),"-")</f>
        <v>-</v>
      </c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7">
        <f ca="1">IFERROR(__xludf.DUMMYFUNCTION("""COMPUTED_VALUE"""),45839)</f>
        <v>45839</v>
      </c>
      <c r="B389" s="7">
        <f ca="1">IFERROR(__xludf.DUMMYFUNCTION("""COMPUTED_VALUE"""),45830)</f>
        <v>45830</v>
      </c>
      <c r="C389" s="1" t="str">
        <f ca="1">IFERROR(__xludf.DUMMYFUNCTION("""COMPUTED_VALUE"""),"Emporiop")</f>
        <v>Emporiop</v>
      </c>
      <c r="D389" s="2">
        <f ca="1">IFERROR(__xludf.DUMMYFUNCTION("""COMPUTED_VALUE"""),29.68)</f>
        <v>29.68</v>
      </c>
      <c r="E389" s="1" t="str">
        <f ca="1">IFERROR(__xludf.DUMMYFUNCTION("""COMPUTED_VALUE"""),"-")</f>
        <v>-</v>
      </c>
      <c r="F389" s="1" t="str">
        <f ca="1">IFERROR(__xludf.DUMMYFUNCTION("""COMPUTED_VALUE"""),"Emporiop")</f>
        <v>Emporiop</v>
      </c>
      <c r="G389" s="1" t="str">
        <f ca="1">IFERROR(__xludf.DUMMYFUNCTION("""COMPUTED_VALUE"""),"-")</f>
        <v>-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7">
        <f ca="1">IFERROR(__xludf.DUMMYFUNCTION("""COMPUTED_VALUE"""),45839)</f>
        <v>45839</v>
      </c>
      <c r="B390" s="7">
        <f ca="1">IFERROR(__xludf.DUMMYFUNCTION("""COMPUTED_VALUE"""),45830)</f>
        <v>45830</v>
      </c>
      <c r="C390" s="1" t="str">
        <f ca="1">IFERROR(__xludf.DUMMYFUNCTION("""COMPUTED_VALUE"""),"Farmácias Pa 324")</f>
        <v>Farmácias Pa 324</v>
      </c>
      <c r="D390" s="2">
        <f ca="1">IFERROR(__xludf.DUMMYFUNCTION("""COMPUTED_VALUE"""),62.77)</f>
        <v>62.77</v>
      </c>
      <c r="E390" s="1" t="str">
        <f ca="1">IFERROR(__xludf.DUMMYFUNCTION("""COMPUTED_VALUE"""),"-")</f>
        <v>-</v>
      </c>
      <c r="F390" s="1" t="str">
        <f ca="1">IFERROR(__xludf.DUMMYFUNCTION("""COMPUTED_VALUE"""),"Farmácias Pa 324")</f>
        <v>Farmácias Pa 324</v>
      </c>
      <c r="G390" s="1" t="str">
        <f ca="1">IFERROR(__xludf.DUMMYFUNCTION("""COMPUTED_VALUE"""),"-")</f>
        <v>-</v>
      </c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7">
        <f ca="1">IFERROR(__xludf.DUMMYFUNCTION("""COMPUTED_VALUE"""),45839)</f>
        <v>45839</v>
      </c>
      <c r="B391" s="7">
        <f ca="1">IFERROR(__xludf.DUMMYFUNCTION("""COMPUTED_VALUE"""),45831)</f>
        <v>45831</v>
      </c>
      <c r="C391" s="1" t="str">
        <f ca="1">IFERROR(__xludf.DUMMYFUNCTION("""COMPUTED_VALUE"""),"Amazon")</f>
        <v>Amazon</v>
      </c>
      <c r="D391" s="2">
        <f ca="1">IFERROR(__xludf.DUMMYFUNCTION("""COMPUTED_VALUE"""),13.1)</f>
        <v>13.1</v>
      </c>
      <c r="E391" s="1" t="str">
        <f ca="1">IFERROR(__xludf.DUMMYFUNCTION("""COMPUTED_VALUE"""),"-")</f>
        <v>-</v>
      </c>
      <c r="F391" s="1" t="str">
        <f ca="1">IFERROR(__xludf.DUMMYFUNCTION("""COMPUTED_VALUE"""),"Amazon")</f>
        <v>Amazon</v>
      </c>
      <c r="G391" s="1" t="str">
        <f ca="1">IFERROR(__xludf.DUMMYFUNCTION("""COMPUTED_VALUE"""),"Compras")</f>
        <v>Compras</v>
      </c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7">
        <f ca="1">IFERROR(__xludf.DUMMYFUNCTION("""COMPUTED_VALUE"""),45839)</f>
        <v>45839</v>
      </c>
      <c r="B392" s="7">
        <f ca="1">IFERROR(__xludf.DUMMYFUNCTION("""COMPUTED_VALUE"""),45832)</f>
        <v>45832</v>
      </c>
      <c r="C392" s="1" t="str">
        <f ca="1">IFERROR(__xludf.DUMMYFUNCTION("""COMPUTED_VALUE"""),"Lumai")</f>
        <v>Lumai</v>
      </c>
      <c r="D392" s="2">
        <f ca="1">IFERROR(__xludf.DUMMYFUNCTION("""COMPUTED_VALUE"""),52.64)</f>
        <v>52.64</v>
      </c>
      <c r="E392" s="1" t="str">
        <f ca="1">IFERROR(__xludf.DUMMYFUNCTION("""COMPUTED_VALUE"""),"-")</f>
        <v>-</v>
      </c>
      <c r="F392" s="1" t="str">
        <f ca="1">IFERROR(__xludf.DUMMYFUNCTION("""COMPUTED_VALUE"""),"Lumai")</f>
        <v>Lumai</v>
      </c>
      <c r="G392" s="1" t="str">
        <f ca="1">IFERROR(__xludf.DUMMYFUNCTION("""COMPUTED_VALUE"""),"-")</f>
        <v>-</v>
      </c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7">
        <f ca="1">IFERROR(__xludf.DUMMYFUNCTION("""COMPUTED_VALUE"""),45839)</f>
        <v>45839</v>
      </c>
      <c r="B393" s="7">
        <f ca="1">IFERROR(__xludf.DUMMYFUNCTION("""COMPUTED_VALUE"""),45833)</f>
        <v>45833</v>
      </c>
      <c r="C393" s="1" t="str">
        <f ca="1">IFERROR(__xludf.DUMMYFUNCTION("""COMPUTED_VALUE"""),"Ri Happy")</f>
        <v>Ri Happy</v>
      </c>
      <c r="D393" s="2">
        <f ca="1">IFERROR(__xludf.DUMMYFUNCTION("""COMPUTED_VALUE"""),45.7)</f>
        <v>45.7</v>
      </c>
      <c r="E393" s="1" t="str">
        <f ca="1">IFERROR(__xludf.DUMMYFUNCTION("""COMPUTED_VALUE"""),"-")</f>
        <v>-</v>
      </c>
      <c r="F393" s="1" t="str">
        <f ca="1">IFERROR(__xludf.DUMMYFUNCTION("""COMPUTED_VALUE"""),"Ri Happy")</f>
        <v>Ri Happy</v>
      </c>
      <c r="G393" s="1" t="str">
        <f ca="1">IFERROR(__xludf.DUMMYFUNCTION("""COMPUTED_VALUE"""),"-")</f>
        <v>-</v>
      </c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7">
        <f ca="1">IFERROR(__xludf.DUMMYFUNCTION("""COMPUTED_VALUE"""),45839)</f>
        <v>45839</v>
      </c>
      <c r="B394" s="7">
        <f ca="1">IFERROR(__xludf.DUMMYFUNCTION("""COMPUTED_VALUE"""),45833)</f>
        <v>45833</v>
      </c>
      <c r="C394" s="1" t="str">
        <f ca="1">IFERROR(__xludf.DUMMYFUNCTION("""COMPUTED_VALUE"""),"Amazon")</f>
        <v>Amazon</v>
      </c>
      <c r="D394" s="2">
        <f ca="1">IFERROR(__xludf.DUMMYFUNCTION("""COMPUTED_VALUE"""),30.58)</f>
        <v>30.58</v>
      </c>
      <c r="E394" s="1" t="str">
        <f ca="1">IFERROR(__xludf.DUMMYFUNCTION("""COMPUTED_VALUE"""),"-")</f>
        <v>-</v>
      </c>
      <c r="F394" s="1" t="str">
        <f ca="1">IFERROR(__xludf.DUMMYFUNCTION("""COMPUTED_VALUE"""),"Amazon")</f>
        <v>Amazon</v>
      </c>
      <c r="G394" s="1" t="str">
        <f ca="1">IFERROR(__xludf.DUMMYFUNCTION("""COMPUTED_VALUE"""),"Compras")</f>
        <v>Compras</v>
      </c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7">
        <f ca="1">IFERROR(__xludf.DUMMYFUNCTION("""COMPUTED_VALUE"""),45839)</f>
        <v>45839</v>
      </c>
      <c r="B395" s="7">
        <f ca="1">IFERROR(__xludf.DUMMYFUNCTION("""COMPUTED_VALUE"""),45833)</f>
        <v>45833</v>
      </c>
      <c r="C395" s="1" t="str">
        <f ca="1">IFERROR(__xludf.DUMMYFUNCTION("""COMPUTED_VALUE"""),"Petrobra")</f>
        <v>Petrobra</v>
      </c>
      <c r="D395" s="2">
        <f ca="1">IFERROR(__xludf.DUMMYFUNCTION("""COMPUTED_VALUE"""),95.83)</f>
        <v>95.83</v>
      </c>
      <c r="E395" s="1" t="str">
        <f ca="1">IFERROR(__xludf.DUMMYFUNCTION("""COMPUTED_VALUE"""),"-")</f>
        <v>-</v>
      </c>
      <c r="F395" s="1" t="str">
        <f ca="1">IFERROR(__xludf.DUMMYFUNCTION("""COMPUTED_VALUE"""),"Petrobra")</f>
        <v>Petrobra</v>
      </c>
      <c r="G395" s="1" t="str">
        <f ca="1">IFERROR(__xludf.DUMMYFUNCTION("""COMPUTED_VALUE"""),"-")</f>
        <v>-</v>
      </c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7">
        <f ca="1">IFERROR(__xludf.DUMMYFUNCTION("""COMPUTED_VALUE"""),45839)</f>
        <v>45839</v>
      </c>
      <c r="B396" s="7">
        <f ca="1">IFERROR(__xludf.DUMMYFUNCTION("""COMPUTED_VALUE"""),45834)</f>
        <v>45834</v>
      </c>
      <c r="C396" s="1" t="str">
        <f ca="1">IFERROR(__xludf.DUMMYFUNCTION("""COMPUTED_VALUE"""),"Mercado Pago")</f>
        <v>Mercado Pago</v>
      </c>
      <c r="D396" s="2">
        <f ca="1">IFERROR(__xludf.DUMMYFUNCTION("""COMPUTED_VALUE"""),118.8)</f>
        <v>118.8</v>
      </c>
      <c r="E396" s="1" t="str">
        <f ca="1">IFERROR(__xludf.DUMMYFUNCTION("""COMPUTED_VALUE"""),"-")</f>
        <v>-</v>
      </c>
      <c r="F396" s="1" t="str">
        <f ca="1">IFERROR(__xludf.DUMMYFUNCTION("""COMPUTED_VALUE"""),"Mercado Pago")</f>
        <v>Mercado Pago</v>
      </c>
      <c r="G396" s="1" t="str">
        <f ca="1">IFERROR(__xludf.DUMMYFUNCTION("""COMPUTED_VALUE"""),"-")</f>
        <v>-</v>
      </c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7">
        <f ca="1">IFERROR(__xludf.DUMMYFUNCTION("""COMPUTED_VALUE"""),45839)</f>
        <v>45839</v>
      </c>
      <c r="B397" s="7">
        <f ca="1">IFERROR(__xludf.DUMMYFUNCTION("""COMPUTED_VALUE"""),45834)</f>
        <v>45834</v>
      </c>
      <c r="C397" s="1" t="str">
        <f ca="1">IFERROR(__xludf.DUMMYFUNCTION("""COMPUTED_VALUE"""),"Amazon")</f>
        <v>Amazon</v>
      </c>
      <c r="D397" s="2">
        <f ca="1">IFERROR(__xludf.DUMMYFUNCTION("""COMPUTED_VALUE"""),21.12)</f>
        <v>21.12</v>
      </c>
      <c r="E397" s="1" t="str">
        <f ca="1">IFERROR(__xludf.DUMMYFUNCTION("""COMPUTED_VALUE"""),"-")</f>
        <v>-</v>
      </c>
      <c r="F397" s="1" t="str">
        <f ca="1">IFERROR(__xludf.DUMMYFUNCTION("""COMPUTED_VALUE"""),"Amazon")</f>
        <v>Amazon</v>
      </c>
      <c r="G397" s="1" t="str">
        <f ca="1">IFERROR(__xludf.DUMMYFUNCTION("""COMPUTED_VALUE"""),"Compras")</f>
        <v>Compras</v>
      </c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7">
        <f ca="1">IFERROR(__xludf.DUMMYFUNCTION("""COMPUTED_VALUE"""),45839)</f>
        <v>45839</v>
      </c>
      <c r="B398" s="7">
        <f ca="1">IFERROR(__xludf.DUMMYFUNCTION("""COMPUTED_VALUE"""),45835)</f>
        <v>45835</v>
      </c>
      <c r="C398" s="1" t="str">
        <f ca="1">IFERROR(__xludf.DUMMYFUNCTION("""COMPUTED_VALUE"""),"Rdsaude Online")</f>
        <v>Rdsaude Online</v>
      </c>
      <c r="D398" s="2">
        <f ca="1">IFERROR(__xludf.DUMMYFUNCTION("""COMPUTED_VALUE"""),15.99)</f>
        <v>15.99</v>
      </c>
      <c r="E398" s="1" t="str">
        <f ca="1">IFERROR(__xludf.DUMMYFUNCTION("""COMPUTED_VALUE"""),"-")</f>
        <v>-</v>
      </c>
      <c r="F398" s="1" t="str">
        <f ca="1">IFERROR(__xludf.DUMMYFUNCTION("""COMPUTED_VALUE"""),"Rdsaude Online")</f>
        <v>Rdsaude Online</v>
      </c>
      <c r="G398" s="1" t="str">
        <f ca="1">IFERROR(__xludf.DUMMYFUNCTION("""COMPUTED_VALUE"""),"-")</f>
        <v>-</v>
      </c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7">
        <f ca="1">IFERROR(__xludf.DUMMYFUNCTION("""COMPUTED_VALUE"""),45839)</f>
        <v>45839</v>
      </c>
      <c r="B399" s="7">
        <f ca="1">IFERROR(__xludf.DUMMYFUNCTION("""COMPUTED_VALUE"""),45835)</f>
        <v>45835</v>
      </c>
      <c r="C399" s="1" t="str">
        <f ca="1">IFERROR(__xludf.DUMMYFUNCTION("""COMPUTED_VALUE"""),"Drogaria Araujo")</f>
        <v>Drogaria Araujo</v>
      </c>
      <c r="D399" s="2">
        <f ca="1">IFERROR(__xludf.DUMMYFUNCTION("""COMPUTED_VALUE"""),15.99)</f>
        <v>15.99</v>
      </c>
      <c r="E399" s="1" t="str">
        <f ca="1">IFERROR(__xludf.DUMMYFUNCTION("""COMPUTED_VALUE"""),"-")</f>
        <v>-</v>
      </c>
      <c r="F399" s="1" t="str">
        <f ca="1">IFERROR(__xludf.DUMMYFUNCTION("""COMPUTED_VALUE"""),"Drogaria Araujo")</f>
        <v>Drogaria Araujo</v>
      </c>
      <c r="G399" s="1" t="str">
        <f ca="1">IFERROR(__xludf.DUMMYFUNCTION("""COMPUTED_VALUE"""),"Compras")</f>
        <v>Compras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7">
        <f ca="1">IFERROR(__xludf.DUMMYFUNCTION("""COMPUTED_VALUE"""),45839)</f>
        <v>45839</v>
      </c>
      <c r="B400" s="7">
        <f ca="1">IFERROR(__xludf.DUMMYFUNCTION("""COMPUTED_VALUE"""),45835)</f>
        <v>45835</v>
      </c>
      <c r="C400" s="1" t="str">
        <f ca="1">IFERROR(__xludf.DUMMYFUNCTION("""COMPUTED_VALUE"""),"Mercado Livre (2/2)")</f>
        <v>Mercado Livre (2/2)</v>
      </c>
      <c r="D400" s="2">
        <f ca="1">IFERROR(__xludf.DUMMYFUNCTION("""COMPUTED_VALUE"""),23.79)</f>
        <v>23.79</v>
      </c>
      <c r="E400" s="1" t="str">
        <f ca="1">IFERROR(__xludf.DUMMYFUNCTION("""COMPUTED_VALUE"""),"-")</f>
        <v>-</v>
      </c>
      <c r="F400" s="1" t="str">
        <f ca="1">IFERROR(__xludf.DUMMYFUNCTION("""COMPUTED_VALUE"""),"Mercado Livre")</f>
        <v>Mercado Livre</v>
      </c>
      <c r="G400" s="1" t="str">
        <f ca="1">IFERROR(__xludf.DUMMYFUNCTION("""COMPUTED_VALUE"""),"Compras")</f>
        <v>Compras</v>
      </c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7">
        <f ca="1">IFERROR(__xludf.DUMMYFUNCTION("""COMPUTED_VALUE"""),45839)</f>
        <v>45839</v>
      </c>
      <c r="B401" s="7">
        <f ca="1">IFERROR(__xludf.DUMMYFUNCTION("""COMPUTED_VALUE"""),45835)</f>
        <v>45835</v>
      </c>
      <c r="C401" s="1" t="str">
        <f ca="1">IFERROR(__xludf.DUMMYFUNCTION("""COMPUTED_VALUE"""),"Mercado Livre (1/2)")</f>
        <v>Mercado Livre (1/2)</v>
      </c>
      <c r="D401" s="2">
        <f ca="1">IFERROR(__xludf.DUMMYFUNCTION("""COMPUTED_VALUE"""),23.79)</f>
        <v>23.79</v>
      </c>
      <c r="E401" s="1" t="str">
        <f ca="1">IFERROR(__xludf.DUMMYFUNCTION("""COMPUTED_VALUE"""),"-")</f>
        <v>-</v>
      </c>
      <c r="F401" s="1" t="str">
        <f ca="1">IFERROR(__xludf.DUMMYFUNCTION("""COMPUTED_VALUE"""),"Mercado Livre")</f>
        <v>Mercado Livre</v>
      </c>
      <c r="G401" s="1" t="str">
        <f ca="1">IFERROR(__xludf.DUMMYFUNCTION("""COMPUTED_VALUE"""),"Compras")</f>
        <v>Compras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7">
        <f ca="1">IFERROR(__xludf.DUMMYFUNCTION("""COMPUTED_VALUE"""),45839)</f>
        <v>45839</v>
      </c>
      <c r="B402" s="7">
        <f ca="1">IFERROR(__xludf.DUMMYFUNCTION("""COMPUTED_VALUE"""),45835)</f>
        <v>45835</v>
      </c>
      <c r="C402" s="1" t="str">
        <f ca="1">IFERROR(__xludf.DUMMYFUNCTION("""COMPUTED_VALUE"""),"Amazon")</f>
        <v>Amazon</v>
      </c>
      <c r="D402" s="2">
        <f ca="1">IFERROR(__xludf.DUMMYFUNCTION("""COMPUTED_VALUE"""),7.9)</f>
        <v>7.9</v>
      </c>
      <c r="E402" s="1" t="str">
        <f ca="1">IFERROR(__xludf.DUMMYFUNCTION("""COMPUTED_VALUE"""),"-")</f>
        <v>-</v>
      </c>
      <c r="F402" s="1" t="str">
        <f ca="1">IFERROR(__xludf.DUMMYFUNCTION("""COMPUTED_VALUE"""),"Amazon")</f>
        <v>Amazon</v>
      </c>
      <c r="G402" s="1" t="str">
        <f ca="1">IFERROR(__xludf.DUMMYFUNCTION("""COMPUTED_VALUE"""),"Compras")</f>
        <v>Compras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7">
        <f ca="1">IFERROR(__xludf.DUMMYFUNCTION("""COMPUTED_VALUE"""),45839)</f>
        <v>45839</v>
      </c>
      <c r="B403" s="7">
        <f ca="1">IFERROR(__xludf.DUMMYFUNCTION("""COMPUTED_VALUE"""),45835)</f>
        <v>45835</v>
      </c>
      <c r="C403" s="1" t="str">
        <f ca="1">IFERROR(__xludf.DUMMYFUNCTION("""COMPUTED_VALUE"""),"Mercado Livre")</f>
        <v>Mercado Livre</v>
      </c>
      <c r="D403" s="2">
        <f ca="1">IFERROR(__xludf.DUMMYFUNCTION("""COMPUTED_VALUE"""),47.59)</f>
        <v>47.59</v>
      </c>
      <c r="E403" s="1" t="str">
        <f ca="1">IFERROR(__xludf.DUMMYFUNCTION("""COMPUTED_VALUE"""),"-")</f>
        <v>-</v>
      </c>
      <c r="F403" s="1" t="str">
        <f ca="1">IFERROR(__xludf.DUMMYFUNCTION("""COMPUTED_VALUE"""),"Mercado Livre")</f>
        <v>Mercado Livre</v>
      </c>
      <c r="G403" s="1" t="str">
        <f ca="1">IFERROR(__xludf.DUMMYFUNCTION("""COMPUTED_VALUE"""),"Compras")</f>
        <v>Compras</v>
      </c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7">
        <f ca="1">IFERROR(__xludf.DUMMYFUNCTION("""COMPUTED_VALUE"""),45839)</f>
        <v>45839</v>
      </c>
      <c r="B404" s="7">
        <f ca="1">IFERROR(__xludf.DUMMYFUNCTION("""COMPUTED_VALUE"""),45836)</f>
        <v>45836</v>
      </c>
      <c r="C404" s="1" t="str">
        <f ca="1">IFERROR(__xludf.DUMMYFUNCTION("""COMPUTED_VALUE"""),"Simple Organic (5/5)")</f>
        <v>Simple Organic (5/5)</v>
      </c>
      <c r="D404" s="2">
        <f ca="1">IFERROR(__xludf.DUMMYFUNCTION("""COMPUTED_VALUE"""),24.12)</f>
        <v>24.12</v>
      </c>
      <c r="E404" s="1" t="str">
        <f ca="1">IFERROR(__xludf.DUMMYFUNCTION("""COMPUTED_VALUE"""),"-")</f>
        <v>-</v>
      </c>
      <c r="F404" s="1" t="str">
        <f ca="1">IFERROR(__xludf.DUMMYFUNCTION("""COMPUTED_VALUE"""),"Simple Organic")</f>
        <v>Simple Organic</v>
      </c>
      <c r="G404" s="1" t="str">
        <f ca="1">IFERROR(__xludf.DUMMYFUNCTION("""COMPUTED_VALUE"""),"Compras")</f>
        <v>Compras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7">
        <f ca="1">IFERROR(__xludf.DUMMYFUNCTION("""COMPUTED_VALUE"""),45839)</f>
        <v>45839</v>
      </c>
      <c r="B405" s="7">
        <f ca="1">IFERROR(__xludf.DUMMYFUNCTION("""COMPUTED_VALUE"""),45836)</f>
        <v>45836</v>
      </c>
      <c r="C405" s="1" t="str">
        <f ca="1">IFERROR(__xludf.DUMMYFUNCTION("""COMPUTED_VALUE"""),"Simple Organic (4/5)")</f>
        <v>Simple Organic (4/5)</v>
      </c>
      <c r="D405" s="2">
        <f ca="1">IFERROR(__xludf.DUMMYFUNCTION("""COMPUTED_VALUE"""),24.12)</f>
        <v>24.12</v>
      </c>
      <c r="E405" s="1" t="str">
        <f ca="1">IFERROR(__xludf.DUMMYFUNCTION("""COMPUTED_VALUE"""),"-")</f>
        <v>-</v>
      </c>
      <c r="F405" s="1" t="str">
        <f ca="1">IFERROR(__xludf.DUMMYFUNCTION("""COMPUTED_VALUE"""),"Simple Organic")</f>
        <v>Simple Organic</v>
      </c>
      <c r="G405" s="1" t="str">
        <f ca="1">IFERROR(__xludf.DUMMYFUNCTION("""COMPUTED_VALUE"""),"Compras")</f>
        <v>Compras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7">
        <f ca="1">IFERROR(__xludf.DUMMYFUNCTION("""COMPUTED_VALUE"""),45839)</f>
        <v>45839</v>
      </c>
      <c r="B406" s="7">
        <f ca="1">IFERROR(__xludf.DUMMYFUNCTION("""COMPUTED_VALUE"""),45836)</f>
        <v>45836</v>
      </c>
      <c r="C406" s="1" t="str">
        <f ca="1">IFERROR(__xludf.DUMMYFUNCTION("""COMPUTED_VALUE"""),"Simple Organic (3/5)")</f>
        <v>Simple Organic (3/5)</v>
      </c>
      <c r="D406" s="2">
        <f ca="1">IFERROR(__xludf.DUMMYFUNCTION("""COMPUTED_VALUE"""),24.12)</f>
        <v>24.12</v>
      </c>
      <c r="E406" s="1" t="str">
        <f ca="1">IFERROR(__xludf.DUMMYFUNCTION("""COMPUTED_VALUE"""),"-")</f>
        <v>-</v>
      </c>
      <c r="F406" s="1" t="str">
        <f ca="1">IFERROR(__xludf.DUMMYFUNCTION("""COMPUTED_VALUE"""),"Simple Organic")</f>
        <v>Simple Organic</v>
      </c>
      <c r="G406" s="1" t="str">
        <f ca="1">IFERROR(__xludf.DUMMYFUNCTION("""COMPUTED_VALUE"""),"Compras")</f>
        <v>Compras</v>
      </c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7">
        <f ca="1">IFERROR(__xludf.DUMMYFUNCTION("""COMPUTED_VALUE"""),45839)</f>
        <v>45839</v>
      </c>
      <c r="B407" s="7">
        <f ca="1">IFERROR(__xludf.DUMMYFUNCTION("""COMPUTED_VALUE"""),45836)</f>
        <v>45836</v>
      </c>
      <c r="C407" s="1" t="str">
        <f ca="1">IFERROR(__xludf.DUMMYFUNCTION("""COMPUTED_VALUE"""),"Simple Organic (2/5)")</f>
        <v>Simple Organic (2/5)</v>
      </c>
      <c r="D407" s="2">
        <f ca="1">IFERROR(__xludf.DUMMYFUNCTION("""COMPUTED_VALUE"""),24.12)</f>
        <v>24.12</v>
      </c>
      <c r="E407" s="1" t="str">
        <f ca="1">IFERROR(__xludf.DUMMYFUNCTION("""COMPUTED_VALUE"""),"-")</f>
        <v>-</v>
      </c>
      <c r="F407" s="1" t="str">
        <f ca="1">IFERROR(__xludf.DUMMYFUNCTION("""COMPUTED_VALUE"""),"Simple Organic")</f>
        <v>Simple Organic</v>
      </c>
      <c r="G407" s="1" t="str">
        <f ca="1">IFERROR(__xludf.DUMMYFUNCTION("""COMPUTED_VALUE"""),"Compras")</f>
        <v>Compras</v>
      </c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7">
        <f ca="1">IFERROR(__xludf.DUMMYFUNCTION("""COMPUTED_VALUE"""),45839)</f>
        <v>45839</v>
      </c>
      <c r="B408" s="7">
        <f ca="1">IFERROR(__xludf.DUMMYFUNCTION("""COMPUTED_VALUE"""),45836)</f>
        <v>45836</v>
      </c>
      <c r="C408" s="1" t="str">
        <f ca="1">IFERROR(__xludf.DUMMYFUNCTION("""COMPUTED_VALUE"""),"Simple Organic (1/5)")</f>
        <v>Simple Organic (1/5)</v>
      </c>
      <c r="D408" s="2">
        <f ca="1">IFERROR(__xludf.DUMMYFUNCTION("""COMPUTED_VALUE"""),24.12)</f>
        <v>24.12</v>
      </c>
      <c r="E408" s="1" t="str">
        <f ca="1">IFERROR(__xludf.DUMMYFUNCTION("""COMPUTED_VALUE"""),"-")</f>
        <v>-</v>
      </c>
      <c r="F408" s="1" t="str">
        <f ca="1">IFERROR(__xludf.DUMMYFUNCTION("""COMPUTED_VALUE"""),"Simple Organic")</f>
        <v>Simple Organic</v>
      </c>
      <c r="G408" s="1" t="str">
        <f ca="1">IFERROR(__xludf.DUMMYFUNCTION("""COMPUTED_VALUE"""),"Compras")</f>
        <v>Compras</v>
      </c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7">
        <f ca="1">IFERROR(__xludf.DUMMYFUNCTION("""COMPUTED_VALUE"""),45839)</f>
        <v>45839</v>
      </c>
      <c r="B409" s="7">
        <f ca="1">IFERROR(__xludf.DUMMYFUNCTION("""COMPUTED_VALUE"""),45836)</f>
        <v>45836</v>
      </c>
      <c r="C409" s="1" t="str">
        <f ca="1">IFERROR(__xludf.DUMMYFUNCTION("""COMPUTED_VALUE"""),"Mercado Livre")</f>
        <v>Mercado Livre</v>
      </c>
      <c r="D409" s="2">
        <f ca="1">IFERROR(__xludf.DUMMYFUNCTION("""COMPUTED_VALUE"""),37.4)</f>
        <v>37.4</v>
      </c>
      <c r="E409" s="1" t="str">
        <f ca="1">IFERROR(__xludf.DUMMYFUNCTION("""COMPUTED_VALUE"""),"-")</f>
        <v>-</v>
      </c>
      <c r="F409" s="1" t="str">
        <f ca="1">IFERROR(__xludf.DUMMYFUNCTION("""COMPUTED_VALUE"""),"Mercado Livre")</f>
        <v>Mercado Livre</v>
      </c>
      <c r="G409" s="1" t="str">
        <f ca="1">IFERROR(__xludf.DUMMYFUNCTION("""COMPUTED_VALUE"""),"Compras")</f>
        <v>Compras</v>
      </c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7">
        <f ca="1">IFERROR(__xludf.DUMMYFUNCTION("""COMPUTED_VALUE"""),45839)</f>
        <v>45839</v>
      </c>
      <c r="B410" s="7">
        <f ca="1">IFERROR(__xludf.DUMMYFUNCTION("""COMPUTED_VALUE"""),45836)</f>
        <v>45836</v>
      </c>
      <c r="C410" s="1" t="str">
        <f ca="1">IFERROR(__xludf.DUMMYFUNCTION("""COMPUTED_VALUE"""),"Mercado Livre")</f>
        <v>Mercado Livre</v>
      </c>
      <c r="D410" s="2">
        <f ca="1">IFERROR(__xludf.DUMMYFUNCTION("""COMPUTED_VALUE"""),63.53)</f>
        <v>63.53</v>
      </c>
      <c r="E410" s="1" t="str">
        <f ca="1">IFERROR(__xludf.DUMMYFUNCTION("""COMPUTED_VALUE"""),"-")</f>
        <v>-</v>
      </c>
      <c r="F410" s="1" t="str">
        <f ca="1">IFERROR(__xludf.DUMMYFUNCTION("""COMPUTED_VALUE"""),"Mercado Livre")</f>
        <v>Mercado Livre</v>
      </c>
      <c r="G410" s="1" t="str">
        <f ca="1">IFERROR(__xludf.DUMMYFUNCTION("""COMPUTED_VALUE"""),"Compras")</f>
        <v>Compras</v>
      </c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7">
        <f ca="1">IFERROR(__xludf.DUMMYFUNCTION("""COMPUTED_VALUE"""),45839)</f>
        <v>45839</v>
      </c>
      <c r="B411" s="7">
        <f ca="1">IFERROR(__xludf.DUMMYFUNCTION("""COMPUTED_VALUE"""),45837)</f>
        <v>45837</v>
      </c>
      <c r="C411" s="1" t="str">
        <f ca="1">IFERROR(__xludf.DUMMYFUNCTION("""COMPUTED_VALUE"""),"Rdsaude Online (3/3)")</f>
        <v>Rdsaude Online (3/3)</v>
      </c>
      <c r="D411" s="2">
        <f ca="1">IFERROR(__xludf.DUMMYFUNCTION("""COMPUTED_VALUE"""),40.88)</f>
        <v>40.880000000000003</v>
      </c>
      <c r="E411" s="1" t="str">
        <f ca="1">IFERROR(__xludf.DUMMYFUNCTION("""COMPUTED_VALUE"""),"-")</f>
        <v>-</v>
      </c>
      <c r="F411" s="1" t="str">
        <f ca="1">IFERROR(__xludf.DUMMYFUNCTION("""COMPUTED_VALUE"""),"Rdsaude Online")</f>
        <v>Rdsaude Online</v>
      </c>
      <c r="G411" s="1" t="str">
        <f ca="1">IFERROR(__xludf.DUMMYFUNCTION("""COMPUTED_VALUE"""),"-")</f>
        <v>-</v>
      </c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7">
        <f ca="1">IFERROR(__xludf.DUMMYFUNCTION("""COMPUTED_VALUE"""),45839)</f>
        <v>45839</v>
      </c>
      <c r="B412" s="7">
        <f ca="1">IFERROR(__xludf.DUMMYFUNCTION("""COMPUTED_VALUE"""),45837)</f>
        <v>45837</v>
      </c>
      <c r="C412" s="1" t="str">
        <f ca="1">IFERROR(__xludf.DUMMYFUNCTION("""COMPUTED_VALUE"""),"Rdsaude Online (2/3)")</f>
        <v>Rdsaude Online (2/3)</v>
      </c>
      <c r="D412" s="2">
        <f ca="1">IFERROR(__xludf.DUMMYFUNCTION("""COMPUTED_VALUE"""),40.88)</f>
        <v>40.880000000000003</v>
      </c>
      <c r="E412" s="1" t="str">
        <f ca="1">IFERROR(__xludf.DUMMYFUNCTION("""COMPUTED_VALUE"""),"-")</f>
        <v>-</v>
      </c>
      <c r="F412" s="1" t="str">
        <f ca="1">IFERROR(__xludf.DUMMYFUNCTION("""COMPUTED_VALUE"""),"Rdsaude Online")</f>
        <v>Rdsaude Online</v>
      </c>
      <c r="G412" s="1" t="str">
        <f ca="1">IFERROR(__xludf.DUMMYFUNCTION("""COMPUTED_VALUE"""),"-")</f>
        <v>-</v>
      </c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7">
        <f ca="1">IFERROR(__xludf.DUMMYFUNCTION("""COMPUTED_VALUE"""),45839)</f>
        <v>45839</v>
      </c>
      <c r="B413" s="7">
        <f ca="1">IFERROR(__xludf.DUMMYFUNCTION("""COMPUTED_VALUE"""),45837)</f>
        <v>45837</v>
      </c>
      <c r="C413" s="1" t="str">
        <f ca="1">IFERROR(__xludf.DUMMYFUNCTION("""COMPUTED_VALUE"""),"Rdsaude Online (1/3)")</f>
        <v>Rdsaude Online (1/3)</v>
      </c>
      <c r="D413" s="2">
        <f ca="1">IFERROR(__xludf.DUMMYFUNCTION("""COMPUTED_VALUE"""),40.89)</f>
        <v>40.89</v>
      </c>
      <c r="E413" s="1" t="str">
        <f ca="1">IFERROR(__xludf.DUMMYFUNCTION("""COMPUTED_VALUE"""),"-")</f>
        <v>-</v>
      </c>
      <c r="F413" s="1" t="str">
        <f ca="1">IFERROR(__xludf.DUMMYFUNCTION("""COMPUTED_VALUE"""),"Rdsaude Online")</f>
        <v>Rdsaude Online</v>
      </c>
      <c r="G413" s="1" t="str">
        <f ca="1">IFERROR(__xludf.DUMMYFUNCTION("""COMPUTED_VALUE"""),"-")</f>
        <v>-</v>
      </c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7">
        <f ca="1">IFERROR(__xludf.DUMMYFUNCTION("""COMPUTED_VALUE"""),45839)</f>
        <v>45839</v>
      </c>
      <c r="B414" s="7">
        <f ca="1">IFERROR(__xludf.DUMMYFUNCTION("""COMPUTED_VALUE"""),45837)</f>
        <v>45837</v>
      </c>
      <c r="C414" s="1" t="str">
        <f ca="1">IFERROR(__xludf.DUMMYFUNCTION("""COMPUTED_VALUE"""),"Drogaria Pacheco")</f>
        <v>Drogaria Pacheco</v>
      </c>
      <c r="D414" s="2">
        <f ca="1">IFERROR(__xludf.DUMMYFUNCTION("""COMPUTED_VALUE"""),76.79)</f>
        <v>76.790000000000006</v>
      </c>
      <c r="E414" s="1" t="str">
        <f ca="1">IFERROR(__xludf.DUMMYFUNCTION("""COMPUTED_VALUE"""),"-")</f>
        <v>-</v>
      </c>
      <c r="F414" s="1" t="str">
        <f ca="1">IFERROR(__xludf.DUMMYFUNCTION("""COMPUTED_VALUE"""),"Drogaria Pacheco")</f>
        <v>Drogaria Pacheco</v>
      </c>
      <c r="G414" s="1" t="str">
        <f ca="1">IFERROR(__xludf.DUMMYFUNCTION("""COMPUTED_VALUE"""),"Compras")</f>
        <v>Compras</v>
      </c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7">
        <f ca="1">IFERROR(__xludf.DUMMYFUNCTION("""COMPUTED_VALUE"""),45839)</f>
        <v>45839</v>
      </c>
      <c r="B415" s="7">
        <f ca="1">IFERROR(__xludf.DUMMYFUNCTION("""COMPUTED_VALUE"""),45837)</f>
        <v>45837</v>
      </c>
      <c r="C415" s="1" t="str">
        <f ca="1">IFERROR(__xludf.DUMMYFUNCTION("""COMPUTED_VALUE"""),"Shopee")</f>
        <v>Shopee</v>
      </c>
      <c r="D415" s="2">
        <f ca="1">IFERROR(__xludf.DUMMYFUNCTION("""COMPUTED_VALUE"""),34.93)</f>
        <v>34.93</v>
      </c>
      <c r="E415" s="1" t="str">
        <f ca="1">IFERROR(__xludf.DUMMYFUNCTION("""COMPUTED_VALUE"""),"-")</f>
        <v>-</v>
      </c>
      <c r="F415" s="1" t="str">
        <f ca="1">IFERROR(__xludf.DUMMYFUNCTION("""COMPUTED_VALUE"""),"Shopee")</f>
        <v>Shopee</v>
      </c>
      <c r="G415" s="1" t="str">
        <f ca="1">IFERROR(__xludf.DUMMYFUNCTION("""COMPUTED_VALUE"""),"Compras")</f>
        <v>Compras</v>
      </c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7">
        <f ca="1">IFERROR(__xludf.DUMMYFUNCTION("""COMPUTED_VALUE"""),45839)</f>
        <v>45839</v>
      </c>
      <c r="B416" s="7">
        <f ca="1">IFERROR(__xludf.DUMMYFUNCTION("""COMPUTED_VALUE"""),45837)</f>
        <v>45837</v>
      </c>
      <c r="C416" s="1" t="str">
        <f ca="1">IFERROR(__xludf.DUMMYFUNCTION("""COMPUTED_VALUE"""),"Shopee")</f>
        <v>Shopee</v>
      </c>
      <c r="D416" s="2">
        <f ca="1">IFERROR(__xludf.DUMMYFUNCTION("""COMPUTED_VALUE"""),24.74)</f>
        <v>24.74</v>
      </c>
      <c r="E416" s="1" t="str">
        <f ca="1">IFERROR(__xludf.DUMMYFUNCTION("""COMPUTED_VALUE"""),"-")</f>
        <v>-</v>
      </c>
      <c r="F416" s="1" t="str">
        <f ca="1">IFERROR(__xludf.DUMMYFUNCTION("""COMPUTED_VALUE"""),"Shopee")</f>
        <v>Shopee</v>
      </c>
      <c r="G416" s="1" t="str">
        <f ca="1">IFERROR(__xludf.DUMMYFUNCTION("""COMPUTED_VALUE"""),"Compras")</f>
        <v>Compras</v>
      </c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7">
        <f ca="1">IFERROR(__xludf.DUMMYFUNCTION("""COMPUTED_VALUE"""),45839)</f>
        <v>45839</v>
      </c>
      <c r="B417" s="7">
        <f ca="1">IFERROR(__xludf.DUMMYFUNCTION("""COMPUTED_VALUE"""),45838)</f>
        <v>45838</v>
      </c>
      <c r="C417" s="1" t="str">
        <f ca="1">IFERROR(__xludf.DUMMYFUNCTION("""COMPUTED_VALUE"""),"Drogaria Araujo")</f>
        <v>Drogaria Araujo</v>
      </c>
      <c r="D417" s="2">
        <f ca="1">IFERROR(__xludf.DUMMYFUNCTION("""COMPUTED_VALUE"""),18.99)</f>
        <v>18.989999999999998</v>
      </c>
      <c r="E417" s="1" t="str">
        <f ca="1">IFERROR(__xludf.DUMMYFUNCTION("""COMPUTED_VALUE"""),"-")</f>
        <v>-</v>
      </c>
      <c r="F417" s="1" t="str">
        <f ca="1">IFERROR(__xludf.DUMMYFUNCTION("""COMPUTED_VALUE"""),"Drogaria Araujo")</f>
        <v>Drogaria Araujo</v>
      </c>
      <c r="G417" s="1" t="str">
        <f ca="1">IFERROR(__xludf.DUMMYFUNCTION("""COMPUTED_VALUE"""),"Compras")</f>
        <v>Compras</v>
      </c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7">
        <f ca="1">IFERROR(__xludf.DUMMYFUNCTION("""COMPUTED_VALUE"""),45839)</f>
        <v>45839</v>
      </c>
      <c r="B418" s="7">
        <f ca="1">IFERROR(__xludf.DUMMYFUNCTION("""COMPUTED_VALUE"""),45839)</f>
        <v>45839</v>
      </c>
      <c r="C418" s="1" t="str">
        <f ca="1">IFERROR(__xludf.DUMMYFUNCTION("""COMPUTED_VALUE"""),"Amazon (1/10)")</f>
        <v>Amazon (1/10)</v>
      </c>
      <c r="D418" s="2">
        <f ca="1">IFERROR(__xludf.DUMMYFUNCTION("""COMPUTED_VALUE"""),72.9)</f>
        <v>72.900000000000006</v>
      </c>
      <c r="E418" s="1" t="str">
        <f ca="1">IFERROR(__xludf.DUMMYFUNCTION("""COMPUTED_VALUE"""),"-")</f>
        <v>-</v>
      </c>
      <c r="F418" s="1" t="str">
        <f ca="1">IFERROR(__xludf.DUMMYFUNCTION("""COMPUTED_VALUE"""),"Amazon")</f>
        <v>Amazon</v>
      </c>
      <c r="G418" s="1" t="str">
        <f ca="1">IFERROR(__xludf.DUMMYFUNCTION("""COMPUTED_VALUE"""),"Compras")</f>
        <v>Compras</v>
      </c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7">
        <f ca="1">IFERROR(__xludf.DUMMYFUNCTION("""COMPUTED_VALUE"""),45839)</f>
        <v>45839</v>
      </c>
      <c r="B419" s="7">
        <f ca="1">IFERROR(__xludf.DUMMYFUNCTION("""COMPUTED_VALUE"""),45789)</f>
        <v>45789</v>
      </c>
      <c r="C419" s="1" t="str">
        <f ca="1">IFERROR(__xludf.DUMMYFUNCTION("""COMPUTED_VALUE"""),"Mg Bh Savassi Sh (2/2)")</f>
        <v>Mg Bh Savassi Sh (2/2)</v>
      </c>
      <c r="D419" s="2">
        <f ca="1">IFERROR(__xludf.DUMMYFUNCTION("""COMPUTED_VALUE"""),99.99)</f>
        <v>99.99</v>
      </c>
      <c r="E419" s="1" t="str">
        <f ca="1">IFERROR(__xludf.DUMMYFUNCTION("""COMPUTED_VALUE"""),"-")</f>
        <v>-</v>
      </c>
      <c r="F419" s="1" t="str">
        <f ca="1">IFERROR(__xludf.DUMMYFUNCTION("""COMPUTED_VALUE"""),"Mg Bh Savassi Sh")</f>
        <v>Mg Bh Savassi Sh</v>
      </c>
      <c r="G419" s="1" t="str">
        <f ca="1">IFERROR(__xludf.DUMMYFUNCTION("""COMPUTED_VALUE"""),"Compras")</f>
        <v>Compras</v>
      </c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7">
        <f ca="1">IFERROR(__xludf.DUMMYFUNCTION("""COMPUTED_VALUE"""),45839)</f>
        <v>45839</v>
      </c>
      <c r="B420" s="7">
        <f ca="1">IFERROR(__xludf.DUMMYFUNCTION("""COMPUTED_VALUE"""),45804)</f>
        <v>45804</v>
      </c>
      <c r="C420" s="1" t="str">
        <f ca="1">IFERROR(__xludf.DUMMYFUNCTION("""COMPUTED_VALUE"""),"Lojaluposport")</f>
        <v>Lojaluposport</v>
      </c>
      <c r="D420" s="2">
        <f ca="1">IFERROR(__xludf.DUMMYFUNCTION("""COMPUTED_VALUE"""),123.8)</f>
        <v>123.8</v>
      </c>
      <c r="E420" s="1" t="str">
        <f ca="1">IFERROR(__xludf.DUMMYFUNCTION("""COMPUTED_VALUE"""),"-")</f>
        <v>-</v>
      </c>
      <c r="F420" s="1" t="str">
        <f ca="1">IFERROR(__xludf.DUMMYFUNCTION("""COMPUTED_VALUE"""),"Lojaluposport")</f>
        <v>Lojaluposport</v>
      </c>
      <c r="G420" s="1" t="str">
        <f ca="1">IFERROR(__xludf.DUMMYFUNCTION("""COMPUTED_VALUE"""),"-")</f>
        <v>-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7">
        <f ca="1">IFERROR(__xludf.DUMMYFUNCTION("""COMPUTED_VALUE"""),45839)</f>
        <v>45839</v>
      </c>
      <c r="B421" s="7">
        <f ca="1">IFERROR(__xludf.DUMMYFUNCTION("""COMPUTED_VALUE"""),45813)</f>
        <v>45813</v>
      </c>
      <c r="C421" s="1" t="str">
        <f ca="1">IFERROR(__xludf.DUMMYFUNCTION("""COMPUTED_VALUE"""),"Megapark")</f>
        <v>Megapark</v>
      </c>
      <c r="D421" s="2">
        <f ca="1">IFERROR(__xludf.DUMMYFUNCTION("""COMPUTED_VALUE"""),285)</f>
        <v>285</v>
      </c>
      <c r="E421" s="1" t="str">
        <f ca="1">IFERROR(__xludf.DUMMYFUNCTION("""COMPUTED_VALUE"""),"-")</f>
        <v>-</v>
      </c>
      <c r="F421" s="1" t="str">
        <f ca="1">IFERROR(__xludf.DUMMYFUNCTION("""COMPUTED_VALUE"""),"Megapark")</f>
        <v>Megapark</v>
      </c>
      <c r="G421" s="1" t="str">
        <f ca="1">IFERROR(__xludf.DUMMYFUNCTION("""COMPUTED_VALUE"""),"-")</f>
        <v>-</v>
      </c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7">
        <f ca="1">IFERROR(__xludf.DUMMYFUNCTION("""COMPUTED_VALUE"""),45839)</f>
        <v>45839</v>
      </c>
      <c r="B422" s="7">
        <f ca="1">IFERROR(__xludf.DUMMYFUNCTION("""COMPUTED_VALUE"""),45813)</f>
        <v>45813</v>
      </c>
      <c r="C422" s="1" t="str">
        <f ca="1">IFERROR(__xludf.DUMMYFUNCTION("""COMPUTED_VALUE"""),"Avocado")</f>
        <v>Avocado</v>
      </c>
      <c r="D422" s="2">
        <f ca="1">IFERROR(__xludf.DUMMYFUNCTION("""COMPUTED_VALUE"""),31.76)</f>
        <v>31.76</v>
      </c>
      <c r="E422" s="1" t="str">
        <f ca="1">IFERROR(__xludf.DUMMYFUNCTION("""COMPUTED_VALUE"""),"-")</f>
        <v>-</v>
      </c>
      <c r="F422" s="1" t="str">
        <f ca="1">IFERROR(__xludf.DUMMYFUNCTION("""COMPUTED_VALUE"""),"Avocado")</f>
        <v>Avocado</v>
      </c>
      <c r="G422" s="1" t="str">
        <f ca="1">IFERROR(__xludf.DUMMYFUNCTION("""COMPUTED_VALUE"""),"-")</f>
        <v>-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7">
        <f ca="1">IFERROR(__xludf.DUMMYFUNCTION("""COMPUTED_VALUE"""),45839)</f>
        <v>45839</v>
      </c>
      <c r="B423" s="7">
        <f ca="1">IFERROR(__xludf.DUMMYFUNCTION("""COMPUTED_VALUE"""),45806)</f>
        <v>45806</v>
      </c>
      <c r="C423" s="1" t="str">
        <f ca="1">IFERROR(__xludf.DUMMYFUNCTION("""COMPUTED_VALUE"""),"Est Ristorante")</f>
        <v>Est Ristorante</v>
      </c>
      <c r="D423" s="2">
        <f ca="1">IFERROR(__xludf.DUMMYFUNCTION("""COMPUTED_VALUE"""),70.74)</f>
        <v>70.739999999999995</v>
      </c>
      <c r="E423" s="1" t="str">
        <f ca="1">IFERROR(__xludf.DUMMYFUNCTION("""COMPUTED_VALUE"""),"-")</f>
        <v>-</v>
      </c>
      <c r="F423" s="1" t="str">
        <f ca="1">IFERROR(__xludf.DUMMYFUNCTION("""COMPUTED_VALUE"""),"Est Ristorante")</f>
        <v>Est Ristorante</v>
      </c>
      <c r="G423" s="1" t="str">
        <f ca="1">IFERROR(__xludf.DUMMYFUNCTION("""COMPUTED_VALUE"""),"-")</f>
        <v>-</v>
      </c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7">
        <f ca="1">IFERROR(__xludf.DUMMYFUNCTION("""COMPUTED_VALUE"""),45839)</f>
        <v>45839</v>
      </c>
      <c r="B424" s="7">
        <f ca="1">IFERROR(__xludf.DUMMYFUNCTION("""COMPUTED_VALUE"""),45806)</f>
        <v>45806</v>
      </c>
      <c r="C424" s="1" t="str">
        <f ca="1">IFERROR(__xludf.DUMMYFUNCTION("""COMPUTED_VALUE"""),"Drogaria Araujo")</f>
        <v>Drogaria Araujo</v>
      </c>
      <c r="D424" s="2">
        <f ca="1">IFERROR(__xludf.DUMMYFUNCTION("""COMPUTED_VALUE"""),3.19)</f>
        <v>3.19</v>
      </c>
      <c r="E424" s="1" t="str">
        <f ca="1">IFERROR(__xludf.DUMMYFUNCTION("""COMPUTED_VALUE"""),"-")</f>
        <v>-</v>
      </c>
      <c r="F424" s="1" t="str">
        <f ca="1">IFERROR(__xludf.DUMMYFUNCTION("""COMPUTED_VALUE"""),"Drogaria Araujo")</f>
        <v>Drogaria Araujo</v>
      </c>
      <c r="G424" s="1" t="str">
        <f ca="1">IFERROR(__xludf.DUMMYFUNCTION("""COMPUTED_VALUE"""),"Compras")</f>
        <v>Compras</v>
      </c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7">
        <f ca="1">IFERROR(__xludf.DUMMYFUNCTION("""COMPUTED_VALUE"""),45839)</f>
        <v>45839</v>
      </c>
      <c r="B425" s="7">
        <f ca="1">IFERROR(__xludf.DUMMYFUNCTION("""COMPUTED_VALUE"""),45807)</f>
        <v>45807</v>
      </c>
      <c r="C425" s="1" t="str">
        <f ca="1">IFERROR(__xludf.DUMMYFUNCTION("""COMPUTED_VALUE"""),"Espassogourmet")</f>
        <v>Espassogourmet</v>
      </c>
      <c r="D425" s="2">
        <f ca="1">IFERROR(__xludf.DUMMYFUNCTION("""COMPUTED_VALUE"""),29.9)</f>
        <v>29.9</v>
      </c>
      <c r="E425" s="1" t="str">
        <f ca="1">IFERROR(__xludf.DUMMYFUNCTION("""COMPUTED_VALUE"""),"-")</f>
        <v>-</v>
      </c>
      <c r="F425" s="1" t="str">
        <f ca="1">IFERROR(__xludf.DUMMYFUNCTION("""COMPUTED_VALUE"""),"Espassogourmet")</f>
        <v>Espassogourmet</v>
      </c>
      <c r="G425" s="1" t="str">
        <f ca="1">IFERROR(__xludf.DUMMYFUNCTION("""COMPUTED_VALUE"""),"Comida")</f>
        <v>Comida</v>
      </c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7">
        <f ca="1">IFERROR(__xludf.DUMMYFUNCTION("""COMPUTED_VALUE"""),45839)</f>
        <v>45839</v>
      </c>
      <c r="B426" s="7">
        <f ca="1">IFERROR(__xludf.DUMMYFUNCTION("""COMPUTED_VALUE"""),45808)</f>
        <v>45808</v>
      </c>
      <c r="C426" s="1" t="str">
        <f ca="1">IFERROR(__xludf.DUMMYFUNCTION("""COMPUTED_VALUE"""),"My Hair Escovaria Band")</f>
        <v>My Hair Escovaria Band</v>
      </c>
      <c r="D426" s="2">
        <f ca="1">IFERROR(__xludf.DUMMYFUNCTION("""COMPUTED_VALUE"""),37)</f>
        <v>37</v>
      </c>
      <c r="E426" s="1" t="str">
        <f ca="1">IFERROR(__xludf.DUMMYFUNCTION("""COMPUTED_VALUE"""),"-")</f>
        <v>-</v>
      </c>
      <c r="F426" s="1" t="str">
        <f ca="1">IFERROR(__xludf.DUMMYFUNCTION("""COMPUTED_VALUE"""),"My Hair Escovaria Band")</f>
        <v>My Hair Escovaria Band</v>
      </c>
      <c r="G426" s="1" t="str">
        <f ca="1">IFERROR(__xludf.DUMMYFUNCTION("""COMPUTED_VALUE"""),"-")</f>
        <v>-</v>
      </c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7">
        <f ca="1">IFERROR(__xludf.DUMMYFUNCTION("""COMPUTED_VALUE"""),45839)</f>
        <v>45839</v>
      </c>
      <c r="B427" s="7">
        <f ca="1">IFERROR(__xludf.DUMMYFUNCTION("""COMPUTED_VALUE"""),45810)</f>
        <v>45810</v>
      </c>
      <c r="C427" s="1" t="str">
        <f ca="1">IFERROR(__xludf.DUMMYFUNCTION("""COMPUTED_VALUE"""),"Super Nosso")</f>
        <v>Super Nosso</v>
      </c>
      <c r="D427" s="2">
        <f ca="1">IFERROR(__xludf.DUMMYFUNCTION("""COMPUTED_VALUE"""),6.99)</f>
        <v>6.99</v>
      </c>
      <c r="E427" s="1" t="str">
        <f ca="1">IFERROR(__xludf.DUMMYFUNCTION("""COMPUTED_VALUE"""),"-")</f>
        <v>-</v>
      </c>
      <c r="F427" s="1" t="str">
        <f ca="1">IFERROR(__xludf.DUMMYFUNCTION("""COMPUTED_VALUE"""),"Super Nosso")</f>
        <v>Super Nosso</v>
      </c>
      <c r="G427" s="1" t="str">
        <f ca="1">IFERROR(__xludf.DUMMYFUNCTION("""COMPUTED_VALUE"""),"Supermercado")</f>
        <v>Supermercado</v>
      </c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7">
        <f ca="1">IFERROR(__xludf.DUMMYFUNCTION("""COMPUTED_VALUE"""),45839)</f>
        <v>45839</v>
      </c>
      <c r="B428" s="7">
        <f ca="1">IFERROR(__xludf.DUMMYFUNCTION("""COMPUTED_VALUE"""),45810)</f>
        <v>45810</v>
      </c>
      <c r="C428" s="1" t="str">
        <f ca="1">IFERROR(__xludf.DUMMYFUNCTION("""COMPUTED_VALUE"""),"Supermercado &amp; Padaria")</f>
        <v>Supermercado &amp; Padaria</v>
      </c>
      <c r="D428" s="2">
        <f ca="1">IFERROR(__xludf.DUMMYFUNCTION("""COMPUTED_VALUE"""),19.08)</f>
        <v>19.079999999999998</v>
      </c>
      <c r="E428" s="1" t="str">
        <f ca="1">IFERROR(__xludf.DUMMYFUNCTION("""COMPUTED_VALUE"""),"-")</f>
        <v>-</v>
      </c>
      <c r="F428" s="1" t="str">
        <f ca="1">IFERROR(__xludf.DUMMYFUNCTION("""COMPUTED_VALUE"""),"Supermercado &amp; Padaria")</f>
        <v>Supermercado &amp; Padaria</v>
      </c>
      <c r="G428" s="1" t="str">
        <f ca="1">IFERROR(__xludf.DUMMYFUNCTION("""COMPUTED_VALUE"""),"Comida")</f>
        <v>Comida</v>
      </c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7">
        <f ca="1">IFERROR(__xludf.DUMMYFUNCTION("""COMPUTED_VALUE"""),45839)</f>
        <v>45839</v>
      </c>
      <c r="B429" s="7">
        <f ca="1">IFERROR(__xludf.DUMMYFUNCTION("""COMPUTED_VALUE"""),45811)</f>
        <v>45811</v>
      </c>
      <c r="C429" s="1" t="str">
        <f ca="1">IFERROR(__xludf.DUMMYFUNCTION("""COMPUTED_VALUE"""),"Droga Raia")</f>
        <v>Droga Raia</v>
      </c>
      <c r="D429" s="2">
        <f ca="1">IFERROR(__xludf.DUMMYFUNCTION("""COMPUTED_VALUE"""),14.76)</f>
        <v>14.76</v>
      </c>
      <c r="E429" s="1" t="str">
        <f ca="1">IFERROR(__xludf.DUMMYFUNCTION("""COMPUTED_VALUE"""),"-")</f>
        <v>-</v>
      </c>
      <c r="F429" s="1" t="str">
        <f ca="1">IFERROR(__xludf.DUMMYFUNCTION("""COMPUTED_VALUE"""),"Droga Raia")</f>
        <v>Droga Raia</v>
      </c>
      <c r="G429" s="1" t="str">
        <f ca="1">IFERROR(__xludf.DUMMYFUNCTION("""COMPUTED_VALUE"""),"Compras")</f>
        <v>Compras</v>
      </c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7">
        <f ca="1">IFERROR(__xludf.DUMMYFUNCTION("""COMPUTED_VALUE"""),45839)</f>
        <v>45839</v>
      </c>
      <c r="B430" s="7">
        <f ca="1">IFERROR(__xludf.DUMMYFUNCTION("""COMPUTED_VALUE"""),45812)</f>
        <v>45812</v>
      </c>
      <c r="C430" s="1" t="str">
        <f ca="1">IFERROR(__xludf.DUMMYFUNCTION("""COMPUTED_VALUE"""),"Super Nosso")</f>
        <v>Super Nosso</v>
      </c>
      <c r="D430" s="2">
        <f ca="1">IFERROR(__xludf.DUMMYFUNCTION("""COMPUTED_VALUE"""),11.28)</f>
        <v>11.28</v>
      </c>
      <c r="E430" s="1" t="str">
        <f ca="1">IFERROR(__xludf.DUMMYFUNCTION("""COMPUTED_VALUE"""),"-")</f>
        <v>-</v>
      </c>
      <c r="F430" s="1" t="str">
        <f ca="1">IFERROR(__xludf.DUMMYFUNCTION("""COMPUTED_VALUE"""),"Super Nosso")</f>
        <v>Super Nosso</v>
      </c>
      <c r="G430" s="1" t="str">
        <f ca="1">IFERROR(__xludf.DUMMYFUNCTION("""COMPUTED_VALUE"""),"Supermercado")</f>
        <v>Supermercado</v>
      </c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7">
        <f ca="1">IFERROR(__xludf.DUMMYFUNCTION("""COMPUTED_VALUE"""),45839)</f>
        <v>45839</v>
      </c>
      <c r="B431" s="7">
        <f ca="1">IFERROR(__xludf.DUMMYFUNCTION("""COMPUTED_VALUE"""),45815)</f>
        <v>45815</v>
      </c>
      <c r="C431" s="1" t="str">
        <f ca="1">IFERROR(__xludf.DUMMYFUNCTION("""COMPUTED_VALUE"""),"Sacolao Serra Verde")</f>
        <v>Sacolao Serra Verde</v>
      </c>
      <c r="D431" s="2">
        <f ca="1">IFERROR(__xludf.DUMMYFUNCTION("""COMPUTED_VALUE"""),57)</f>
        <v>57</v>
      </c>
      <c r="E431" s="1" t="str">
        <f ca="1">IFERROR(__xludf.DUMMYFUNCTION("""COMPUTED_VALUE"""),"-")</f>
        <v>-</v>
      </c>
      <c r="F431" s="1" t="str">
        <f ca="1">IFERROR(__xludf.DUMMYFUNCTION("""COMPUTED_VALUE"""),"Sacolao Serra Verde")</f>
        <v>Sacolao Serra Verde</v>
      </c>
      <c r="G431" s="1" t="str">
        <f ca="1">IFERROR(__xludf.DUMMYFUNCTION("""COMPUTED_VALUE"""),"-")</f>
        <v>-</v>
      </c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7">
        <f ca="1">IFERROR(__xludf.DUMMYFUNCTION("""COMPUTED_VALUE"""),45839)</f>
        <v>45839</v>
      </c>
      <c r="B432" s="7">
        <f ca="1">IFERROR(__xludf.DUMMYFUNCTION("""COMPUTED_VALUE"""),45815)</f>
        <v>45815</v>
      </c>
      <c r="C432" s="1" t="str">
        <f ca="1">IFERROR(__xludf.DUMMYFUNCTION("""COMPUTED_VALUE"""),"Maria De Fatima Costa")</f>
        <v>Maria De Fatima Costa</v>
      </c>
      <c r="D432" s="2">
        <f ca="1">IFERROR(__xludf.DUMMYFUNCTION("""COMPUTED_VALUE"""),55)</f>
        <v>55</v>
      </c>
      <c r="E432" s="1" t="str">
        <f ca="1">IFERROR(__xludf.DUMMYFUNCTION("""COMPUTED_VALUE"""),"-")</f>
        <v>-</v>
      </c>
      <c r="F432" s="1" t="str">
        <f ca="1">IFERROR(__xludf.DUMMYFUNCTION("""COMPUTED_VALUE"""),"Maria De Fatima Costa")</f>
        <v>Maria De Fatima Costa</v>
      </c>
      <c r="G432" s="1" t="str">
        <f ca="1">IFERROR(__xludf.DUMMYFUNCTION("""COMPUTED_VALUE"""),"-")</f>
        <v>-</v>
      </c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7">
        <f ca="1">IFERROR(__xludf.DUMMYFUNCTION("""COMPUTED_VALUE"""),45839)</f>
        <v>45839</v>
      </c>
      <c r="B433" s="7">
        <f ca="1">IFERROR(__xludf.DUMMYFUNCTION("""COMPUTED_VALUE"""),45816)</f>
        <v>45816</v>
      </c>
      <c r="C433" s="1" t="str">
        <f ca="1">IFERROR(__xludf.DUMMYFUNCTION("""COMPUTED_VALUE"""),"Oop Café")</f>
        <v>Oop Café</v>
      </c>
      <c r="D433" s="2">
        <f ca="1">IFERROR(__xludf.DUMMYFUNCTION("""COMPUTED_VALUE"""),26.4)</f>
        <v>26.4</v>
      </c>
      <c r="E433" s="1" t="str">
        <f ca="1">IFERROR(__xludf.DUMMYFUNCTION("""COMPUTED_VALUE"""),"-")</f>
        <v>-</v>
      </c>
      <c r="F433" s="1" t="str">
        <f ca="1">IFERROR(__xludf.DUMMYFUNCTION("""COMPUTED_VALUE"""),"Oop Café")</f>
        <v>Oop Café</v>
      </c>
      <c r="G433" s="1" t="str">
        <f ca="1">IFERROR(__xludf.DUMMYFUNCTION("""COMPUTED_VALUE"""),"-")</f>
        <v>-</v>
      </c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7">
        <f ca="1">IFERROR(__xludf.DUMMYFUNCTION("""COMPUTED_VALUE"""),45839)</f>
        <v>45839</v>
      </c>
      <c r="B434" s="7">
        <f ca="1">IFERROR(__xludf.DUMMYFUNCTION("""COMPUTED_VALUE"""),45817)</f>
        <v>45817</v>
      </c>
      <c r="C434" s="1" t="str">
        <f ca="1">IFERROR(__xludf.DUMMYFUNCTION("""COMPUTED_VALUE"""),"Lojas Rede")</f>
        <v>Lojas Rede</v>
      </c>
      <c r="D434" s="2">
        <f ca="1">IFERROR(__xludf.DUMMYFUNCTION("""COMPUTED_VALUE"""),2.99)</f>
        <v>2.99</v>
      </c>
      <c r="E434" s="1" t="str">
        <f ca="1">IFERROR(__xludf.DUMMYFUNCTION("""COMPUTED_VALUE"""),"-")</f>
        <v>-</v>
      </c>
      <c r="F434" s="1" t="str">
        <f ca="1">IFERROR(__xludf.DUMMYFUNCTION("""COMPUTED_VALUE"""),"Lojas Rede")</f>
        <v>Lojas Rede</v>
      </c>
      <c r="G434" s="1" t="str">
        <f ca="1">IFERROR(__xludf.DUMMYFUNCTION("""COMPUTED_VALUE"""),"Compras")</f>
        <v>Compras</v>
      </c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7">
        <f ca="1">IFERROR(__xludf.DUMMYFUNCTION("""COMPUTED_VALUE"""),45839)</f>
        <v>45839</v>
      </c>
      <c r="B435" s="7">
        <f ca="1">IFERROR(__xludf.DUMMYFUNCTION("""COMPUTED_VALUE"""),45817)</f>
        <v>45817</v>
      </c>
      <c r="C435" s="1" t="str">
        <f ca="1">IFERROR(__xludf.DUMMYFUNCTION("""COMPUTED_VALUE"""),"Depyl Action")</f>
        <v>Depyl Action</v>
      </c>
      <c r="D435" s="2">
        <f ca="1">IFERROR(__xludf.DUMMYFUNCTION("""COMPUTED_VALUE"""),119)</f>
        <v>119</v>
      </c>
      <c r="E435" s="1" t="str">
        <f ca="1">IFERROR(__xludf.DUMMYFUNCTION("""COMPUTED_VALUE"""),"-")</f>
        <v>-</v>
      </c>
      <c r="F435" s="1" t="str">
        <f ca="1">IFERROR(__xludf.DUMMYFUNCTION("""COMPUTED_VALUE"""),"Depyl Action")</f>
        <v>Depyl Action</v>
      </c>
      <c r="G435" s="1" t="str">
        <f ca="1">IFERROR(__xludf.DUMMYFUNCTION("""COMPUTED_VALUE"""),"-")</f>
        <v>-</v>
      </c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7">
        <f ca="1">IFERROR(__xludf.DUMMYFUNCTION("""COMPUTED_VALUE"""),45839)</f>
        <v>45839</v>
      </c>
      <c r="B436" s="7">
        <f ca="1">IFERROR(__xludf.DUMMYFUNCTION("""COMPUTED_VALUE"""),45818)</f>
        <v>45818</v>
      </c>
      <c r="C436" s="1" t="str">
        <f ca="1">IFERROR(__xludf.DUMMYFUNCTION("""COMPUTED_VALUE"""),"L Amour Restaurante L")</f>
        <v>L Amour Restaurante L</v>
      </c>
      <c r="D436" s="2">
        <f ca="1">IFERROR(__xludf.DUMMYFUNCTION("""COMPUTED_VALUE"""),36.1)</f>
        <v>36.1</v>
      </c>
      <c r="E436" s="1" t="str">
        <f ca="1">IFERROR(__xludf.DUMMYFUNCTION("""COMPUTED_VALUE"""),"-")</f>
        <v>-</v>
      </c>
      <c r="F436" s="1" t="str">
        <f ca="1">IFERROR(__xludf.DUMMYFUNCTION("""COMPUTED_VALUE"""),"L Amour Restaurante L")</f>
        <v>L Amour Restaurante L</v>
      </c>
      <c r="G436" s="1" t="str">
        <f ca="1">IFERROR(__xludf.DUMMYFUNCTION("""COMPUTED_VALUE"""),"Comida")</f>
        <v>Comida</v>
      </c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7">
        <f ca="1">IFERROR(__xludf.DUMMYFUNCTION("""COMPUTED_VALUE"""),45839)</f>
        <v>45839</v>
      </c>
      <c r="B437" s="7">
        <f ca="1">IFERROR(__xludf.DUMMYFUNCTION("""COMPUTED_VALUE"""),45832)</f>
        <v>45832</v>
      </c>
      <c r="C437" s="1" t="str">
        <f ca="1">IFERROR(__xludf.DUMMYFUNCTION("""COMPUTED_VALUE"""),"Panif Mendes Sion")</f>
        <v>Panif Mendes Sion</v>
      </c>
      <c r="D437" s="2">
        <f ca="1">IFERROR(__xludf.DUMMYFUNCTION("""COMPUTED_VALUE"""),14.47)</f>
        <v>14.47</v>
      </c>
      <c r="E437" s="1" t="str">
        <f ca="1">IFERROR(__xludf.DUMMYFUNCTION("""COMPUTED_VALUE"""),"-")</f>
        <v>-</v>
      </c>
      <c r="F437" s="1" t="str">
        <f ca="1">IFERROR(__xludf.DUMMYFUNCTION("""COMPUTED_VALUE"""),"Panif Mendes Sion")</f>
        <v>Panif Mendes Sion</v>
      </c>
      <c r="G437" s="1" t="str">
        <f ca="1">IFERROR(__xludf.DUMMYFUNCTION("""COMPUTED_VALUE"""),"Comida")</f>
        <v>Comida</v>
      </c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7">
        <f ca="1">IFERROR(__xludf.DUMMYFUNCTION("""COMPUTED_VALUE"""),45870)</f>
        <v>45870</v>
      </c>
      <c r="B438" s="7">
        <f ca="1">IFERROR(__xludf.DUMMYFUNCTION("""COMPUTED_VALUE"""),45765)</f>
        <v>45765</v>
      </c>
      <c r="C438" s="1" t="str">
        <f ca="1">IFERROR(__xludf.DUMMYFUNCTION("""COMPUTED_VALUE"""),"Casas Bahia (4/10)")</f>
        <v>Casas Bahia (4/10)</v>
      </c>
      <c r="D438" s="2">
        <f ca="1">IFERROR(__xludf.DUMMYFUNCTION("""COMPUTED_VALUE"""),361.46)</f>
        <v>361.46</v>
      </c>
      <c r="E438" s="1" t="str">
        <f ca="1">IFERROR(__xludf.DUMMYFUNCTION("""COMPUTED_VALUE"""),"-")</f>
        <v>-</v>
      </c>
      <c r="F438" s="1" t="str">
        <f ca="1">IFERROR(__xludf.DUMMYFUNCTION("""COMPUTED_VALUE"""),"Casas Bahia")</f>
        <v>Casas Bahia</v>
      </c>
      <c r="G438" s="1" t="str">
        <f ca="1">IFERROR(__xludf.DUMMYFUNCTION("""COMPUTED_VALUE"""),"Compras")</f>
        <v>Compras</v>
      </c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7">
        <f ca="1">IFERROR(__xludf.DUMMYFUNCTION("""COMPUTED_VALUE"""),45870)</f>
        <v>45870</v>
      </c>
      <c r="B439" s="7">
        <f ca="1">IFERROR(__xludf.DUMMYFUNCTION("""COMPUTED_VALUE"""),45818)</f>
        <v>45818</v>
      </c>
      <c r="C439" s="1" t="str">
        <f ca="1">IFERROR(__xludf.DUMMYFUNCTION("""COMPUTED_VALUE"""),"Crstina Marcia (2/10)")</f>
        <v>Crstina Marcia (2/10)</v>
      </c>
      <c r="D439" s="2">
        <f ca="1">IFERROR(__xludf.DUMMYFUNCTION("""COMPUTED_VALUE"""),696)</f>
        <v>696</v>
      </c>
      <c r="E439" s="1" t="str">
        <f ca="1">IFERROR(__xludf.DUMMYFUNCTION("""COMPUTED_VALUE"""),"-")</f>
        <v>-</v>
      </c>
      <c r="F439" s="1" t="str">
        <f ca="1">IFERROR(__xludf.DUMMYFUNCTION("""COMPUTED_VALUE"""),"Crstina Marcia")</f>
        <v>Crstina Marcia</v>
      </c>
      <c r="G439" s="1" t="str">
        <f ca="1">IFERROR(__xludf.DUMMYFUNCTION("""COMPUTED_VALUE"""),"-")</f>
        <v>-</v>
      </c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7">
        <f ca="1">IFERROR(__xludf.DUMMYFUNCTION("""COMPUTED_VALUE"""),45870)</f>
        <v>45870</v>
      </c>
      <c r="B440" s="7">
        <f ca="1">IFERROR(__xludf.DUMMYFUNCTION("""COMPUTED_VALUE"""),45839)</f>
        <v>45839</v>
      </c>
      <c r="C440" s="1" t="str">
        <f ca="1">IFERROR(__xludf.DUMMYFUNCTION("""COMPUTED_VALUE"""),"Amazon (10/10)")</f>
        <v>Amazon (10/10)</v>
      </c>
      <c r="D440" s="2">
        <f ca="1">IFERROR(__xludf.DUMMYFUNCTION("""COMPUTED_VALUE"""),72.9)</f>
        <v>72.900000000000006</v>
      </c>
      <c r="E440" s="1" t="str">
        <f ca="1">IFERROR(__xludf.DUMMYFUNCTION("""COMPUTED_VALUE"""),"-")</f>
        <v>-</v>
      </c>
      <c r="F440" s="1" t="str">
        <f ca="1">IFERROR(__xludf.DUMMYFUNCTION("""COMPUTED_VALUE"""),"Amazon")</f>
        <v>Amazon</v>
      </c>
      <c r="G440" s="1" t="str">
        <f ca="1">IFERROR(__xludf.DUMMYFUNCTION("""COMPUTED_VALUE"""),"Compras")</f>
        <v>Compras</v>
      </c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7">
        <f ca="1">IFERROR(__xludf.DUMMYFUNCTION("""COMPUTED_VALUE"""),45870)</f>
        <v>45870</v>
      </c>
      <c r="B441" s="7">
        <f ca="1">IFERROR(__xludf.DUMMYFUNCTION("""COMPUTED_VALUE"""),45839)</f>
        <v>45839</v>
      </c>
      <c r="C441" s="1" t="str">
        <f ca="1">IFERROR(__xludf.DUMMYFUNCTION("""COMPUTED_VALUE"""),"Amazon (9/10)")</f>
        <v>Amazon (9/10)</v>
      </c>
      <c r="D441" s="2">
        <f ca="1">IFERROR(__xludf.DUMMYFUNCTION("""COMPUTED_VALUE"""),72.9)</f>
        <v>72.900000000000006</v>
      </c>
      <c r="E441" s="1" t="str">
        <f ca="1">IFERROR(__xludf.DUMMYFUNCTION("""COMPUTED_VALUE"""),"-")</f>
        <v>-</v>
      </c>
      <c r="F441" s="1" t="str">
        <f ca="1">IFERROR(__xludf.DUMMYFUNCTION("""COMPUTED_VALUE"""),"Amazon")</f>
        <v>Amazon</v>
      </c>
      <c r="G441" s="1" t="str">
        <f ca="1">IFERROR(__xludf.DUMMYFUNCTION("""COMPUTED_VALUE"""),"Compras")</f>
        <v>Compras</v>
      </c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7">
        <f ca="1">IFERROR(__xludf.DUMMYFUNCTION("""COMPUTED_VALUE"""),45870)</f>
        <v>45870</v>
      </c>
      <c r="B442" s="7">
        <f ca="1">IFERROR(__xludf.DUMMYFUNCTION("""COMPUTED_VALUE"""),45839)</f>
        <v>45839</v>
      </c>
      <c r="C442" s="1" t="str">
        <f ca="1">IFERROR(__xludf.DUMMYFUNCTION("""COMPUTED_VALUE"""),"Amazon (8/10)")</f>
        <v>Amazon (8/10)</v>
      </c>
      <c r="D442" s="2">
        <f ca="1">IFERROR(__xludf.DUMMYFUNCTION("""COMPUTED_VALUE"""),72.9)</f>
        <v>72.900000000000006</v>
      </c>
      <c r="E442" s="1" t="str">
        <f ca="1">IFERROR(__xludf.DUMMYFUNCTION("""COMPUTED_VALUE"""),"-")</f>
        <v>-</v>
      </c>
      <c r="F442" s="1" t="str">
        <f ca="1">IFERROR(__xludf.DUMMYFUNCTION("""COMPUTED_VALUE"""),"Amazon")</f>
        <v>Amazon</v>
      </c>
      <c r="G442" s="1" t="str">
        <f ca="1">IFERROR(__xludf.DUMMYFUNCTION("""COMPUTED_VALUE"""),"Compras")</f>
        <v>Compras</v>
      </c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7">
        <f ca="1">IFERROR(__xludf.DUMMYFUNCTION("""COMPUTED_VALUE"""),45870)</f>
        <v>45870</v>
      </c>
      <c r="B443" s="7">
        <f ca="1">IFERROR(__xludf.DUMMYFUNCTION("""COMPUTED_VALUE"""),45839)</f>
        <v>45839</v>
      </c>
      <c r="C443" s="1" t="str">
        <f ca="1">IFERROR(__xludf.DUMMYFUNCTION("""COMPUTED_VALUE"""),"Amazon (7/10)")</f>
        <v>Amazon (7/10)</v>
      </c>
      <c r="D443" s="2">
        <f ca="1">IFERROR(__xludf.DUMMYFUNCTION("""COMPUTED_VALUE"""),72.9)</f>
        <v>72.900000000000006</v>
      </c>
      <c r="E443" s="1" t="str">
        <f ca="1">IFERROR(__xludf.DUMMYFUNCTION("""COMPUTED_VALUE"""),"-")</f>
        <v>-</v>
      </c>
      <c r="F443" s="1" t="str">
        <f ca="1">IFERROR(__xludf.DUMMYFUNCTION("""COMPUTED_VALUE"""),"Amazon")</f>
        <v>Amazon</v>
      </c>
      <c r="G443" s="1" t="str">
        <f ca="1">IFERROR(__xludf.DUMMYFUNCTION("""COMPUTED_VALUE"""),"Compras")</f>
        <v>Compras</v>
      </c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7">
        <f ca="1">IFERROR(__xludf.DUMMYFUNCTION("""COMPUTED_VALUE"""),45870)</f>
        <v>45870</v>
      </c>
      <c r="B444" s="7">
        <f ca="1">IFERROR(__xludf.DUMMYFUNCTION("""COMPUTED_VALUE"""),45839)</f>
        <v>45839</v>
      </c>
      <c r="C444" s="1" t="str">
        <f ca="1">IFERROR(__xludf.DUMMYFUNCTION("""COMPUTED_VALUE"""),"Amazon (6/10)")</f>
        <v>Amazon (6/10)</v>
      </c>
      <c r="D444" s="2">
        <f ca="1">IFERROR(__xludf.DUMMYFUNCTION("""COMPUTED_VALUE"""),72.9)</f>
        <v>72.900000000000006</v>
      </c>
      <c r="E444" s="1" t="str">
        <f ca="1">IFERROR(__xludf.DUMMYFUNCTION("""COMPUTED_VALUE"""),"-")</f>
        <v>-</v>
      </c>
      <c r="F444" s="1" t="str">
        <f ca="1">IFERROR(__xludf.DUMMYFUNCTION("""COMPUTED_VALUE"""),"Amazon")</f>
        <v>Amazon</v>
      </c>
      <c r="G444" s="1" t="str">
        <f ca="1">IFERROR(__xludf.DUMMYFUNCTION("""COMPUTED_VALUE"""),"Compras")</f>
        <v>Compras</v>
      </c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7">
        <f ca="1">IFERROR(__xludf.DUMMYFUNCTION("""COMPUTED_VALUE"""),45870)</f>
        <v>45870</v>
      </c>
      <c r="B445" s="7">
        <f ca="1">IFERROR(__xludf.DUMMYFUNCTION("""COMPUTED_VALUE"""),45839)</f>
        <v>45839</v>
      </c>
      <c r="C445" s="1" t="str">
        <f ca="1">IFERROR(__xludf.DUMMYFUNCTION("""COMPUTED_VALUE"""),"Amazon (5/10)")</f>
        <v>Amazon (5/10)</v>
      </c>
      <c r="D445" s="2">
        <f ca="1">IFERROR(__xludf.DUMMYFUNCTION("""COMPUTED_VALUE"""),72.9)</f>
        <v>72.900000000000006</v>
      </c>
      <c r="E445" s="1" t="str">
        <f ca="1">IFERROR(__xludf.DUMMYFUNCTION("""COMPUTED_VALUE"""),"-")</f>
        <v>-</v>
      </c>
      <c r="F445" s="1" t="str">
        <f ca="1">IFERROR(__xludf.DUMMYFUNCTION("""COMPUTED_VALUE"""),"Amazon")</f>
        <v>Amazon</v>
      </c>
      <c r="G445" s="1" t="str">
        <f ca="1">IFERROR(__xludf.DUMMYFUNCTION("""COMPUTED_VALUE"""),"Compras")</f>
        <v>Compras</v>
      </c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7">
        <f ca="1">IFERROR(__xludf.DUMMYFUNCTION("""COMPUTED_VALUE"""),45870)</f>
        <v>45870</v>
      </c>
      <c r="B446" s="7">
        <f ca="1">IFERROR(__xludf.DUMMYFUNCTION("""COMPUTED_VALUE"""),45839)</f>
        <v>45839</v>
      </c>
      <c r="C446" s="1" t="str">
        <f ca="1">IFERROR(__xludf.DUMMYFUNCTION("""COMPUTED_VALUE"""),"Amazon (4/10)")</f>
        <v>Amazon (4/10)</v>
      </c>
      <c r="D446" s="2">
        <f ca="1">IFERROR(__xludf.DUMMYFUNCTION("""COMPUTED_VALUE"""),72.9)</f>
        <v>72.900000000000006</v>
      </c>
      <c r="E446" s="1" t="str">
        <f ca="1">IFERROR(__xludf.DUMMYFUNCTION("""COMPUTED_VALUE"""),"-")</f>
        <v>-</v>
      </c>
      <c r="F446" s="1" t="str">
        <f ca="1">IFERROR(__xludf.DUMMYFUNCTION("""COMPUTED_VALUE"""),"Amazon")</f>
        <v>Amazon</v>
      </c>
      <c r="G446" s="1" t="str">
        <f ca="1">IFERROR(__xludf.DUMMYFUNCTION("""COMPUTED_VALUE"""),"Compras")</f>
        <v>Compras</v>
      </c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7">
        <f ca="1">IFERROR(__xludf.DUMMYFUNCTION("""COMPUTED_VALUE"""),45870)</f>
        <v>45870</v>
      </c>
      <c r="B447" s="7">
        <f ca="1">IFERROR(__xludf.DUMMYFUNCTION("""COMPUTED_VALUE"""),45839)</f>
        <v>45839</v>
      </c>
      <c r="C447" s="1" t="str">
        <f ca="1">IFERROR(__xludf.DUMMYFUNCTION("""COMPUTED_VALUE"""),"Amazon (3/10)")</f>
        <v>Amazon (3/10)</v>
      </c>
      <c r="D447" s="2">
        <f ca="1">IFERROR(__xludf.DUMMYFUNCTION("""COMPUTED_VALUE"""),72.9)</f>
        <v>72.900000000000006</v>
      </c>
      <c r="E447" s="1" t="str">
        <f ca="1">IFERROR(__xludf.DUMMYFUNCTION("""COMPUTED_VALUE"""),"-")</f>
        <v>-</v>
      </c>
      <c r="F447" s="1" t="str">
        <f ca="1">IFERROR(__xludf.DUMMYFUNCTION("""COMPUTED_VALUE"""),"Amazon")</f>
        <v>Amazon</v>
      </c>
      <c r="G447" s="1" t="str">
        <f ca="1">IFERROR(__xludf.DUMMYFUNCTION("""COMPUTED_VALUE"""),"Compras")</f>
        <v>Compras</v>
      </c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7">
        <f ca="1">IFERROR(__xludf.DUMMYFUNCTION("""COMPUTED_VALUE"""),45870)</f>
        <v>45870</v>
      </c>
      <c r="B448" s="7">
        <f ca="1">IFERROR(__xludf.DUMMYFUNCTION("""COMPUTED_VALUE"""),45839)</f>
        <v>45839</v>
      </c>
      <c r="C448" s="1" t="str">
        <f ca="1">IFERROR(__xludf.DUMMYFUNCTION("""COMPUTED_VALUE"""),"Amazon (2/10)")</f>
        <v>Amazon (2/10)</v>
      </c>
      <c r="D448" s="2">
        <f ca="1">IFERROR(__xludf.DUMMYFUNCTION("""COMPUTED_VALUE"""),72.9)</f>
        <v>72.900000000000006</v>
      </c>
      <c r="E448" s="1" t="str">
        <f ca="1">IFERROR(__xludf.DUMMYFUNCTION("""COMPUTED_VALUE"""),"-")</f>
        <v>-</v>
      </c>
      <c r="F448" s="1" t="str">
        <f ca="1">IFERROR(__xludf.DUMMYFUNCTION("""COMPUTED_VALUE"""),"Amazon")</f>
        <v>Amazon</v>
      </c>
      <c r="G448" s="1" t="str">
        <f ca="1">IFERROR(__xludf.DUMMYFUNCTION("""COMPUTED_VALUE"""),"Compras")</f>
        <v>Compras</v>
      </c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7">
        <f ca="1">IFERROR(__xludf.DUMMYFUNCTION("""COMPUTED_VALUE"""),45870)</f>
        <v>45870</v>
      </c>
      <c r="B449" s="7">
        <f ca="1">IFERROR(__xludf.DUMMYFUNCTION("""COMPUTED_VALUE"""),45840)</f>
        <v>45840</v>
      </c>
      <c r="C449" s="1" t="str">
        <f ca="1">IFERROR(__xludf.DUMMYFUNCTION("""COMPUTED_VALUE"""),"Panif Mendes Sion")</f>
        <v>Panif Mendes Sion</v>
      </c>
      <c r="D449" s="2">
        <f ca="1">IFERROR(__xludf.DUMMYFUNCTION("""COMPUTED_VALUE"""),7.59)</f>
        <v>7.59</v>
      </c>
      <c r="E449" s="1" t="str">
        <f ca="1">IFERROR(__xludf.DUMMYFUNCTION("""COMPUTED_VALUE"""),"-")</f>
        <v>-</v>
      </c>
      <c r="F449" s="1" t="str">
        <f ca="1">IFERROR(__xludf.DUMMYFUNCTION("""COMPUTED_VALUE"""),"Panif Mendes Sion")</f>
        <v>Panif Mendes Sion</v>
      </c>
      <c r="G449" s="1" t="str">
        <f ca="1">IFERROR(__xludf.DUMMYFUNCTION("""COMPUTED_VALUE"""),"Comida")</f>
        <v>Comida</v>
      </c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7">
        <f ca="1">IFERROR(__xludf.DUMMYFUNCTION("""COMPUTED_VALUE"""),45870)</f>
        <v>45870</v>
      </c>
      <c r="B450" s="7">
        <f ca="1">IFERROR(__xludf.DUMMYFUNCTION("""COMPUTED_VALUE"""),45840)</f>
        <v>45840</v>
      </c>
      <c r="C450" s="1" t="str">
        <f ca="1">IFERROR(__xludf.DUMMYFUNCTION("""COMPUTED_VALUE"""),"Petlove (2/2)")</f>
        <v>Petlove (2/2)</v>
      </c>
      <c r="D450" s="2">
        <f ca="1">IFERROR(__xludf.DUMMYFUNCTION("""COMPUTED_VALUE"""),110.67)</f>
        <v>110.67</v>
      </c>
      <c r="E450" s="1" t="str">
        <f ca="1">IFERROR(__xludf.DUMMYFUNCTION("""COMPUTED_VALUE"""),"-")</f>
        <v>-</v>
      </c>
      <c r="F450" s="1" t="str">
        <f ca="1">IFERROR(__xludf.DUMMYFUNCTION("""COMPUTED_VALUE"""),"Petlove")</f>
        <v>Petlove</v>
      </c>
      <c r="G450" s="1" t="str">
        <f ca="1">IFERROR(__xludf.DUMMYFUNCTION("""COMPUTED_VALUE"""),"Hulk")</f>
        <v>Hulk</v>
      </c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7">
        <f ca="1">IFERROR(__xludf.DUMMYFUNCTION("""COMPUTED_VALUE"""),45870)</f>
        <v>45870</v>
      </c>
      <c r="B451" s="7">
        <f ca="1">IFERROR(__xludf.DUMMYFUNCTION("""COMPUTED_VALUE"""),45840)</f>
        <v>45840</v>
      </c>
      <c r="C451" s="1" t="str">
        <f ca="1">IFERROR(__xludf.DUMMYFUNCTION("""COMPUTED_VALUE"""),"Petlove (1/2)")</f>
        <v>Petlove (1/2)</v>
      </c>
      <c r="D451" s="2">
        <f ca="1">IFERROR(__xludf.DUMMYFUNCTION("""COMPUTED_VALUE"""),110.68)</f>
        <v>110.68</v>
      </c>
      <c r="E451" s="1" t="str">
        <f ca="1">IFERROR(__xludf.DUMMYFUNCTION("""COMPUTED_VALUE"""),"-")</f>
        <v>-</v>
      </c>
      <c r="F451" s="1" t="str">
        <f ca="1">IFERROR(__xludf.DUMMYFUNCTION("""COMPUTED_VALUE"""),"Petlove")</f>
        <v>Petlove</v>
      </c>
      <c r="G451" s="1" t="str">
        <f ca="1">IFERROR(__xludf.DUMMYFUNCTION("""COMPUTED_VALUE"""),"Hulk")</f>
        <v>Hulk</v>
      </c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7">
        <f ca="1">IFERROR(__xludf.DUMMYFUNCTION("""COMPUTED_VALUE"""),45870)</f>
        <v>45870</v>
      </c>
      <c r="B452" s="7">
        <f ca="1">IFERROR(__xludf.DUMMYFUNCTION("""COMPUTED_VALUE"""),45841)</f>
        <v>45841</v>
      </c>
      <c r="C452" s="1" t="str">
        <f ca="1">IFERROR(__xludf.DUMMYFUNCTION("""COMPUTED_VALUE"""),"Efc Decorações")</f>
        <v>Efc Decorações</v>
      </c>
      <c r="D452" s="2">
        <f ca="1">IFERROR(__xludf.DUMMYFUNCTION("""COMPUTED_VALUE"""),1210)</f>
        <v>1210</v>
      </c>
      <c r="E452" s="1" t="str">
        <f ca="1">IFERROR(__xludf.DUMMYFUNCTION("""COMPUTED_VALUE"""),"-")</f>
        <v>-</v>
      </c>
      <c r="F452" s="1" t="str">
        <f ca="1">IFERROR(__xludf.DUMMYFUNCTION("""COMPUTED_VALUE"""),"Efc Decorações")</f>
        <v>Efc Decorações</v>
      </c>
      <c r="G452" s="1" t="str">
        <f ca="1">IFERROR(__xludf.DUMMYFUNCTION("""COMPUTED_VALUE"""),"-")</f>
        <v>-</v>
      </c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7">
        <f ca="1">IFERROR(__xludf.DUMMYFUNCTION("""COMPUTED_VALUE"""),45870)</f>
        <v>45870</v>
      </c>
      <c r="B453" s="7">
        <f ca="1">IFERROR(__xludf.DUMMYFUNCTION("""COMPUTED_VALUE"""),45841)</f>
        <v>45841</v>
      </c>
      <c r="C453" s="1" t="str">
        <f ca="1">IFERROR(__xludf.DUMMYFUNCTION("""COMPUTED_VALUE"""),"Bem Oriente")</f>
        <v>Bem Oriente</v>
      </c>
      <c r="D453" s="2">
        <f ca="1">IFERROR(__xludf.DUMMYFUNCTION("""COMPUTED_VALUE"""),50.94)</f>
        <v>50.94</v>
      </c>
      <c r="E453" s="1" t="str">
        <f ca="1">IFERROR(__xludf.DUMMYFUNCTION("""COMPUTED_VALUE"""),"-")</f>
        <v>-</v>
      </c>
      <c r="F453" s="1" t="str">
        <f ca="1">IFERROR(__xludf.DUMMYFUNCTION("""COMPUTED_VALUE"""),"Bem Oriente")</f>
        <v>Bem Oriente</v>
      </c>
      <c r="G453" s="1" t="str">
        <f ca="1">IFERROR(__xludf.DUMMYFUNCTION("""COMPUTED_VALUE"""),"-")</f>
        <v>-</v>
      </c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7">
        <f ca="1">IFERROR(__xludf.DUMMYFUNCTION("""COMPUTED_VALUE"""),45870)</f>
        <v>45870</v>
      </c>
      <c r="B454" s="7">
        <f ca="1">IFERROR(__xludf.DUMMYFUNCTION("""COMPUTED_VALUE"""),45841)</f>
        <v>45841</v>
      </c>
      <c r="C454" s="1" t="str">
        <f ca="1">IFERROR(__xludf.DUMMYFUNCTION("""COMPUTED_VALUE"""),"Barnabe Emporio")</f>
        <v>Barnabe Emporio</v>
      </c>
      <c r="D454" s="2">
        <f ca="1">IFERROR(__xludf.DUMMYFUNCTION("""COMPUTED_VALUE"""),47.8)</f>
        <v>47.8</v>
      </c>
      <c r="E454" s="1" t="str">
        <f ca="1">IFERROR(__xludf.DUMMYFUNCTION("""COMPUTED_VALUE"""),"-")</f>
        <v>-</v>
      </c>
      <c r="F454" s="1" t="str">
        <f ca="1">IFERROR(__xludf.DUMMYFUNCTION("""COMPUTED_VALUE"""),"Barnabe Emporio")</f>
        <v>Barnabe Emporio</v>
      </c>
      <c r="G454" s="1" t="str">
        <f ca="1">IFERROR(__xludf.DUMMYFUNCTION("""COMPUTED_VALUE"""),"Comida")</f>
        <v>Comida</v>
      </c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7">
        <f ca="1">IFERROR(__xludf.DUMMYFUNCTION("""COMPUTED_VALUE"""),45870)</f>
        <v>45870</v>
      </c>
      <c r="B455" s="7">
        <f ca="1">IFERROR(__xludf.DUMMYFUNCTION("""COMPUTED_VALUE"""),45841)</f>
        <v>45841</v>
      </c>
      <c r="C455" s="1" t="str">
        <f ca="1">IFERROR(__xludf.DUMMYFUNCTION("""COMPUTED_VALUE"""),"Bem Hortifruti")</f>
        <v>Bem Hortifruti</v>
      </c>
      <c r="D455" s="2">
        <f ca="1">IFERROR(__xludf.DUMMYFUNCTION("""COMPUTED_VALUE"""),7.44)</f>
        <v>7.44</v>
      </c>
      <c r="E455" s="1" t="str">
        <f ca="1">IFERROR(__xludf.DUMMYFUNCTION("""COMPUTED_VALUE"""),"-")</f>
        <v>-</v>
      </c>
      <c r="F455" s="1" t="str">
        <f ca="1">IFERROR(__xludf.DUMMYFUNCTION("""COMPUTED_VALUE"""),"Bem Hortifruti")</f>
        <v>Bem Hortifruti</v>
      </c>
      <c r="G455" s="1" t="str">
        <f ca="1">IFERROR(__xludf.DUMMYFUNCTION("""COMPUTED_VALUE"""),"-")</f>
        <v>-</v>
      </c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7">
        <f ca="1">IFERROR(__xludf.DUMMYFUNCTION("""COMPUTED_VALUE"""),45870)</f>
        <v>45870</v>
      </c>
      <c r="B456" s="7">
        <f ca="1">IFERROR(__xludf.DUMMYFUNCTION("""COMPUTED_VALUE"""),45841)</f>
        <v>45841</v>
      </c>
      <c r="C456" s="1" t="str">
        <f ca="1">IFERROR(__xludf.DUMMYFUNCTION("""COMPUTED_VALUE"""),"Amazon")</f>
        <v>Amazon</v>
      </c>
      <c r="D456" s="2">
        <f ca="1">IFERROR(__xludf.DUMMYFUNCTION("""COMPUTED_VALUE"""),16.06)</f>
        <v>16.059999999999999</v>
      </c>
      <c r="E456" s="1" t="str">
        <f ca="1">IFERROR(__xludf.DUMMYFUNCTION("""COMPUTED_VALUE"""),"-")</f>
        <v>-</v>
      </c>
      <c r="F456" s="1" t="str">
        <f ca="1">IFERROR(__xludf.DUMMYFUNCTION("""COMPUTED_VALUE"""),"Amazon")</f>
        <v>Amazon</v>
      </c>
      <c r="G456" s="1" t="str">
        <f ca="1">IFERROR(__xludf.DUMMYFUNCTION("""COMPUTED_VALUE"""),"Compras")</f>
        <v>Compras</v>
      </c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7">
        <f ca="1">IFERROR(__xludf.DUMMYFUNCTION("""COMPUTED_VALUE"""),45870)</f>
        <v>45870</v>
      </c>
      <c r="B457" s="7">
        <f ca="1">IFERROR(__xludf.DUMMYFUNCTION("""COMPUTED_VALUE"""),45843)</f>
        <v>45843</v>
      </c>
      <c r="C457" s="1" t="str">
        <f ca="1">IFERROR(__xludf.DUMMYFUNCTION("""COMPUTED_VALUE"""),"Vila Aymore")</f>
        <v>Vila Aymore</v>
      </c>
      <c r="D457" s="2">
        <f ca="1">IFERROR(__xludf.DUMMYFUNCTION("""COMPUTED_VALUE"""),210.53)</f>
        <v>210.53</v>
      </c>
      <c r="E457" s="1" t="str">
        <f ca="1">IFERROR(__xludf.DUMMYFUNCTION("""COMPUTED_VALUE"""),"-")</f>
        <v>-</v>
      </c>
      <c r="F457" s="1" t="str">
        <f ca="1">IFERROR(__xludf.DUMMYFUNCTION("""COMPUTED_VALUE"""),"Vila Aymore")</f>
        <v>Vila Aymore</v>
      </c>
      <c r="G457" s="1" t="str">
        <f ca="1">IFERROR(__xludf.DUMMYFUNCTION("""COMPUTED_VALUE"""),"-")</f>
        <v>-</v>
      </c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7">
        <f ca="1">IFERROR(__xludf.DUMMYFUNCTION("""COMPUTED_VALUE"""),45870)</f>
        <v>45870</v>
      </c>
      <c r="B458" s="7">
        <f ca="1">IFERROR(__xludf.DUMMYFUNCTION("""COMPUTED_VALUE"""),45843)</f>
        <v>45843</v>
      </c>
      <c r="C458" s="1" t="str">
        <f ca="1">IFERROR(__xludf.DUMMYFUNCTION("""COMPUTED_VALUE"""),"Shopee")</f>
        <v>Shopee</v>
      </c>
      <c r="D458" s="2">
        <f ca="1">IFERROR(__xludf.DUMMYFUNCTION("""COMPUTED_VALUE"""),42.99)</f>
        <v>42.99</v>
      </c>
      <c r="E458" s="1" t="str">
        <f ca="1">IFERROR(__xludf.DUMMYFUNCTION("""COMPUTED_VALUE"""),"-")</f>
        <v>-</v>
      </c>
      <c r="F458" s="1" t="str">
        <f ca="1">IFERROR(__xludf.DUMMYFUNCTION("""COMPUTED_VALUE"""),"Shopee")</f>
        <v>Shopee</v>
      </c>
      <c r="G458" s="1" t="str">
        <f ca="1">IFERROR(__xludf.DUMMYFUNCTION("""COMPUTED_VALUE"""),"Compras")</f>
        <v>Compras</v>
      </c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7">
        <f ca="1">IFERROR(__xludf.DUMMYFUNCTION("""COMPUTED_VALUE"""),45870)</f>
        <v>45870</v>
      </c>
      <c r="B459" s="7">
        <f ca="1">IFERROR(__xludf.DUMMYFUNCTION("""COMPUTED_VALUE"""),45843)</f>
        <v>45843</v>
      </c>
      <c r="C459" s="1" t="str">
        <f ca="1">IFERROR(__xludf.DUMMYFUNCTION("""COMPUTED_VALUE"""),"Sam's Club")</f>
        <v>Sam's Club</v>
      </c>
      <c r="D459" s="2">
        <f ca="1">IFERROR(__xludf.DUMMYFUNCTION("""COMPUTED_VALUE"""),516.33)</f>
        <v>516.33000000000004</v>
      </c>
      <c r="E459" s="1" t="str">
        <f ca="1">IFERROR(__xludf.DUMMYFUNCTION("""COMPUTED_VALUE"""),"-")</f>
        <v>-</v>
      </c>
      <c r="F459" s="1" t="str">
        <f ca="1">IFERROR(__xludf.DUMMYFUNCTION("""COMPUTED_VALUE"""),"Sam's Club")</f>
        <v>Sam's Club</v>
      </c>
      <c r="G459" s="1" t="str">
        <f ca="1">IFERROR(__xludf.DUMMYFUNCTION("""COMPUTED_VALUE"""),"Supermercado")</f>
        <v>Supermercado</v>
      </c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7">
        <f ca="1">IFERROR(__xludf.DUMMYFUNCTION("""COMPUTED_VALUE"""),45870)</f>
        <v>45870</v>
      </c>
      <c r="B460" s="7">
        <f ca="1">IFERROR(__xludf.DUMMYFUNCTION("""COMPUTED_VALUE"""),45843)</f>
        <v>45843</v>
      </c>
      <c r="C460" s="1" t="str">
        <f ca="1">IFERROR(__xludf.DUMMYFUNCTION("""COMPUTED_VALUE"""),"Amazon")</f>
        <v>Amazon</v>
      </c>
      <c r="D460" s="2">
        <f ca="1">IFERROR(__xludf.DUMMYFUNCTION("""COMPUTED_VALUE"""),4.6)</f>
        <v>4.5999999999999996</v>
      </c>
      <c r="E460" s="1" t="str">
        <f ca="1">IFERROR(__xludf.DUMMYFUNCTION("""COMPUTED_VALUE"""),"-")</f>
        <v>-</v>
      </c>
      <c r="F460" s="1" t="str">
        <f ca="1">IFERROR(__xludf.DUMMYFUNCTION("""COMPUTED_VALUE"""),"Amazon")</f>
        <v>Amazon</v>
      </c>
      <c r="G460" s="1" t="str">
        <f ca="1">IFERROR(__xludf.DUMMYFUNCTION("""COMPUTED_VALUE"""),"Compras")</f>
        <v>Compras</v>
      </c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7">
        <f ca="1">IFERROR(__xludf.DUMMYFUNCTION("""COMPUTED_VALUE"""),45870)</f>
        <v>45870</v>
      </c>
      <c r="B461" s="7">
        <f ca="1">IFERROR(__xludf.DUMMYFUNCTION("""COMPUTED_VALUE"""),45843)</f>
        <v>45843</v>
      </c>
      <c r="C461" s="1" t="str">
        <f ca="1">IFERROR(__xludf.DUMMYFUNCTION("""COMPUTED_VALUE"""),"Amazon")</f>
        <v>Amazon</v>
      </c>
      <c r="D461" s="2">
        <f ca="1">IFERROR(__xludf.DUMMYFUNCTION("""COMPUTED_VALUE"""),39.37)</f>
        <v>39.369999999999997</v>
      </c>
      <c r="E461" s="1" t="str">
        <f ca="1">IFERROR(__xludf.DUMMYFUNCTION("""COMPUTED_VALUE"""),"-")</f>
        <v>-</v>
      </c>
      <c r="F461" s="1" t="str">
        <f ca="1">IFERROR(__xludf.DUMMYFUNCTION("""COMPUTED_VALUE"""),"Amazon")</f>
        <v>Amazon</v>
      </c>
      <c r="G461" s="1" t="str">
        <f ca="1">IFERROR(__xludf.DUMMYFUNCTION("""COMPUTED_VALUE"""),"Compras")</f>
        <v>Compras</v>
      </c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7">
        <f ca="1">IFERROR(__xludf.DUMMYFUNCTION("""COMPUTED_VALUE"""),45870)</f>
        <v>45870</v>
      </c>
      <c r="B462" s="7">
        <f ca="1">IFERROR(__xludf.DUMMYFUNCTION("""COMPUTED_VALUE"""),45843)</f>
        <v>45843</v>
      </c>
      <c r="C462" s="1" t="str">
        <f ca="1">IFERROR(__xludf.DUMMYFUNCTION("""COMPUTED_VALUE"""),"Amazon")</f>
        <v>Amazon</v>
      </c>
      <c r="D462" s="2">
        <f ca="1">IFERROR(__xludf.DUMMYFUNCTION("""COMPUTED_VALUE"""),36.81)</f>
        <v>36.81</v>
      </c>
      <c r="E462" s="1" t="str">
        <f ca="1">IFERROR(__xludf.DUMMYFUNCTION("""COMPUTED_VALUE"""),"-")</f>
        <v>-</v>
      </c>
      <c r="F462" s="1" t="str">
        <f ca="1">IFERROR(__xludf.DUMMYFUNCTION("""COMPUTED_VALUE"""),"Amazon")</f>
        <v>Amazon</v>
      </c>
      <c r="G462" s="1" t="str">
        <f ca="1">IFERROR(__xludf.DUMMYFUNCTION("""COMPUTED_VALUE"""),"Compras")</f>
        <v>Compras</v>
      </c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7">
        <f ca="1">IFERROR(__xludf.DUMMYFUNCTION("""COMPUTED_VALUE"""),45870)</f>
        <v>45870</v>
      </c>
      <c r="B463" s="7">
        <f ca="1">IFERROR(__xludf.DUMMYFUNCTION("""COMPUTED_VALUE"""),45843)</f>
        <v>45843</v>
      </c>
      <c r="C463" s="1" t="str">
        <f ca="1">IFERROR(__xludf.DUMMYFUNCTION("""COMPUTED_VALUE"""),"Amazon")</f>
        <v>Amazon</v>
      </c>
      <c r="D463" s="2">
        <f ca="1">IFERROR(__xludf.DUMMYFUNCTION("""COMPUTED_VALUE"""),36.81)</f>
        <v>36.81</v>
      </c>
      <c r="E463" s="1" t="str">
        <f ca="1">IFERROR(__xludf.DUMMYFUNCTION("""COMPUTED_VALUE"""),"-")</f>
        <v>-</v>
      </c>
      <c r="F463" s="1" t="str">
        <f ca="1">IFERROR(__xludf.DUMMYFUNCTION("""COMPUTED_VALUE"""),"Amazon")</f>
        <v>Amazon</v>
      </c>
      <c r="G463" s="1" t="str">
        <f ca="1">IFERROR(__xludf.DUMMYFUNCTION("""COMPUTED_VALUE"""),"Compras")</f>
        <v>Compras</v>
      </c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7">
        <f ca="1">IFERROR(__xludf.DUMMYFUNCTION("""COMPUTED_VALUE"""),45870)</f>
        <v>45870</v>
      </c>
      <c r="B464" s="7">
        <f ca="1">IFERROR(__xludf.DUMMYFUNCTION("""COMPUTED_VALUE"""),45844)</f>
        <v>45844</v>
      </c>
      <c r="C464" s="1" t="str">
        <f ca="1">IFERROR(__xludf.DUMMYFUNCTION("""COMPUTED_VALUE"""),"Panif Mendes Sion")</f>
        <v>Panif Mendes Sion</v>
      </c>
      <c r="D464" s="2">
        <f ca="1">IFERROR(__xludf.DUMMYFUNCTION("""COMPUTED_VALUE"""),9.9)</f>
        <v>9.9</v>
      </c>
      <c r="E464" s="1" t="str">
        <f ca="1">IFERROR(__xludf.DUMMYFUNCTION("""COMPUTED_VALUE"""),"-")</f>
        <v>-</v>
      </c>
      <c r="F464" s="1" t="str">
        <f ca="1">IFERROR(__xludf.DUMMYFUNCTION("""COMPUTED_VALUE"""),"Panif Mendes Sion")</f>
        <v>Panif Mendes Sion</v>
      </c>
      <c r="G464" s="1" t="str">
        <f ca="1">IFERROR(__xludf.DUMMYFUNCTION("""COMPUTED_VALUE"""),"Comida")</f>
        <v>Comida</v>
      </c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7">
        <f ca="1">IFERROR(__xludf.DUMMYFUNCTION("""COMPUTED_VALUE"""),45870)</f>
        <v>45870</v>
      </c>
      <c r="B465" s="7">
        <f ca="1">IFERROR(__xludf.DUMMYFUNCTION("""COMPUTED_VALUE"""),45844)</f>
        <v>45844</v>
      </c>
      <c r="C465" s="1" t="str">
        <f ca="1">IFERROR(__xludf.DUMMYFUNCTION("""COMPUTED_VALUE"""),"Amazon")</f>
        <v>Amazon</v>
      </c>
      <c r="D465" s="2">
        <f ca="1">IFERROR(__xludf.DUMMYFUNCTION("""COMPUTED_VALUE"""),32.43)</f>
        <v>32.43</v>
      </c>
      <c r="E465" s="1" t="str">
        <f ca="1">IFERROR(__xludf.DUMMYFUNCTION("""COMPUTED_VALUE"""),"-")</f>
        <v>-</v>
      </c>
      <c r="F465" s="1" t="str">
        <f ca="1">IFERROR(__xludf.DUMMYFUNCTION("""COMPUTED_VALUE"""),"Amazon")</f>
        <v>Amazon</v>
      </c>
      <c r="G465" s="1" t="str">
        <f ca="1">IFERROR(__xludf.DUMMYFUNCTION("""COMPUTED_VALUE"""),"Compras")</f>
        <v>Compras</v>
      </c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7">
        <f ca="1">IFERROR(__xludf.DUMMYFUNCTION("""COMPUTED_VALUE"""),45870)</f>
        <v>45870</v>
      </c>
      <c r="B466" s="7">
        <f ca="1">IFERROR(__xludf.DUMMYFUNCTION("""COMPUTED_VALUE"""),45845)</f>
        <v>45845</v>
      </c>
      <c r="C466" s="1" t="str">
        <f ca="1">IFERROR(__xludf.DUMMYFUNCTION("""COMPUTED_VALUE"""),"Supermercado Epa")</f>
        <v>Supermercado Epa</v>
      </c>
      <c r="D466" s="2">
        <f ca="1">IFERROR(__xludf.DUMMYFUNCTION("""COMPUTED_VALUE"""),26.46)</f>
        <v>26.46</v>
      </c>
      <c r="E466" s="1" t="str">
        <f ca="1">IFERROR(__xludf.DUMMYFUNCTION("""COMPUTED_VALUE"""),"-")</f>
        <v>-</v>
      </c>
      <c r="F466" s="1" t="str">
        <f ca="1">IFERROR(__xludf.DUMMYFUNCTION("""COMPUTED_VALUE"""),"Supermercado Epa")</f>
        <v>Supermercado Epa</v>
      </c>
      <c r="G466" s="1" t="str">
        <f ca="1">IFERROR(__xludf.DUMMYFUNCTION("""COMPUTED_VALUE"""),"-")</f>
        <v>-</v>
      </c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7">
        <f ca="1">IFERROR(__xludf.DUMMYFUNCTION("""COMPUTED_VALUE"""),45870)</f>
        <v>45870</v>
      </c>
      <c r="B467" s="7">
        <f ca="1">IFERROR(__xludf.DUMMYFUNCTION("""COMPUTED_VALUE"""),45845)</f>
        <v>45845</v>
      </c>
      <c r="C467" s="1" t="str">
        <f ca="1">IFERROR(__xludf.DUMMYFUNCTION("""COMPUTED_VALUE"""),"Shopee")</f>
        <v>Shopee</v>
      </c>
      <c r="D467" s="2">
        <f ca="1">IFERROR(__xludf.DUMMYFUNCTION("""COMPUTED_VALUE"""),29.5)</f>
        <v>29.5</v>
      </c>
      <c r="E467" s="1" t="str">
        <f ca="1">IFERROR(__xludf.DUMMYFUNCTION("""COMPUTED_VALUE"""),"-")</f>
        <v>-</v>
      </c>
      <c r="F467" s="1" t="str">
        <f ca="1">IFERROR(__xludf.DUMMYFUNCTION("""COMPUTED_VALUE"""),"Shopee")</f>
        <v>Shopee</v>
      </c>
      <c r="G467" s="1" t="str">
        <f ca="1">IFERROR(__xludf.DUMMYFUNCTION("""COMPUTED_VALUE"""),"Compras")</f>
        <v>Compras</v>
      </c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7">
        <f ca="1">IFERROR(__xludf.DUMMYFUNCTION("""COMPUTED_VALUE"""),45870)</f>
        <v>45870</v>
      </c>
      <c r="B468" s="7">
        <f ca="1">IFERROR(__xludf.DUMMYFUNCTION("""COMPUTED_VALUE"""),45846)</f>
        <v>45846</v>
      </c>
      <c r="C468" s="1" t="str">
        <f ca="1">IFERROR(__xludf.DUMMYFUNCTION("""COMPUTED_VALUE"""),"Drogaria Araujo")</f>
        <v>Drogaria Araujo</v>
      </c>
      <c r="D468" s="2">
        <f ca="1">IFERROR(__xludf.DUMMYFUNCTION("""COMPUTED_VALUE"""),49.58)</f>
        <v>49.58</v>
      </c>
      <c r="E468" s="1" t="str">
        <f ca="1">IFERROR(__xludf.DUMMYFUNCTION("""COMPUTED_VALUE"""),"-")</f>
        <v>-</v>
      </c>
      <c r="F468" s="1" t="str">
        <f ca="1">IFERROR(__xludf.DUMMYFUNCTION("""COMPUTED_VALUE"""),"Drogaria Araujo")</f>
        <v>Drogaria Araujo</v>
      </c>
      <c r="G468" s="1" t="str">
        <f ca="1">IFERROR(__xludf.DUMMYFUNCTION("""COMPUTED_VALUE"""),"Compras")</f>
        <v>Compras</v>
      </c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7">
        <f ca="1">IFERROR(__xludf.DUMMYFUNCTION("""COMPUTED_VALUE"""),45870)</f>
        <v>45870</v>
      </c>
      <c r="B469" s="7">
        <f ca="1">IFERROR(__xludf.DUMMYFUNCTION("""COMPUTED_VALUE"""),45847)</f>
        <v>45847</v>
      </c>
      <c r="C469" s="1" t="str">
        <f ca="1">IFERROR(__xludf.DUMMYFUNCTION("""COMPUTED_VALUE"""),"Drogaria Araujo")</f>
        <v>Drogaria Araujo</v>
      </c>
      <c r="D469" s="2">
        <f ca="1">IFERROR(__xludf.DUMMYFUNCTION("""COMPUTED_VALUE"""),7.32)</f>
        <v>7.32</v>
      </c>
      <c r="E469" s="1" t="str">
        <f ca="1">IFERROR(__xludf.DUMMYFUNCTION("""COMPUTED_VALUE"""),"-")</f>
        <v>-</v>
      </c>
      <c r="F469" s="1" t="str">
        <f ca="1">IFERROR(__xludf.DUMMYFUNCTION("""COMPUTED_VALUE"""),"Drogaria Araujo")</f>
        <v>Drogaria Araujo</v>
      </c>
      <c r="G469" s="1" t="str">
        <f ca="1">IFERROR(__xludf.DUMMYFUNCTION("""COMPUTED_VALUE"""),"Compras")</f>
        <v>Compras</v>
      </c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7">
        <f ca="1">IFERROR(__xludf.DUMMYFUNCTION("""COMPUTED_VALUE"""),45870)</f>
        <v>45870</v>
      </c>
      <c r="B470" s="7">
        <f ca="1">IFERROR(__xludf.DUMMYFUNCTION("""COMPUTED_VALUE"""),45848)</f>
        <v>45848</v>
      </c>
      <c r="C470" s="1" t="str">
        <f ca="1">IFERROR(__xludf.DUMMYFUNCTION("""COMPUTED_VALUE"""),"Shopee")</f>
        <v>Shopee</v>
      </c>
      <c r="D470" s="2">
        <f ca="1">IFERROR(__xludf.DUMMYFUNCTION("""COMPUTED_VALUE"""),13.29)</f>
        <v>13.29</v>
      </c>
      <c r="E470" s="1" t="str">
        <f ca="1">IFERROR(__xludf.DUMMYFUNCTION("""COMPUTED_VALUE"""),"-")</f>
        <v>-</v>
      </c>
      <c r="F470" s="1" t="str">
        <f ca="1">IFERROR(__xludf.DUMMYFUNCTION("""COMPUTED_VALUE"""),"Shopee")</f>
        <v>Shopee</v>
      </c>
      <c r="G470" s="1" t="str">
        <f ca="1">IFERROR(__xludf.DUMMYFUNCTION("""COMPUTED_VALUE"""),"Compras")</f>
        <v>Compras</v>
      </c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7">
        <f ca="1">IFERROR(__xludf.DUMMYFUNCTION("""COMPUTED_VALUE"""),45870)</f>
        <v>45870</v>
      </c>
      <c r="B471" s="7">
        <f ca="1">IFERROR(__xludf.DUMMYFUNCTION("""COMPUTED_VALUE"""),45848)</f>
        <v>45848</v>
      </c>
      <c r="C471" s="1" t="str">
        <f ca="1">IFERROR(__xludf.DUMMYFUNCTION("""COMPUTED_VALUE"""),"Amazon")</f>
        <v>Amazon</v>
      </c>
      <c r="D471" s="2">
        <f ca="1">IFERROR(__xludf.DUMMYFUNCTION("""COMPUTED_VALUE"""),32.36)</f>
        <v>32.36</v>
      </c>
      <c r="E471" s="1" t="str">
        <f ca="1">IFERROR(__xludf.DUMMYFUNCTION("""COMPUTED_VALUE"""),"-")</f>
        <v>-</v>
      </c>
      <c r="F471" s="1" t="str">
        <f ca="1">IFERROR(__xludf.DUMMYFUNCTION("""COMPUTED_VALUE"""),"Amazon")</f>
        <v>Amazon</v>
      </c>
      <c r="G471" s="1" t="str">
        <f ca="1">IFERROR(__xludf.DUMMYFUNCTION("""COMPUTED_VALUE"""),"Compras")</f>
        <v>Compras</v>
      </c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7">
        <f ca="1">IFERROR(__xludf.DUMMYFUNCTION("""COMPUTED_VALUE"""),45870)</f>
        <v>45870</v>
      </c>
      <c r="B472" s="7">
        <f ca="1">IFERROR(__xludf.DUMMYFUNCTION("""COMPUTED_VALUE"""),45848)</f>
        <v>45848</v>
      </c>
      <c r="C472" s="1" t="str">
        <f ca="1">IFERROR(__xludf.DUMMYFUNCTION("""COMPUTED_VALUE"""),"Choky Confeitaria")</f>
        <v>Choky Confeitaria</v>
      </c>
      <c r="D472" s="2">
        <f ca="1">IFERROR(__xludf.DUMMYFUNCTION("""COMPUTED_VALUE"""),54)</f>
        <v>54</v>
      </c>
      <c r="E472" s="1" t="str">
        <f ca="1">IFERROR(__xludf.DUMMYFUNCTION("""COMPUTED_VALUE"""),"-")</f>
        <v>-</v>
      </c>
      <c r="F472" s="1" t="str">
        <f ca="1">IFERROR(__xludf.DUMMYFUNCTION("""COMPUTED_VALUE"""),"Choky Confeitaria")</f>
        <v>Choky Confeitaria</v>
      </c>
      <c r="G472" s="1" t="str">
        <f ca="1">IFERROR(__xludf.DUMMYFUNCTION("""COMPUTED_VALUE"""),"-")</f>
        <v>-</v>
      </c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7">
        <f ca="1">IFERROR(__xludf.DUMMYFUNCTION("""COMPUTED_VALUE"""),45870)</f>
        <v>45870</v>
      </c>
      <c r="B473" s="7">
        <f ca="1">IFERROR(__xludf.DUMMYFUNCTION("""COMPUTED_VALUE"""),45848)</f>
        <v>45848</v>
      </c>
      <c r="C473" s="1" t="str">
        <f ca="1">IFERROR(__xludf.DUMMYFUNCTION("""COMPUTED_VALUE"""),"Rizzo Horizonte")</f>
        <v>Rizzo Horizonte</v>
      </c>
      <c r="D473" s="2">
        <f ca="1">IFERROR(__xludf.DUMMYFUNCTION("""COMPUTED_VALUE"""),54.5)</f>
        <v>54.5</v>
      </c>
      <c r="E473" s="1" t="str">
        <f ca="1">IFERROR(__xludf.DUMMYFUNCTION("""COMPUTED_VALUE"""),"-")</f>
        <v>-</v>
      </c>
      <c r="F473" s="1" t="str">
        <f ca="1">IFERROR(__xludf.DUMMYFUNCTION("""COMPUTED_VALUE"""),"Rizzo Horizonte")</f>
        <v>Rizzo Horizonte</v>
      </c>
      <c r="G473" s="1" t="str">
        <f ca="1">IFERROR(__xludf.DUMMYFUNCTION("""COMPUTED_VALUE"""),"-")</f>
        <v>-</v>
      </c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7">
        <f ca="1">IFERROR(__xludf.DUMMYFUNCTION("""COMPUTED_VALUE"""),45870)</f>
        <v>45870</v>
      </c>
      <c r="B474" s="7">
        <f ca="1">IFERROR(__xludf.DUMMYFUNCTION("""COMPUTED_VALUE"""),45848)</f>
        <v>45848</v>
      </c>
      <c r="C474" s="1" t="str">
        <f ca="1">IFERROR(__xludf.DUMMYFUNCTION("""COMPUTED_VALUE"""),"Rizzo Horizonte")</f>
        <v>Rizzo Horizonte</v>
      </c>
      <c r="D474" s="2">
        <f ca="1">IFERROR(__xludf.DUMMYFUNCTION("""COMPUTED_VALUE"""),25.9)</f>
        <v>25.9</v>
      </c>
      <c r="E474" s="1" t="str">
        <f ca="1">IFERROR(__xludf.DUMMYFUNCTION("""COMPUTED_VALUE"""),"-")</f>
        <v>-</v>
      </c>
      <c r="F474" s="1" t="str">
        <f ca="1">IFERROR(__xludf.DUMMYFUNCTION("""COMPUTED_VALUE"""),"Rizzo Horizonte")</f>
        <v>Rizzo Horizonte</v>
      </c>
      <c r="G474" s="1" t="str">
        <f ca="1">IFERROR(__xludf.DUMMYFUNCTION("""COMPUTED_VALUE"""),"-")</f>
        <v>-</v>
      </c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7">
        <f ca="1">IFERROR(__xludf.DUMMYFUNCTION("""COMPUTED_VALUE"""),45870)</f>
        <v>45870</v>
      </c>
      <c r="B475" s="7">
        <f ca="1">IFERROR(__xludf.DUMMYFUNCTION("""COMPUTED_VALUE"""),45848)</f>
        <v>45848</v>
      </c>
      <c r="C475" s="1" t="str">
        <f ca="1">IFERROR(__xludf.DUMMYFUNCTION("""COMPUTED_VALUE"""),"Spotify")</f>
        <v>Spotify</v>
      </c>
      <c r="D475" s="2">
        <f ca="1">IFERROR(__xludf.DUMMYFUNCTION("""COMPUTED_VALUE"""),34.9)</f>
        <v>34.9</v>
      </c>
      <c r="E475" s="1" t="str">
        <f ca="1">IFERROR(__xludf.DUMMYFUNCTION("""COMPUTED_VALUE"""),"-")</f>
        <v>-</v>
      </c>
      <c r="F475" s="1" t="str">
        <f ca="1">IFERROR(__xludf.DUMMYFUNCTION("""COMPUTED_VALUE"""),"Spotify")</f>
        <v>Spotify</v>
      </c>
      <c r="G475" s="1" t="str">
        <f ca="1">IFERROR(__xludf.DUMMYFUNCTION("""COMPUTED_VALUE"""),"Assinatura")</f>
        <v>Assinatura</v>
      </c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7">
        <f ca="1">IFERROR(__xludf.DUMMYFUNCTION("""COMPUTED_VALUE"""),45870)</f>
        <v>45870</v>
      </c>
      <c r="B476" s="7">
        <f ca="1">IFERROR(__xludf.DUMMYFUNCTION("""COMPUTED_VALUE"""),45848)</f>
        <v>45848</v>
      </c>
      <c r="C476" s="1" t="str">
        <f ca="1">IFERROR(__xludf.DUMMYFUNCTION("""COMPUTED_VALUE"""),"Shopee")</f>
        <v>Shopee</v>
      </c>
      <c r="D476" s="2">
        <f ca="1">IFERROR(__xludf.DUMMYFUNCTION("""COMPUTED_VALUE"""),32.89)</f>
        <v>32.89</v>
      </c>
      <c r="E476" s="1" t="str">
        <f ca="1">IFERROR(__xludf.DUMMYFUNCTION("""COMPUTED_VALUE"""),"-")</f>
        <v>-</v>
      </c>
      <c r="F476" s="1" t="str">
        <f ca="1">IFERROR(__xludf.DUMMYFUNCTION("""COMPUTED_VALUE"""),"Shopee")</f>
        <v>Shopee</v>
      </c>
      <c r="G476" s="1" t="str">
        <f ca="1">IFERROR(__xludf.DUMMYFUNCTION("""COMPUTED_VALUE"""),"Compras")</f>
        <v>Compras</v>
      </c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7">
        <f ca="1">IFERROR(__xludf.DUMMYFUNCTION("""COMPUTED_VALUE"""),45870)</f>
        <v>45870</v>
      </c>
      <c r="B477" s="7">
        <f ca="1">IFERROR(__xludf.DUMMYFUNCTION("""COMPUTED_VALUE"""),45849)</f>
        <v>45849</v>
      </c>
      <c r="C477" s="1" t="str">
        <f ca="1">IFERROR(__xludf.DUMMYFUNCTION("""COMPUTED_VALUE"""),"Amazon Digital Br")</f>
        <v>Amazon Digital Br</v>
      </c>
      <c r="D477" s="2">
        <f ca="1">IFERROR(__xludf.DUMMYFUNCTION("""COMPUTED_VALUE"""),17.06)</f>
        <v>17.059999999999999</v>
      </c>
      <c r="E477" s="1" t="str">
        <f ca="1">IFERROR(__xludf.DUMMYFUNCTION("""COMPUTED_VALUE"""),"-")</f>
        <v>-</v>
      </c>
      <c r="F477" s="1" t="str">
        <f ca="1">IFERROR(__xludf.DUMMYFUNCTION("""COMPUTED_VALUE"""),"Amazon Digital Br")</f>
        <v>Amazon Digital Br</v>
      </c>
      <c r="G477" s="1" t="str">
        <f ca="1">IFERROR(__xludf.DUMMYFUNCTION("""COMPUTED_VALUE"""),"-")</f>
        <v>-</v>
      </c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7">
        <f ca="1">IFERROR(__xludf.DUMMYFUNCTION("""COMPUTED_VALUE"""),45870)</f>
        <v>45870</v>
      </c>
      <c r="B478" s="7">
        <f ca="1">IFERROR(__xludf.DUMMYFUNCTION("""COMPUTED_VALUE"""),45850)</f>
        <v>45850</v>
      </c>
      <c r="C478" s="1" t="str">
        <f ca="1">IFERROR(__xludf.DUMMYFUNCTION("""COMPUTED_VALUE"""),"Aml Panificadora")</f>
        <v>Aml Panificadora</v>
      </c>
      <c r="D478" s="2">
        <f ca="1">IFERROR(__xludf.DUMMYFUNCTION("""COMPUTED_VALUE"""),31.75)</f>
        <v>31.75</v>
      </c>
      <c r="E478" s="1" t="str">
        <f ca="1">IFERROR(__xludf.DUMMYFUNCTION("""COMPUTED_VALUE"""),"-")</f>
        <v>-</v>
      </c>
      <c r="F478" s="1" t="str">
        <f ca="1">IFERROR(__xludf.DUMMYFUNCTION("""COMPUTED_VALUE"""),"Aml Panificadora")</f>
        <v>Aml Panificadora</v>
      </c>
      <c r="G478" s="1" t="str">
        <f ca="1">IFERROR(__xludf.DUMMYFUNCTION("""COMPUTED_VALUE"""),"-")</f>
        <v>-</v>
      </c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7">
        <f ca="1">IFERROR(__xludf.DUMMYFUNCTION("""COMPUTED_VALUE"""),45870)</f>
        <v>45870</v>
      </c>
      <c r="B479" s="7">
        <f ca="1">IFERROR(__xludf.DUMMYFUNCTION("""COMPUTED_VALUE"""),45850)</f>
        <v>45850</v>
      </c>
      <c r="C479" s="1" t="str">
        <f ca="1">IFERROR(__xludf.DUMMYFUNCTION("""COMPUTED_VALUE"""),"Amazon")</f>
        <v>Amazon</v>
      </c>
      <c r="D479" s="2">
        <f ca="1">IFERROR(__xludf.DUMMYFUNCTION("""COMPUTED_VALUE"""),21.9)</f>
        <v>21.9</v>
      </c>
      <c r="E479" s="1" t="str">
        <f ca="1">IFERROR(__xludf.DUMMYFUNCTION("""COMPUTED_VALUE"""),"-")</f>
        <v>-</v>
      </c>
      <c r="F479" s="1" t="str">
        <f ca="1">IFERROR(__xludf.DUMMYFUNCTION("""COMPUTED_VALUE"""),"Amazon")</f>
        <v>Amazon</v>
      </c>
      <c r="G479" s="1" t="str">
        <f ca="1">IFERROR(__xludf.DUMMYFUNCTION("""COMPUTED_VALUE"""),"Compras")</f>
        <v>Compras</v>
      </c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7">
        <f ca="1">IFERROR(__xludf.DUMMYFUNCTION("""COMPUTED_VALUE"""),45870)</f>
        <v>45870</v>
      </c>
      <c r="B480" s="7">
        <f ca="1">IFERROR(__xludf.DUMMYFUNCTION("""COMPUTED_VALUE"""),45850)</f>
        <v>45850</v>
      </c>
      <c r="C480" s="1" t="str">
        <f ca="1">IFERROR(__xludf.DUMMYFUNCTION("""COMPUTED_VALUE"""),"B1 Sist Ester De Lima")</f>
        <v>B1 Sist Ester De Lima</v>
      </c>
      <c r="D480" s="2">
        <f ca="1">IFERROR(__xludf.DUMMYFUNCTION("""COMPUTED_VALUE"""),279.57)</f>
        <v>279.57</v>
      </c>
      <c r="E480" s="1" t="str">
        <f ca="1">IFERROR(__xludf.DUMMYFUNCTION("""COMPUTED_VALUE"""),"-")</f>
        <v>-</v>
      </c>
      <c r="F480" s="1" t="str">
        <f ca="1">IFERROR(__xludf.DUMMYFUNCTION("""COMPUTED_VALUE"""),"B1 Sist Ester De Lima")</f>
        <v>B1 Sist Ester De Lima</v>
      </c>
      <c r="G480" s="1" t="str">
        <f ca="1">IFERROR(__xludf.DUMMYFUNCTION("""COMPUTED_VALUE"""),"-")</f>
        <v>-</v>
      </c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7">
        <f ca="1">IFERROR(__xludf.DUMMYFUNCTION("""COMPUTED_VALUE"""),45870)</f>
        <v>45870</v>
      </c>
      <c r="B481" s="7">
        <f ca="1">IFERROR(__xludf.DUMMYFUNCTION("""COMPUTED_VALUE"""),45850)</f>
        <v>45850</v>
      </c>
      <c r="C481" s="1" t="str">
        <f ca="1">IFERROR(__xludf.DUMMYFUNCTION("""COMPUTED_VALUE"""),"Supermercado &amp; Padaria")</f>
        <v>Supermercado &amp; Padaria</v>
      </c>
      <c r="D481" s="2">
        <f ca="1">IFERROR(__xludf.DUMMYFUNCTION("""COMPUTED_VALUE"""),197.48)</f>
        <v>197.48</v>
      </c>
      <c r="E481" s="1" t="str">
        <f ca="1">IFERROR(__xludf.DUMMYFUNCTION("""COMPUTED_VALUE"""),"-")</f>
        <v>-</v>
      </c>
      <c r="F481" s="1" t="str">
        <f ca="1">IFERROR(__xludf.DUMMYFUNCTION("""COMPUTED_VALUE"""),"Supermercado &amp; Padaria")</f>
        <v>Supermercado &amp; Padaria</v>
      </c>
      <c r="G481" s="1" t="str">
        <f ca="1">IFERROR(__xludf.DUMMYFUNCTION("""COMPUTED_VALUE"""),"Comida")</f>
        <v>Comida</v>
      </c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7">
        <f ca="1">IFERROR(__xludf.DUMMYFUNCTION("""COMPUTED_VALUE"""),45870)</f>
        <v>45870</v>
      </c>
      <c r="B482" s="7">
        <f ca="1">IFERROR(__xludf.DUMMYFUNCTION("""COMPUTED_VALUE"""),45850)</f>
        <v>45850</v>
      </c>
      <c r="C482" s="1" t="str">
        <f ca="1">IFERROR(__xludf.DUMMYFUNCTION("""COMPUTED_VALUE"""),"Barnabe Emporio")</f>
        <v>Barnabe Emporio</v>
      </c>
      <c r="D482" s="2">
        <f ca="1">IFERROR(__xludf.DUMMYFUNCTION("""COMPUTED_VALUE"""),77.7)</f>
        <v>77.7</v>
      </c>
      <c r="E482" s="1" t="str">
        <f ca="1">IFERROR(__xludf.DUMMYFUNCTION("""COMPUTED_VALUE"""),"-")</f>
        <v>-</v>
      </c>
      <c r="F482" s="1" t="str">
        <f ca="1">IFERROR(__xludf.DUMMYFUNCTION("""COMPUTED_VALUE"""),"Barnabe Emporio")</f>
        <v>Barnabe Emporio</v>
      </c>
      <c r="G482" s="1" t="str">
        <f ca="1">IFERROR(__xludf.DUMMYFUNCTION("""COMPUTED_VALUE"""),"Comida")</f>
        <v>Comida</v>
      </c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7">
        <f ca="1">IFERROR(__xludf.DUMMYFUNCTION("""COMPUTED_VALUE"""),45870)</f>
        <v>45870</v>
      </c>
      <c r="B483" s="7">
        <f ca="1">IFERROR(__xludf.DUMMYFUNCTION("""COMPUTED_VALUE"""),45850)</f>
        <v>45850</v>
      </c>
      <c r="C483" s="1" t="str">
        <f ca="1">IFERROR(__xludf.DUMMYFUNCTION("""COMPUTED_VALUE"""),"Golden Pet")</f>
        <v>Golden Pet</v>
      </c>
      <c r="D483" s="2">
        <f ca="1">IFERROR(__xludf.DUMMYFUNCTION("""COMPUTED_VALUE"""),68)</f>
        <v>68</v>
      </c>
      <c r="E483" s="1" t="str">
        <f ca="1">IFERROR(__xludf.DUMMYFUNCTION("""COMPUTED_VALUE"""),"-")</f>
        <v>-</v>
      </c>
      <c r="F483" s="1" t="str">
        <f ca="1">IFERROR(__xludf.DUMMYFUNCTION("""COMPUTED_VALUE"""),"Golden Pet")</f>
        <v>Golden Pet</v>
      </c>
      <c r="G483" s="1" t="str">
        <f ca="1">IFERROR(__xludf.DUMMYFUNCTION("""COMPUTED_VALUE"""),"Hulk")</f>
        <v>Hulk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7">
        <f ca="1">IFERROR(__xludf.DUMMYFUNCTION("""COMPUTED_VALUE"""),45870)</f>
        <v>45870</v>
      </c>
      <c r="B484" s="7">
        <f ca="1">IFERROR(__xludf.DUMMYFUNCTION("""COMPUTED_VALUE"""),45850)</f>
        <v>45850</v>
      </c>
      <c r="C484" s="1" t="str">
        <f ca="1">IFERROR(__xludf.DUMMYFUNCTION("""COMPUTED_VALUE"""),"Amazon")</f>
        <v>Amazon</v>
      </c>
      <c r="D484" s="2">
        <f ca="1">IFERROR(__xludf.DUMMYFUNCTION("""COMPUTED_VALUE"""),104.76)</f>
        <v>104.76</v>
      </c>
      <c r="E484" s="1" t="str">
        <f ca="1">IFERROR(__xludf.DUMMYFUNCTION("""COMPUTED_VALUE"""),"-")</f>
        <v>-</v>
      </c>
      <c r="F484" s="1" t="str">
        <f ca="1">IFERROR(__xludf.DUMMYFUNCTION("""COMPUTED_VALUE"""),"Amazon")</f>
        <v>Amazon</v>
      </c>
      <c r="G484" s="1" t="str">
        <f ca="1">IFERROR(__xludf.DUMMYFUNCTION("""COMPUTED_VALUE"""),"Compras")</f>
        <v>Compras</v>
      </c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7">
        <f ca="1">IFERROR(__xludf.DUMMYFUNCTION("""COMPUTED_VALUE"""),45870)</f>
        <v>45870</v>
      </c>
      <c r="B485" s="7">
        <f ca="1">IFERROR(__xludf.DUMMYFUNCTION("""COMPUTED_VALUE"""),45850)</f>
        <v>45850</v>
      </c>
      <c r="C485" s="1" t="str">
        <f ca="1">IFERROR(__xludf.DUMMYFUNCTION("""COMPUTED_VALUE"""),"Amazon")</f>
        <v>Amazon</v>
      </c>
      <c r="D485" s="2">
        <f ca="1">IFERROR(__xludf.DUMMYFUNCTION("""COMPUTED_VALUE"""),99.99)</f>
        <v>99.99</v>
      </c>
      <c r="E485" s="1" t="str">
        <f ca="1">IFERROR(__xludf.DUMMYFUNCTION("""COMPUTED_VALUE"""),"-")</f>
        <v>-</v>
      </c>
      <c r="F485" s="1" t="str">
        <f ca="1">IFERROR(__xludf.DUMMYFUNCTION("""COMPUTED_VALUE"""),"Amazon")</f>
        <v>Amazon</v>
      </c>
      <c r="G485" s="1" t="str">
        <f ca="1">IFERROR(__xludf.DUMMYFUNCTION("""COMPUTED_VALUE"""),"Compras")</f>
        <v>Compras</v>
      </c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7">
        <f ca="1">IFERROR(__xludf.DUMMYFUNCTION("""COMPUTED_VALUE"""),45870)</f>
        <v>45870</v>
      </c>
      <c r="B486" s="7">
        <f ca="1">IFERROR(__xludf.DUMMYFUNCTION("""COMPUTED_VALUE"""),45851)</f>
        <v>45851</v>
      </c>
      <c r="C486" s="1" t="str">
        <f ca="1">IFERROR(__xludf.DUMMYFUNCTION("""COMPUTED_VALUE"""),"Amazon")</f>
        <v>Amazon</v>
      </c>
      <c r="D486" s="2">
        <f ca="1">IFERROR(__xludf.DUMMYFUNCTION("""COMPUTED_VALUE"""),22.79)</f>
        <v>22.79</v>
      </c>
      <c r="E486" s="1" t="str">
        <f ca="1">IFERROR(__xludf.DUMMYFUNCTION("""COMPUTED_VALUE"""),"-")</f>
        <v>-</v>
      </c>
      <c r="F486" s="1" t="str">
        <f ca="1">IFERROR(__xludf.DUMMYFUNCTION("""COMPUTED_VALUE"""),"Amazon")</f>
        <v>Amazon</v>
      </c>
      <c r="G486" s="1" t="str">
        <f ca="1">IFERROR(__xludf.DUMMYFUNCTION("""COMPUTED_VALUE"""),"Compras")</f>
        <v>Compras</v>
      </c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7">
        <f ca="1">IFERROR(__xludf.DUMMYFUNCTION("""COMPUTED_VALUE"""),45870)</f>
        <v>45870</v>
      </c>
      <c r="B487" s="7">
        <f ca="1">IFERROR(__xludf.DUMMYFUNCTION("""COMPUTED_VALUE"""),45851)</f>
        <v>45851</v>
      </c>
      <c r="C487" s="1" t="str">
        <f ca="1">IFERROR(__xludf.DUMMYFUNCTION("""COMPUTED_VALUE"""),"Letrefarine")</f>
        <v>Letrefarine</v>
      </c>
      <c r="D487" s="2">
        <f ca="1">IFERROR(__xludf.DUMMYFUNCTION("""COMPUTED_VALUE"""),154)</f>
        <v>154</v>
      </c>
      <c r="E487" s="1" t="str">
        <f ca="1">IFERROR(__xludf.DUMMYFUNCTION("""COMPUTED_VALUE"""),"-")</f>
        <v>-</v>
      </c>
      <c r="F487" s="1" t="str">
        <f ca="1">IFERROR(__xludf.DUMMYFUNCTION("""COMPUTED_VALUE"""),"Letrefarine")</f>
        <v>Letrefarine</v>
      </c>
      <c r="G487" s="1" t="str">
        <f ca="1">IFERROR(__xludf.DUMMYFUNCTION("""COMPUTED_VALUE"""),"-")</f>
        <v>-</v>
      </c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7">
        <f ca="1">IFERROR(__xludf.DUMMYFUNCTION("""COMPUTED_VALUE"""),45870)</f>
        <v>45870</v>
      </c>
      <c r="B488" s="7">
        <f ca="1">IFERROR(__xludf.DUMMYFUNCTION("""COMPUTED_VALUE"""),45852)</f>
        <v>45852</v>
      </c>
      <c r="C488" s="1" t="str">
        <f ca="1">IFERROR(__xludf.DUMMYFUNCTION("""COMPUTED_VALUE"""),"Youtube")</f>
        <v>Youtube</v>
      </c>
      <c r="D488" s="2">
        <f ca="1">IFERROR(__xludf.DUMMYFUNCTION("""COMPUTED_VALUE"""),19.99)</f>
        <v>19.989999999999998</v>
      </c>
      <c r="E488" s="1" t="str">
        <f ca="1">IFERROR(__xludf.DUMMYFUNCTION("""COMPUTED_VALUE"""),"-")</f>
        <v>-</v>
      </c>
      <c r="F488" s="1" t="str">
        <f ca="1">IFERROR(__xludf.DUMMYFUNCTION("""COMPUTED_VALUE"""),"Youtube")</f>
        <v>Youtube</v>
      </c>
      <c r="G488" s="1" t="str">
        <f ca="1">IFERROR(__xludf.DUMMYFUNCTION("""COMPUTED_VALUE"""),"Assinatura")</f>
        <v>Assinatura</v>
      </c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7">
        <f ca="1">IFERROR(__xludf.DUMMYFUNCTION("""COMPUTED_VALUE"""),45870)</f>
        <v>45870</v>
      </c>
      <c r="B489" s="7">
        <f ca="1">IFERROR(__xludf.DUMMYFUNCTION("""COMPUTED_VALUE"""),45852)</f>
        <v>45852</v>
      </c>
      <c r="C489" s="1" t="str">
        <f ca="1">IFERROR(__xludf.DUMMYFUNCTION("""COMPUTED_VALUE"""),"Drogaria Araujo")</f>
        <v>Drogaria Araujo</v>
      </c>
      <c r="D489" s="2">
        <f ca="1">IFERROR(__xludf.DUMMYFUNCTION("""COMPUTED_VALUE"""),115.99)</f>
        <v>115.99</v>
      </c>
      <c r="E489" s="1" t="str">
        <f ca="1">IFERROR(__xludf.DUMMYFUNCTION("""COMPUTED_VALUE"""),"-")</f>
        <v>-</v>
      </c>
      <c r="F489" s="1" t="str">
        <f ca="1">IFERROR(__xludf.DUMMYFUNCTION("""COMPUTED_VALUE"""),"Drogaria Araujo")</f>
        <v>Drogaria Araujo</v>
      </c>
      <c r="G489" s="1" t="str">
        <f ca="1">IFERROR(__xludf.DUMMYFUNCTION("""COMPUTED_VALUE"""),"Compras")</f>
        <v>Compras</v>
      </c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7">
        <f ca="1">IFERROR(__xludf.DUMMYFUNCTION("""COMPUTED_VALUE"""),45870)</f>
        <v>45870</v>
      </c>
      <c r="B490" s="7">
        <f ca="1">IFERROR(__xludf.DUMMYFUNCTION("""COMPUTED_VALUE"""),45852)</f>
        <v>45852</v>
      </c>
      <c r="C490" s="1" t="str">
        <f ca="1">IFERROR(__xludf.DUMMYFUNCTION("""COMPUTED_VALUE"""),"Amazonmktplc Dgmcomerc")</f>
        <v>Amazonmktplc Dgmcomerc</v>
      </c>
      <c r="D490" s="2">
        <f ca="1">IFERROR(__xludf.DUMMYFUNCTION("""COMPUTED_VALUE"""),16.2)</f>
        <v>16.2</v>
      </c>
      <c r="E490" s="1" t="str">
        <f ca="1">IFERROR(__xludf.DUMMYFUNCTION("""COMPUTED_VALUE"""),"-")</f>
        <v>-</v>
      </c>
      <c r="F490" s="1" t="str">
        <f ca="1">IFERROR(__xludf.DUMMYFUNCTION("""COMPUTED_VALUE"""),"Amazonmktplc")</f>
        <v>Amazonmktplc</v>
      </c>
      <c r="G490" s="1" t="str">
        <f ca="1">IFERROR(__xludf.DUMMYFUNCTION("""COMPUTED_VALUE"""),"Compras")</f>
        <v>Compras</v>
      </c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7">
        <f ca="1">IFERROR(__xludf.DUMMYFUNCTION("""COMPUTED_VALUE"""),45870)</f>
        <v>45870</v>
      </c>
      <c r="B491" s="7">
        <f ca="1">IFERROR(__xludf.DUMMYFUNCTION("""COMPUTED_VALUE"""),45852)</f>
        <v>45852</v>
      </c>
      <c r="C491" s="1" t="str">
        <f ca="1">IFERROR(__xludf.DUMMYFUNCTION("""COMPUTED_VALUE"""),"Amazon")</f>
        <v>Amazon</v>
      </c>
      <c r="D491" s="2">
        <f ca="1">IFERROR(__xludf.DUMMYFUNCTION("""COMPUTED_VALUE"""),9.9)</f>
        <v>9.9</v>
      </c>
      <c r="E491" s="1" t="str">
        <f ca="1">IFERROR(__xludf.DUMMYFUNCTION("""COMPUTED_VALUE"""),"-")</f>
        <v>-</v>
      </c>
      <c r="F491" s="1" t="str">
        <f ca="1">IFERROR(__xludf.DUMMYFUNCTION("""COMPUTED_VALUE"""),"Amazon")</f>
        <v>Amazon</v>
      </c>
      <c r="G491" s="1" t="str">
        <f ca="1">IFERROR(__xludf.DUMMYFUNCTION("""COMPUTED_VALUE"""),"Compras")</f>
        <v>Compras</v>
      </c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7">
        <f ca="1">IFERROR(__xludf.DUMMYFUNCTION("""COMPUTED_VALUE"""),45870)</f>
        <v>45870</v>
      </c>
      <c r="B492" s="7">
        <f ca="1">IFERROR(__xludf.DUMMYFUNCTION("""COMPUTED_VALUE"""),45852)</f>
        <v>45852</v>
      </c>
      <c r="C492" s="1" t="str">
        <f ca="1">IFERROR(__xludf.DUMMYFUNCTION("""COMPUTED_VALUE"""),"Momento Super Nosso")</f>
        <v>Momento Super Nosso</v>
      </c>
      <c r="D492" s="2">
        <f ca="1">IFERROR(__xludf.DUMMYFUNCTION("""COMPUTED_VALUE"""),68.31)</f>
        <v>68.31</v>
      </c>
      <c r="E492" s="1" t="str">
        <f ca="1">IFERROR(__xludf.DUMMYFUNCTION("""COMPUTED_VALUE"""),"-")</f>
        <v>-</v>
      </c>
      <c r="F492" s="1" t="str">
        <f ca="1">IFERROR(__xludf.DUMMYFUNCTION("""COMPUTED_VALUE"""),"Momento Super Nosso")</f>
        <v>Momento Super Nosso</v>
      </c>
      <c r="G492" s="1" t="str">
        <f ca="1">IFERROR(__xludf.DUMMYFUNCTION("""COMPUTED_VALUE"""),"-")</f>
        <v>-</v>
      </c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7">
        <f ca="1">IFERROR(__xludf.DUMMYFUNCTION("""COMPUTED_VALUE"""),45870)</f>
        <v>45870</v>
      </c>
      <c r="B493" s="7">
        <f ca="1">IFERROR(__xludf.DUMMYFUNCTION("""COMPUTED_VALUE"""),45853)</f>
        <v>45853</v>
      </c>
      <c r="C493" s="1" t="str">
        <f ca="1">IFERROR(__xludf.DUMMYFUNCTION("""COMPUTED_VALUE"""),"Amazon")</f>
        <v>Amazon</v>
      </c>
      <c r="D493" s="2">
        <f ca="1">IFERROR(__xludf.DUMMYFUNCTION("""COMPUTED_VALUE"""),82.42)</f>
        <v>82.42</v>
      </c>
      <c r="E493" s="1" t="str">
        <f ca="1">IFERROR(__xludf.DUMMYFUNCTION("""COMPUTED_VALUE"""),"-")</f>
        <v>-</v>
      </c>
      <c r="F493" s="1" t="str">
        <f ca="1">IFERROR(__xludf.DUMMYFUNCTION("""COMPUTED_VALUE"""),"Amazon")</f>
        <v>Amazon</v>
      </c>
      <c r="G493" s="1" t="str">
        <f ca="1">IFERROR(__xludf.DUMMYFUNCTION("""COMPUTED_VALUE"""),"Compras")</f>
        <v>Compras</v>
      </c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7">
        <f ca="1">IFERROR(__xludf.DUMMYFUNCTION("""COMPUTED_VALUE"""),45870)</f>
        <v>45870</v>
      </c>
      <c r="B494" s="7">
        <f ca="1">IFERROR(__xludf.DUMMYFUNCTION("""COMPUTED_VALUE"""),45854)</f>
        <v>45854</v>
      </c>
      <c r="C494" s="1" t="str">
        <f ca="1">IFERROR(__xludf.DUMMYFUNCTION("""COMPUTED_VALUE"""),"Panif Mendes Sion")</f>
        <v>Panif Mendes Sion</v>
      </c>
      <c r="D494" s="2">
        <f ca="1">IFERROR(__xludf.DUMMYFUNCTION("""COMPUTED_VALUE"""),3.9)</f>
        <v>3.9</v>
      </c>
      <c r="E494" s="1" t="str">
        <f ca="1">IFERROR(__xludf.DUMMYFUNCTION("""COMPUTED_VALUE"""),"-")</f>
        <v>-</v>
      </c>
      <c r="F494" s="1" t="str">
        <f ca="1">IFERROR(__xludf.DUMMYFUNCTION("""COMPUTED_VALUE"""),"Panif Mendes Sion")</f>
        <v>Panif Mendes Sion</v>
      </c>
      <c r="G494" s="1" t="str">
        <f ca="1">IFERROR(__xludf.DUMMYFUNCTION("""COMPUTED_VALUE"""),"Comida")</f>
        <v>Comida</v>
      </c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7">
        <f ca="1">IFERROR(__xludf.DUMMYFUNCTION("""COMPUTED_VALUE"""),45870)</f>
        <v>45870</v>
      </c>
      <c r="B495" s="7">
        <f ca="1">IFERROR(__xludf.DUMMYFUNCTION("""COMPUTED_VALUE"""),45854)</f>
        <v>45854</v>
      </c>
      <c r="C495" s="1" t="str">
        <f ca="1">IFERROR(__xludf.DUMMYFUNCTION("""COMPUTED_VALUE"""),"Mercado Pago")</f>
        <v>Mercado Pago</v>
      </c>
      <c r="D495" s="2">
        <f ca="1">IFERROR(__xludf.DUMMYFUNCTION("""COMPUTED_VALUE"""),334.9)</f>
        <v>334.9</v>
      </c>
      <c r="E495" s="1" t="str">
        <f ca="1">IFERROR(__xludf.DUMMYFUNCTION("""COMPUTED_VALUE"""),"-")</f>
        <v>-</v>
      </c>
      <c r="F495" s="1" t="str">
        <f ca="1">IFERROR(__xludf.DUMMYFUNCTION("""COMPUTED_VALUE"""),"Mercado Pago")</f>
        <v>Mercado Pago</v>
      </c>
      <c r="G495" s="1" t="str">
        <f ca="1">IFERROR(__xludf.DUMMYFUNCTION("""COMPUTED_VALUE"""),"-")</f>
        <v>-</v>
      </c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7">
        <f ca="1">IFERROR(__xludf.DUMMYFUNCTION("""COMPUTED_VALUE"""),45870)</f>
        <v>45870</v>
      </c>
      <c r="B496" s="7">
        <f ca="1">IFERROR(__xludf.DUMMYFUNCTION("""COMPUTED_VALUE"""),45854)</f>
        <v>45854</v>
      </c>
      <c r="C496" s="1" t="str">
        <f ca="1">IFERROR(__xludf.DUMMYFUNCTION("""COMPUTED_VALUE"""),"Amazon")</f>
        <v>Amazon</v>
      </c>
      <c r="D496" s="2">
        <f ca="1">IFERROR(__xludf.DUMMYFUNCTION("""COMPUTED_VALUE"""),40.89)</f>
        <v>40.89</v>
      </c>
      <c r="E496" s="1" t="str">
        <f ca="1">IFERROR(__xludf.DUMMYFUNCTION("""COMPUTED_VALUE"""),"-")</f>
        <v>-</v>
      </c>
      <c r="F496" s="1" t="str">
        <f ca="1">IFERROR(__xludf.DUMMYFUNCTION("""COMPUTED_VALUE"""),"Amazon")</f>
        <v>Amazon</v>
      </c>
      <c r="G496" s="1" t="str">
        <f ca="1">IFERROR(__xludf.DUMMYFUNCTION("""COMPUTED_VALUE"""),"Compras")</f>
        <v>Compras</v>
      </c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7">
        <f ca="1">IFERROR(__xludf.DUMMYFUNCTION("""COMPUTED_VALUE"""),45870)</f>
        <v>45870</v>
      </c>
      <c r="B497" s="7">
        <f ca="1">IFERROR(__xludf.DUMMYFUNCTION("""COMPUTED_VALUE"""),45855)</f>
        <v>45855</v>
      </c>
      <c r="C497" s="1" t="str">
        <f ca="1">IFERROR(__xludf.DUMMYFUNCTION("""COMPUTED_VALUE"""),"Panif Mendes Sion")</f>
        <v>Panif Mendes Sion</v>
      </c>
      <c r="D497" s="2">
        <f ca="1">IFERROR(__xludf.DUMMYFUNCTION("""COMPUTED_VALUE"""),18.14)</f>
        <v>18.14</v>
      </c>
      <c r="E497" s="1" t="str">
        <f ca="1">IFERROR(__xludf.DUMMYFUNCTION("""COMPUTED_VALUE"""),"-")</f>
        <v>-</v>
      </c>
      <c r="F497" s="1" t="str">
        <f ca="1">IFERROR(__xludf.DUMMYFUNCTION("""COMPUTED_VALUE"""),"Panif Mendes Sion")</f>
        <v>Panif Mendes Sion</v>
      </c>
      <c r="G497" s="1" t="str">
        <f ca="1">IFERROR(__xludf.DUMMYFUNCTION("""COMPUTED_VALUE"""),"Comida")</f>
        <v>Comida</v>
      </c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7">
        <f ca="1">IFERROR(__xludf.DUMMYFUNCTION("""COMPUTED_VALUE"""),45870)</f>
        <v>45870</v>
      </c>
      <c r="B498" s="7">
        <f ca="1">IFERROR(__xludf.DUMMYFUNCTION("""COMPUTED_VALUE"""),45855)</f>
        <v>45855</v>
      </c>
      <c r="C498" s="1" t="str">
        <f ca="1">IFERROR(__xludf.DUMMYFUNCTION("""COMPUTED_VALUE"""),"Drogaria Araujo")</f>
        <v>Drogaria Araujo</v>
      </c>
      <c r="D498" s="2">
        <f ca="1">IFERROR(__xludf.DUMMYFUNCTION("""COMPUTED_VALUE"""),39.99)</f>
        <v>39.99</v>
      </c>
      <c r="E498" s="1" t="str">
        <f ca="1">IFERROR(__xludf.DUMMYFUNCTION("""COMPUTED_VALUE"""),"-")</f>
        <v>-</v>
      </c>
      <c r="F498" s="1" t="str">
        <f ca="1">IFERROR(__xludf.DUMMYFUNCTION("""COMPUTED_VALUE"""),"Drogaria Araujo")</f>
        <v>Drogaria Araujo</v>
      </c>
      <c r="G498" s="1" t="str">
        <f ca="1">IFERROR(__xludf.DUMMYFUNCTION("""COMPUTED_VALUE"""),"Compras")</f>
        <v>Compras</v>
      </c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7">
        <f ca="1">IFERROR(__xludf.DUMMYFUNCTION("""COMPUTED_VALUE"""),45870)</f>
        <v>45870</v>
      </c>
      <c r="B499" s="7">
        <f ca="1">IFERROR(__xludf.DUMMYFUNCTION("""COMPUTED_VALUE"""),45855)</f>
        <v>45855</v>
      </c>
      <c r="C499" s="1" t="str">
        <f ca="1">IFERROR(__xludf.DUMMYFUNCTION("""COMPUTED_VALUE"""),"Amazon")</f>
        <v>Amazon</v>
      </c>
      <c r="D499" s="2">
        <f ca="1">IFERROR(__xludf.DUMMYFUNCTION("""COMPUTED_VALUE"""),39.59)</f>
        <v>39.590000000000003</v>
      </c>
      <c r="E499" s="1" t="str">
        <f ca="1">IFERROR(__xludf.DUMMYFUNCTION("""COMPUTED_VALUE"""),"-")</f>
        <v>-</v>
      </c>
      <c r="F499" s="1" t="str">
        <f ca="1">IFERROR(__xludf.DUMMYFUNCTION("""COMPUTED_VALUE"""),"Amazon")</f>
        <v>Amazon</v>
      </c>
      <c r="G499" s="1" t="str">
        <f ca="1">IFERROR(__xludf.DUMMYFUNCTION("""COMPUTED_VALUE"""),"Compras")</f>
        <v>Compras</v>
      </c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7">
        <f ca="1">IFERROR(__xludf.DUMMYFUNCTION("""COMPUTED_VALUE"""),45870)</f>
        <v>45870</v>
      </c>
      <c r="B500" s="7">
        <f ca="1">IFERROR(__xludf.DUMMYFUNCTION("""COMPUTED_VALUE"""),45855)</f>
        <v>45855</v>
      </c>
      <c r="C500" s="1" t="str">
        <f ca="1">IFERROR(__xludf.DUMMYFUNCTION("""COMPUTED_VALUE"""),"Amazon")</f>
        <v>Amazon</v>
      </c>
      <c r="D500" s="2">
        <f ca="1">IFERROR(__xludf.DUMMYFUNCTION("""COMPUTED_VALUE"""),39.59)</f>
        <v>39.590000000000003</v>
      </c>
      <c r="E500" s="1" t="str">
        <f ca="1">IFERROR(__xludf.DUMMYFUNCTION("""COMPUTED_VALUE"""),"-")</f>
        <v>-</v>
      </c>
      <c r="F500" s="1" t="str">
        <f ca="1">IFERROR(__xludf.DUMMYFUNCTION("""COMPUTED_VALUE"""),"Amazon")</f>
        <v>Amazon</v>
      </c>
      <c r="G500" s="1" t="str">
        <f ca="1">IFERROR(__xludf.DUMMYFUNCTION("""COMPUTED_VALUE"""),"Compras")</f>
        <v>Compras</v>
      </c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7">
        <f ca="1">IFERROR(__xludf.DUMMYFUNCTION("""COMPUTED_VALUE"""),45870)</f>
        <v>45870</v>
      </c>
      <c r="B501" s="7">
        <f ca="1">IFERROR(__xludf.DUMMYFUNCTION("""COMPUTED_VALUE"""),45855)</f>
        <v>45855</v>
      </c>
      <c r="C501" s="1" t="str">
        <f ca="1">IFERROR(__xludf.DUMMYFUNCTION("""COMPUTED_VALUE"""),"Panif Mendes Sion")</f>
        <v>Panif Mendes Sion</v>
      </c>
      <c r="D501" s="2">
        <f ca="1">IFERROR(__xludf.DUMMYFUNCTION("""COMPUTED_VALUE"""),16.15)</f>
        <v>16.149999999999999</v>
      </c>
      <c r="E501" s="1" t="str">
        <f ca="1">IFERROR(__xludf.DUMMYFUNCTION("""COMPUTED_VALUE"""),"-")</f>
        <v>-</v>
      </c>
      <c r="F501" s="1" t="str">
        <f ca="1">IFERROR(__xludf.DUMMYFUNCTION("""COMPUTED_VALUE"""),"Panif Mendes Sion")</f>
        <v>Panif Mendes Sion</v>
      </c>
      <c r="G501" s="1" t="str">
        <f ca="1">IFERROR(__xludf.DUMMYFUNCTION("""COMPUTED_VALUE"""),"Comida")</f>
        <v>Comida</v>
      </c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7">
        <f ca="1">IFERROR(__xludf.DUMMYFUNCTION("""COMPUTED_VALUE"""),45870)</f>
        <v>45870</v>
      </c>
      <c r="B502" s="7">
        <f ca="1">IFERROR(__xludf.DUMMYFUNCTION("""COMPUTED_VALUE"""),45855)</f>
        <v>45855</v>
      </c>
      <c r="C502" s="1" t="str">
        <f ca="1">IFERROR(__xludf.DUMMYFUNCTION("""COMPUTED_VALUE"""),"Boca Do Forno")</f>
        <v>Boca Do Forno</v>
      </c>
      <c r="D502" s="2">
        <f ca="1">IFERROR(__xludf.DUMMYFUNCTION("""COMPUTED_VALUE"""),20)</f>
        <v>20</v>
      </c>
      <c r="E502" s="1" t="str">
        <f ca="1">IFERROR(__xludf.DUMMYFUNCTION("""COMPUTED_VALUE"""),"-")</f>
        <v>-</v>
      </c>
      <c r="F502" s="1" t="str">
        <f ca="1">IFERROR(__xludf.DUMMYFUNCTION("""COMPUTED_VALUE"""),"Boca Do Forno")</f>
        <v>Boca Do Forno</v>
      </c>
      <c r="G502" s="1" t="str">
        <f ca="1">IFERROR(__xludf.DUMMYFUNCTION("""COMPUTED_VALUE"""),"-")</f>
        <v>-</v>
      </c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7">
        <f ca="1">IFERROR(__xludf.DUMMYFUNCTION("""COMPUTED_VALUE"""),45870)</f>
        <v>45870</v>
      </c>
      <c r="B503" s="7">
        <f ca="1">IFERROR(__xludf.DUMMYFUNCTION("""COMPUTED_VALUE"""),45855)</f>
        <v>45855</v>
      </c>
      <c r="C503" s="1" t="str">
        <f ca="1">IFERROR(__xludf.DUMMYFUNCTION("""COMPUTED_VALUE"""),"Panif Mendes Sion")</f>
        <v>Panif Mendes Sion</v>
      </c>
      <c r="D503" s="2">
        <f ca="1">IFERROR(__xludf.DUMMYFUNCTION("""COMPUTED_VALUE"""),8.34)</f>
        <v>8.34</v>
      </c>
      <c r="E503" s="1" t="str">
        <f ca="1">IFERROR(__xludf.DUMMYFUNCTION("""COMPUTED_VALUE"""),"-")</f>
        <v>-</v>
      </c>
      <c r="F503" s="1" t="str">
        <f ca="1">IFERROR(__xludf.DUMMYFUNCTION("""COMPUTED_VALUE"""),"Panif Mendes Sion")</f>
        <v>Panif Mendes Sion</v>
      </c>
      <c r="G503" s="1" t="str">
        <f ca="1">IFERROR(__xludf.DUMMYFUNCTION("""COMPUTED_VALUE"""),"Comida")</f>
        <v>Comida</v>
      </c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7">
        <f ca="1">IFERROR(__xludf.DUMMYFUNCTION("""COMPUTED_VALUE"""),45870)</f>
        <v>45870</v>
      </c>
      <c r="B504" s="7">
        <f ca="1">IFERROR(__xludf.DUMMYFUNCTION("""COMPUTED_VALUE"""),45855)</f>
        <v>45855</v>
      </c>
      <c r="C504" s="1" t="str">
        <f ca="1">IFERROR(__xludf.DUMMYFUNCTION("""COMPUTED_VALUE"""),"O Legitimo Rocambole")</f>
        <v>O Legitimo Rocambole</v>
      </c>
      <c r="D504" s="2">
        <f ca="1">IFERROR(__xludf.DUMMYFUNCTION("""COMPUTED_VALUE"""),38)</f>
        <v>38</v>
      </c>
      <c r="E504" s="1" t="str">
        <f ca="1">IFERROR(__xludf.DUMMYFUNCTION("""COMPUTED_VALUE"""),"-")</f>
        <v>-</v>
      </c>
      <c r="F504" s="1" t="str">
        <f ca="1">IFERROR(__xludf.DUMMYFUNCTION("""COMPUTED_VALUE"""),"O Legitimo Rocambole")</f>
        <v>O Legitimo Rocambole</v>
      </c>
      <c r="G504" s="1" t="str">
        <f ca="1">IFERROR(__xludf.DUMMYFUNCTION("""COMPUTED_VALUE"""),"-")</f>
        <v>-</v>
      </c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7">
        <f ca="1">IFERROR(__xludf.DUMMYFUNCTION("""COMPUTED_VALUE"""),45870)</f>
        <v>45870</v>
      </c>
      <c r="B505" s="7">
        <f ca="1">IFERROR(__xludf.DUMMYFUNCTION("""COMPUTED_VALUE"""),45855)</f>
        <v>45855</v>
      </c>
      <c r="C505" s="1" t="str">
        <f ca="1">IFERROR(__xludf.DUMMYFUNCTION("""COMPUTED_VALUE"""),"Dma Distribuidora Sa")</f>
        <v>Dma Distribuidora Sa</v>
      </c>
      <c r="D505" s="2">
        <f ca="1">IFERROR(__xludf.DUMMYFUNCTION("""COMPUTED_VALUE"""),139.19)</f>
        <v>139.19</v>
      </c>
      <c r="E505" s="1" t="str">
        <f ca="1">IFERROR(__xludf.DUMMYFUNCTION("""COMPUTED_VALUE"""),"-")</f>
        <v>-</v>
      </c>
      <c r="F505" s="1" t="str">
        <f ca="1">IFERROR(__xludf.DUMMYFUNCTION("""COMPUTED_VALUE"""),"Dma Distribuidora Sa")</f>
        <v>Dma Distribuidora Sa</v>
      </c>
      <c r="G505" s="1" t="str">
        <f ca="1">IFERROR(__xludf.DUMMYFUNCTION("""COMPUTED_VALUE"""),"-")</f>
        <v>-</v>
      </c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7">
        <f ca="1">IFERROR(__xludf.DUMMYFUNCTION("""COMPUTED_VALUE"""),45870)</f>
        <v>45870</v>
      </c>
      <c r="B506" s="7">
        <f ca="1">IFERROR(__xludf.DUMMYFUNCTION("""COMPUTED_VALUE"""),45855)</f>
        <v>45855</v>
      </c>
      <c r="C506" s="1" t="str">
        <f ca="1">IFERROR(__xludf.DUMMYFUNCTION("""COMPUTED_VALUE"""),"Super Nosso")</f>
        <v>Super Nosso</v>
      </c>
      <c r="D506" s="2">
        <f ca="1">IFERROR(__xludf.DUMMYFUNCTION("""COMPUTED_VALUE"""),40.96)</f>
        <v>40.96</v>
      </c>
      <c r="E506" s="1" t="str">
        <f ca="1">IFERROR(__xludf.DUMMYFUNCTION("""COMPUTED_VALUE"""),"-")</f>
        <v>-</v>
      </c>
      <c r="F506" s="1" t="str">
        <f ca="1">IFERROR(__xludf.DUMMYFUNCTION("""COMPUTED_VALUE"""),"Super Nosso")</f>
        <v>Super Nosso</v>
      </c>
      <c r="G506" s="1" t="str">
        <f ca="1">IFERROR(__xludf.DUMMYFUNCTION("""COMPUTED_VALUE"""),"Supermercado")</f>
        <v>Supermercado</v>
      </c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7">
        <f ca="1">IFERROR(__xludf.DUMMYFUNCTION("""COMPUTED_VALUE"""),45870)</f>
        <v>45870</v>
      </c>
      <c r="B507" s="7">
        <f ca="1">IFERROR(__xludf.DUMMYFUNCTION("""COMPUTED_VALUE"""),45856)</f>
        <v>45856</v>
      </c>
      <c r="C507" s="1" t="str">
        <f ca="1">IFERROR(__xludf.DUMMYFUNCTION("""COMPUTED_VALUE"""),"Uber")</f>
        <v>Uber</v>
      </c>
      <c r="D507" s="2">
        <f ca="1">IFERROR(__xludf.DUMMYFUNCTION("""COMPUTED_VALUE"""),9.69)</f>
        <v>9.69</v>
      </c>
      <c r="E507" s="1" t="str">
        <f ca="1">IFERROR(__xludf.DUMMYFUNCTION("""COMPUTED_VALUE"""),"-")</f>
        <v>-</v>
      </c>
      <c r="F507" s="1" t="str">
        <f ca="1">IFERROR(__xludf.DUMMYFUNCTION("""COMPUTED_VALUE"""),"Uber")</f>
        <v>Uber</v>
      </c>
      <c r="G507" s="1" t="str">
        <f ca="1">IFERROR(__xludf.DUMMYFUNCTION("""COMPUTED_VALUE"""),"Uber/99")</f>
        <v>Uber/99</v>
      </c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7">
        <f ca="1">IFERROR(__xludf.DUMMYFUNCTION("""COMPUTED_VALUE"""),45870)</f>
        <v>45870</v>
      </c>
      <c r="B508" s="7">
        <f ca="1">IFERROR(__xludf.DUMMYFUNCTION("""COMPUTED_VALUE"""),45856)</f>
        <v>45856</v>
      </c>
      <c r="C508" s="1" t="str">
        <f ca="1">IFERROR(__xludf.DUMMYFUNCTION("""COMPUTED_VALUE"""),"B1 Sist Ester De Lima")</f>
        <v>B1 Sist Ester De Lima</v>
      </c>
      <c r="D508" s="2">
        <f ca="1">IFERROR(__xludf.DUMMYFUNCTION("""COMPUTED_VALUE"""),152.42)</f>
        <v>152.41999999999999</v>
      </c>
      <c r="E508" s="1" t="str">
        <f ca="1">IFERROR(__xludf.DUMMYFUNCTION("""COMPUTED_VALUE"""),"-")</f>
        <v>-</v>
      </c>
      <c r="F508" s="1" t="str">
        <f ca="1">IFERROR(__xludf.DUMMYFUNCTION("""COMPUTED_VALUE"""),"B1 Sist Ester De Lima")</f>
        <v>B1 Sist Ester De Lima</v>
      </c>
      <c r="G508" s="1" t="str">
        <f ca="1">IFERROR(__xludf.DUMMYFUNCTION("""COMPUTED_VALUE"""),"-")</f>
        <v>-</v>
      </c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7">
        <f ca="1">IFERROR(__xludf.DUMMYFUNCTION("""COMPUTED_VALUE"""),45870)</f>
        <v>45870</v>
      </c>
      <c r="B509" s="7">
        <f ca="1">IFERROR(__xludf.DUMMYFUNCTION("""COMPUTED_VALUE"""),45856)</f>
        <v>45856</v>
      </c>
      <c r="C509" s="1" t="str">
        <f ca="1">IFERROR(__xludf.DUMMYFUNCTION("""COMPUTED_VALUE"""),"Panif Mendes Sion")</f>
        <v>Panif Mendes Sion</v>
      </c>
      <c r="D509" s="2">
        <f ca="1">IFERROR(__xludf.DUMMYFUNCTION("""COMPUTED_VALUE"""),13.9)</f>
        <v>13.9</v>
      </c>
      <c r="E509" s="1" t="str">
        <f ca="1">IFERROR(__xludf.DUMMYFUNCTION("""COMPUTED_VALUE"""),"-")</f>
        <v>-</v>
      </c>
      <c r="F509" s="1" t="str">
        <f ca="1">IFERROR(__xludf.DUMMYFUNCTION("""COMPUTED_VALUE"""),"Panif Mendes Sion")</f>
        <v>Panif Mendes Sion</v>
      </c>
      <c r="G509" s="1" t="str">
        <f ca="1">IFERROR(__xludf.DUMMYFUNCTION("""COMPUTED_VALUE"""),"Comida")</f>
        <v>Comida</v>
      </c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7">
        <f ca="1">IFERROR(__xludf.DUMMYFUNCTION("""COMPUTED_VALUE"""),45870)</f>
        <v>45870</v>
      </c>
      <c r="B510" s="7">
        <f ca="1">IFERROR(__xludf.DUMMYFUNCTION("""COMPUTED_VALUE"""),45856)</f>
        <v>45856</v>
      </c>
      <c r="C510" s="1" t="str">
        <f ca="1">IFERROR(__xludf.DUMMYFUNCTION("""COMPUTED_VALUE"""),"Melimais")</f>
        <v>Melimais</v>
      </c>
      <c r="D510" s="2">
        <f ca="1">IFERROR(__xludf.DUMMYFUNCTION("""COMPUTED_VALUE"""),24.9)</f>
        <v>24.9</v>
      </c>
      <c r="E510" s="1" t="str">
        <f ca="1">IFERROR(__xludf.DUMMYFUNCTION("""COMPUTED_VALUE"""),"-")</f>
        <v>-</v>
      </c>
      <c r="F510" s="1" t="str">
        <f ca="1">IFERROR(__xludf.DUMMYFUNCTION("""COMPUTED_VALUE"""),"Melimais")</f>
        <v>Melimais</v>
      </c>
      <c r="G510" s="1" t="str">
        <f ca="1">IFERROR(__xludf.DUMMYFUNCTION("""COMPUTED_VALUE"""),"-")</f>
        <v>-</v>
      </c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7">
        <f ca="1">IFERROR(__xludf.DUMMYFUNCTION("""COMPUTED_VALUE"""),45870)</f>
        <v>45870</v>
      </c>
      <c r="B511" s="7">
        <f ca="1">IFERROR(__xludf.DUMMYFUNCTION("""COMPUTED_VALUE"""),45857)</f>
        <v>45857</v>
      </c>
      <c r="C511" s="1" t="str">
        <f ca="1">IFERROR(__xludf.DUMMYFUNCTION("""COMPUTED_VALUE"""),"Panif Mendes Sion")</f>
        <v>Panif Mendes Sion</v>
      </c>
      <c r="D511" s="2">
        <f ca="1">IFERROR(__xludf.DUMMYFUNCTION("""COMPUTED_VALUE"""),28.36)</f>
        <v>28.36</v>
      </c>
      <c r="E511" s="1" t="str">
        <f ca="1">IFERROR(__xludf.DUMMYFUNCTION("""COMPUTED_VALUE"""),"-")</f>
        <v>-</v>
      </c>
      <c r="F511" s="1" t="str">
        <f ca="1">IFERROR(__xludf.DUMMYFUNCTION("""COMPUTED_VALUE"""),"Panif Mendes Sion")</f>
        <v>Panif Mendes Sion</v>
      </c>
      <c r="G511" s="1" t="str">
        <f ca="1">IFERROR(__xludf.DUMMYFUNCTION("""COMPUTED_VALUE"""),"Comida")</f>
        <v>Comida</v>
      </c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7">
        <f ca="1">IFERROR(__xludf.DUMMYFUNCTION("""COMPUTED_VALUE"""),45870)</f>
        <v>45870</v>
      </c>
      <c r="B512" s="7">
        <f ca="1">IFERROR(__xludf.DUMMYFUNCTION("""COMPUTED_VALUE"""),45857)</f>
        <v>45857</v>
      </c>
      <c r="C512" s="1" t="str">
        <f ca="1">IFERROR(__xludf.DUMMYFUNCTION("""COMPUTED_VALUE"""),"Luana")</f>
        <v>Luana</v>
      </c>
      <c r="D512" s="2">
        <f ca="1">IFERROR(__xludf.DUMMYFUNCTION("""COMPUTED_VALUE"""),29.9)</f>
        <v>29.9</v>
      </c>
      <c r="E512" s="1" t="str">
        <f ca="1">IFERROR(__xludf.DUMMYFUNCTION("""COMPUTED_VALUE"""),"-")</f>
        <v>-</v>
      </c>
      <c r="F512" s="1" t="str">
        <f ca="1">IFERROR(__xludf.DUMMYFUNCTION("""COMPUTED_VALUE"""),"Luana")</f>
        <v>Luana</v>
      </c>
      <c r="G512" s="1" t="str">
        <f ca="1">IFERROR(__xludf.DUMMYFUNCTION("""COMPUTED_VALUE"""),"-")</f>
        <v>-</v>
      </c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7">
        <f ca="1">IFERROR(__xludf.DUMMYFUNCTION("""COMPUTED_VALUE"""),45870)</f>
        <v>45870</v>
      </c>
      <c r="B513" s="7">
        <f ca="1">IFERROR(__xludf.DUMMYFUNCTION("""COMPUTED_VALUE"""),45857)</f>
        <v>45857</v>
      </c>
      <c r="C513" s="1" t="str">
        <f ca="1">IFERROR(__xludf.DUMMYFUNCTION("""COMPUTED_VALUE"""),"Du Pain Mercado")</f>
        <v>Du Pain Mercado</v>
      </c>
      <c r="D513" s="2">
        <f ca="1">IFERROR(__xludf.DUMMYFUNCTION("""COMPUTED_VALUE"""),63)</f>
        <v>63</v>
      </c>
      <c r="E513" s="1" t="str">
        <f ca="1">IFERROR(__xludf.DUMMYFUNCTION("""COMPUTED_VALUE"""),"-")</f>
        <v>-</v>
      </c>
      <c r="F513" s="1" t="str">
        <f ca="1">IFERROR(__xludf.DUMMYFUNCTION("""COMPUTED_VALUE"""),"Du Pain Mercado")</f>
        <v>Du Pain Mercado</v>
      </c>
      <c r="G513" s="1" t="str">
        <f ca="1">IFERROR(__xludf.DUMMYFUNCTION("""COMPUTED_VALUE"""),"-")</f>
        <v>-</v>
      </c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7">
        <f ca="1">IFERROR(__xludf.DUMMYFUNCTION("""COMPUTED_VALUE"""),45870)</f>
        <v>45870</v>
      </c>
      <c r="B514" s="7">
        <f ca="1">IFERROR(__xludf.DUMMYFUNCTION("""COMPUTED_VALUE"""),45857)</f>
        <v>45857</v>
      </c>
      <c r="C514" s="1" t="str">
        <f ca="1">IFERROR(__xludf.DUMMYFUNCTION("""COMPUTED_VALUE"""),"Alexandre Saar")</f>
        <v>Alexandre Saar</v>
      </c>
      <c r="D514" s="2">
        <f ca="1">IFERROR(__xludf.DUMMYFUNCTION("""COMPUTED_VALUE"""),10)</f>
        <v>10</v>
      </c>
      <c r="E514" s="1" t="str">
        <f ca="1">IFERROR(__xludf.DUMMYFUNCTION("""COMPUTED_VALUE"""),"-")</f>
        <v>-</v>
      </c>
      <c r="F514" s="1" t="str">
        <f ca="1">IFERROR(__xludf.DUMMYFUNCTION("""COMPUTED_VALUE"""),"Alexandre Saar")</f>
        <v>Alexandre Saar</v>
      </c>
      <c r="G514" s="1" t="str">
        <f ca="1">IFERROR(__xludf.DUMMYFUNCTION("""COMPUTED_VALUE"""),"-")</f>
        <v>-</v>
      </c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7">
        <f ca="1">IFERROR(__xludf.DUMMYFUNCTION("""COMPUTED_VALUE"""),45870)</f>
        <v>45870</v>
      </c>
      <c r="B515" s="7">
        <f ca="1">IFERROR(__xludf.DUMMYFUNCTION("""COMPUTED_VALUE"""),45857)</f>
        <v>45857</v>
      </c>
      <c r="C515" s="1" t="str">
        <f ca="1">IFERROR(__xludf.DUMMYFUNCTION("""COMPUTED_VALUE"""),"Costa Comercio De Frut")</f>
        <v>Costa Comercio De Frut</v>
      </c>
      <c r="D515" s="2">
        <f ca="1">IFERROR(__xludf.DUMMYFUNCTION("""COMPUTED_VALUE"""),5)</f>
        <v>5</v>
      </c>
      <c r="E515" s="1" t="str">
        <f ca="1">IFERROR(__xludf.DUMMYFUNCTION("""COMPUTED_VALUE"""),"-")</f>
        <v>-</v>
      </c>
      <c r="F515" s="1" t="str">
        <f ca="1">IFERROR(__xludf.DUMMYFUNCTION("""COMPUTED_VALUE"""),"Costa Comercio De Frut")</f>
        <v>Costa Comercio De Frut</v>
      </c>
      <c r="G515" s="1" t="str">
        <f ca="1">IFERROR(__xludf.DUMMYFUNCTION("""COMPUTED_VALUE"""),"-")</f>
        <v>-</v>
      </c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7">
        <f ca="1">IFERROR(__xludf.DUMMYFUNCTION("""COMPUTED_VALUE"""),45870)</f>
        <v>45870</v>
      </c>
      <c r="B516" s="7">
        <f ca="1">IFERROR(__xludf.DUMMYFUNCTION("""COMPUTED_VALUE"""),45857)</f>
        <v>45857</v>
      </c>
      <c r="C516" s="1" t="str">
        <f ca="1">IFERROR(__xludf.DUMMYFUNCTION("""COMPUTED_VALUE"""),"Costa Comercio De Frut")</f>
        <v>Costa Comercio De Frut</v>
      </c>
      <c r="D516" s="2">
        <f ca="1">IFERROR(__xludf.DUMMYFUNCTION("""COMPUTED_VALUE"""),5)</f>
        <v>5</v>
      </c>
      <c r="E516" s="1" t="str">
        <f ca="1">IFERROR(__xludf.DUMMYFUNCTION("""COMPUTED_VALUE"""),"-")</f>
        <v>-</v>
      </c>
      <c r="F516" s="1" t="str">
        <f ca="1">IFERROR(__xludf.DUMMYFUNCTION("""COMPUTED_VALUE"""),"Costa Comercio De Frut")</f>
        <v>Costa Comercio De Frut</v>
      </c>
      <c r="G516" s="1" t="str">
        <f ca="1">IFERROR(__xludf.DUMMYFUNCTION("""COMPUTED_VALUE"""),"-")</f>
        <v>-</v>
      </c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7">
        <f ca="1">IFERROR(__xludf.DUMMYFUNCTION("""COMPUTED_VALUE"""),45870)</f>
        <v>45870</v>
      </c>
      <c r="B517" s="7">
        <f ca="1">IFERROR(__xludf.DUMMYFUNCTION("""COMPUTED_VALUE"""),45857)</f>
        <v>45857</v>
      </c>
      <c r="C517" s="1" t="str">
        <f ca="1">IFERROR(__xludf.DUMMYFUNCTION("""COMPUTED_VALUE"""),"La No Mercado (2/2)")</f>
        <v>La No Mercado (2/2)</v>
      </c>
      <c r="D517" s="2">
        <f ca="1">IFERROR(__xludf.DUMMYFUNCTION("""COMPUTED_VALUE"""),80.87)</f>
        <v>80.87</v>
      </c>
      <c r="E517" s="1" t="str">
        <f ca="1">IFERROR(__xludf.DUMMYFUNCTION("""COMPUTED_VALUE"""),"-")</f>
        <v>-</v>
      </c>
      <c r="F517" s="1" t="str">
        <f ca="1">IFERROR(__xludf.DUMMYFUNCTION("""COMPUTED_VALUE"""),"La No Mercado")</f>
        <v>La No Mercado</v>
      </c>
      <c r="G517" s="1" t="str">
        <f ca="1">IFERROR(__xludf.DUMMYFUNCTION("""COMPUTED_VALUE"""),"-")</f>
        <v>-</v>
      </c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7">
        <f ca="1">IFERROR(__xludf.DUMMYFUNCTION("""COMPUTED_VALUE"""),45870)</f>
        <v>45870</v>
      </c>
      <c r="B518" s="7">
        <f ca="1">IFERROR(__xludf.DUMMYFUNCTION("""COMPUTED_VALUE"""),45857)</f>
        <v>45857</v>
      </c>
      <c r="C518" s="1" t="str">
        <f ca="1">IFERROR(__xludf.DUMMYFUNCTION("""COMPUTED_VALUE"""),"La No Mercado (1/2)")</f>
        <v>La No Mercado (1/2)</v>
      </c>
      <c r="D518" s="2">
        <f ca="1">IFERROR(__xludf.DUMMYFUNCTION("""COMPUTED_VALUE"""),80.88)</f>
        <v>80.88</v>
      </c>
      <c r="E518" s="1" t="str">
        <f ca="1">IFERROR(__xludf.DUMMYFUNCTION("""COMPUTED_VALUE"""),"-")</f>
        <v>-</v>
      </c>
      <c r="F518" s="1" t="str">
        <f ca="1">IFERROR(__xludf.DUMMYFUNCTION("""COMPUTED_VALUE"""),"La No Mercado")</f>
        <v>La No Mercado</v>
      </c>
      <c r="G518" s="1" t="str">
        <f ca="1">IFERROR(__xludf.DUMMYFUNCTION("""COMPUTED_VALUE"""),"-")</f>
        <v>-</v>
      </c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7">
        <f ca="1">IFERROR(__xludf.DUMMYFUNCTION("""COMPUTED_VALUE"""),45870)</f>
        <v>45870</v>
      </c>
      <c r="B519" s="7">
        <f ca="1">IFERROR(__xludf.DUMMYFUNCTION("""COMPUTED_VALUE"""),45857)</f>
        <v>45857</v>
      </c>
      <c r="C519" s="1" t="str">
        <f ca="1">IFERROR(__xludf.DUMMYFUNCTION("""COMPUTED_VALUE"""),"Mercado Central")</f>
        <v>Mercado Central</v>
      </c>
      <c r="D519" s="2">
        <f ca="1">IFERROR(__xludf.DUMMYFUNCTION("""COMPUTED_VALUE"""),20)</f>
        <v>20</v>
      </c>
      <c r="E519" s="1" t="str">
        <f ca="1">IFERROR(__xludf.DUMMYFUNCTION("""COMPUTED_VALUE"""),"-")</f>
        <v>-</v>
      </c>
      <c r="F519" s="1" t="str">
        <f ca="1">IFERROR(__xludf.DUMMYFUNCTION("""COMPUTED_VALUE"""),"Mercado Central")</f>
        <v>Mercado Central</v>
      </c>
      <c r="G519" s="1" t="str">
        <f ca="1">IFERROR(__xludf.DUMMYFUNCTION("""COMPUTED_VALUE"""),"-")</f>
        <v>-</v>
      </c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7">
        <f ca="1">IFERROR(__xludf.DUMMYFUNCTION("""COMPUTED_VALUE"""),45870)</f>
        <v>45870</v>
      </c>
      <c r="B520" s="7">
        <f ca="1">IFERROR(__xludf.DUMMYFUNCTION("""COMPUTED_VALUE"""),45857)</f>
        <v>45857</v>
      </c>
      <c r="C520" s="1" t="str">
        <f ca="1">IFERROR(__xludf.DUMMYFUNCTION("""COMPUTED_VALUE"""),"Zé Delivery")</f>
        <v>Zé Delivery</v>
      </c>
      <c r="D520" s="2">
        <f ca="1">IFERROR(__xludf.DUMMYFUNCTION("""COMPUTED_VALUE"""),68.87)</f>
        <v>68.87</v>
      </c>
      <c r="E520" s="1" t="str">
        <f ca="1">IFERROR(__xludf.DUMMYFUNCTION("""COMPUTED_VALUE"""),"-")</f>
        <v>-</v>
      </c>
      <c r="F520" s="1" t="str">
        <f ca="1">IFERROR(__xludf.DUMMYFUNCTION("""COMPUTED_VALUE"""),"Zé Delivery")</f>
        <v>Zé Delivery</v>
      </c>
      <c r="G520" s="1" t="str">
        <f ca="1">IFERROR(__xludf.DUMMYFUNCTION("""COMPUTED_VALUE"""),"-")</f>
        <v>-</v>
      </c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7">
        <f ca="1">IFERROR(__xludf.DUMMYFUNCTION("""COMPUTED_VALUE"""),45870)</f>
        <v>45870</v>
      </c>
      <c r="B521" s="7">
        <f ca="1">IFERROR(__xludf.DUMMYFUNCTION("""COMPUTED_VALUE"""),45858)</f>
        <v>45858</v>
      </c>
      <c r="C521" s="1" t="str">
        <f ca="1">IFERROR(__xludf.DUMMYFUNCTION("""COMPUTED_VALUE"""),"Comkombi Aguade Coc")</f>
        <v>Comkombi Aguade Coc</v>
      </c>
      <c r="D521" s="2">
        <f ca="1">IFERROR(__xludf.DUMMYFUNCTION("""COMPUTED_VALUE"""),18)</f>
        <v>18</v>
      </c>
      <c r="E521" s="1" t="str">
        <f ca="1">IFERROR(__xludf.DUMMYFUNCTION("""COMPUTED_VALUE"""),"-")</f>
        <v>-</v>
      </c>
      <c r="F521" s="1" t="str">
        <f ca="1">IFERROR(__xludf.DUMMYFUNCTION("""COMPUTED_VALUE"""),"Comkombi Aguade Coc")</f>
        <v>Comkombi Aguade Coc</v>
      </c>
      <c r="G521" s="1" t="str">
        <f ca="1">IFERROR(__xludf.DUMMYFUNCTION("""COMPUTED_VALUE"""),"-")</f>
        <v>-</v>
      </c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7">
        <f ca="1">IFERROR(__xludf.DUMMYFUNCTION("""COMPUTED_VALUE"""),45870)</f>
        <v>45870</v>
      </c>
      <c r="B522" s="7">
        <f ca="1">IFERROR(__xludf.DUMMYFUNCTION("""COMPUTED_VALUE"""),45858)</f>
        <v>45858</v>
      </c>
      <c r="C522" s="1" t="str">
        <f ca="1">IFERROR(__xludf.DUMMYFUNCTION("""COMPUTED_VALUE"""),"Sorveteria Bandeiran")</f>
        <v>Sorveteria Bandeiran</v>
      </c>
      <c r="D522" s="2">
        <f ca="1">IFERROR(__xludf.DUMMYFUNCTION("""COMPUTED_VALUE"""),11.95)</f>
        <v>11.95</v>
      </c>
      <c r="E522" s="1" t="str">
        <f ca="1">IFERROR(__xludf.DUMMYFUNCTION("""COMPUTED_VALUE"""),"-")</f>
        <v>-</v>
      </c>
      <c r="F522" s="1" t="str">
        <f ca="1">IFERROR(__xludf.DUMMYFUNCTION("""COMPUTED_VALUE"""),"Sorveteria Bandeiran")</f>
        <v>Sorveteria Bandeiran</v>
      </c>
      <c r="G522" s="1" t="str">
        <f ca="1">IFERROR(__xludf.DUMMYFUNCTION("""COMPUTED_VALUE"""),"-")</f>
        <v>-</v>
      </c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7">
        <f ca="1">IFERROR(__xludf.DUMMYFUNCTION("""COMPUTED_VALUE"""),45870)</f>
        <v>45870</v>
      </c>
      <c r="B523" s="7">
        <f ca="1">IFERROR(__xludf.DUMMYFUNCTION("""COMPUTED_VALUE"""),45858)</f>
        <v>45858</v>
      </c>
      <c r="C523" s="1" t="str">
        <f ca="1">IFERROR(__xludf.DUMMYFUNCTION("""COMPUTED_VALUE"""),"Comkombi Aguade Coc")</f>
        <v>Comkombi Aguade Coc</v>
      </c>
      <c r="D523" s="2">
        <f ca="1">IFERROR(__xludf.DUMMYFUNCTION("""COMPUTED_VALUE"""),18)</f>
        <v>18</v>
      </c>
      <c r="E523" s="1" t="str">
        <f ca="1">IFERROR(__xludf.DUMMYFUNCTION("""COMPUTED_VALUE"""),"-")</f>
        <v>-</v>
      </c>
      <c r="F523" s="1" t="str">
        <f ca="1">IFERROR(__xludf.DUMMYFUNCTION("""COMPUTED_VALUE"""),"Comkombi Aguade Coc")</f>
        <v>Comkombi Aguade Coc</v>
      </c>
      <c r="G523" s="1" t="str">
        <f ca="1">IFERROR(__xludf.DUMMYFUNCTION("""COMPUTED_VALUE"""),"-")</f>
        <v>-</v>
      </c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7">
        <f ca="1">IFERROR(__xludf.DUMMYFUNCTION("""COMPUTED_VALUE"""),45870)</f>
        <v>45870</v>
      </c>
      <c r="B524" s="7">
        <f ca="1">IFERROR(__xludf.DUMMYFUNCTION("""COMPUTED_VALUE"""),45858)</f>
        <v>45858</v>
      </c>
      <c r="C524" s="1" t="str">
        <f ca="1">IFERROR(__xludf.DUMMYFUNCTION("""COMPUTED_VALUE"""),"Petrobra")</f>
        <v>Petrobra</v>
      </c>
      <c r="D524" s="2">
        <f ca="1">IFERROR(__xludf.DUMMYFUNCTION("""COMPUTED_VALUE"""),222)</f>
        <v>222</v>
      </c>
      <c r="E524" s="1" t="str">
        <f ca="1">IFERROR(__xludf.DUMMYFUNCTION("""COMPUTED_VALUE"""),"-")</f>
        <v>-</v>
      </c>
      <c r="F524" s="1" t="str">
        <f ca="1">IFERROR(__xludf.DUMMYFUNCTION("""COMPUTED_VALUE"""),"Petrobra")</f>
        <v>Petrobra</v>
      </c>
      <c r="G524" s="1" t="str">
        <f ca="1">IFERROR(__xludf.DUMMYFUNCTION("""COMPUTED_VALUE"""),"-")</f>
        <v>-</v>
      </c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7">
        <f ca="1">IFERROR(__xludf.DUMMYFUNCTION("""COMPUTED_VALUE"""),45870)</f>
        <v>45870</v>
      </c>
      <c r="B525" s="7">
        <f ca="1">IFERROR(__xludf.DUMMYFUNCTION("""COMPUTED_VALUE"""),45858)</f>
        <v>45858</v>
      </c>
      <c r="C525" s="1" t="str">
        <f ca="1">IFERROR(__xludf.DUMMYFUNCTION("""COMPUTED_VALUE"""),"Supermercado &amp; Padaria")</f>
        <v>Supermercado &amp; Padaria</v>
      </c>
      <c r="D525" s="2">
        <f ca="1">IFERROR(__xludf.DUMMYFUNCTION("""COMPUTED_VALUE"""),201.72)</f>
        <v>201.72</v>
      </c>
      <c r="E525" s="1" t="str">
        <f ca="1">IFERROR(__xludf.DUMMYFUNCTION("""COMPUTED_VALUE"""),"-")</f>
        <v>-</v>
      </c>
      <c r="F525" s="1" t="str">
        <f ca="1">IFERROR(__xludf.DUMMYFUNCTION("""COMPUTED_VALUE"""),"Supermercado &amp; Padaria")</f>
        <v>Supermercado &amp; Padaria</v>
      </c>
      <c r="G525" s="1" t="str">
        <f ca="1">IFERROR(__xludf.DUMMYFUNCTION("""COMPUTED_VALUE"""),"Comida")</f>
        <v>Comida</v>
      </c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7">
        <f ca="1">IFERROR(__xludf.DUMMYFUNCTION("""COMPUTED_VALUE"""),45870)</f>
        <v>45870</v>
      </c>
      <c r="B526" s="7">
        <f ca="1">IFERROR(__xludf.DUMMYFUNCTION("""COMPUTED_VALUE"""),45859)</f>
        <v>45859</v>
      </c>
      <c r="C526" s="1" t="str">
        <f ca="1">IFERROR(__xludf.DUMMYFUNCTION("""COMPUTED_VALUE"""),"Boca Do Forno")</f>
        <v>Boca Do Forno</v>
      </c>
      <c r="D526" s="2">
        <f ca="1">IFERROR(__xludf.DUMMYFUNCTION("""COMPUTED_VALUE"""),27.5)</f>
        <v>27.5</v>
      </c>
      <c r="E526" s="1" t="str">
        <f ca="1">IFERROR(__xludf.DUMMYFUNCTION("""COMPUTED_VALUE"""),"-")</f>
        <v>-</v>
      </c>
      <c r="F526" s="1" t="str">
        <f ca="1">IFERROR(__xludf.DUMMYFUNCTION("""COMPUTED_VALUE"""),"Boca Do Forno")</f>
        <v>Boca Do Forno</v>
      </c>
      <c r="G526" s="1" t="str">
        <f ca="1">IFERROR(__xludf.DUMMYFUNCTION("""COMPUTED_VALUE"""),"-")</f>
        <v>-</v>
      </c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7">
        <f ca="1">IFERROR(__xludf.DUMMYFUNCTION("""COMPUTED_VALUE"""),45870)</f>
        <v>45870</v>
      </c>
      <c r="B527" s="7">
        <f ca="1">IFERROR(__xludf.DUMMYFUNCTION("""COMPUTED_VALUE"""),45860)</f>
        <v>45860</v>
      </c>
      <c r="C527" s="1">
        <f ca="1">IFERROR(__xludf.DUMMYFUNCTION("""COMPUTED_VALUE"""),99)</f>
        <v>99</v>
      </c>
      <c r="D527" s="2">
        <f ca="1">IFERROR(__xludf.DUMMYFUNCTION("""COMPUTED_VALUE"""),8.84)</f>
        <v>8.84</v>
      </c>
      <c r="E527" s="1" t="str">
        <f ca="1">IFERROR(__xludf.DUMMYFUNCTION("""COMPUTED_VALUE"""),"-")</f>
        <v>-</v>
      </c>
      <c r="F527" s="1" t="str">
        <f ca="1">IFERROR(__xludf.DUMMYFUNCTION("""COMPUTED_VALUE"""),"99")</f>
        <v>99</v>
      </c>
      <c r="G527" s="1" t="str">
        <f ca="1">IFERROR(__xludf.DUMMYFUNCTION("""COMPUTED_VALUE"""),"Uber/99")</f>
        <v>Uber/99</v>
      </c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7">
        <f ca="1">IFERROR(__xludf.DUMMYFUNCTION("""COMPUTED_VALUE"""),45870)</f>
        <v>45870</v>
      </c>
      <c r="B528" s="7">
        <f ca="1">IFERROR(__xludf.DUMMYFUNCTION("""COMPUTED_VALUE"""),45860)</f>
        <v>45860</v>
      </c>
      <c r="C528" s="1" t="str">
        <f ca="1">IFERROR(__xludf.DUMMYFUNCTION("""COMPUTED_VALUE"""),"Gelateria Mfps Mg2")</f>
        <v>Gelateria Mfps Mg2</v>
      </c>
      <c r="D528" s="2">
        <f ca="1">IFERROR(__xludf.DUMMYFUNCTION("""COMPUTED_VALUE"""),49)</f>
        <v>49</v>
      </c>
      <c r="E528" s="1" t="str">
        <f ca="1">IFERROR(__xludf.DUMMYFUNCTION("""COMPUTED_VALUE"""),"-")</f>
        <v>-</v>
      </c>
      <c r="F528" s="1" t="str">
        <f ca="1">IFERROR(__xludf.DUMMYFUNCTION("""COMPUTED_VALUE"""),"Gelateria Mfps Mg2")</f>
        <v>Gelateria Mfps Mg2</v>
      </c>
      <c r="G528" s="1" t="str">
        <f ca="1">IFERROR(__xludf.DUMMYFUNCTION("""COMPUTED_VALUE"""),"-")</f>
        <v>-</v>
      </c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7">
        <f ca="1">IFERROR(__xludf.DUMMYFUNCTION("""COMPUTED_VALUE"""),45870)</f>
        <v>45870</v>
      </c>
      <c r="B529" s="7">
        <f ca="1">IFERROR(__xludf.DUMMYFUNCTION("""COMPUTED_VALUE"""),45860)</f>
        <v>45860</v>
      </c>
      <c r="C529" s="1" t="str">
        <f ca="1">IFERROR(__xludf.DUMMYFUNCTION("""COMPUTED_VALUE"""),"Amazon")</f>
        <v>Amazon</v>
      </c>
      <c r="D529" s="2">
        <f ca="1">IFERROR(__xludf.DUMMYFUNCTION("""COMPUTED_VALUE"""),18.81)</f>
        <v>18.809999999999999</v>
      </c>
      <c r="E529" s="1" t="str">
        <f ca="1">IFERROR(__xludf.DUMMYFUNCTION("""COMPUTED_VALUE"""),"-")</f>
        <v>-</v>
      </c>
      <c r="F529" s="1" t="str">
        <f ca="1">IFERROR(__xludf.DUMMYFUNCTION("""COMPUTED_VALUE"""),"Amazon")</f>
        <v>Amazon</v>
      </c>
      <c r="G529" s="1" t="str">
        <f ca="1">IFERROR(__xludf.DUMMYFUNCTION("""COMPUTED_VALUE"""),"Compras")</f>
        <v>Compras</v>
      </c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7">
        <f ca="1">IFERROR(__xludf.DUMMYFUNCTION("""COMPUTED_VALUE"""),45870)</f>
        <v>45870</v>
      </c>
      <c r="B530" s="7">
        <f ca="1">IFERROR(__xludf.DUMMYFUNCTION("""COMPUTED_VALUE"""),45861)</f>
        <v>45861</v>
      </c>
      <c r="C530" s="1" t="str">
        <f ca="1">IFERROR(__xludf.DUMMYFUNCTION("""COMPUTED_VALUE"""),"Dma Distribuidora Sa")</f>
        <v>Dma Distribuidora Sa</v>
      </c>
      <c r="D530" s="2">
        <f ca="1">IFERROR(__xludf.DUMMYFUNCTION("""COMPUTED_VALUE"""),20.28)</f>
        <v>20.28</v>
      </c>
      <c r="E530" s="1" t="str">
        <f ca="1">IFERROR(__xludf.DUMMYFUNCTION("""COMPUTED_VALUE"""),"-")</f>
        <v>-</v>
      </c>
      <c r="F530" s="1" t="str">
        <f ca="1">IFERROR(__xludf.DUMMYFUNCTION("""COMPUTED_VALUE"""),"Dma Distribuidora Sa")</f>
        <v>Dma Distribuidora Sa</v>
      </c>
      <c r="G530" s="1" t="str">
        <f ca="1">IFERROR(__xludf.DUMMYFUNCTION("""COMPUTED_VALUE"""),"-")</f>
        <v>-</v>
      </c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7">
        <f ca="1">IFERROR(__xludf.DUMMYFUNCTION("""COMPUTED_VALUE"""),45870)</f>
        <v>45870</v>
      </c>
      <c r="B531" s="7">
        <f ca="1">IFERROR(__xludf.DUMMYFUNCTION("""COMPUTED_VALUE"""),45861)</f>
        <v>45861</v>
      </c>
      <c r="C531" s="1" t="str">
        <f ca="1">IFERROR(__xludf.DUMMYFUNCTION("""COMPUTED_VALUE"""),"Uber")</f>
        <v>Uber</v>
      </c>
      <c r="D531" s="2">
        <f ca="1">IFERROR(__xludf.DUMMYFUNCTION("""COMPUTED_VALUE"""),8.97)</f>
        <v>8.9700000000000006</v>
      </c>
      <c r="E531" s="1" t="str">
        <f ca="1">IFERROR(__xludf.DUMMYFUNCTION("""COMPUTED_VALUE"""),"-")</f>
        <v>-</v>
      </c>
      <c r="F531" s="1" t="str">
        <f ca="1">IFERROR(__xludf.DUMMYFUNCTION("""COMPUTED_VALUE"""),"Uber")</f>
        <v>Uber</v>
      </c>
      <c r="G531" s="1" t="str">
        <f ca="1">IFERROR(__xludf.DUMMYFUNCTION("""COMPUTED_VALUE"""),"Uber/99")</f>
        <v>Uber/99</v>
      </c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7">
        <f ca="1">IFERROR(__xludf.DUMMYFUNCTION("""COMPUTED_VALUE"""),45870)</f>
        <v>45870</v>
      </c>
      <c r="B532" s="7">
        <f ca="1">IFERROR(__xludf.DUMMYFUNCTION("""COMPUTED_VALUE"""),45862)</f>
        <v>45862</v>
      </c>
      <c r="C532" s="1" t="str">
        <f ca="1">IFERROR(__xludf.DUMMYFUNCTION("""COMPUTED_VALUE"""),"Uber")</f>
        <v>Uber</v>
      </c>
      <c r="D532" s="2">
        <f ca="1">IFERROR(__xludf.DUMMYFUNCTION("""COMPUTED_VALUE"""),4.92)</f>
        <v>4.92</v>
      </c>
      <c r="E532" s="1" t="str">
        <f ca="1">IFERROR(__xludf.DUMMYFUNCTION("""COMPUTED_VALUE"""),"-")</f>
        <v>-</v>
      </c>
      <c r="F532" s="1" t="str">
        <f ca="1">IFERROR(__xludf.DUMMYFUNCTION("""COMPUTED_VALUE"""),"Uber")</f>
        <v>Uber</v>
      </c>
      <c r="G532" s="1" t="str">
        <f ca="1">IFERROR(__xludf.DUMMYFUNCTION("""COMPUTED_VALUE"""),"Uber/99")</f>
        <v>Uber/99</v>
      </c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7">
        <f ca="1">IFERROR(__xludf.DUMMYFUNCTION("""COMPUTED_VALUE"""),45870)</f>
        <v>45870</v>
      </c>
      <c r="B533" s="7">
        <f ca="1">IFERROR(__xludf.DUMMYFUNCTION("""COMPUTED_VALUE"""),45862)</f>
        <v>45862</v>
      </c>
      <c r="C533" s="1" t="str">
        <f ca="1">IFERROR(__xludf.DUMMYFUNCTION("""COMPUTED_VALUE"""),"Drogaria Araujo")</f>
        <v>Drogaria Araujo</v>
      </c>
      <c r="D533" s="2">
        <f ca="1">IFERROR(__xludf.DUMMYFUNCTION("""COMPUTED_VALUE"""),9.19)</f>
        <v>9.19</v>
      </c>
      <c r="E533" s="1" t="str">
        <f ca="1">IFERROR(__xludf.DUMMYFUNCTION("""COMPUTED_VALUE"""),"-")</f>
        <v>-</v>
      </c>
      <c r="F533" s="1" t="str">
        <f ca="1">IFERROR(__xludf.DUMMYFUNCTION("""COMPUTED_VALUE"""),"Drogaria Araujo")</f>
        <v>Drogaria Araujo</v>
      </c>
      <c r="G533" s="1" t="str">
        <f ca="1">IFERROR(__xludf.DUMMYFUNCTION("""COMPUTED_VALUE"""),"Compras")</f>
        <v>Compras</v>
      </c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7">
        <f ca="1">IFERROR(__xludf.DUMMYFUNCTION("""COMPUTED_VALUE"""),45870)</f>
        <v>45870</v>
      </c>
      <c r="B534" s="7">
        <f ca="1">IFERROR(__xludf.DUMMYFUNCTION("""COMPUTED_VALUE"""),45863)</f>
        <v>45863</v>
      </c>
      <c r="C534" s="1" t="str">
        <f ca="1">IFERROR(__xludf.DUMMYFUNCTION("""COMPUTED_VALUE"""),"Nawebuti")</f>
        <v>Nawebuti</v>
      </c>
      <c r="D534" s="2">
        <f ca="1">IFERROR(__xludf.DUMMYFUNCTION("""COMPUTED_VALUE"""),88)</f>
        <v>88</v>
      </c>
      <c r="E534" s="1" t="str">
        <f ca="1">IFERROR(__xludf.DUMMYFUNCTION("""COMPUTED_VALUE"""),"-")</f>
        <v>-</v>
      </c>
      <c r="F534" s="1" t="str">
        <f ca="1">IFERROR(__xludf.DUMMYFUNCTION("""COMPUTED_VALUE"""),"Nawebuti")</f>
        <v>Nawebuti</v>
      </c>
      <c r="G534" s="1" t="str">
        <f ca="1">IFERROR(__xludf.DUMMYFUNCTION("""COMPUTED_VALUE"""),"-")</f>
        <v>-</v>
      </c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7">
        <f ca="1">IFERROR(__xludf.DUMMYFUNCTION("""COMPUTED_VALUE"""),45870)</f>
        <v>45870</v>
      </c>
      <c r="B535" s="7">
        <f ca="1">IFERROR(__xludf.DUMMYFUNCTION("""COMPUTED_VALUE"""),45864)</f>
        <v>45864</v>
      </c>
      <c r="C535" s="1" t="str">
        <f ca="1">IFERROR(__xludf.DUMMYFUNCTION("""COMPUTED_VALUE"""),"Golden Pet")</f>
        <v>Golden Pet</v>
      </c>
      <c r="D535" s="2">
        <f ca="1">IFERROR(__xludf.DUMMYFUNCTION("""COMPUTED_VALUE"""),68)</f>
        <v>68</v>
      </c>
      <c r="E535" s="1" t="str">
        <f ca="1">IFERROR(__xludf.DUMMYFUNCTION("""COMPUTED_VALUE"""),"-")</f>
        <v>-</v>
      </c>
      <c r="F535" s="1" t="str">
        <f ca="1">IFERROR(__xludf.DUMMYFUNCTION("""COMPUTED_VALUE"""),"Golden Pet")</f>
        <v>Golden Pet</v>
      </c>
      <c r="G535" s="1" t="str">
        <f ca="1">IFERROR(__xludf.DUMMYFUNCTION("""COMPUTED_VALUE"""),"Hulk")</f>
        <v>Hulk</v>
      </c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7">
        <f ca="1">IFERROR(__xludf.DUMMYFUNCTION("""COMPUTED_VALUE"""),45870)</f>
        <v>45870</v>
      </c>
      <c r="B536" s="7">
        <f ca="1">IFERROR(__xludf.DUMMYFUNCTION("""COMPUTED_VALUE"""),45864)</f>
        <v>45864</v>
      </c>
      <c r="C536" s="1" t="str">
        <f ca="1">IFERROR(__xludf.DUMMYFUNCTION("""COMPUTED_VALUE"""),"Casa Da Serra")</f>
        <v>Casa Da Serra</v>
      </c>
      <c r="D536" s="2">
        <f ca="1">IFERROR(__xludf.DUMMYFUNCTION("""COMPUTED_VALUE"""),22.95)</f>
        <v>22.95</v>
      </c>
      <c r="E536" s="1" t="str">
        <f ca="1">IFERROR(__xludf.DUMMYFUNCTION("""COMPUTED_VALUE"""),"-")</f>
        <v>-</v>
      </c>
      <c r="F536" s="1" t="str">
        <f ca="1">IFERROR(__xludf.DUMMYFUNCTION("""COMPUTED_VALUE"""),"Casa Da Serra")</f>
        <v>Casa Da Serra</v>
      </c>
      <c r="G536" s="1" t="str">
        <f ca="1">IFERROR(__xludf.DUMMYFUNCTION("""COMPUTED_VALUE"""),"-")</f>
        <v>-</v>
      </c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7">
        <f ca="1">IFERROR(__xludf.DUMMYFUNCTION("""COMPUTED_VALUE"""),45870)</f>
        <v>45870</v>
      </c>
      <c r="B537" s="7">
        <f ca="1">IFERROR(__xludf.DUMMYFUNCTION("""COMPUTED_VALUE"""),45864)</f>
        <v>45864</v>
      </c>
      <c r="C537" s="1" t="str">
        <f ca="1">IFERROR(__xludf.DUMMYFUNCTION("""COMPUTED_VALUE"""),"Dma Distribuidora Sa (3/3)")</f>
        <v>Dma Distribuidora Sa (3/3)</v>
      </c>
      <c r="D537" s="2">
        <f ca="1">IFERROR(__xludf.DUMMYFUNCTION("""COMPUTED_VALUE"""),63.04)</f>
        <v>63.04</v>
      </c>
      <c r="E537" s="1" t="str">
        <f ca="1">IFERROR(__xludf.DUMMYFUNCTION("""COMPUTED_VALUE"""),"-")</f>
        <v>-</v>
      </c>
      <c r="F537" s="1" t="str">
        <f ca="1">IFERROR(__xludf.DUMMYFUNCTION("""COMPUTED_VALUE"""),"Dma Distribuidora Sa")</f>
        <v>Dma Distribuidora Sa</v>
      </c>
      <c r="G537" s="1" t="str">
        <f ca="1">IFERROR(__xludf.DUMMYFUNCTION("""COMPUTED_VALUE"""),"-")</f>
        <v>-</v>
      </c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7">
        <f ca="1">IFERROR(__xludf.DUMMYFUNCTION("""COMPUTED_VALUE"""),45870)</f>
        <v>45870</v>
      </c>
      <c r="B538" s="7">
        <f ca="1">IFERROR(__xludf.DUMMYFUNCTION("""COMPUTED_VALUE"""),45864)</f>
        <v>45864</v>
      </c>
      <c r="C538" s="1" t="str">
        <f ca="1">IFERROR(__xludf.DUMMYFUNCTION("""COMPUTED_VALUE"""),"Dma Distribuidora Sa (2/3)")</f>
        <v>Dma Distribuidora Sa (2/3)</v>
      </c>
      <c r="D538" s="2">
        <f ca="1">IFERROR(__xludf.DUMMYFUNCTION("""COMPUTED_VALUE"""),63.04)</f>
        <v>63.04</v>
      </c>
      <c r="E538" s="1" t="str">
        <f ca="1">IFERROR(__xludf.DUMMYFUNCTION("""COMPUTED_VALUE"""),"-")</f>
        <v>-</v>
      </c>
      <c r="F538" s="1" t="str">
        <f ca="1">IFERROR(__xludf.DUMMYFUNCTION("""COMPUTED_VALUE"""),"Dma Distribuidora Sa")</f>
        <v>Dma Distribuidora Sa</v>
      </c>
      <c r="G538" s="1" t="str">
        <f ca="1">IFERROR(__xludf.DUMMYFUNCTION("""COMPUTED_VALUE"""),"-")</f>
        <v>-</v>
      </c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7">
        <f ca="1">IFERROR(__xludf.DUMMYFUNCTION("""COMPUTED_VALUE"""),45870)</f>
        <v>45870</v>
      </c>
      <c r="B539" s="7">
        <f ca="1">IFERROR(__xludf.DUMMYFUNCTION("""COMPUTED_VALUE"""),45864)</f>
        <v>45864</v>
      </c>
      <c r="C539" s="1" t="str">
        <f ca="1">IFERROR(__xludf.DUMMYFUNCTION("""COMPUTED_VALUE"""),"Dma Distribuidora Sa (1/3)")</f>
        <v>Dma Distribuidora Sa (1/3)</v>
      </c>
      <c r="D539" s="2">
        <f ca="1">IFERROR(__xludf.DUMMYFUNCTION("""COMPUTED_VALUE"""),63.06)</f>
        <v>63.06</v>
      </c>
      <c r="E539" s="1" t="str">
        <f ca="1">IFERROR(__xludf.DUMMYFUNCTION("""COMPUTED_VALUE"""),"-")</f>
        <v>-</v>
      </c>
      <c r="F539" s="1" t="str">
        <f ca="1">IFERROR(__xludf.DUMMYFUNCTION("""COMPUTED_VALUE"""),"Dma Distribuidora Sa")</f>
        <v>Dma Distribuidora Sa</v>
      </c>
      <c r="G539" s="1" t="str">
        <f ca="1">IFERROR(__xludf.DUMMYFUNCTION("""COMPUTED_VALUE"""),"-")</f>
        <v>-</v>
      </c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7">
        <f ca="1">IFERROR(__xludf.DUMMYFUNCTION("""COMPUTED_VALUE"""),45870)</f>
        <v>45870</v>
      </c>
      <c r="B540" s="7">
        <f ca="1">IFERROR(__xludf.DUMMYFUNCTION("""COMPUTED_VALUE"""),45864)</f>
        <v>45864</v>
      </c>
      <c r="C540" s="1" t="str">
        <f ca="1">IFERROR(__xludf.DUMMYFUNCTION("""COMPUTED_VALUE"""),"Farmácias Pa 324 (5/5)")</f>
        <v>Farmácias Pa 324 (5/5)</v>
      </c>
      <c r="D540" s="2">
        <f ca="1">IFERROR(__xludf.DUMMYFUNCTION("""COMPUTED_VALUE"""),50.89)</f>
        <v>50.89</v>
      </c>
      <c r="E540" s="1" t="str">
        <f ca="1">IFERROR(__xludf.DUMMYFUNCTION("""COMPUTED_VALUE"""),"-")</f>
        <v>-</v>
      </c>
      <c r="F540" s="1" t="str">
        <f ca="1">IFERROR(__xludf.DUMMYFUNCTION("""COMPUTED_VALUE"""),"Farmácias Pa 324")</f>
        <v>Farmácias Pa 324</v>
      </c>
      <c r="G540" s="1" t="str">
        <f ca="1">IFERROR(__xludf.DUMMYFUNCTION("""COMPUTED_VALUE"""),"-")</f>
        <v>-</v>
      </c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7">
        <f ca="1">IFERROR(__xludf.DUMMYFUNCTION("""COMPUTED_VALUE"""),45870)</f>
        <v>45870</v>
      </c>
      <c r="B541" s="7">
        <f ca="1">IFERROR(__xludf.DUMMYFUNCTION("""COMPUTED_VALUE"""),45864)</f>
        <v>45864</v>
      </c>
      <c r="C541" s="1" t="str">
        <f ca="1">IFERROR(__xludf.DUMMYFUNCTION("""COMPUTED_VALUE"""),"Farmácias Pa 324 (4/5)")</f>
        <v>Farmácias Pa 324 (4/5)</v>
      </c>
      <c r="D541" s="2">
        <f ca="1">IFERROR(__xludf.DUMMYFUNCTION("""COMPUTED_VALUE"""),50.89)</f>
        <v>50.89</v>
      </c>
      <c r="E541" s="1" t="str">
        <f ca="1">IFERROR(__xludf.DUMMYFUNCTION("""COMPUTED_VALUE"""),"-")</f>
        <v>-</v>
      </c>
      <c r="F541" s="1" t="str">
        <f ca="1">IFERROR(__xludf.DUMMYFUNCTION("""COMPUTED_VALUE"""),"Farmácias Pa 324")</f>
        <v>Farmácias Pa 324</v>
      </c>
      <c r="G541" s="1" t="str">
        <f ca="1">IFERROR(__xludf.DUMMYFUNCTION("""COMPUTED_VALUE"""),"-")</f>
        <v>-</v>
      </c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7">
        <f ca="1">IFERROR(__xludf.DUMMYFUNCTION("""COMPUTED_VALUE"""),45870)</f>
        <v>45870</v>
      </c>
      <c r="B542" s="7">
        <f ca="1">IFERROR(__xludf.DUMMYFUNCTION("""COMPUTED_VALUE"""),45864)</f>
        <v>45864</v>
      </c>
      <c r="C542" s="1" t="str">
        <f ca="1">IFERROR(__xludf.DUMMYFUNCTION("""COMPUTED_VALUE"""),"Farmácias Pa 324 (3/5)")</f>
        <v>Farmácias Pa 324 (3/5)</v>
      </c>
      <c r="D542" s="2">
        <f ca="1">IFERROR(__xludf.DUMMYFUNCTION("""COMPUTED_VALUE"""),50.89)</f>
        <v>50.89</v>
      </c>
      <c r="E542" s="1" t="str">
        <f ca="1">IFERROR(__xludf.DUMMYFUNCTION("""COMPUTED_VALUE"""),"-")</f>
        <v>-</v>
      </c>
      <c r="F542" s="1" t="str">
        <f ca="1">IFERROR(__xludf.DUMMYFUNCTION("""COMPUTED_VALUE"""),"Farmácias Pa 324")</f>
        <v>Farmácias Pa 324</v>
      </c>
      <c r="G542" s="1" t="str">
        <f ca="1">IFERROR(__xludf.DUMMYFUNCTION("""COMPUTED_VALUE"""),"-")</f>
        <v>-</v>
      </c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7">
        <f ca="1">IFERROR(__xludf.DUMMYFUNCTION("""COMPUTED_VALUE"""),45870)</f>
        <v>45870</v>
      </c>
      <c r="B543" s="7">
        <f ca="1">IFERROR(__xludf.DUMMYFUNCTION("""COMPUTED_VALUE"""),45864)</f>
        <v>45864</v>
      </c>
      <c r="C543" s="1" t="str">
        <f ca="1">IFERROR(__xludf.DUMMYFUNCTION("""COMPUTED_VALUE"""),"Farmácias Pa 324 (2/5)")</f>
        <v>Farmácias Pa 324 (2/5)</v>
      </c>
      <c r="D543" s="2">
        <f ca="1">IFERROR(__xludf.DUMMYFUNCTION("""COMPUTED_VALUE"""),50.89)</f>
        <v>50.89</v>
      </c>
      <c r="E543" s="1" t="str">
        <f ca="1">IFERROR(__xludf.DUMMYFUNCTION("""COMPUTED_VALUE"""),"-")</f>
        <v>-</v>
      </c>
      <c r="F543" s="1" t="str">
        <f ca="1">IFERROR(__xludf.DUMMYFUNCTION("""COMPUTED_VALUE"""),"Farmácias Pa 324")</f>
        <v>Farmácias Pa 324</v>
      </c>
      <c r="G543" s="1" t="str">
        <f ca="1">IFERROR(__xludf.DUMMYFUNCTION("""COMPUTED_VALUE"""),"-")</f>
        <v>-</v>
      </c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7">
        <f ca="1">IFERROR(__xludf.DUMMYFUNCTION("""COMPUTED_VALUE"""),45870)</f>
        <v>45870</v>
      </c>
      <c r="B544" s="7">
        <f ca="1">IFERROR(__xludf.DUMMYFUNCTION("""COMPUTED_VALUE"""),45864)</f>
        <v>45864</v>
      </c>
      <c r="C544" s="1" t="str">
        <f ca="1">IFERROR(__xludf.DUMMYFUNCTION("""COMPUTED_VALUE"""),"Farmácias Pa 324 (1/5)")</f>
        <v>Farmácias Pa 324 (1/5)</v>
      </c>
      <c r="D544" s="2">
        <f ca="1">IFERROR(__xludf.DUMMYFUNCTION("""COMPUTED_VALUE"""),50.91)</f>
        <v>50.91</v>
      </c>
      <c r="E544" s="1" t="str">
        <f ca="1">IFERROR(__xludf.DUMMYFUNCTION("""COMPUTED_VALUE"""),"-")</f>
        <v>-</v>
      </c>
      <c r="F544" s="1" t="str">
        <f ca="1">IFERROR(__xludf.DUMMYFUNCTION("""COMPUTED_VALUE"""),"Farmácias Pa 324")</f>
        <v>Farmácias Pa 324</v>
      </c>
      <c r="G544" s="1" t="str">
        <f ca="1">IFERROR(__xludf.DUMMYFUNCTION("""COMPUTED_VALUE"""),"-")</f>
        <v>-</v>
      </c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7">
        <f ca="1">IFERROR(__xludf.DUMMYFUNCTION("""COMPUTED_VALUE"""),45870)</f>
        <v>45870</v>
      </c>
      <c r="B545" s="7">
        <f ca="1">IFERROR(__xludf.DUMMYFUNCTION("""COMPUTED_VALUE"""),45864)</f>
        <v>45864</v>
      </c>
      <c r="C545" s="1" t="str">
        <f ca="1">IFERROR(__xludf.DUMMYFUNCTION("""COMPUTED_VALUE"""),"Farmácias Pa")</f>
        <v>Farmácias Pa</v>
      </c>
      <c r="D545" s="2">
        <f ca="1">IFERROR(__xludf.DUMMYFUNCTION("""COMPUTED_VALUE"""),65.99)</f>
        <v>65.989999999999995</v>
      </c>
      <c r="E545" s="1" t="str">
        <f ca="1">IFERROR(__xludf.DUMMYFUNCTION("""COMPUTED_VALUE"""),"-")</f>
        <v>-</v>
      </c>
      <c r="F545" s="1" t="str">
        <f ca="1">IFERROR(__xludf.DUMMYFUNCTION("""COMPUTED_VALUE"""),"Farmácias Pa")</f>
        <v>Farmácias Pa</v>
      </c>
      <c r="G545" s="1" t="str">
        <f ca="1">IFERROR(__xludf.DUMMYFUNCTION("""COMPUTED_VALUE"""),"Compras")</f>
        <v>Compras</v>
      </c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7">
        <f ca="1">IFERROR(__xludf.DUMMYFUNCTION("""COMPUTED_VALUE"""),45870)</f>
        <v>45870</v>
      </c>
      <c r="B546" s="7">
        <f ca="1">IFERROR(__xludf.DUMMYFUNCTION("""COMPUTED_VALUE"""),45864)</f>
        <v>45864</v>
      </c>
      <c r="C546" s="1" t="str">
        <f ca="1">IFERROR(__xludf.DUMMYFUNCTION("""COMPUTED_VALUE"""),"Panif Mendes Sion")</f>
        <v>Panif Mendes Sion</v>
      </c>
      <c r="D546" s="2">
        <f ca="1">IFERROR(__xludf.DUMMYFUNCTION("""COMPUTED_VALUE"""),9.2)</f>
        <v>9.1999999999999993</v>
      </c>
      <c r="E546" s="1" t="str">
        <f ca="1">IFERROR(__xludf.DUMMYFUNCTION("""COMPUTED_VALUE"""),"-")</f>
        <v>-</v>
      </c>
      <c r="F546" s="1" t="str">
        <f ca="1">IFERROR(__xludf.DUMMYFUNCTION("""COMPUTED_VALUE"""),"Panif Mendes Sion")</f>
        <v>Panif Mendes Sion</v>
      </c>
      <c r="G546" s="1" t="str">
        <f ca="1">IFERROR(__xludf.DUMMYFUNCTION("""COMPUTED_VALUE"""),"Comida")</f>
        <v>Comida</v>
      </c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7">
        <f ca="1">IFERROR(__xludf.DUMMYFUNCTION("""COMPUTED_VALUE"""),45870)</f>
        <v>45870</v>
      </c>
      <c r="B547" s="7">
        <f ca="1">IFERROR(__xludf.DUMMYFUNCTION("""COMPUTED_VALUE"""),45865)</f>
        <v>45865</v>
      </c>
      <c r="C547" s="1" t="str">
        <f ca="1">IFERROR(__xludf.DUMMYFUNCTION("""COMPUTED_VALUE"""),"Amazon")</f>
        <v>Amazon</v>
      </c>
      <c r="D547" s="2">
        <f ca="1">IFERROR(__xludf.DUMMYFUNCTION("""COMPUTED_VALUE"""),4.17)</f>
        <v>4.17</v>
      </c>
      <c r="E547" s="1" t="str">
        <f ca="1">IFERROR(__xludf.DUMMYFUNCTION("""COMPUTED_VALUE"""),"-")</f>
        <v>-</v>
      </c>
      <c r="F547" s="1" t="str">
        <f ca="1">IFERROR(__xludf.DUMMYFUNCTION("""COMPUTED_VALUE"""),"Amazon")</f>
        <v>Amazon</v>
      </c>
      <c r="G547" s="1" t="str">
        <f ca="1">IFERROR(__xludf.DUMMYFUNCTION("""COMPUTED_VALUE"""),"Compras")</f>
        <v>Compras</v>
      </c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7">
        <f ca="1">IFERROR(__xludf.DUMMYFUNCTION("""COMPUTED_VALUE"""),45870)</f>
        <v>45870</v>
      </c>
      <c r="B548" s="7">
        <f ca="1">IFERROR(__xludf.DUMMYFUNCTION("""COMPUTED_VALUE"""),45865)</f>
        <v>45865</v>
      </c>
      <c r="C548" s="1" t="str">
        <f ca="1">IFERROR(__xludf.DUMMYFUNCTION("""COMPUTED_VALUE"""),"Amazon")</f>
        <v>Amazon</v>
      </c>
      <c r="D548" s="2">
        <f ca="1">IFERROR(__xludf.DUMMYFUNCTION("""COMPUTED_VALUE"""),21.36)</f>
        <v>21.36</v>
      </c>
      <c r="E548" s="1" t="str">
        <f ca="1">IFERROR(__xludf.DUMMYFUNCTION("""COMPUTED_VALUE"""),"-")</f>
        <v>-</v>
      </c>
      <c r="F548" s="1" t="str">
        <f ca="1">IFERROR(__xludf.DUMMYFUNCTION("""COMPUTED_VALUE"""),"Amazon")</f>
        <v>Amazon</v>
      </c>
      <c r="G548" s="1" t="str">
        <f ca="1">IFERROR(__xludf.DUMMYFUNCTION("""COMPUTED_VALUE"""),"Compras")</f>
        <v>Compras</v>
      </c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7">
        <f ca="1">IFERROR(__xludf.DUMMYFUNCTION("""COMPUTED_VALUE"""),45870)</f>
        <v>45870</v>
      </c>
      <c r="B549" s="7">
        <f ca="1">IFERROR(__xludf.DUMMYFUNCTION("""COMPUTED_VALUE"""),45865)</f>
        <v>45865</v>
      </c>
      <c r="C549" s="1" t="str">
        <f ca="1">IFERROR(__xludf.DUMMYFUNCTION("""COMPUTED_VALUE"""),"Pague Menos")</f>
        <v>Pague Menos</v>
      </c>
      <c r="D549" s="2">
        <f ca="1">IFERROR(__xludf.DUMMYFUNCTION("""COMPUTED_VALUE"""),16.2)</f>
        <v>16.2</v>
      </c>
      <c r="E549" s="1" t="str">
        <f ca="1">IFERROR(__xludf.DUMMYFUNCTION("""COMPUTED_VALUE"""),"-")</f>
        <v>-</v>
      </c>
      <c r="F549" s="1" t="str">
        <f ca="1">IFERROR(__xludf.DUMMYFUNCTION("""COMPUTED_VALUE"""),"Pague Menos")</f>
        <v>Pague Menos</v>
      </c>
      <c r="G549" s="1" t="str">
        <f ca="1">IFERROR(__xludf.DUMMYFUNCTION("""COMPUTED_VALUE"""),"-")</f>
        <v>-</v>
      </c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7">
        <f ca="1">IFERROR(__xludf.DUMMYFUNCTION("""COMPUTED_VALUE"""),45870)</f>
        <v>45870</v>
      </c>
      <c r="B550" s="7">
        <f ca="1">IFERROR(__xludf.DUMMYFUNCTION("""COMPUTED_VALUE"""),45865)</f>
        <v>45865</v>
      </c>
      <c r="C550" s="1" t="str">
        <f ca="1">IFERROR(__xludf.DUMMYFUNCTION("""COMPUTED_VALUE"""),"Quiosque De Coco Jk")</f>
        <v>Quiosque De Coco Jk</v>
      </c>
      <c r="D550" s="2">
        <f ca="1">IFERROR(__xludf.DUMMYFUNCTION("""COMPUTED_VALUE"""),10)</f>
        <v>10</v>
      </c>
      <c r="E550" s="1" t="str">
        <f ca="1">IFERROR(__xludf.DUMMYFUNCTION("""COMPUTED_VALUE"""),"-")</f>
        <v>-</v>
      </c>
      <c r="F550" s="1" t="str">
        <f ca="1">IFERROR(__xludf.DUMMYFUNCTION("""COMPUTED_VALUE"""),"Quiosque De Coco Jk")</f>
        <v>Quiosque De Coco Jk</v>
      </c>
      <c r="G550" s="1" t="str">
        <f ca="1">IFERROR(__xludf.DUMMYFUNCTION("""COMPUTED_VALUE"""),"-")</f>
        <v>-</v>
      </c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7">
        <f ca="1">IFERROR(__xludf.DUMMYFUNCTION("""COMPUTED_VALUE"""),45870)</f>
        <v>45870</v>
      </c>
      <c r="B551" s="7">
        <f ca="1">IFERROR(__xludf.DUMMYFUNCTION("""COMPUTED_VALUE"""),45866)</f>
        <v>45866</v>
      </c>
      <c r="C551" s="1" t="str">
        <f ca="1">IFERROR(__xludf.DUMMYFUNCTION("""COMPUTED_VALUE"""),"Amazon")</f>
        <v>Amazon</v>
      </c>
      <c r="D551" s="2">
        <f ca="1">IFERROR(__xludf.DUMMYFUNCTION("""COMPUTED_VALUE"""),38.9)</f>
        <v>38.9</v>
      </c>
      <c r="E551" s="1" t="str">
        <f ca="1">IFERROR(__xludf.DUMMYFUNCTION("""COMPUTED_VALUE"""),"-")</f>
        <v>-</v>
      </c>
      <c r="F551" s="1" t="str">
        <f ca="1">IFERROR(__xludf.DUMMYFUNCTION("""COMPUTED_VALUE"""),"Amazon")</f>
        <v>Amazon</v>
      </c>
      <c r="G551" s="1" t="str">
        <f ca="1">IFERROR(__xludf.DUMMYFUNCTION("""COMPUTED_VALUE"""),"Compras")</f>
        <v>Compras</v>
      </c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7">
        <f ca="1">IFERROR(__xludf.DUMMYFUNCTION("""COMPUTED_VALUE"""),45870)</f>
        <v>45870</v>
      </c>
      <c r="B552" s="7">
        <f ca="1">IFERROR(__xludf.DUMMYFUNCTION("""COMPUTED_VALUE"""),45867)</f>
        <v>45867</v>
      </c>
      <c r="C552" s="1" t="str">
        <f ca="1">IFERROR(__xludf.DUMMYFUNCTION("""COMPUTED_VALUE"""),"Drogaria Araujo")</f>
        <v>Drogaria Araujo</v>
      </c>
      <c r="D552" s="2">
        <f ca="1">IFERROR(__xludf.DUMMYFUNCTION("""COMPUTED_VALUE"""),55.59)</f>
        <v>55.59</v>
      </c>
      <c r="E552" s="1" t="str">
        <f ca="1">IFERROR(__xludf.DUMMYFUNCTION("""COMPUTED_VALUE"""),"-")</f>
        <v>-</v>
      </c>
      <c r="F552" s="1" t="str">
        <f ca="1">IFERROR(__xludf.DUMMYFUNCTION("""COMPUTED_VALUE"""),"Drogaria Araujo")</f>
        <v>Drogaria Araujo</v>
      </c>
      <c r="G552" s="1" t="str">
        <f ca="1">IFERROR(__xludf.DUMMYFUNCTION("""COMPUTED_VALUE"""),"Compras")</f>
        <v>Compras</v>
      </c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7">
        <f ca="1">IFERROR(__xludf.DUMMYFUNCTION("""COMPUTED_VALUE"""),45870)</f>
        <v>45870</v>
      </c>
      <c r="B553" s="7">
        <f ca="1">IFERROR(__xludf.DUMMYFUNCTION("""COMPUTED_VALUE"""),45867)</f>
        <v>45867</v>
      </c>
      <c r="C553" s="1" t="str">
        <f ca="1">IFERROR(__xludf.DUMMYFUNCTION("""COMPUTED_VALUE"""),"Shopee")</f>
        <v>Shopee</v>
      </c>
      <c r="D553" s="2">
        <f ca="1">IFERROR(__xludf.DUMMYFUNCTION("""COMPUTED_VALUE"""),85.58)</f>
        <v>85.58</v>
      </c>
      <c r="E553" s="1" t="str">
        <f ca="1">IFERROR(__xludf.DUMMYFUNCTION("""COMPUTED_VALUE"""),"-")</f>
        <v>-</v>
      </c>
      <c r="F553" s="1" t="str">
        <f ca="1">IFERROR(__xludf.DUMMYFUNCTION("""COMPUTED_VALUE"""),"Shopee")</f>
        <v>Shopee</v>
      </c>
      <c r="G553" s="1" t="str">
        <f ca="1">IFERROR(__xludf.DUMMYFUNCTION("""COMPUTED_VALUE"""),"Compras")</f>
        <v>Compras</v>
      </c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7">
        <f ca="1">IFERROR(__xludf.DUMMYFUNCTION("""COMPUTED_VALUE"""),45870)</f>
        <v>45870</v>
      </c>
      <c r="B554" s="7">
        <f ca="1">IFERROR(__xludf.DUMMYFUNCTION("""COMPUTED_VALUE"""),45867)</f>
        <v>45867</v>
      </c>
      <c r="C554" s="1" t="str">
        <f ca="1">IFERROR(__xludf.DUMMYFUNCTION("""COMPUTED_VALUE"""),"Drogaria Araujo")</f>
        <v>Drogaria Araujo</v>
      </c>
      <c r="D554" s="2">
        <f ca="1">IFERROR(__xludf.DUMMYFUNCTION("""COMPUTED_VALUE"""),18.44)</f>
        <v>18.440000000000001</v>
      </c>
      <c r="E554" s="1" t="str">
        <f ca="1">IFERROR(__xludf.DUMMYFUNCTION("""COMPUTED_VALUE"""),"-")</f>
        <v>-</v>
      </c>
      <c r="F554" s="1" t="str">
        <f ca="1">IFERROR(__xludf.DUMMYFUNCTION("""COMPUTED_VALUE"""),"Drogaria Araujo")</f>
        <v>Drogaria Araujo</v>
      </c>
      <c r="G554" s="1" t="str">
        <f ca="1">IFERROR(__xludf.DUMMYFUNCTION("""COMPUTED_VALUE"""),"Compras")</f>
        <v>Compras</v>
      </c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7">
        <f ca="1">IFERROR(__xludf.DUMMYFUNCTION("""COMPUTED_VALUE"""),45870)</f>
        <v>45870</v>
      </c>
      <c r="B555" s="7">
        <f ca="1">IFERROR(__xludf.DUMMYFUNCTION("""COMPUTED_VALUE"""),45868)</f>
        <v>45868</v>
      </c>
      <c r="C555" s="1" t="str">
        <f ca="1">IFERROR(__xludf.DUMMYFUNCTION("""COMPUTED_VALUE"""),"Drogaria Pacheco (1/3)")</f>
        <v>Drogaria Pacheco (1/3)</v>
      </c>
      <c r="D555" s="2">
        <f ca="1">IFERROR(__xludf.DUMMYFUNCTION("""COMPUTED_VALUE"""),83.41)</f>
        <v>83.41</v>
      </c>
      <c r="E555" s="1" t="str">
        <f ca="1">IFERROR(__xludf.DUMMYFUNCTION("""COMPUTED_VALUE"""),"-")</f>
        <v>-</v>
      </c>
      <c r="F555" s="1" t="str">
        <f ca="1">IFERROR(__xludf.DUMMYFUNCTION("""COMPUTED_VALUE"""),"Drogaria Pacheco")</f>
        <v>Drogaria Pacheco</v>
      </c>
      <c r="G555" s="1" t="str">
        <f ca="1">IFERROR(__xludf.DUMMYFUNCTION("""COMPUTED_VALUE"""),"Compras")</f>
        <v>Compras</v>
      </c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7">
        <f ca="1">IFERROR(__xludf.DUMMYFUNCTION("""COMPUTED_VALUE"""),45870)</f>
        <v>45870</v>
      </c>
      <c r="B556" s="7">
        <f ca="1">IFERROR(__xludf.DUMMYFUNCTION("""COMPUTED_VALUE"""),45868)</f>
        <v>45868</v>
      </c>
      <c r="C556" s="1" t="str">
        <f ca="1">IFERROR(__xludf.DUMMYFUNCTION("""COMPUTED_VALUE"""),"Amazon")</f>
        <v>Amazon</v>
      </c>
      <c r="D556" s="2">
        <f ca="1">IFERROR(__xludf.DUMMYFUNCTION("""COMPUTED_VALUE"""),16.88)</f>
        <v>16.88</v>
      </c>
      <c r="E556" s="1" t="str">
        <f ca="1">IFERROR(__xludf.DUMMYFUNCTION("""COMPUTED_VALUE"""),"-")</f>
        <v>-</v>
      </c>
      <c r="F556" s="1" t="str">
        <f ca="1">IFERROR(__xludf.DUMMYFUNCTION("""COMPUTED_VALUE"""),"Amazon")</f>
        <v>Amazon</v>
      </c>
      <c r="G556" s="1" t="str">
        <f ca="1">IFERROR(__xludf.DUMMYFUNCTION("""COMPUTED_VALUE"""),"Compras")</f>
        <v>Compras</v>
      </c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7">
        <f ca="1">IFERROR(__xludf.DUMMYFUNCTION("""COMPUTED_VALUE"""),45870)</f>
        <v>45870</v>
      </c>
      <c r="B557" s="7">
        <f ca="1">IFERROR(__xludf.DUMMYFUNCTION("""COMPUTED_VALUE"""),45868)</f>
        <v>45868</v>
      </c>
      <c r="C557" s="1" t="str">
        <f ca="1">IFERROR(__xludf.DUMMYFUNCTION("""COMPUTED_VALUE"""),"Sorveteria Arm")</f>
        <v>Sorveteria Arm</v>
      </c>
      <c r="D557" s="2">
        <f ca="1">IFERROR(__xludf.DUMMYFUNCTION("""COMPUTED_VALUE"""),16.13)</f>
        <v>16.13</v>
      </c>
      <c r="E557" s="1" t="str">
        <f ca="1">IFERROR(__xludf.DUMMYFUNCTION("""COMPUTED_VALUE"""),"-")</f>
        <v>-</v>
      </c>
      <c r="F557" s="1" t="str">
        <f ca="1">IFERROR(__xludf.DUMMYFUNCTION("""COMPUTED_VALUE"""),"Sorveteria Arm")</f>
        <v>Sorveteria Arm</v>
      </c>
      <c r="G557" s="1" t="str">
        <f ca="1">IFERROR(__xludf.DUMMYFUNCTION("""COMPUTED_VALUE"""),"-")</f>
        <v>-</v>
      </c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7">
        <f ca="1">IFERROR(__xludf.DUMMYFUNCTION("""COMPUTED_VALUE"""),45870)</f>
        <v>45870</v>
      </c>
      <c r="B558" s="7">
        <f ca="1">IFERROR(__xludf.DUMMYFUNCTION("""COMPUTED_VALUE"""),45868)</f>
        <v>45868</v>
      </c>
      <c r="C558" s="1" t="str">
        <f ca="1">IFERROR(__xludf.DUMMYFUNCTION("""COMPUTED_VALUE"""),"Petz")</f>
        <v>Petz</v>
      </c>
      <c r="D558" s="2">
        <f ca="1">IFERROR(__xludf.DUMMYFUNCTION("""COMPUTED_VALUE"""),11.99)</f>
        <v>11.99</v>
      </c>
      <c r="E558" s="1" t="str">
        <f ca="1">IFERROR(__xludf.DUMMYFUNCTION("""COMPUTED_VALUE"""),"-")</f>
        <v>-</v>
      </c>
      <c r="F558" s="1" t="str">
        <f ca="1">IFERROR(__xludf.DUMMYFUNCTION("""COMPUTED_VALUE"""),"Petz")</f>
        <v>Petz</v>
      </c>
      <c r="G558" s="1" t="str">
        <f ca="1">IFERROR(__xludf.DUMMYFUNCTION("""COMPUTED_VALUE"""),"-")</f>
        <v>-</v>
      </c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7">
        <f ca="1">IFERROR(__xludf.DUMMYFUNCTION("""COMPUTED_VALUE"""),45870)</f>
        <v>45870</v>
      </c>
      <c r="B559" s="7">
        <f ca="1">IFERROR(__xludf.DUMMYFUNCTION("""COMPUTED_VALUE"""),45869)</f>
        <v>45869</v>
      </c>
      <c r="C559" s="1" t="str">
        <f ca="1">IFERROR(__xludf.DUMMYFUNCTION("""COMPUTED_VALUE"""),"Uber")</f>
        <v>Uber</v>
      </c>
      <c r="D559" s="2">
        <f ca="1">IFERROR(__xludf.DUMMYFUNCTION("""COMPUTED_VALUE"""),8.93)</f>
        <v>8.93</v>
      </c>
      <c r="E559" s="1" t="str">
        <f ca="1">IFERROR(__xludf.DUMMYFUNCTION("""COMPUTED_VALUE"""),"-")</f>
        <v>-</v>
      </c>
      <c r="F559" s="1" t="str">
        <f ca="1">IFERROR(__xludf.DUMMYFUNCTION("""COMPUTED_VALUE"""),"Uber")</f>
        <v>Uber</v>
      </c>
      <c r="G559" s="1" t="str">
        <f ca="1">IFERROR(__xludf.DUMMYFUNCTION("""COMPUTED_VALUE"""),"Uber/99")</f>
        <v>Uber/99</v>
      </c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7">
        <f ca="1">IFERROR(__xludf.DUMMYFUNCTION("""COMPUTED_VALUE"""),45870)</f>
        <v>45870</v>
      </c>
      <c r="B560" s="7">
        <f ca="1">IFERROR(__xludf.DUMMYFUNCTION("""COMPUTED_VALUE"""),45869)</f>
        <v>45869</v>
      </c>
      <c r="C560" s="1" t="str">
        <f ca="1">IFERROR(__xludf.DUMMYFUNCTION("""COMPUTED_VALUE"""),"Momento Super Nosso")</f>
        <v>Momento Super Nosso</v>
      </c>
      <c r="D560" s="2">
        <f ca="1">IFERROR(__xludf.DUMMYFUNCTION("""COMPUTED_VALUE"""),56.45)</f>
        <v>56.45</v>
      </c>
      <c r="E560" s="1" t="str">
        <f ca="1">IFERROR(__xludf.DUMMYFUNCTION("""COMPUTED_VALUE"""),"-")</f>
        <v>-</v>
      </c>
      <c r="F560" s="1" t="str">
        <f ca="1">IFERROR(__xludf.DUMMYFUNCTION("""COMPUTED_VALUE"""),"Momento Super Nosso")</f>
        <v>Momento Super Nosso</v>
      </c>
      <c r="G560" s="1" t="str">
        <f ca="1">IFERROR(__xludf.DUMMYFUNCTION("""COMPUTED_VALUE"""),"-")</f>
        <v>-</v>
      </c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7">
        <f ca="1">IFERROR(__xludf.DUMMYFUNCTION("""COMPUTED_VALUE"""),45870)</f>
        <v>45870</v>
      </c>
      <c r="B561" s="7">
        <f ca="1">IFERROR(__xludf.DUMMYFUNCTION("""COMPUTED_VALUE"""),45870)</f>
        <v>45870</v>
      </c>
      <c r="C561" s="1">
        <f ca="1">IFERROR(__xludf.DUMMYFUNCTION("""COMPUTED_VALUE"""),99)</f>
        <v>99</v>
      </c>
      <c r="D561" s="2">
        <f ca="1">IFERROR(__xludf.DUMMYFUNCTION("""COMPUTED_VALUE"""),10.4)</f>
        <v>10.4</v>
      </c>
      <c r="E561" s="1" t="str">
        <f ca="1">IFERROR(__xludf.DUMMYFUNCTION("""COMPUTED_VALUE"""),"-")</f>
        <v>-</v>
      </c>
      <c r="F561" s="1" t="str">
        <f ca="1">IFERROR(__xludf.DUMMYFUNCTION("""COMPUTED_VALUE"""),"99")</f>
        <v>99</v>
      </c>
      <c r="G561" s="1" t="str">
        <f ca="1">IFERROR(__xludf.DUMMYFUNCTION("""COMPUTED_VALUE"""),"Uber/99")</f>
        <v>Uber/99</v>
      </c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7">
        <f ca="1">IFERROR(__xludf.DUMMYFUNCTION("""COMPUTED_VALUE"""),45870)</f>
        <v>45870</v>
      </c>
      <c r="B562" s="7">
        <f ca="1">IFERROR(__xludf.DUMMYFUNCTION("""COMPUTED_VALUE"""),45870)</f>
        <v>45870</v>
      </c>
      <c r="C562" s="1" t="str">
        <f ca="1">IFERROR(__xludf.DUMMYFUNCTION("""COMPUTED_VALUE"""),"Panif Mendes Sion")</f>
        <v>Panif Mendes Sion</v>
      </c>
      <c r="D562" s="2">
        <f ca="1">IFERROR(__xludf.DUMMYFUNCTION("""COMPUTED_VALUE"""),15.28)</f>
        <v>15.28</v>
      </c>
      <c r="E562" s="1" t="str">
        <f ca="1">IFERROR(__xludf.DUMMYFUNCTION("""COMPUTED_VALUE"""),"-")</f>
        <v>-</v>
      </c>
      <c r="F562" s="1" t="str">
        <f ca="1">IFERROR(__xludf.DUMMYFUNCTION("""COMPUTED_VALUE"""),"Panif Mendes Sion")</f>
        <v>Panif Mendes Sion</v>
      </c>
      <c r="G562" s="1" t="str">
        <f ca="1">IFERROR(__xludf.DUMMYFUNCTION("""COMPUTED_VALUE"""),"Comida")</f>
        <v>Comida</v>
      </c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7">
        <f ca="1">IFERROR(__xludf.DUMMYFUNCTION("""COMPUTED_VALUE"""),45870)</f>
        <v>45870</v>
      </c>
      <c r="B563" s="7">
        <f ca="1">IFERROR(__xludf.DUMMYFUNCTION("""COMPUTED_VALUE"""),45870)</f>
        <v>45870</v>
      </c>
      <c r="C563" s="1" t="str">
        <f ca="1">IFERROR(__xludf.DUMMYFUNCTION("""COMPUTED_VALUE"""),"Drogaria Araujo")</f>
        <v>Drogaria Araujo</v>
      </c>
      <c r="D563" s="2">
        <f ca="1">IFERROR(__xludf.DUMMYFUNCTION("""COMPUTED_VALUE"""),14.67)</f>
        <v>14.67</v>
      </c>
      <c r="E563" s="1" t="str">
        <f ca="1">IFERROR(__xludf.DUMMYFUNCTION("""COMPUTED_VALUE"""),"-")</f>
        <v>-</v>
      </c>
      <c r="F563" s="1" t="str">
        <f ca="1">IFERROR(__xludf.DUMMYFUNCTION("""COMPUTED_VALUE"""),"Drogaria Araujo")</f>
        <v>Drogaria Araujo</v>
      </c>
      <c r="G563" s="1" t="str">
        <f ca="1">IFERROR(__xludf.DUMMYFUNCTION("""COMPUTED_VALUE"""),"Compras")</f>
        <v>Compras</v>
      </c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7">
        <f ca="1">IFERROR(__xludf.DUMMYFUNCTION("""COMPUTED_VALUE"""),45870)</f>
        <v>45870</v>
      </c>
      <c r="B564" s="7">
        <f ca="1">IFERROR(__xludf.DUMMYFUNCTION("""COMPUTED_VALUE"""),45829)</f>
        <v>45829</v>
      </c>
      <c r="C564" s="1" t="str">
        <f ca="1">IFERROR(__xludf.DUMMYFUNCTION("""COMPUTED_VALUE"""),"Cancelamento - Shopee")</f>
        <v>Cancelamento - Shopee</v>
      </c>
      <c r="D564" s="2">
        <f ca="1">IFERROR(__xludf.DUMMYFUNCTION("""COMPUTED_VALUE"""),-32.89)</f>
        <v>-32.89</v>
      </c>
      <c r="E564" s="1" t="str">
        <f ca="1">IFERROR(__xludf.DUMMYFUNCTION("""COMPUTED_VALUE"""),"-")</f>
        <v>-</v>
      </c>
      <c r="F564" s="1" t="str">
        <f ca="1">IFERROR(__xludf.DUMMYFUNCTION("""COMPUTED_VALUE"""),"Cancelamento - Shopee")</f>
        <v>Cancelamento - Shopee</v>
      </c>
      <c r="G564" s="1" t="str">
        <f ca="1">IFERROR(__xludf.DUMMYFUNCTION("""COMPUTED_VALUE"""),"-")</f>
        <v>-</v>
      </c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7">
        <f ca="1">IFERROR(__xludf.DUMMYFUNCTION("""COMPUTED_VALUE"""),45870)</f>
        <v>45870</v>
      </c>
      <c r="B565" s="7">
        <f ca="1">IFERROR(__xludf.DUMMYFUNCTION("""COMPUTED_VALUE"""),45829)</f>
        <v>45829</v>
      </c>
      <c r="C565" s="1" t="str">
        <f ca="1">IFERROR(__xludf.DUMMYFUNCTION("""COMPUTED_VALUE"""),"Cancelamento - Shopee")</f>
        <v>Cancelamento - Shopee</v>
      </c>
      <c r="D565" s="2">
        <f ca="1">IFERROR(__xludf.DUMMYFUNCTION("""COMPUTED_VALUE"""),-32.89)</f>
        <v>-32.89</v>
      </c>
      <c r="E565" s="1" t="str">
        <f ca="1">IFERROR(__xludf.DUMMYFUNCTION("""COMPUTED_VALUE"""),"-")</f>
        <v>-</v>
      </c>
      <c r="F565" s="1" t="str">
        <f ca="1">IFERROR(__xludf.DUMMYFUNCTION("""COMPUTED_VALUE"""),"Cancelamento - Shopee")</f>
        <v>Cancelamento - Shopee</v>
      </c>
      <c r="G565" s="1" t="str">
        <f ca="1">IFERROR(__xludf.DUMMYFUNCTION("""COMPUTED_VALUE"""),"-")</f>
        <v>-</v>
      </c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7">
        <f ca="1">IFERROR(__xludf.DUMMYFUNCTION("""COMPUTED_VALUE"""),45870)</f>
        <v>45870</v>
      </c>
      <c r="B566" s="7">
        <f ca="1">IFERROR(__xludf.DUMMYFUNCTION("""COMPUTED_VALUE"""),45837)</f>
        <v>45837</v>
      </c>
      <c r="C566" s="1" t="str">
        <f ca="1">IFERROR(__xludf.DUMMYFUNCTION("""COMPUTED_VALUE"""),"Cancelamento - Shopee")</f>
        <v>Cancelamento - Shopee</v>
      </c>
      <c r="D566" s="2">
        <f ca="1">IFERROR(__xludf.DUMMYFUNCTION("""COMPUTED_VALUE"""),-24.74)</f>
        <v>-24.74</v>
      </c>
      <c r="E566" s="1" t="str">
        <f ca="1">IFERROR(__xludf.DUMMYFUNCTION("""COMPUTED_VALUE"""),"-")</f>
        <v>-</v>
      </c>
      <c r="F566" s="1" t="str">
        <f ca="1">IFERROR(__xludf.DUMMYFUNCTION("""COMPUTED_VALUE"""),"Cancelamento - Shopee")</f>
        <v>Cancelamento - Shopee</v>
      </c>
      <c r="G566" s="1" t="str">
        <f ca="1">IFERROR(__xludf.DUMMYFUNCTION("""COMPUTED_VALUE"""),"-")</f>
        <v>-</v>
      </c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7">
        <f ca="1">IFERROR(__xludf.DUMMYFUNCTION("""COMPUTED_VALUE"""),45870)</f>
        <v>45870</v>
      </c>
      <c r="B567" s="7">
        <f ca="1">IFERROR(__xludf.DUMMYFUNCTION("""COMPUTED_VALUE"""),45868)</f>
        <v>45868</v>
      </c>
      <c r="C567" s="1" t="str">
        <f ca="1">IFERROR(__xludf.DUMMYFUNCTION("""COMPUTED_VALUE"""),"Desconto Na Parcela 5 De 5 Farmácias Pa 324")</f>
        <v>Desconto Na Parcela 5 De 5 Farmácias Pa 324</v>
      </c>
      <c r="D567" s="2">
        <f ca="1">IFERROR(__xludf.DUMMYFUNCTION("""COMPUTED_VALUE"""),-0.75)</f>
        <v>-0.75</v>
      </c>
      <c r="E567" s="1" t="str">
        <f ca="1">IFERROR(__xludf.DUMMYFUNCTION("""COMPUTED_VALUE"""),"-")</f>
        <v>-</v>
      </c>
      <c r="F567" s="1" t="str">
        <f ca="1">IFERROR(__xludf.DUMMYFUNCTION("""COMPUTED_VALUE"""),"Desconto Na Parcela 5 De 5 Farmácias Pa 324")</f>
        <v>Desconto Na Parcela 5 De 5 Farmácias Pa 324</v>
      </c>
      <c r="G567" s="1" t="str">
        <f ca="1">IFERROR(__xludf.DUMMYFUNCTION("""COMPUTED_VALUE"""),"-")</f>
        <v>-</v>
      </c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7">
        <f ca="1">IFERROR(__xludf.DUMMYFUNCTION("""COMPUTED_VALUE"""),45870)</f>
        <v>45870</v>
      </c>
      <c r="B568" s="7">
        <f ca="1">IFERROR(__xludf.DUMMYFUNCTION("""COMPUTED_VALUE"""),45868)</f>
        <v>45868</v>
      </c>
      <c r="C568" s="1" t="str">
        <f ca="1">IFERROR(__xludf.DUMMYFUNCTION("""COMPUTED_VALUE"""),"Desconto Na Parcela 3 De 5 Farmácias Pa 324")</f>
        <v>Desconto Na Parcela 3 De 5 Farmácias Pa 324</v>
      </c>
      <c r="D568" s="2">
        <f ca="1">IFERROR(__xludf.DUMMYFUNCTION("""COMPUTED_VALUE"""),-0.38)</f>
        <v>-0.38</v>
      </c>
      <c r="E568" s="1" t="str">
        <f ca="1">IFERROR(__xludf.DUMMYFUNCTION("""COMPUTED_VALUE"""),"-")</f>
        <v>-</v>
      </c>
      <c r="F568" s="1" t="str">
        <f ca="1">IFERROR(__xludf.DUMMYFUNCTION("""COMPUTED_VALUE"""),"Desconto Na Parcela 3 De 5 Farmácias Pa 324")</f>
        <v>Desconto Na Parcela 3 De 5 Farmácias Pa 324</v>
      </c>
      <c r="G568" s="1" t="str">
        <f ca="1">IFERROR(__xludf.DUMMYFUNCTION("""COMPUTED_VALUE"""),"-")</f>
        <v>-</v>
      </c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7">
        <f ca="1">IFERROR(__xludf.DUMMYFUNCTION("""COMPUTED_VALUE"""),45870)</f>
        <v>45870</v>
      </c>
      <c r="B569" s="7">
        <f ca="1">IFERROR(__xludf.DUMMYFUNCTION("""COMPUTED_VALUE"""),45868)</f>
        <v>45868</v>
      </c>
      <c r="C569" s="1" t="str">
        <f ca="1">IFERROR(__xludf.DUMMYFUNCTION("""COMPUTED_VALUE"""),"Desconto Na Parcela 3 De 3 Dma Distribuidora Sa")</f>
        <v>Desconto Na Parcela 3 De 3 Dma Distribuidora Sa</v>
      </c>
      <c r="D569" s="2">
        <f ca="1">IFERROR(__xludf.DUMMYFUNCTION("""COMPUTED_VALUE"""),-0.47)</f>
        <v>-0.47</v>
      </c>
      <c r="E569" s="1" t="str">
        <f ca="1">IFERROR(__xludf.DUMMYFUNCTION("""COMPUTED_VALUE"""),"-")</f>
        <v>-</v>
      </c>
      <c r="F569" s="1" t="str">
        <f ca="1">IFERROR(__xludf.DUMMYFUNCTION("""COMPUTED_VALUE"""),"Desconto Na Parcela 3 De 3 Dma Distribuidora Sa")</f>
        <v>Desconto Na Parcela 3 De 3 Dma Distribuidora Sa</v>
      </c>
      <c r="G569" s="1" t="str">
        <f ca="1">IFERROR(__xludf.DUMMYFUNCTION("""COMPUTED_VALUE"""),"-")</f>
        <v>-</v>
      </c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7">
        <f ca="1">IFERROR(__xludf.DUMMYFUNCTION("""COMPUTED_VALUE"""),45870)</f>
        <v>45870</v>
      </c>
      <c r="B570" s="7">
        <f ca="1">IFERROR(__xludf.DUMMYFUNCTION("""COMPUTED_VALUE"""),45868)</f>
        <v>45868</v>
      </c>
      <c r="C570" s="1" t="str">
        <f ca="1">IFERROR(__xludf.DUMMYFUNCTION("""COMPUTED_VALUE"""),"Desconto Na Parcela 4 De 5 Farmácias Pa 324")</f>
        <v>Desconto Na Parcela 4 De 5 Farmácias Pa 324</v>
      </c>
      <c r="D570" s="2">
        <f ca="1">IFERROR(__xludf.DUMMYFUNCTION("""COMPUTED_VALUE"""),-0.57)</f>
        <v>-0.56999999999999995</v>
      </c>
      <c r="E570" s="1" t="str">
        <f ca="1">IFERROR(__xludf.DUMMYFUNCTION("""COMPUTED_VALUE"""),"-")</f>
        <v>-</v>
      </c>
      <c r="F570" s="1" t="str">
        <f ca="1">IFERROR(__xludf.DUMMYFUNCTION("""COMPUTED_VALUE"""),"Desconto Na Parcela 4 De 5 Farmácias Pa 324")</f>
        <v>Desconto Na Parcela 4 De 5 Farmácias Pa 324</v>
      </c>
      <c r="G570" s="1" t="str">
        <f ca="1">IFERROR(__xludf.DUMMYFUNCTION("""COMPUTED_VALUE"""),"-")</f>
        <v>-</v>
      </c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7">
        <f ca="1">IFERROR(__xludf.DUMMYFUNCTION("""COMPUTED_VALUE"""),45870)</f>
        <v>45870</v>
      </c>
      <c r="B571" s="7">
        <f ca="1">IFERROR(__xludf.DUMMYFUNCTION("""COMPUTED_VALUE"""),45868)</f>
        <v>45868</v>
      </c>
      <c r="C571" s="1" t="str">
        <f ca="1">IFERROR(__xludf.DUMMYFUNCTION("""COMPUTED_VALUE"""),"Desconto Na Parcela 2 De 5 Farmácias Pa 324")</f>
        <v>Desconto Na Parcela 2 De 5 Farmácias Pa 324</v>
      </c>
      <c r="D571" s="2">
        <f ca="1">IFERROR(__xludf.DUMMYFUNCTION("""COMPUTED_VALUE"""),-0.19)</f>
        <v>-0.19</v>
      </c>
      <c r="E571" s="1" t="str">
        <f ca="1">IFERROR(__xludf.DUMMYFUNCTION("""COMPUTED_VALUE"""),"-")</f>
        <v>-</v>
      </c>
      <c r="F571" s="1" t="str">
        <f ca="1">IFERROR(__xludf.DUMMYFUNCTION("""COMPUTED_VALUE"""),"Desconto Na Parcela 2 De 5 Farmácias Pa 324")</f>
        <v>Desconto Na Parcela 2 De 5 Farmácias Pa 324</v>
      </c>
      <c r="G571" s="1" t="str">
        <f ca="1">IFERROR(__xludf.DUMMYFUNCTION("""COMPUTED_VALUE"""),"-")</f>
        <v>-</v>
      </c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7">
        <f ca="1">IFERROR(__xludf.DUMMYFUNCTION("""COMPUTED_VALUE"""),45870)</f>
        <v>45870</v>
      </c>
      <c r="B572" s="7">
        <f ca="1">IFERROR(__xludf.DUMMYFUNCTION("""COMPUTED_VALUE"""),45868)</f>
        <v>45868</v>
      </c>
      <c r="C572" s="1" t="str">
        <f ca="1">IFERROR(__xludf.DUMMYFUNCTION("""COMPUTED_VALUE"""),"Desconto Na Parcela 2 De 3 Dma Distribuidora Sa")</f>
        <v>Desconto Na Parcela 2 De 3 Dma Distribuidora Sa</v>
      </c>
      <c r="D572" s="2">
        <f ca="1">IFERROR(__xludf.DUMMYFUNCTION("""COMPUTED_VALUE"""),-0.24)</f>
        <v>-0.24</v>
      </c>
      <c r="E572" s="1" t="str">
        <f ca="1">IFERROR(__xludf.DUMMYFUNCTION("""COMPUTED_VALUE"""),"-")</f>
        <v>-</v>
      </c>
      <c r="F572" s="1" t="str">
        <f ca="1">IFERROR(__xludf.DUMMYFUNCTION("""COMPUTED_VALUE"""),"Desconto Na Parcela 2 De 3 Dma Distribuidora Sa")</f>
        <v>Desconto Na Parcela 2 De 3 Dma Distribuidora Sa</v>
      </c>
      <c r="G572" s="1" t="str">
        <f ca="1">IFERROR(__xludf.DUMMYFUNCTION("""COMPUTED_VALUE"""),"-")</f>
        <v>-</v>
      </c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7">
        <f ca="1">IFERROR(__xludf.DUMMYFUNCTION("""COMPUTED_VALUE"""),45870)</f>
        <v>45870</v>
      </c>
      <c r="B573" s="7">
        <f ca="1">IFERROR(__xludf.DUMMYFUNCTION("""COMPUTED_VALUE"""),45868)</f>
        <v>45868</v>
      </c>
      <c r="C573" s="1" t="str">
        <f ca="1">IFERROR(__xludf.DUMMYFUNCTION("""COMPUTED_VALUE"""),"Desconto Na Parcela 2 De 2 La No Mercado")</f>
        <v>Desconto Na Parcela 2 De 2 La No Mercado</v>
      </c>
      <c r="D573" s="2">
        <f ca="1">IFERROR(__xludf.DUMMYFUNCTION("""COMPUTED_VALUE"""),-0.3)</f>
        <v>-0.3</v>
      </c>
      <c r="E573" s="1" t="str">
        <f ca="1">IFERROR(__xludf.DUMMYFUNCTION("""COMPUTED_VALUE"""),"-")</f>
        <v>-</v>
      </c>
      <c r="F573" s="1" t="str">
        <f ca="1">IFERROR(__xludf.DUMMYFUNCTION("""COMPUTED_VALUE"""),"Desconto Na Parcela 2 De 2 La No Mercado")</f>
        <v>Desconto Na Parcela 2 De 2 La No Mercado</v>
      </c>
      <c r="G573" s="1" t="str">
        <f ca="1">IFERROR(__xludf.DUMMYFUNCTION("""COMPUTED_VALUE"""),"-")</f>
        <v>-</v>
      </c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7">
        <f ca="1">IFERROR(__xludf.DUMMYFUNCTION("""COMPUTED_VALUE"""),45870)</f>
        <v>45870</v>
      </c>
      <c r="B574" s="7">
        <f ca="1">IFERROR(__xludf.DUMMYFUNCTION("""COMPUTED_VALUE"""),45868)</f>
        <v>45868</v>
      </c>
      <c r="C574" s="1" t="str">
        <f ca="1">IFERROR(__xludf.DUMMYFUNCTION("""COMPUTED_VALUE"""),"Desconto Na Parcela 2 De 2 Pet Loveorder 1031697")</f>
        <v>Desconto Na Parcela 2 De 2 Pet Loveorder 1031697</v>
      </c>
      <c r="D574" s="2">
        <f ca="1">IFERROR(__xludf.DUMMYFUNCTION("""COMPUTED_VALUE"""),-0.42)</f>
        <v>-0.42</v>
      </c>
      <c r="E574" s="1" t="str">
        <f ca="1">IFERROR(__xludf.DUMMYFUNCTION("""COMPUTED_VALUE"""),"-")</f>
        <v>-</v>
      </c>
      <c r="F574" s="1" t="str">
        <f ca="1">IFERROR(__xludf.DUMMYFUNCTION("""COMPUTED_VALUE"""),"Desconto Na Parcela 2 De 2 Pet Loveorder 1031697")</f>
        <v>Desconto Na Parcela 2 De 2 Pet Loveorder 1031697</v>
      </c>
      <c r="G574" s="1" t="str">
        <f ca="1">IFERROR(__xludf.DUMMYFUNCTION("""COMPUTED_VALUE"""),"-")</f>
        <v>-</v>
      </c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7">
        <f ca="1">IFERROR(__xludf.DUMMYFUNCTION("""COMPUTED_VALUE"""),45870)</f>
        <v>45870</v>
      </c>
      <c r="B575" s="7">
        <f ca="1">IFERROR(__xludf.DUMMYFUNCTION("""COMPUTED_VALUE"""),45868)</f>
        <v>45868</v>
      </c>
      <c r="C575" s="1" t="str">
        <f ca="1">IFERROR(__xludf.DUMMYFUNCTION("""COMPUTED_VALUE"""),"Desconto Na Parcela 10 De 10 Amazonmktplc Planetaim")</f>
        <v>Desconto Na Parcela 10 De 10 Amazonmktplc Planetaim</v>
      </c>
      <c r="D575" s="2">
        <f ca="1">IFERROR(__xludf.DUMMYFUNCTION("""COMPUTED_VALUE"""),-2.12)</f>
        <v>-2.12</v>
      </c>
      <c r="E575" s="1" t="str">
        <f ca="1">IFERROR(__xludf.DUMMYFUNCTION("""COMPUTED_VALUE"""),"-")</f>
        <v>-</v>
      </c>
      <c r="F575" s="1" t="str">
        <f ca="1">IFERROR(__xludf.DUMMYFUNCTION("""COMPUTED_VALUE"""),"Amazonmktplc")</f>
        <v>Amazonmktplc</v>
      </c>
      <c r="G575" s="1" t="str">
        <f ca="1">IFERROR(__xludf.DUMMYFUNCTION("""COMPUTED_VALUE"""),"Compras")</f>
        <v>Compras</v>
      </c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7">
        <f ca="1">IFERROR(__xludf.DUMMYFUNCTION("""COMPUTED_VALUE"""),45870)</f>
        <v>45870</v>
      </c>
      <c r="B576" s="7">
        <f ca="1">IFERROR(__xludf.DUMMYFUNCTION("""COMPUTED_VALUE"""),45868)</f>
        <v>45868</v>
      </c>
      <c r="C576" s="1" t="str">
        <f ca="1">IFERROR(__xludf.DUMMYFUNCTION("""COMPUTED_VALUE"""),"Desconto Na Parcela 8 De 10 Amazonmktplc Planetaim")</f>
        <v>Desconto Na Parcela 8 De 10 Amazonmktplc Planetaim</v>
      </c>
      <c r="D576" s="2">
        <f ca="1">IFERROR(__xludf.DUMMYFUNCTION("""COMPUTED_VALUE"""),-1.61)</f>
        <v>-1.61</v>
      </c>
      <c r="E576" s="1" t="str">
        <f ca="1">IFERROR(__xludf.DUMMYFUNCTION("""COMPUTED_VALUE"""),"-")</f>
        <v>-</v>
      </c>
      <c r="F576" s="1" t="str">
        <f ca="1">IFERROR(__xludf.DUMMYFUNCTION("""COMPUTED_VALUE"""),"Amazonmktplc")</f>
        <v>Amazonmktplc</v>
      </c>
      <c r="G576" s="1" t="str">
        <f ca="1">IFERROR(__xludf.DUMMYFUNCTION("""COMPUTED_VALUE"""),"Compras")</f>
        <v>Compras</v>
      </c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7">
        <f ca="1">IFERROR(__xludf.DUMMYFUNCTION("""COMPUTED_VALUE"""),45870)</f>
        <v>45870</v>
      </c>
      <c r="B577" s="7">
        <f ca="1">IFERROR(__xludf.DUMMYFUNCTION("""COMPUTED_VALUE"""),45868)</f>
        <v>45868</v>
      </c>
      <c r="C577" s="1" t="str">
        <f ca="1">IFERROR(__xludf.DUMMYFUNCTION("""COMPUTED_VALUE"""),"Desconto Na Parcela 9 De 10 Amazonmktplc Planetaim")</f>
        <v>Desconto Na Parcela 9 De 10 Amazonmktplc Planetaim</v>
      </c>
      <c r="D577" s="2">
        <f ca="1">IFERROR(__xludf.DUMMYFUNCTION("""COMPUTED_VALUE"""),-1.85)</f>
        <v>-1.85</v>
      </c>
      <c r="E577" s="1" t="str">
        <f ca="1">IFERROR(__xludf.DUMMYFUNCTION("""COMPUTED_VALUE"""),"-")</f>
        <v>-</v>
      </c>
      <c r="F577" s="1" t="str">
        <f ca="1">IFERROR(__xludf.DUMMYFUNCTION("""COMPUTED_VALUE"""),"Amazonmktplc")</f>
        <v>Amazonmktplc</v>
      </c>
      <c r="G577" s="1" t="str">
        <f ca="1">IFERROR(__xludf.DUMMYFUNCTION("""COMPUTED_VALUE"""),"Compras")</f>
        <v>Compras</v>
      </c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7">
        <f ca="1">IFERROR(__xludf.DUMMYFUNCTION("""COMPUTED_VALUE"""),45870)</f>
        <v>45870</v>
      </c>
      <c r="B578" s="7">
        <f ca="1">IFERROR(__xludf.DUMMYFUNCTION("""COMPUTED_VALUE"""),45868)</f>
        <v>45868</v>
      </c>
      <c r="C578" s="1" t="str">
        <f ca="1">IFERROR(__xludf.DUMMYFUNCTION("""COMPUTED_VALUE"""),"Desconto Na Parcela 5 De 10 Amazonmktplc Planetaim")</f>
        <v>Desconto Na Parcela 5 De 10 Amazonmktplc Planetaim</v>
      </c>
      <c r="D578" s="2">
        <f ca="1">IFERROR(__xludf.DUMMYFUNCTION("""COMPUTED_VALUE"""),-0.81)</f>
        <v>-0.81</v>
      </c>
      <c r="E578" s="1" t="str">
        <f ca="1">IFERROR(__xludf.DUMMYFUNCTION("""COMPUTED_VALUE"""),"-")</f>
        <v>-</v>
      </c>
      <c r="F578" s="1" t="str">
        <f ca="1">IFERROR(__xludf.DUMMYFUNCTION("""COMPUTED_VALUE"""),"Amazonmktplc")</f>
        <v>Amazonmktplc</v>
      </c>
      <c r="G578" s="1" t="str">
        <f ca="1">IFERROR(__xludf.DUMMYFUNCTION("""COMPUTED_VALUE"""),"Compras")</f>
        <v>Compras</v>
      </c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7">
        <f ca="1">IFERROR(__xludf.DUMMYFUNCTION("""COMPUTED_VALUE"""),45870)</f>
        <v>45870</v>
      </c>
      <c r="B579" s="7">
        <f ca="1">IFERROR(__xludf.DUMMYFUNCTION("""COMPUTED_VALUE"""),45868)</f>
        <v>45868</v>
      </c>
      <c r="C579" s="1" t="str">
        <f ca="1">IFERROR(__xludf.DUMMYFUNCTION("""COMPUTED_VALUE"""),"Desconto Na Parcela 6 De 10 Amazonmktplc Planetaim")</f>
        <v>Desconto Na Parcela 6 De 10 Amazonmktplc Planetaim</v>
      </c>
      <c r="D579" s="2">
        <f ca="1">IFERROR(__xludf.DUMMYFUNCTION("""COMPUTED_VALUE"""),-1.07)</f>
        <v>-1.07</v>
      </c>
      <c r="E579" s="1" t="str">
        <f ca="1">IFERROR(__xludf.DUMMYFUNCTION("""COMPUTED_VALUE"""),"-")</f>
        <v>-</v>
      </c>
      <c r="F579" s="1" t="str">
        <f ca="1">IFERROR(__xludf.DUMMYFUNCTION("""COMPUTED_VALUE"""),"Amazonmktplc")</f>
        <v>Amazonmktplc</v>
      </c>
      <c r="G579" s="1" t="str">
        <f ca="1">IFERROR(__xludf.DUMMYFUNCTION("""COMPUTED_VALUE"""),"Compras")</f>
        <v>Compras</v>
      </c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7">
        <f ca="1">IFERROR(__xludf.DUMMYFUNCTION("""COMPUTED_VALUE"""),45870)</f>
        <v>45870</v>
      </c>
      <c r="B580" s="7">
        <f ca="1">IFERROR(__xludf.DUMMYFUNCTION("""COMPUTED_VALUE"""),45868)</f>
        <v>45868</v>
      </c>
      <c r="C580" s="1" t="str">
        <f ca="1">IFERROR(__xludf.DUMMYFUNCTION("""COMPUTED_VALUE"""),"Desconto Na Parcela 7 De 10 Amazonmktplc Planetaim")</f>
        <v>Desconto Na Parcela 7 De 10 Amazonmktplc Planetaim</v>
      </c>
      <c r="D580" s="2">
        <f ca="1">IFERROR(__xludf.DUMMYFUNCTION("""COMPUTED_VALUE"""),-1.34)</f>
        <v>-1.34</v>
      </c>
      <c r="E580" s="1" t="str">
        <f ca="1">IFERROR(__xludf.DUMMYFUNCTION("""COMPUTED_VALUE"""),"-")</f>
        <v>-</v>
      </c>
      <c r="F580" s="1" t="str">
        <f ca="1">IFERROR(__xludf.DUMMYFUNCTION("""COMPUTED_VALUE"""),"Amazonmktplc")</f>
        <v>Amazonmktplc</v>
      </c>
      <c r="G580" s="1" t="str">
        <f ca="1">IFERROR(__xludf.DUMMYFUNCTION("""COMPUTED_VALUE"""),"Compras")</f>
        <v>Compras</v>
      </c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7">
        <f ca="1">IFERROR(__xludf.DUMMYFUNCTION("""COMPUTED_VALUE"""),45870)</f>
        <v>45870</v>
      </c>
      <c r="B581" s="7">
        <f ca="1">IFERROR(__xludf.DUMMYFUNCTION("""COMPUTED_VALUE"""),45868)</f>
        <v>45868</v>
      </c>
      <c r="C581" s="1" t="str">
        <f ca="1">IFERROR(__xludf.DUMMYFUNCTION("""COMPUTED_VALUE"""),"Desconto Na Parcela 3 De 10 Amazonmktplc Planetaim")</f>
        <v>Desconto Na Parcela 3 De 10 Amazonmktplc Planetaim</v>
      </c>
      <c r="D581" s="2">
        <f ca="1">IFERROR(__xludf.DUMMYFUNCTION("""COMPUTED_VALUE"""),-0.27)</f>
        <v>-0.27</v>
      </c>
      <c r="E581" s="1" t="str">
        <f ca="1">IFERROR(__xludf.DUMMYFUNCTION("""COMPUTED_VALUE"""),"-")</f>
        <v>-</v>
      </c>
      <c r="F581" s="1" t="str">
        <f ca="1">IFERROR(__xludf.DUMMYFUNCTION("""COMPUTED_VALUE"""),"Amazonmktplc")</f>
        <v>Amazonmktplc</v>
      </c>
      <c r="G581" s="1" t="str">
        <f ca="1">IFERROR(__xludf.DUMMYFUNCTION("""COMPUTED_VALUE"""),"Compras")</f>
        <v>Compras</v>
      </c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7">
        <f ca="1">IFERROR(__xludf.DUMMYFUNCTION("""COMPUTED_VALUE"""),45870)</f>
        <v>45870</v>
      </c>
      <c r="B582" s="7">
        <f ca="1">IFERROR(__xludf.DUMMYFUNCTION("""COMPUTED_VALUE"""),45868)</f>
        <v>45868</v>
      </c>
      <c r="C582" s="1" t="str">
        <f ca="1">IFERROR(__xludf.DUMMYFUNCTION("""COMPUTED_VALUE"""),"Desconto Na Parcela 4 De 10 Amazonmktplc Planetaim")</f>
        <v>Desconto Na Parcela 4 De 10 Amazonmktplc Planetaim</v>
      </c>
      <c r="D582" s="2">
        <f ca="1">IFERROR(__xludf.DUMMYFUNCTION("""COMPUTED_VALUE"""),-0.54)</f>
        <v>-0.54</v>
      </c>
      <c r="E582" s="1" t="str">
        <f ca="1">IFERROR(__xludf.DUMMYFUNCTION("""COMPUTED_VALUE"""),"-")</f>
        <v>-</v>
      </c>
      <c r="F582" s="1" t="str">
        <f ca="1">IFERROR(__xludf.DUMMYFUNCTION("""COMPUTED_VALUE"""),"Amazonmktplc")</f>
        <v>Amazonmktplc</v>
      </c>
      <c r="G582" s="1" t="str">
        <f ca="1">IFERROR(__xludf.DUMMYFUNCTION("""COMPUTED_VALUE"""),"Compras")</f>
        <v>Compras</v>
      </c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13.28515625" customWidth="1"/>
    <col min="2" max="25" width="8.7109375" customWidth="1"/>
  </cols>
  <sheetData>
    <row r="1" spans="1:26" x14ac:dyDescent="0.2">
      <c r="A1" s="2" t="str">
        <f ca="1">IFERROR(__xludf.DUMMYFUNCTION("IMPORTRANGE(""https://docs.google.com/spreadsheets/d/1QEICpkTEbV1Z_LWeaMjl4KVDsEDLt2EDAtqOvRWsWng/edit?gid=171941716#gid=171941716"",""'Cartão'!A1:Z31"")"),"Despesa")</f>
        <v>Despesa</v>
      </c>
      <c r="B1" s="2" t="str">
        <f ca="1">IFERROR(__xludf.DUMMYFUNCTION("""COMPUTED_VALUE"""),"25-01")</f>
        <v>25-01</v>
      </c>
      <c r="C1" s="2" t="str">
        <f ca="1">IFERROR(__xludf.DUMMYFUNCTION("""COMPUTED_VALUE"""),"25-02")</f>
        <v>25-02</v>
      </c>
      <c r="D1" s="2" t="str">
        <f ca="1">IFERROR(__xludf.DUMMYFUNCTION("""COMPUTED_VALUE"""),"25-03")</f>
        <v>25-03</v>
      </c>
      <c r="E1" s="2" t="str">
        <f ca="1">IFERROR(__xludf.DUMMYFUNCTION("""COMPUTED_VALUE"""),"25-04")</f>
        <v>25-04</v>
      </c>
      <c r="F1" s="2" t="str">
        <f ca="1">IFERROR(__xludf.DUMMYFUNCTION("""COMPUTED_VALUE"""),"25-05")</f>
        <v>25-05</v>
      </c>
      <c r="G1" s="2" t="str">
        <f ca="1">IFERROR(__xludf.DUMMYFUNCTION("""COMPUTED_VALUE"""),"25-06")</f>
        <v>25-06</v>
      </c>
      <c r="H1" s="2" t="str">
        <f ca="1">IFERROR(__xludf.DUMMYFUNCTION("""COMPUTED_VALUE"""),"25-07")</f>
        <v>25-07</v>
      </c>
      <c r="I1" s="2" t="str">
        <f ca="1">IFERROR(__xludf.DUMMYFUNCTION("""COMPUTED_VALUE"""),"25-08")</f>
        <v>25-08</v>
      </c>
      <c r="J1" s="2" t="str">
        <f ca="1">IFERROR(__xludf.DUMMYFUNCTION("""COMPUTED_VALUE"""),"25-09")</f>
        <v>25-09</v>
      </c>
      <c r="K1" s="2" t="str">
        <f ca="1">IFERROR(__xludf.DUMMYFUNCTION("""COMPUTED_VALUE"""),"25-10")</f>
        <v>25-10</v>
      </c>
      <c r="L1" s="2" t="str">
        <f ca="1">IFERROR(__xludf.DUMMYFUNCTION("""COMPUTED_VALUE"""),"25-11")</f>
        <v>25-11</v>
      </c>
      <c r="M1" s="2" t="str">
        <f ca="1">IFERROR(__xludf.DUMMYFUNCTION("""COMPUTED_VALUE"""),"25-12")</f>
        <v>25-12</v>
      </c>
      <c r="N1" s="2" t="str">
        <f ca="1">IFERROR(__xludf.DUMMYFUNCTION("""COMPUTED_VALUE"""),"26-01")</f>
        <v>26-01</v>
      </c>
      <c r="O1" s="2" t="str">
        <f ca="1">IFERROR(__xludf.DUMMYFUNCTION("""COMPUTED_VALUE"""),"26-02")</f>
        <v>26-02</v>
      </c>
      <c r="P1" s="2" t="str">
        <f ca="1">IFERROR(__xludf.DUMMYFUNCTION("""COMPUTED_VALUE"""),"26-03")</f>
        <v>26-03</v>
      </c>
      <c r="Q1" s="2" t="str">
        <f ca="1">IFERROR(__xludf.DUMMYFUNCTION("""COMPUTED_VALUE"""),"26-04")</f>
        <v>26-04</v>
      </c>
      <c r="R1" s="2" t="str">
        <f ca="1">IFERROR(__xludf.DUMMYFUNCTION("""COMPUTED_VALUE"""),"26-05")</f>
        <v>26-05</v>
      </c>
      <c r="S1" s="2" t="str">
        <f ca="1">IFERROR(__xludf.DUMMYFUNCTION("""COMPUTED_VALUE"""),"26-06")</f>
        <v>26-06</v>
      </c>
      <c r="T1" s="2" t="str">
        <f ca="1">IFERROR(__xludf.DUMMYFUNCTION("""COMPUTED_VALUE"""),"26-07")</f>
        <v>26-07</v>
      </c>
      <c r="U1" s="2" t="str">
        <f ca="1">IFERROR(__xludf.DUMMYFUNCTION("""COMPUTED_VALUE"""),"26-08")</f>
        <v>26-08</v>
      </c>
      <c r="V1" s="2" t="str">
        <f ca="1">IFERROR(__xludf.DUMMYFUNCTION("""COMPUTED_VALUE"""),"26-09")</f>
        <v>26-09</v>
      </c>
      <c r="W1" s="2" t="str">
        <f ca="1">IFERROR(__xludf.DUMMYFUNCTION("""COMPUTED_VALUE"""),"26-10")</f>
        <v>26-10</v>
      </c>
      <c r="X1" s="2" t="str">
        <f ca="1">IFERROR(__xludf.DUMMYFUNCTION("""COMPUTED_VALUE"""),"26-11")</f>
        <v>26-11</v>
      </c>
      <c r="Y1" s="2" t="str">
        <f ca="1">IFERROR(__xludf.DUMMYFUNCTION("""COMPUTED_VALUE"""),"26-12")</f>
        <v>26-12</v>
      </c>
      <c r="Z1" s="1"/>
    </row>
    <row r="2" spans="1:26" x14ac:dyDescent="0.2">
      <c r="A2" s="1" t="str">
        <f ca="1">IFERROR(__xludf.DUMMYFUNCTION("""COMPUTED_VALUE"""),"Diesel (2 Tanq.)")</f>
        <v>Diesel (2 Tanq.)</v>
      </c>
      <c r="B2" s="2">
        <f ca="1">IFERROR(__xludf.DUMMYFUNCTION("""COMPUTED_VALUE"""),840)</f>
        <v>840</v>
      </c>
      <c r="C2" s="2">
        <f ca="1">IFERROR(__xludf.DUMMYFUNCTION("""COMPUTED_VALUE"""),840)</f>
        <v>840</v>
      </c>
      <c r="D2" s="2">
        <f ca="1">IFERROR(__xludf.DUMMYFUNCTION("""COMPUTED_VALUE"""),840)</f>
        <v>840</v>
      </c>
      <c r="E2" s="2">
        <f ca="1">IFERROR(__xludf.DUMMYFUNCTION("""COMPUTED_VALUE"""),840)</f>
        <v>840</v>
      </c>
      <c r="F2" s="2">
        <f ca="1">IFERROR(__xludf.DUMMYFUNCTION("""COMPUTED_VALUE"""),840)</f>
        <v>840</v>
      </c>
      <c r="G2" s="2">
        <f ca="1">IFERROR(__xludf.DUMMYFUNCTION("""COMPUTED_VALUE"""),840)</f>
        <v>840</v>
      </c>
      <c r="H2" s="2">
        <f ca="1">IFERROR(__xludf.DUMMYFUNCTION("""COMPUTED_VALUE"""),840)</f>
        <v>840</v>
      </c>
      <c r="I2" s="2">
        <f ca="1">IFERROR(__xludf.DUMMYFUNCTION("""COMPUTED_VALUE"""),840)</f>
        <v>840</v>
      </c>
      <c r="J2" s="2">
        <f ca="1">IFERROR(__xludf.DUMMYFUNCTION("""COMPUTED_VALUE"""),840)</f>
        <v>840</v>
      </c>
      <c r="K2" s="2">
        <f ca="1">IFERROR(__xludf.DUMMYFUNCTION("""COMPUTED_VALUE"""),840)</f>
        <v>840</v>
      </c>
      <c r="L2" s="2">
        <f ca="1">IFERROR(__xludf.DUMMYFUNCTION("""COMPUTED_VALUE"""),840)</f>
        <v>840</v>
      </c>
      <c r="M2" s="2">
        <f ca="1">IFERROR(__xludf.DUMMYFUNCTION("""COMPUTED_VALUE"""),840)</f>
        <v>840</v>
      </c>
      <c r="N2" s="2">
        <f ca="1">IFERROR(__xludf.DUMMYFUNCTION("""COMPUTED_VALUE"""),840)</f>
        <v>840</v>
      </c>
      <c r="O2" s="2">
        <f ca="1">IFERROR(__xludf.DUMMYFUNCTION("""COMPUTED_VALUE"""),840)</f>
        <v>840</v>
      </c>
      <c r="P2" s="2">
        <f ca="1">IFERROR(__xludf.DUMMYFUNCTION("""COMPUTED_VALUE"""),840)</f>
        <v>840</v>
      </c>
      <c r="Q2" s="2">
        <f ca="1">IFERROR(__xludf.DUMMYFUNCTION("""COMPUTED_VALUE"""),840)</f>
        <v>840</v>
      </c>
      <c r="R2" s="2">
        <f ca="1">IFERROR(__xludf.DUMMYFUNCTION("""COMPUTED_VALUE"""),840)</f>
        <v>840</v>
      </c>
      <c r="S2" s="2">
        <f ca="1">IFERROR(__xludf.DUMMYFUNCTION("""COMPUTED_VALUE"""),840)</f>
        <v>840</v>
      </c>
      <c r="T2" s="2">
        <f ca="1">IFERROR(__xludf.DUMMYFUNCTION("""COMPUTED_VALUE"""),840)</f>
        <v>840</v>
      </c>
      <c r="U2" s="2">
        <f ca="1">IFERROR(__xludf.DUMMYFUNCTION("""COMPUTED_VALUE"""),840)</f>
        <v>840</v>
      </c>
      <c r="V2" s="2">
        <f ca="1">IFERROR(__xludf.DUMMYFUNCTION("""COMPUTED_VALUE"""),840)</f>
        <v>840</v>
      </c>
      <c r="W2" s="2">
        <f ca="1">IFERROR(__xludf.DUMMYFUNCTION("""COMPUTED_VALUE"""),840)</f>
        <v>840</v>
      </c>
      <c r="X2" s="2">
        <f ca="1">IFERROR(__xludf.DUMMYFUNCTION("""COMPUTED_VALUE"""),840)</f>
        <v>840</v>
      </c>
      <c r="Y2" s="2">
        <f ca="1">IFERROR(__xludf.DUMMYFUNCTION("""COMPUTED_VALUE"""),840)</f>
        <v>840</v>
      </c>
      <c r="Z2" s="1"/>
    </row>
    <row r="3" spans="1:26" x14ac:dyDescent="0.2">
      <c r="A3" s="1" t="str">
        <f ca="1">IFERROR(__xludf.DUMMYFUNCTION("""COMPUTED_VALUE"""),"Supermercado")</f>
        <v>Supermercado</v>
      </c>
      <c r="B3" s="2">
        <f ca="1">IFERROR(__xludf.DUMMYFUNCTION("""COMPUTED_VALUE"""),1000)</f>
        <v>1000</v>
      </c>
      <c r="C3" s="2">
        <f ca="1">IFERROR(__xludf.DUMMYFUNCTION("""COMPUTED_VALUE"""),1000)</f>
        <v>1000</v>
      </c>
      <c r="D3" s="2">
        <f ca="1">IFERROR(__xludf.DUMMYFUNCTION("""COMPUTED_VALUE"""),1000)</f>
        <v>1000</v>
      </c>
      <c r="E3" s="2">
        <f ca="1">IFERROR(__xludf.DUMMYFUNCTION("""COMPUTED_VALUE"""),1000)</f>
        <v>1000</v>
      </c>
      <c r="F3" s="2">
        <f ca="1">IFERROR(__xludf.DUMMYFUNCTION("""COMPUTED_VALUE"""),1000)</f>
        <v>1000</v>
      </c>
      <c r="G3" s="2">
        <f ca="1">IFERROR(__xludf.DUMMYFUNCTION("""COMPUTED_VALUE"""),1000)</f>
        <v>1000</v>
      </c>
      <c r="H3" s="2">
        <f ca="1">IFERROR(__xludf.DUMMYFUNCTION("""COMPUTED_VALUE"""),1000)</f>
        <v>1000</v>
      </c>
      <c r="I3" s="2">
        <f ca="1">IFERROR(__xludf.DUMMYFUNCTION("""COMPUTED_VALUE"""),1000)</f>
        <v>1000</v>
      </c>
      <c r="J3" s="2">
        <f ca="1">IFERROR(__xludf.DUMMYFUNCTION("""COMPUTED_VALUE"""),1000)</f>
        <v>1000</v>
      </c>
      <c r="K3" s="2">
        <f ca="1">IFERROR(__xludf.DUMMYFUNCTION("""COMPUTED_VALUE"""),1000)</f>
        <v>1000</v>
      </c>
      <c r="L3" s="2">
        <f ca="1">IFERROR(__xludf.DUMMYFUNCTION("""COMPUTED_VALUE"""),1000)</f>
        <v>1000</v>
      </c>
      <c r="M3" s="2">
        <f ca="1">IFERROR(__xludf.DUMMYFUNCTION("""COMPUTED_VALUE"""),1000)</f>
        <v>1000</v>
      </c>
      <c r="N3" s="2">
        <f ca="1">IFERROR(__xludf.DUMMYFUNCTION("""COMPUTED_VALUE"""),1000)</f>
        <v>1000</v>
      </c>
      <c r="O3" s="2">
        <f ca="1">IFERROR(__xludf.DUMMYFUNCTION("""COMPUTED_VALUE"""),1000)</f>
        <v>1000</v>
      </c>
      <c r="P3" s="2">
        <f ca="1">IFERROR(__xludf.DUMMYFUNCTION("""COMPUTED_VALUE"""),1000)</f>
        <v>1000</v>
      </c>
      <c r="Q3" s="2">
        <f ca="1">IFERROR(__xludf.DUMMYFUNCTION("""COMPUTED_VALUE"""),1000)</f>
        <v>1000</v>
      </c>
      <c r="R3" s="2">
        <f ca="1">IFERROR(__xludf.DUMMYFUNCTION("""COMPUTED_VALUE"""),1000)</f>
        <v>1000</v>
      </c>
      <c r="S3" s="2">
        <f ca="1">IFERROR(__xludf.DUMMYFUNCTION("""COMPUTED_VALUE"""),1000)</f>
        <v>1000</v>
      </c>
      <c r="T3" s="2">
        <f ca="1">IFERROR(__xludf.DUMMYFUNCTION("""COMPUTED_VALUE"""),1000)</f>
        <v>1000</v>
      </c>
      <c r="U3" s="2">
        <f ca="1">IFERROR(__xludf.DUMMYFUNCTION("""COMPUTED_VALUE"""),1000)</f>
        <v>1000</v>
      </c>
      <c r="V3" s="2">
        <f ca="1">IFERROR(__xludf.DUMMYFUNCTION("""COMPUTED_VALUE"""),1000)</f>
        <v>1000</v>
      </c>
      <c r="W3" s="2">
        <f ca="1">IFERROR(__xludf.DUMMYFUNCTION("""COMPUTED_VALUE"""),1000)</f>
        <v>1000</v>
      </c>
      <c r="X3" s="2">
        <f ca="1">IFERROR(__xludf.DUMMYFUNCTION("""COMPUTED_VALUE"""),1000)</f>
        <v>1000</v>
      </c>
      <c r="Y3" s="2">
        <f ca="1">IFERROR(__xludf.DUMMYFUNCTION("""COMPUTED_VALUE"""),1000)</f>
        <v>1000</v>
      </c>
      <c r="Z3" s="1"/>
    </row>
    <row r="4" spans="1:26" x14ac:dyDescent="0.2">
      <c r="A4" s="1" t="str">
        <f ca="1">IFERROR(__xludf.DUMMYFUNCTION("""COMPUTED_VALUE"""),"Hulk")</f>
        <v>Hulk</v>
      </c>
      <c r="B4" s="2">
        <f ca="1">IFERROR(__xludf.DUMMYFUNCTION("""COMPUTED_VALUE"""),200)</f>
        <v>200</v>
      </c>
      <c r="C4" s="2">
        <f ca="1">IFERROR(__xludf.DUMMYFUNCTION("""COMPUTED_VALUE"""),200)</f>
        <v>200</v>
      </c>
      <c r="D4" s="2">
        <f ca="1">IFERROR(__xludf.DUMMYFUNCTION("""COMPUTED_VALUE"""),200)</f>
        <v>200</v>
      </c>
      <c r="E4" s="2">
        <f ca="1">IFERROR(__xludf.DUMMYFUNCTION("""COMPUTED_VALUE"""),200)</f>
        <v>200</v>
      </c>
      <c r="F4" s="2">
        <f ca="1">IFERROR(__xludf.DUMMYFUNCTION("""COMPUTED_VALUE"""),200)</f>
        <v>200</v>
      </c>
      <c r="G4" s="2">
        <f ca="1">IFERROR(__xludf.DUMMYFUNCTION("""COMPUTED_VALUE"""),200)</f>
        <v>200</v>
      </c>
      <c r="H4" s="2">
        <f ca="1">IFERROR(__xludf.DUMMYFUNCTION("""COMPUTED_VALUE"""),200)</f>
        <v>200</v>
      </c>
      <c r="I4" s="2">
        <f ca="1">IFERROR(__xludf.DUMMYFUNCTION("""COMPUTED_VALUE"""),200)</f>
        <v>200</v>
      </c>
      <c r="J4" s="2">
        <f ca="1">IFERROR(__xludf.DUMMYFUNCTION("""COMPUTED_VALUE"""),200)</f>
        <v>200</v>
      </c>
      <c r="K4" s="2">
        <f ca="1">IFERROR(__xludf.DUMMYFUNCTION("""COMPUTED_VALUE"""),200)</f>
        <v>200</v>
      </c>
      <c r="L4" s="2">
        <f ca="1">IFERROR(__xludf.DUMMYFUNCTION("""COMPUTED_VALUE"""),200)</f>
        <v>200</v>
      </c>
      <c r="M4" s="2">
        <f ca="1">IFERROR(__xludf.DUMMYFUNCTION("""COMPUTED_VALUE"""),200)</f>
        <v>200</v>
      </c>
      <c r="N4" s="2">
        <f ca="1">IFERROR(__xludf.DUMMYFUNCTION("""COMPUTED_VALUE"""),200)</f>
        <v>200</v>
      </c>
      <c r="O4" s="2">
        <f ca="1">IFERROR(__xludf.DUMMYFUNCTION("""COMPUTED_VALUE"""),200)</f>
        <v>200</v>
      </c>
      <c r="P4" s="2">
        <f ca="1">IFERROR(__xludf.DUMMYFUNCTION("""COMPUTED_VALUE"""),200)</f>
        <v>200</v>
      </c>
      <c r="Q4" s="2">
        <f ca="1">IFERROR(__xludf.DUMMYFUNCTION("""COMPUTED_VALUE"""),200)</f>
        <v>200</v>
      </c>
      <c r="R4" s="2">
        <f ca="1">IFERROR(__xludf.DUMMYFUNCTION("""COMPUTED_VALUE"""),200)</f>
        <v>200</v>
      </c>
      <c r="S4" s="2">
        <f ca="1">IFERROR(__xludf.DUMMYFUNCTION("""COMPUTED_VALUE"""),200)</f>
        <v>200</v>
      </c>
      <c r="T4" s="2">
        <f ca="1">IFERROR(__xludf.DUMMYFUNCTION("""COMPUTED_VALUE"""),200)</f>
        <v>200</v>
      </c>
      <c r="U4" s="2">
        <f ca="1">IFERROR(__xludf.DUMMYFUNCTION("""COMPUTED_VALUE"""),200)</f>
        <v>200</v>
      </c>
      <c r="V4" s="2">
        <f ca="1">IFERROR(__xludf.DUMMYFUNCTION("""COMPUTED_VALUE"""),200)</f>
        <v>200</v>
      </c>
      <c r="W4" s="2">
        <f ca="1">IFERROR(__xludf.DUMMYFUNCTION("""COMPUTED_VALUE"""),200)</f>
        <v>200</v>
      </c>
      <c r="X4" s="2">
        <f ca="1">IFERROR(__xludf.DUMMYFUNCTION("""COMPUTED_VALUE"""),200)</f>
        <v>200</v>
      </c>
      <c r="Y4" s="2">
        <f ca="1">IFERROR(__xludf.DUMMYFUNCTION("""COMPUTED_VALUE"""),200)</f>
        <v>200</v>
      </c>
      <c r="Z4" s="1"/>
    </row>
    <row r="5" spans="1:26" x14ac:dyDescent="0.2">
      <c r="A5" s="1" t="str">
        <f ca="1">IFERROR(__xludf.DUMMYFUNCTION("""COMPUTED_VALUE"""),"Diversão")</f>
        <v>Diversão</v>
      </c>
      <c r="B5" s="2">
        <f ca="1">IFERROR(__xludf.DUMMYFUNCTION("""COMPUTED_VALUE"""),1000)</f>
        <v>1000</v>
      </c>
      <c r="C5" s="2">
        <f ca="1">IFERROR(__xludf.DUMMYFUNCTION("""COMPUTED_VALUE"""),1000)</f>
        <v>1000</v>
      </c>
      <c r="D5" s="2">
        <f ca="1">IFERROR(__xludf.DUMMYFUNCTION("""COMPUTED_VALUE"""),1000)</f>
        <v>1000</v>
      </c>
      <c r="E5" s="2">
        <f ca="1">IFERROR(__xludf.DUMMYFUNCTION("""COMPUTED_VALUE"""),1000)</f>
        <v>1000</v>
      </c>
      <c r="F5" s="2">
        <f ca="1">IFERROR(__xludf.DUMMYFUNCTION("""COMPUTED_VALUE"""),1000)</f>
        <v>1000</v>
      </c>
      <c r="G5" s="2">
        <f ca="1">IFERROR(__xludf.DUMMYFUNCTION("""COMPUTED_VALUE"""),1000)</f>
        <v>1000</v>
      </c>
      <c r="H5" s="2">
        <f ca="1">IFERROR(__xludf.DUMMYFUNCTION("""COMPUTED_VALUE"""),1000)</f>
        <v>1000</v>
      </c>
      <c r="I5" s="2">
        <f ca="1">IFERROR(__xludf.DUMMYFUNCTION("""COMPUTED_VALUE"""),1000)</f>
        <v>1000</v>
      </c>
      <c r="J5" s="2">
        <f ca="1">IFERROR(__xludf.DUMMYFUNCTION("""COMPUTED_VALUE"""),1000)</f>
        <v>1000</v>
      </c>
      <c r="K5" s="2">
        <f ca="1">IFERROR(__xludf.DUMMYFUNCTION("""COMPUTED_VALUE"""),1000)</f>
        <v>1000</v>
      </c>
      <c r="L5" s="2">
        <f ca="1">IFERROR(__xludf.DUMMYFUNCTION("""COMPUTED_VALUE"""),1000)</f>
        <v>1000</v>
      </c>
      <c r="M5" s="2">
        <f ca="1">IFERROR(__xludf.DUMMYFUNCTION("""COMPUTED_VALUE"""),1000)</f>
        <v>1000</v>
      </c>
      <c r="N5" s="2">
        <f ca="1">IFERROR(__xludf.DUMMYFUNCTION("""COMPUTED_VALUE"""),1000)</f>
        <v>1000</v>
      </c>
      <c r="O5" s="2">
        <f ca="1">IFERROR(__xludf.DUMMYFUNCTION("""COMPUTED_VALUE"""),1000)</f>
        <v>1000</v>
      </c>
      <c r="P5" s="2">
        <f ca="1">IFERROR(__xludf.DUMMYFUNCTION("""COMPUTED_VALUE"""),1000)</f>
        <v>1000</v>
      </c>
      <c r="Q5" s="2">
        <f ca="1">IFERROR(__xludf.DUMMYFUNCTION("""COMPUTED_VALUE"""),1000)</f>
        <v>1000</v>
      </c>
      <c r="R5" s="2">
        <f ca="1">IFERROR(__xludf.DUMMYFUNCTION("""COMPUTED_VALUE"""),1000)</f>
        <v>1000</v>
      </c>
      <c r="S5" s="2">
        <f ca="1">IFERROR(__xludf.DUMMYFUNCTION("""COMPUTED_VALUE"""),1000)</f>
        <v>1000</v>
      </c>
      <c r="T5" s="2">
        <f ca="1">IFERROR(__xludf.DUMMYFUNCTION("""COMPUTED_VALUE"""),1000)</f>
        <v>1000</v>
      </c>
      <c r="U5" s="2">
        <f ca="1">IFERROR(__xludf.DUMMYFUNCTION("""COMPUTED_VALUE"""),1000)</f>
        <v>1000</v>
      </c>
      <c r="V5" s="2">
        <f ca="1">IFERROR(__xludf.DUMMYFUNCTION("""COMPUTED_VALUE"""),1000)</f>
        <v>1000</v>
      </c>
      <c r="W5" s="2">
        <f ca="1">IFERROR(__xludf.DUMMYFUNCTION("""COMPUTED_VALUE"""),1000)</f>
        <v>1000</v>
      </c>
      <c r="X5" s="2">
        <f ca="1">IFERROR(__xludf.DUMMYFUNCTION("""COMPUTED_VALUE"""),1000)</f>
        <v>1000</v>
      </c>
      <c r="Y5" s="2">
        <f ca="1">IFERROR(__xludf.DUMMYFUNCTION("""COMPUTED_VALUE"""),1000)</f>
        <v>1000</v>
      </c>
      <c r="Z5" s="1"/>
    </row>
    <row r="6" spans="1:26" x14ac:dyDescent="0.2">
      <c r="A6" s="1" t="str">
        <f ca="1">IFERROR(__xludf.DUMMYFUNCTION("""COMPUTED_VALUE"""),"Uber")</f>
        <v>Uber</v>
      </c>
      <c r="B6" s="2">
        <f ca="1">IFERROR(__xludf.DUMMYFUNCTION("""COMPUTED_VALUE"""),250)</f>
        <v>250</v>
      </c>
      <c r="C6" s="2">
        <f ca="1">IFERROR(__xludf.DUMMYFUNCTION("""COMPUTED_VALUE"""),250)</f>
        <v>250</v>
      </c>
      <c r="D6" s="2">
        <f ca="1">IFERROR(__xludf.DUMMYFUNCTION("""COMPUTED_VALUE"""),250)</f>
        <v>250</v>
      </c>
      <c r="E6" s="2">
        <f ca="1">IFERROR(__xludf.DUMMYFUNCTION("""COMPUTED_VALUE"""),250)</f>
        <v>250</v>
      </c>
      <c r="F6" s="2">
        <f ca="1">IFERROR(__xludf.DUMMYFUNCTION("""COMPUTED_VALUE"""),250)</f>
        <v>250</v>
      </c>
      <c r="G6" s="2">
        <f ca="1">IFERROR(__xludf.DUMMYFUNCTION("""COMPUTED_VALUE"""),250)</f>
        <v>250</v>
      </c>
      <c r="H6" s="2">
        <f ca="1">IFERROR(__xludf.DUMMYFUNCTION("""COMPUTED_VALUE"""),250)</f>
        <v>250</v>
      </c>
      <c r="I6" s="2">
        <f ca="1">IFERROR(__xludf.DUMMYFUNCTION("""COMPUTED_VALUE"""),250)</f>
        <v>250</v>
      </c>
      <c r="J6" s="2">
        <f ca="1">IFERROR(__xludf.DUMMYFUNCTION("""COMPUTED_VALUE"""),250)</f>
        <v>250</v>
      </c>
      <c r="K6" s="2">
        <f ca="1">IFERROR(__xludf.DUMMYFUNCTION("""COMPUTED_VALUE"""),250)</f>
        <v>250</v>
      </c>
      <c r="L6" s="2">
        <f ca="1">IFERROR(__xludf.DUMMYFUNCTION("""COMPUTED_VALUE"""),250)</f>
        <v>250</v>
      </c>
      <c r="M6" s="2">
        <f ca="1">IFERROR(__xludf.DUMMYFUNCTION("""COMPUTED_VALUE"""),250)</f>
        <v>250</v>
      </c>
      <c r="N6" s="2">
        <f ca="1">IFERROR(__xludf.DUMMYFUNCTION("""COMPUTED_VALUE"""),250)</f>
        <v>250</v>
      </c>
      <c r="O6" s="2">
        <f ca="1">IFERROR(__xludf.DUMMYFUNCTION("""COMPUTED_VALUE"""),250)</f>
        <v>250</v>
      </c>
      <c r="P6" s="2">
        <f ca="1">IFERROR(__xludf.DUMMYFUNCTION("""COMPUTED_VALUE"""),250)</f>
        <v>250</v>
      </c>
      <c r="Q6" s="2">
        <f ca="1">IFERROR(__xludf.DUMMYFUNCTION("""COMPUTED_VALUE"""),250)</f>
        <v>250</v>
      </c>
      <c r="R6" s="2">
        <f ca="1">IFERROR(__xludf.DUMMYFUNCTION("""COMPUTED_VALUE"""),250)</f>
        <v>250</v>
      </c>
      <c r="S6" s="2">
        <f ca="1">IFERROR(__xludf.DUMMYFUNCTION("""COMPUTED_VALUE"""),250)</f>
        <v>250</v>
      </c>
      <c r="T6" s="2">
        <f ca="1">IFERROR(__xludf.DUMMYFUNCTION("""COMPUTED_VALUE"""),250)</f>
        <v>250</v>
      </c>
      <c r="U6" s="2">
        <f ca="1">IFERROR(__xludf.DUMMYFUNCTION("""COMPUTED_VALUE"""),250)</f>
        <v>250</v>
      </c>
      <c r="V6" s="2">
        <f ca="1">IFERROR(__xludf.DUMMYFUNCTION("""COMPUTED_VALUE"""),250)</f>
        <v>250</v>
      </c>
      <c r="W6" s="2">
        <f ca="1">IFERROR(__xludf.DUMMYFUNCTION("""COMPUTED_VALUE"""),250)</f>
        <v>250</v>
      </c>
      <c r="X6" s="2">
        <f ca="1">IFERROR(__xludf.DUMMYFUNCTION("""COMPUTED_VALUE"""),250)</f>
        <v>250</v>
      </c>
      <c r="Y6" s="2">
        <f ca="1">IFERROR(__xludf.DUMMYFUNCTION("""COMPUTED_VALUE"""),250)</f>
        <v>250</v>
      </c>
      <c r="Z6" s="1"/>
    </row>
    <row r="7" spans="1:26" x14ac:dyDescent="0.2">
      <c r="A7" s="1" t="str">
        <f ca="1">IFERROR(__xludf.DUMMYFUNCTION("""COMPUTED_VALUE"""),"Crossfit")</f>
        <v>Crossfit</v>
      </c>
      <c r="B7" s="2">
        <f ca="1">IFERROR(__xludf.DUMMYFUNCTION("""COMPUTED_VALUE"""),958)</f>
        <v>958</v>
      </c>
      <c r="C7" s="2">
        <f ca="1">IFERROR(__xludf.DUMMYFUNCTION("""COMPUTED_VALUE"""),958)</f>
        <v>958</v>
      </c>
      <c r="D7" s="2">
        <f ca="1">IFERROR(__xludf.DUMMYFUNCTION("""COMPUTED_VALUE"""),958)</f>
        <v>958</v>
      </c>
      <c r="E7" s="2">
        <f ca="1">IFERROR(__xludf.DUMMYFUNCTION("""COMPUTED_VALUE"""),958)</f>
        <v>958</v>
      </c>
      <c r="F7" s="2">
        <f ca="1">IFERROR(__xludf.DUMMYFUNCTION("""COMPUTED_VALUE"""),958)</f>
        <v>958</v>
      </c>
      <c r="G7" s="2">
        <f ca="1">IFERROR(__xludf.DUMMYFUNCTION("""COMPUTED_VALUE"""),958)</f>
        <v>958</v>
      </c>
      <c r="H7" s="2">
        <f ca="1">IFERROR(__xludf.DUMMYFUNCTION("""COMPUTED_VALUE"""),958)</f>
        <v>958</v>
      </c>
      <c r="I7" s="2">
        <f ca="1">IFERROR(__xludf.DUMMYFUNCTION("""COMPUTED_VALUE"""),958)</f>
        <v>958</v>
      </c>
      <c r="J7" s="2">
        <f ca="1">IFERROR(__xludf.DUMMYFUNCTION("""COMPUTED_VALUE"""),958)</f>
        <v>958</v>
      </c>
      <c r="K7" s="2">
        <f ca="1">IFERROR(__xludf.DUMMYFUNCTION("""COMPUTED_VALUE"""),958)</f>
        <v>958</v>
      </c>
      <c r="L7" s="2">
        <f ca="1">IFERROR(__xludf.DUMMYFUNCTION("""COMPUTED_VALUE"""),958)</f>
        <v>958</v>
      </c>
      <c r="M7" s="2">
        <f ca="1">IFERROR(__xludf.DUMMYFUNCTION("""COMPUTED_VALUE"""),958)</f>
        <v>958</v>
      </c>
      <c r="N7" s="2">
        <f ca="1">IFERROR(__xludf.DUMMYFUNCTION("""COMPUTED_VALUE"""),958)</f>
        <v>958</v>
      </c>
      <c r="O7" s="2">
        <f ca="1">IFERROR(__xludf.DUMMYFUNCTION("""COMPUTED_VALUE"""),958)</f>
        <v>958</v>
      </c>
      <c r="P7" s="2">
        <f ca="1">IFERROR(__xludf.DUMMYFUNCTION("""COMPUTED_VALUE"""),958)</f>
        <v>958</v>
      </c>
      <c r="Q7" s="2">
        <f ca="1">IFERROR(__xludf.DUMMYFUNCTION("""COMPUTED_VALUE"""),958)</f>
        <v>958</v>
      </c>
      <c r="R7" s="2">
        <f ca="1">IFERROR(__xludf.DUMMYFUNCTION("""COMPUTED_VALUE"""),958)</f>
        <v>958</v>
      </c>
      <c r="S7" s="2">
        <f ca="1">IFERROR(__xludf.DUMMYFUNCTION("""COMPUTED_VALUE"""),958)</f>
        <v>958</v>
      </c>
      <c r="T7" s="2">
        <f ca="1">IFERROR(__xludf.DUMMYFUNCTION("""COMPUTED_VALUE"""),958)</f>
        <v>958</v>
      </c>
      <c r="U7" s="2">
        <f ca="1">IFERROR(__xludf.DUMMYFUNCTION("""COMPUTED_VALUE"""),958)</f>
        <v>958</v>
      </c>
      <c r="V7" s="2">
        <f ca="1">IFERROR(__xludf.DUMMYFUNCTION("""COMPUTED_VALUE"""),958)</f>
        <v>958</v>
      </c>
      <c r="W7" s="2">
        <f ca="1">IFERROR(__xludf.DUMMYFUNCTION("""COMPUTED_VALUE"""),958)</f>
        <v>958</v>
      </c>
      <c r="X7" s="2">
        <f ca="1">IFERROR(__xludf.DUMMYFUNCTION("""COMPUTED_VALUE"""),958)</f>
        <v>958</v>
      </c>
      <c r="Y7" s="2">
        <f ca="1">IFERROR(__xludf.DUMMYFUNCTION("""COMPUTED_VALUE"""),958)</f>
        <v>958</v>
      </c>
      <c r="Z7" s="1"/>
    </row>
    <row r="8" spans="1:26" x14ac:dyDescent="0.2">
      <c r="A8" s="1" t="str">
        <f ca="1">IFERROR(__xludf.DUMMYFUNCTION("""COMPUTED_VALUE"""),"Seguro")</f>
        <v>Seguro</v>
      </c>
      <c r="B8" s="2">
        <f ca="1">IFERROR(__xludf.DUMMYFUNCTION("""COMPUTED_VALUE"""),616.62)</f>
        <v>616.62</v>
      </c>
      <c r="C8" s="2">
        <f ca="1">IFERROR(__xludf.DUMMYFUNCTION("""COMPUTED_VALUE"""),616.62)</f>
        <v>616.62</v>
      </c>
      <c r="D8" s="2">
        <f ca="1">IFERROR(__xludf.DUMMYFUNCTION("""COMPUTED_VALUE"""),616.62)</f>
        <v>616.62</v>
      </c>
      <c r="E8" s="2">
        <f ca="1">IFERROR(__xludf.DUMMYFUNCTION("""COMPUTED_VALUE"""),616.62)</f>
        <v>616.62</v>
      </c>
      <c r="F8" s="2">
        <f ca="1">IFERROR(__xludf.DUMMYFUNCTION("""COMPUTED_VALUE"""),616.62)</f>
        <v>616.62</v>
      </c>
      <c r="G8" s="2">
        <f ca="1">IFERROR(__xludf.DUMMYFUNCTION("""COMPUTED_VALUE"""),616.62)</f>
        <v>616.62</v>
      </c>
      <c r="H8" s="2">
        <f ca="1">IFERROR(__xludf.DUMMYFUNCTION("""COMPUTED_VALUE"""),616.62)</f>
        <v>616.62</v>
      </c>
      <c r="I8" s="2">
        <f ca="1">IFERROR(__xludf.DUMMYFUNCTION("""COMPUTED_VALUE"""),265.88)</f>
        <v>265.88</v>
      </c>
      <c r="J8" s="2">
        <f ca="1">IFERROR(__xludf.DUMMYFUNCTION("""COMPUTED_VALUE"""),265.88)</f>
        <v>265.88</v>
      </c>
      <c r="K8" s="2">
        <f ca="1">IFERROR(__xludf.DUMMYFUNCTION("""COMPUTED_VALUE"""),265.88)</f>
        <v>265.88</v>
      </c>
      <c r="L8" s="2">
        <f ca="1">IFERROR(__xludf.DUMMYFUNCTION("""COMPUTED_VALUE"""),265.88)</f>
        <v>265.88</v>
      </c>
      <c r="M8" s="2">
        <f ca="1">IFERROR(__xludf.DUMMYFUNCTION("""COMPUTED_VALUE"""),265.88)</f>
        <v>265.88</v>
      </c>
      <c r="N8" s="2">
        <f ca="1">IFERROR(__xludf.DUMMYFUNCTION("""COMPUTED_VALUE"""),265.88)</f>
        <v>265.88</v>
      </c>
      <c r="O8" s="2">
        <f ca="1">IFERROR(__xludf.DUMMYFUNCTION("""COMPUTED_VALUE"""),265.88)</f>
        <v>265.88</v>
      </c>
      <c r="P8" s="2">
        <f ca="1">IFERROR(__xludf.DUMMYFUNCTION("""COMPUTED_VALUE"""),265.88)</f>
        <v>265.88</v>
      </c>
      <c r="Q8" s="2">
        <f ca="1">IFERROR(__xludf.DUMMYFUNCTION("""COMPUTED_VALUE"""),265.88)</f>
        <v>265.88</v>
      </c>
      <c r="R8" s="2">
        <f ca="1">IFERROR(__xludf.DUMMYFUNCTION("""COMPUTED_VALUE"""),265.88)</f>
        <v>265.88</v>
      </c>
      <c r="S8" s="2">
        <f ca="1">IFERROR(__xludf.DUMMYFUNCTION("""COMPUTED_VALUE"""),265.88)</f>
        <v>265.88</v>
      </c>
      <c r="T8" s="2">
        <f ca="1">IFERROR(__xludf.DUMMYFUNCTION("""COMPUTED_VALUE"""),265.88)</f>
        <v>265.88</v>
      </c>
      <c r="U8" s="2">
        <f ca="1">IFERROR(__xludf.DUMMYFUNCTION("""COMPUTED_VALUE"""),265.88)</f>
        <v>265.88</v>
      </c>
      <c r="V8" s="2">
        <f ca="1">IFERROR(__xludf.DUMMYFUNCTION("""COMPUTED_VALUE"""),265.88)</f>
        <v>265.88</v>
      </c>
      <c r="W8" s="2">
        <f ca="1">IFERROR(__xludf.DUMMYFUNCTION("""COMPUTED_VALUE"""),265.88)</f>
        <v>265.88</v>
      </c>
      <c r="X8" s="2">
        <f ca="1">IFERROR(__xludf.DUMMYFUNCTION("""COMPUTED_VALUE"""),265.88)</f>
        <v>265.88</v>
      </c>
      <c r="Y8" s="2">
        <f ca="1">IFERROR(__xludf.DUMMYFUNCTION("""COMPUTED_VALUE"""),265.88)</f>
        <v>265.88</v>
      </c>
      <c r="Z8" s="1"/>
    </row>
    <row r="9" spans="1:26" x14ac:dyDescent="0.2">
      <c r="A9" s="1" t="str">
        <f ca="1">IFERROR(__xludf.DUMMYFUNCTION("""COMPUTED_VALUE"""),"Faculdade mãe")</f>
        <v>Faculdade mãe</v>
      </c>
      <c r="B9" s="2">
        <f ca="1">IFERROR(__xludf.DUMMYFUNCTION("""COMPUTED_VALUE"""),197.43)</f>
        <v>197.43</v>
      </c>
      <c r="C9" s="2">
        <f ca="1">IFERROR(__xludf.DUMMYFUNCTION("""COMPUTED_VALUE"""),225.53)</f>
        <v>225.53</v>
      </c>
      <c r="D9" s="2">
        <f ca="1">IFERROR(__xludf.DUMMYFUNCTION("""COMPUTED_VALUE"""),225.53)</f>
        <v>225.53</v>
      </c>
      <c r="E9" s="2">
        <f ca="1">IFERROR(__xludf.DUMMYFUNCTION("""COMPUTED_VALUE"""),225.53)</f>
        <v>225.53</v>
      </c>
      <c r="F9" s="2">
        <f ca="1">IFERROR(__xludf.DUMMYFUNCTION("""COMPUTED_VALUE"""),225.53)</f>
        <v>225.53</v>
      </c>
      <c r="G9" s="2">
        <f ca="1">IFERROR(__xludf.DUMMYFUNCTION("""COMPUTED_VALUE"""),225.53)</f>
        <v>225.53</v>
      </c>
      <c r="H9" s="2">
        <f ca="1">IFERROR(__xludf.DUMMYFUNCTION("""COMPUTED_VALUE"""),225.53)</f>
        <v>225.53</v>
      </c>
      <c r="I9" s="2">
        <f ca="1">IFERROR(__xludf.DUMMYFUNCTION("""COMPUTED_VALUE"""),225.53)</f>
        <v>225.53</v>
      </c>
      <c r="J9" s="2">
        <f ca="1">IFERROR(__xludf.DUMMYFUNCTION("""COMPUTED_VALUE"""),225.53)</f>
        <v>225.53</v>
      </c>
      <c r="K9" s="2">
        <f ca="1">IFERROR(__xludf.DUMMYFUNCTION("""COMPUTED_VALUE"""),225.53)</f>
        <v>225.53</v>
      </c>
      <c r="L9" s="2">
        <f ca="1">IFERROR(__xludf.DUMMYFUNCTION("""COMPUTED_VALUE"""),225.53)</f>
        <v>225.53</v>
      </c>
      <c r="M9" s="2">
        <f ca="1">IFERROR(__xludf.DUMMYFUNCTION("""COMPUTED_VALUE"""),225.53)</f>
        <v>225.53</v>
      </c>
      <c r="N9" s="2">
        <f ca="1">IFERROR(__xludf.DUMMYFUNCTION("""COMPUTED_VALUE"""),225.53)</f>
        <v>225.53</v>
      </c>
      <c r="O9" s="2">
        <f ca="1">IFERROR(__xludf.DUMMYFUNCTION("""COMPUTED_VALUE"""),225.53)</f>
        <v>225.53</v>
      </c>
      <c r="P9" s="2">
        <f ca="1">IFERROR(__xludf.DUMMYFUNCTION("""COMPUTED_VALUE"""),225.53)</f>
        <v>225.53</v>
      </c>
      <c r="Q9" s="2">
        <f ca="1">IFERROR(__xludf.DUMMYFUNCTION("""COMPUTED_VALUE"""),225.53)</f>
        <v>225.53</v>
      </c>
      <c r="R9" s="2">
        <f ca="1">IFERROR(__xludf.DUMMYFUNCTION("""COMPUTED_VALUE"""),225.53)</f>
        <v>225.53</v>
      </c>
      <c r="S9" s="2">
        <f ca="1">IFERROR(__xludf.DUMMYFUNCTION("""COMPUTED_VALUE"""),225.53)</f>
        <v>225.53</v>
      </c>
      <c r="T9" s="2">
        <f ca="1">IFERROR(__xludf.DUMMYFUNCTION("""COMPUTED_VALUE"""),225.53)</f>
        <v>225.53</v>
      </c>
      <c r="U9" s="2">
        <f ca="1">IFERROR(__xludf.DUMMYFUNCTION("""COMPUTED_VALUE"""),225.53)</f>
        <v>225.53</v>
      </c>
      <c r="V9" s="2">
        <f ca="1">IFERROR(__xludf.DUMMYFUNCTION("""COMPUTED_VALUE"""),225.53)</f>
        <v>225.53</v>
      </c>
      <c r="W9" s="2">
        <f ca="1">IFERROR(__xludf.DUMMYFUNCTION("""COMPUTED_VALUE"""),225.53)</f>
        <v>225.53</v>
      </c>
      <c r="X9" s="2">
        <f ca="1">IFERROR(__xludf.DUMMYFUNCTION("""COMPUTED_VALUE"""),225.53)</f>
        <v>225.53</v>
      </c>
      <c r="Y9" s="2">
        <f ca="1">IFERROR(__xludf.DUMMYFUNCTION("""COMPUTED_VALUE"""),225.53)</f>
        <v>225.53</v>
      </c>
      <c r="Z9" s="1"/>
    </row>
    <row r="10" spans="1:26" x14ac:dyDescent="0.2">
      <c r="A10" s="1" t="str">
        <f ca="1">IFERROR(__xludf.DUMMYFUNCTION("""COMPUTED_VALUE"""),"Outros")</f>
        <v>Outros</v>
      </c>
      <c r="B10" s="2">
        <f ca="1">IFERROR(__xludf.DUMMYFUNCTION("""COMPUTED_VALUE"""),506.205)</f>
        <v>506.20499999999998</v>
      </c>
      <c r="C10" s="2">
        <f ca="1">IFERROR(__xludf.DUMMYFUNCTION("""COMPUTED_VALUE"""),509.015)</f>
        <v>509.01499999999999</v>
      </c>
      <c r="D10" s="2">
        <f ca="1">IFERROR(__xludf.DUMMYFUNCTION("""COMPUTED_VALUE"""),509.015)</f>
        <v>509.01499999999999</v>
      </c>
      <c r="E10" s="2">
        <f ca="1">IFERROR(__xludf.DUMMYFUNCTION("""COMPUTED_VALUE"""),509.015)</f>
        <v>509.01499999999999</v>
      </c>
      <c r="F10" s="2">
        <f ca="1">IFERROR(__xludf.DUMMYFUNCTION("""COMPUTED_VALUE"""),509.015)</f>
        <v>509.01499999999999</v>
      </c>
      <c r="G10" s="2">
        <f ca="1">IFERROR(__xludf.DUMMYFUNCTION("""COMPUTED_VALUE"""),509.015)</f>
        <v>509.01499999999999</v>
      </c>
      <c r="H10" s="2">
        <f ca="1">IFERROR(__xludf.DUMMYFUNCTION("""COMPUTED_VALUE"""),509.015)</f>
        <v>509.01499999999999</v>
      </c>
      <c r="I10" s="2">
        <f ca="1">IFERROR(__xludf.DUMMYFUNCTION("""COMPUTED_VALUE"""),473.941)</f>
        <v>473.94099999999997</v>
      </c>
      <c r="J10" s="2">
        <f ca="1">IFERROR(__xludf.DUMMYFUNCTION("""COMPUTED_VALUE"""),473.941)</f>
        <v>473.94099999999997</v>
      </c>
      <c r="K10" s="2">
        <f ca="1">IFERROR(__xludf.DUMMYFUNCTION("""COMPUTED_VALUE"""),473.941)</f>
        <v>473.94099999999997</v>
      </c>
      <c r="L10" s="2">
        <f ca="1">IFERROR(__xludf.DUMMYFUNCTION("""COMPUTED_VALUE"""),473.941)</f>
        <v>473.94099999999997</v>
      </c>
      <c r="M10" s="2">
        <f ca="1">IFERROR(__xludf.DUMMYFUNCTION("""COMPUTED_VALUE"""),473.941)</f>
        <v>473.94099999999997</v>
      </c>
      <c r="N10" s="2">
        <f ca="1">IFERROR(__xludf.DUMMYFUNCTION("""COMPUTED_VALUE"""),473.941)</f>
        <v>473.94099999999997</v>
      </c>
      <c r="O10" s="2">
        <f ca="1">IFERROR(__xludf.DUMMYFUNCTION("""COMPUTED_VALUE"""),473.941)</f>
        <v>473.94099999999997</v>
      </c>
      <c r="P10" s="2">
        <f ca="1">IFERROR(__xludf.DUMMYFUNCTION("""COMPUTED_VALUE"""),473.941)</f>
        <v>473.94099999999997</v>
      </c>
      <c r="Q10" s="2">
        <f ca="1">IFERROR(__xludf.DUMMYFUNCTION("""COMPUTED_VALUE"""),473.941)</f>
        <v>473.94099999999997</v>
      </c>
      <c r="R10" s="2">
        <f ca="1">IFERROR(__xludf.DUMMYFUNCTION("""COMPUTED_VALUE"""),473.941)</f>
        <v>473.94099999999997</v>
      </c>
      <c r="S10" s="2">
        <f ca="1">IFERROR(__xludf.DUMMYFUNCTION("""COMPUTED_VALUE"""),473.941)</f>
        <v>473.94099999999997</v>
      </c>
      <c r="T10" s="2">
        <f ca="1">IFERROR(__xludf.DUMMYFUNCTION("""COMPUTED_VALUE"""),473.941)</f>
        <v>473.94099999999997</v>
      </c>
      <c r="U10" s="2">
        <f ca="1">IFERROR(__xludf.DUMMYFUNCTION("""COMPUTED_VALUE"""),473.941)</f>
        <v>473.94099999999997</v>
      </c>
      <c r="V10" s="2">
        <f ca="1">IFERROR(__xludf.DUMMYFUNCTION("""COMPUTED_VALUE"""),473.941)</f>
        <v>473.94099999999997</v>
      </c>
      <c r="W10" s="2">
        <f ca="1">IFERROR(__xludf.DUMMYFUNCTION("""COMPUTED_VALUE"""),473.941)</f>
        <v>473.94099999999997</v>
      </c>
      <c r="X10" s="2">
        <f ca="1">IFERROR(__xludf.DUMMYFUNCTION("""COMPUTED_VALUE"""),473.941)</f>
        <v>473.94099999999997</v>
      </c>
      <c r="Y10" s="2">
        <f ca="1">IFERROR(__xludf.DUMMYFUNCTION("""COMPUTED_VALUE"""),473.941)</f>
        <v>473.94099999999997</v>
      </c>
      <c r="Z10" s="1"/>
    </row>
    <row r="11" spans="1:26" x14ac:dyDescent="0.2">
      <c r="A11" s="1" t="str">
        <f ca="1">IFERROR(__xludf.DUMMYFUNCTION("""COMPUTED_VALUE"""),"Morana Cris+Kelly")</f>
        <v>Morana Cris+Kelly</v>
      </c>
      <c r="B11" s="1"/>
      <c r="C11" s="1"/>
      <c r="D11" s="1"/>
      <c r="E11" s="2">
        <f ca="1">IFERROR(__xludf.DUMMYFUNCTION("""COMPUTED_VALUE"""),59.9)</f>
        <v>59.9</v>
      </c>
      <c r="F11" s="2">
        <f ca="1">IFERROR(__xludf.DUMMYFUNCTION("""COMPUTED_VALUE"""),59.9)</f>
        <v>59.9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 t="str">
        <f ca="1">IFERROR(__xludf.DUMMYFUNCTION("""COMPUTED_VALUE"""),"Sapateira")</f>
        <v>Sapateira</v>
      </c>
      <c r="B12" s="1"/>
      <c r="C12" s="1"/>
      <c r="D12" s="1"/>
      <c r="E12" s="2">
        <f ca="1">IFERROR(__xludf.DUMMYFUNCTION("""COMPUTED_VALUE"""),64.59)</f>
        <v>64.59</v>
      </c>
      <c r="F12" s="2">
        <f ca="1">IFERROR(__xludf.DUMMYFUNCTION("""COMPUTED_VALUE"""),64.59)</f>
        <v>64.59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 t="str">
        <f ca="1">IFERROR(__xludf.DUMMYFUNCTION("""COMPUTED_VALUE"""),"Quadros Bianca")</f>
        <v>Quadros Bianca</v>
      </c>
      <c r="B13" s="1"/>
      <c r="C13" s="1"/>
      <c r="D13" s="1"/>
      <c r="E13" s="2">
        <f ca="1">IFERROR(__xludf.DUMMYFUNCTION("""COMPUTED_VALUE"""),73.3)</f>
        <v>73.3</v>
      </c>
      <c r="F13" s="2">
        <f ca="1">IFERROR(__xludf.DUMMYFUNCTION("""COMPUTED_VALUE"""),73.3)</f>
        <v>73.3</v>
      </c>
      <c r="G13" s="2">
        <f ca="1">IFERROR(__xludf.DUMMYFUNCTION("""COMPUTED_VALUE"""),73.3)</f>
        <v>73.3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 t="str">
        <f ca="1">IFERROR(__xludf.DUMMYFUNCTION("""COMPUTED_VALUE"""),"Cueca Mash")</f>
        <v>Cueca Mash</v>
      </c>
      <c r="B14" s="1"/>
      <c r="C14" s="1"/>
      <c r="D14" s="1"/>
      <c r="E14" s="2">
        <f ca="1">IFERROR(__xludf.DUMMYFUNCTION("""COMPUTED_VALUE"""),74.95)</f>
        <v>74.95</v>
      </c>
      <c r="F14" s="2">
        <f ca="1">IFERROR(__xludf.DUMMYFUNCTION("""COMPUTED_VALUE"""),74.95)</f>
        <v>74.95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 t="str">
        <f ca="1">IFERROR(__xludf.DUMMYFUNCTION("""COMPUTED_VALUE"""),"Kit Mustela")</f>
        <v>Kit Mustela</v>
      </c>
      <c r="B15" s="1"/>
      <c r="C15" s="1"/>
      <c r="D15" s="1"/>
      <c r="E15" s="2">
        <f ca="1">IFERROR(__xludf.DUMMYFUNCTION("""COMPUTED_VALUE"""),84.54)</f>
        <v>84.54</v>
      </c>
      <c r="F15" s="2">
        <f ca="1">IFERROR(__xludf.DUMMYFUNCTION("""COMPUTED_VALUE"""),84.54)</f>
        <v>84.54</v>
      </c>
      <c r="G15" s="2">
        <f ca="1">IFERROR(__xludf.DUMMYFUNCTION("""COMPUTED_VALUE"""),84.54)</f>
        <v>84.54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 t="str">
        <f ca="1">IFERROR(__xludf.DUMMYFUNCTION("""COMPUTED_VALUE"""),"Track&amp;Field")</f>
        <v>Track&amp;Field</v>
      </c>
      <c r="B16" s="1"/>
      <c r="C16" s="1"/>
      <c r="D16" s="1"/>
      <c r="E16" s="1"/>
      <c r="F16" s="1"/>
      <c r="G16" s="1"/>
      <c r="H16" s="1"/>
      <c r="I16" s="2">
        <f ca="1">IFERROR(__xludf.DUMMYFUNCTION("""COMPUTED_VALUE"""),267.78)</f>
        <v>267.77999999999997</v>
      </c>
      <c r="J16" s="2">
        <f ca="1">IFERROR(__xludf.DUMMYFUNCTION("""COMPUTED_VALUE"""),267.78)</f>
        <v>267.77999999999997</v>
      </c>
      <c r="K16" s="2">
        <f ca="1">IFERROR(__xludf.DUMMYFUNCTION("""COMPUTED_VALUE"""),267.78)</f>
        <v>267.77999999999997</v>
      </c>
      <c r="L16" s="2">
        <f ca="1">IFERROR(__xludf.DUMMYFUNCTION("""COMPUTED_VALUE"""),267.78)</f>
        <v>267.77999999999997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 t="str">
        <f ca="1">IFERROR(__xludf.DUMMYFUNCTION("""COMPUTED_VALUE"""),"Bianca - Parto")</f>
        <v>Bianca - Parto</v>
      </c>
      <c r="B17" s="1"/>
      <c r="C17" s="1"/>
      <c r="D17" s="1"/>
      <c r="E17" s="1"/>
      <c r="F17" s="1"/>
      <c r="G17" s="2">
        <f ca="1">IFERROR(__xludf.DUMMYFUNCTION("""COMPUTED_VALUE"""),696)</f>
        <v>696</v>
      </c>
      <c r="H17" s="2">
        <f ca="1">IFERROR(__xludf.DUMMYFUNCTION("""COMPUTED_VALUE"""),696)</f>
        <v>696</v>
      </c>
      <c r="I17" s="2">
        <f ca="1">IFERROR(__xludf.DUMMYFUNCTION("""COMPUTED_VALUE"""),696)</f>
        <v>696</v>
      </c>
      <c r="J17" s="2">
        <f ca="1">IFERROR(__xludf.DUMMYFUNCTION("""COMPUTED_VALUE"""),696)</f>
        <v>696</v>
      </c>
      <c r="K17" s="2">
        <f ca="1">IFERROR(__xludf.DUMMYFUNCTION("""COMPUTED_VALUE"""),696)</f>
        <v>696</v>
      </c>
      <c r="L17" s="2">
        <f ca="1">IFERROR(__xludf.DUMMYFUNCTION("""COMPUTED_VALUE"""),696)</f>
        <v>696</v>
      </c>
      <c r="M17" s="2">
        <f ca="1">IFERROR(__xludf.DUMMYFUNCTION("""COMPUTED_VALUE"""),696)</f>
        <v>696</v>
      </c>
      <c r="N17" s="2">
        <f ca="1">IFERROR(__xludf.DUMMYFUNCTION("""COMPUTED_VALUE"""),696)</f>
        <v>696</v>
      </c>
      <c r="O17" s="2">
        <f ca="1">IFERROR(__xludf.DUMMYFUNCTION("""COMPUTED_VALUE"""),696)</f>
        <v>696</v>
      </c>
      <c r="P17" s="2">
        <f ca="1">IFERROR(__xludf.DUMMYFUNCTION("""COMPUTED_VALUE"""),696)</f>
        <v>696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 t="str">
        <f ca="1">IFERROR(__xludf.DUMMYFUNCTION("""COMPUTED_VALUE"""),"Bianca - Vacinas")</f>
        <v>Bianca - Vacinas</v>
      </c>
      <c r="B18" s="1"/>
      <c r="C18" s="1"/>
      <c r="D18" s="1"/>
      <c r="E18" s="1"/>
      <c r="F18" s="1"/>
      <c r="G18" s="1"/>
      <c r="H18" s="1"/>
      <c r="I18" s="2">
        <f ca="1">IFERROR(__xludf.DUMMYFUNCTION("""COMPUTED_VALUE"""),1350)</f>
        <v>1350</v>
      </c>
      <c r="J18" s="2">
        <f ca="1">IFERROR(__xludf.DUMMYFUNCTION("""COMPUTED_VALUE"""),1350)</f>
        <v>1350</v>
      </c>
      <c r="K18" s="2">
        <f ca="1">IFERROR(__xludf.DUMMYFUNCTION("""COMPUTED_VALUE"""),1350)</f>
        <v>1350</v>
      </c>
      <c r="L18" s="2">
        <f ca="1">IFERROR(__xludf.DUMMYFUNCTION("""COMPUTED_VALUE"""),1350)</f>
        <v>1350</v>
      </c>
      <c r="M18" s="2">
        <f ca="1">IFERROR(__xludf.DUMMYFUNCTION("""COMPUTED_VALUE"""),1350)</f>
        <v>1350</v>
      </c>
      <c r="N18" s="2">
        <f ca="1">IFERROR(__xludf.DUMMYFUNCTION("""COMPUTED_VALUE"""),1350)</f>
        <v>1350</v>
      </c>
      <c r="O18" s="2">
        <f ca="1">IFERROR(__xludf.DUMMYFUNCTION("""COMPUTED_VALUE"""),1350)</f>
        <v>1350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 t="str">
        <f ca="1">IFERROR(__xludf.DUMMYFUNCTION("""COMPUTED_VALUE"""),"TOTAL")</f>
        <v>TOTAL</v>
      </c>
      <c r="B31" s="2">
        <f ca="1">IFERROR(__xludf.DUMMYFUNCTION("""COMPUTED_VALUE"""),5568.255)</f>
        <v>5568.2550000000001</v>
      </c>
      <c r="C31" s="2">
        <f ca="1">IFERROR(__xludf.DUMMYFUNCTION("""COMPUTED_VALUE"""),5599.165)</f>
        <v>5599.165</v>
      </c>
      <c r="D31" s="2">
        <f ca="1">IFERROR(__xludf.DUMMYFUNCTION("""COMPUTED_VALUE"""),5599.165)</f>
        <v>5599.165</v>
      </c>
      <c r="E31" s="2">
        <f ca="1">IFERROR(__xludf.DUMMYFUNCTION("""COMPUTED_VALUE"""),5599.165)</f>
        <v>5599.165</v>
      </c>
      <c r="F31" s="2">
        <f ca="1">IFERROR(__xludf.DUMMYFUNCTION("""COMPUTED_VALUE"""),5599.165)</f>
        <v>5599.165</v>
      </c>
      <c r="G31" s="2">
        <f ca="1">IFERROR(__xludf.DUMMYFUNCTION("""COMPUTED_VALUE"""),5943.99)</f>
        <v>5943.99</v>
      </c>
      <c r="H31" s="2">
        <f ca="1">IFERROR(__xludf.DUMMYFUNCTION("""COMPUTED_VALUE"""),5786.15)</f>
        <v>5786.15</v>
      </c>
      <c r="I31" s="2">
        <f ca="1">IFERROR(__xludf.DUMMYFUNCTION("""COMPUTED_VALUE"""),7053.19)</f>
        <v>7053.19</v>
      </c>
      <c r="J31" s="2">
        <f ca="1">IFERROR(__xludf.DUMMYFUNCTION("""COMPUTED_VALUE"""),7053.19)</f>
        <v>7053.19</v>
      </c>
      <c r="K31" s="2">
        <f ca="1">IFERROR(__xludf.DUMMYFUNCTION("""COMPUTED_VALUE"""),7053.19)</f>
        <v>7053.19</v>
      </c>
      <c r="L31" s="2">
        <f ca="1">IFERROR(__xludf.DUMMYFUNCTION("""COMPUTED_VALUE"""),7053.19)</f>
        <v>7053.19</v>
      </c>
      <c r="M31" s="2">
        <f ca="1">IFERROR(__xludf.DUMMYFUNCTION("""COMPUTED_VALUE"""),6785.41)</f>
        <v>6785.41</v>
      </c>
      <c r="N31" s="2">
        <f ca="1">IFERROR(__xludf.DUMMYFUNCTION("""COMPUTED_VALUE"""),6785.41)</f>
        <v>6785.41</v>
      </c>
      <c r="O31" s="2">
        <f ca="1">IFERROR(__xludf.DUMMYFUNCTION("""COMPUTED_VALUE"""),6785.41)</f>
        <v>6785.41</v>
      </c>
      <c r="P31" s="2">
        <f ca="1">IFERROR(__xludf.DUMMYFUNCTION("""COMPUTED_VALUE"""),5435.41)</f>
        <v>5435.41</v>
      </c>
      <c r="Q31" s="2">
        <f ca="1">IFERROR(__xludf.DUMMYFUNCTION("""COMPUTED_VALUE"""),5213.351)</f>
        <v>5213.3509999999997</v>
      </c>
      <c r="R31" s="2">
        <f ca="1">IFERROR(__xludf.DUMMYFUNCTION("""COMPUTED_VALUE"""),5213.351)</f>
        <v>5213.3509999999997</v>
      </c>
      <c r="S31" s="2">
        <f ca="1">IFERROR(__xludf.DUMMYFUNCTION("""COMPUTED_VALUE"""),5213.351)</f>
        <v>5213.3509999999997</v>
      </c>
      <c r="T31" s="2">
        <f ca="1">IFERROR(__xludf.DUMMYFUNCTION("""COMPUTED_VALUE"""),5213.351)</f>
        <v>5213.3509999999997</v>
      </c>
      <c r="U31" s="2">
        <f ca="1">IFERROR(__xludf.DUMMYFUNCTION("""COMPUTED_VALUE"""),5213.351)</f>
        <v>5213.3509999999997</v>
      </c>
      <c r="V31" s="2">
        <f ca="1">IFERROR(__xludf.DUMMYFUNCTION("""COMPUTED_VALUE"""),5213.351)</f>
        <v>5213.3509999999997</v>
      </c>
      <c r="W31" s="2">
        <f ca="1">IFERROR(__xludf.DUMMYFUNCTION("""COMPUTED_VALUE"""),5213.351)</f>
        <v>5213.3509999999997</v>
      </c>
      <c r="X31" s="2">
        <f ca="1">IFERROR(__xludf.DUMMYFUNCTION("""COMPUTED_VALUE"""),5213.351)</f>
        <v>5213.3509999999997</v>
      </c>
      <c r="Y31" s="2">
        <f ca="1">IFERROR(__xludf.DUMMYFUNCTION("""COMPUTED_VALUE"""),5213.351)</f>
        <v>5213.3509999999997</v>
      </c>
      <c r="Z31" s="1"/>
    </row>
    <row r="32" spans="1:26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Consolidado</vt:lpstr>
      <vt:lpstr>Ações</vt:lpstr>
      <vt:lpstr>Proventos</vt:lpstr>
      <vt:lpstr>Cartão</vt:lpstr>
      <vt:lpstr>Cartão-Detalhe</vt:lpstr>
      <vt:lpstr>Cartão-Forecast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Fabrício Alves Silva</cp:lastModifiedBy>
  <dcterms:modified xsi:type="dcterms:W3CDTF">2025-08-23T18:25:44Z</dcterms:modified>
</cp:coreProperties>
</file>