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029"/>
  <workbookPr/>
  <mc:AlternateContent xmlns:mc="http://schemas.openxmlformats.org/markup-compatibility/2006">
    <mc:Choice Requires="x15">
      <x15ac:absPath xmlns:x15ac="http://schemas.microsoft.com/office/spreadsheetml/2010/11/ac" url="C:\dti\FinancasPessoais\"/>
    </mc:Choice>
  </mc:AlternateContent>
  <xr:revisionPtr revIDLastSave="0" documentId="13_ncr:1_{46D5DEE3-9952-4EA9-B648-3BB5276D6B25}" xr6:coauthVersionLast="47" xr6:coauthVersionMax="47" xr10:uidLastSave="{00000000-0000-0000-0000-000000000000}"/>
  <bookViews>
    <workbookView xWindow="-120" yWindow="-120" windowWidth="20730" windowHeight="11040" activeTab="2" xr2:uid="{00000000-000D-0000-FFFF-FFFF00000000}"/>
  </bookViews>
  <sheets>
    <sheet name="Consolidado" sheetId="1" r:id="rId1"/>
    <sheet name="Ações" sheetId="2" r:id="rId2"/>
    <sheet name="Proventos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8" i="3" l="1"/>
  <c r="P8" i="3"/>
  <c r="O8" i="3"/>
  <c r="N8" i="3"/>
  <c r="M8" i="3"/>
  <c r="L8" i="3"/>
  <c r="K8" i="3"/>
  <c r="J8" i="3"/>
  <c r="I8" i="3"/>
  <c r="H8" i="3"/>
  <c r="G8" i="3"/>
  <c r="F8" i="3"/>
  <c r="E8" i="3"/>
  <c r="D8" i="3"/>
  <c r="C8" i="3"/>
  <c r="B8" i="3"/>
  <c r="A8" i="3"/>
  <c r="Q7" i="3"/>
  <c r="P7" i="3"/>
  <c r="O7" i="3"/>
  <c r="N7" i="3"/>
  <c r="M7" i="3"/>
  <c r="L7" i="3"/>
  <c r="K7" i="3"/>
  <c r="J7" i="3"/>
  <c r="I7" i="3"/>
  <c r="H7" i="3"/>
  <c r="G7" i="3"/>
  <c r="F7" i="3"/>
  <c r="E7" i="3"/>
  <c r="D7" i="3"/>
  <c r="C7" i="3"/>
  <c r="B7" i="3"/>
  <c r="A7" i="3"/>
  <c r="Q6" i="3"/>
  <c r="P6" i="3"/>
  <c r="O6" i="3"/>
  <c r="N6" i="3"/>
  <c r="M6" i="3"/>
  <c r="L6" i="3"/>
  <c r="K6" i="3"/>
  <c r="J6" i="3"/>
  <c r="I6" i="3"/>
  <c r="H6" i="3"/>
  <c r="G6" i="3"/>
  <c r="F6" i="3"/>
  <c r="E6" i="3"/>
  <c r="D6" i="3"/>
  <c r="C6" i="3"/>
  <c r="B6" i="3"/>
  <c r="A6" i="3"/>
  <c r="Q5" i="3"/>
  <c r="P5" i="3"/>
  <c r="O5" i="3"/>
  <c r="N5" i="3"/>
  <c r="M5" i="3"/>
  <c r="L5" i="3"/>
  <c r="K5" i="3"/>
  <c r="J5" i="3"/>
  <c r="I5" i="3"/>
  <c r="H5" i="3"/>
  <c r="G5" i="3"/>
  <c r="F5" i="3"/>
  <c r="E5" i="3"/>
  <c r="D5" i="3"/>
  <c r="C5" i="3"/>
  <c r="B5" i="3"/>
  <c r="A5" i="3"/>
  <c r="Q4" i="3"/>
  <c r="P4" i="3"/>
  <c r="O4" i="3"/>
  <c r="N4" i="3"/>
  <c r="M4" i="3"/>
  <c r="L4" i="3"/>
  <c r="K4" i="3"/>
  <c r="J4" i="3"/>
  <c r="I4" i="3"/>
  <c r="H4" i="3"/>
  <c r="G4" i="3"/>
  <c r="F4" i="3"/>
  <c r="E4" i="3"/>
  <c r="D4" i="3"/>
  <c r="C4" i="3"/>
  <c r="B4" i="3"/>
  <c r="A4" i="3"/>
  <c r="Q3" i="3"/>
  <c r="P3" i="3"/>
  <c r="O3" i="3"/>
  <c r="N3" i="3"/>
  <c r="M3" i="3"/>
  <c r="L3" i="3"/>
  <c r="K3" i="3"/>
  <c r="J3" i="3"/>
  <c r="I3" i="3"/>
  <c r="H3" i="3"/>
  <c r="G3" i="3"/>
  <c r="F3" i="3"/>
  <c r="E3" i="3"/>
  <c r="D3" i="3"/>
  <c r="C3" i="3"/>
  <c r="B3" i="3"/>
  <c r="A3" i="3"/>
  <c r="Q2" i="3"/>
  <c r="P2" i="3"/>
  <c r="O2" i="3"/>
  <c r="N2" i="3"/>
  <c r="M2" i="3"/>
  <c r="L2" i="3"/>
  <c r="K2" i="3"/>
  <c r="J2" i="3"/>
  <c r="I2" i="3"/>
  <c r="H2" i="3"/>
  <c r="G2" i="3"/>
  <c r="F2" i="3"/>
  <c r="E2" i="3"/>
  <c r="D2" i="3"/>
  <c r="C2" i="3"/>
  <c r="B2" i="3"/>
  <c r="A2" i="3"/>
  <c r="Q1" i="3"/>
  <c r="P1" i="3"/>
  <c r="O1" i="3"/>
  <c r="N1" i="3"/>
  <c r="M1" i="3"/>
  <c r="L1" i="3"/>
  <c r="K1" i="3"/>
  <c r="J1" i="3"/>
  <c r="I1" i="3"/>
  <c r="H1" i="3"/>
  <c r="G1" i="3"/>
  <c r="F1" i="3"/>
  <c r="E1" i="3"/>
  <c r="D1" i="3"/>
  <c r="C1" i="3"/>
  <c r="B1" i="3"/>
  <c r="A1" i="3"/>
  <c r="H14" i="2"/>
  <c r="F14" i="2"/>
  <c r="E14" i="2"/>
  <c r="D14" i="2"/>
  <c r="K11" i="2"/>
  <c r="J11" i="2"/>
  <c r="I11" i="2"/>
  <c r="H11" i="2"/>
  <c r="G11" i="2"/>
  <c r="F11" i="2"/>
  <c r="E11" i="2"/>
  <c r="D11" i="2"/>
  <c r="C11" i="2"/>
  <c r="B11" i="2"/>
  <c r="A11" i="2"/>
  <c r="K10" i="2"/>
  <c r="J10" i="2"/>
  <c r="I10" i="2"/>
  <c r="H10" i="2"/>
  <c r="G10" i="2"/>
  <c r="F10" i="2"/>
  <c r="E10" i="2"/>
  <c r="D10" i="2"/>
  <c r="C10" i="2"/>
  <c r="B10" i="2"/>
  <c r="A10" i="2"/>
  <c r="K9" i="2"/>
  <c r="J9" i="2"/>
  <c r="I9" i="2"/>
  <c r="H9" i="2"/>
  <c r="G9" i="2"/>
  <c r="F9" i="2"/>
  <c r="E9" i="2"/>
  <c r="D9" i="2"/>
  <c r="C9" i="2"/>
  <c r="B9" i="2"/>
  <c r="A9" i="2"/>
  <c r="K8" i="2"/>
  <c r="J8" i="2"/>
  <c r="I8" i="2"/>
  <c r="H8" i="2"/>
  <c r="G8" i="2"/>
  <c r="F8" i="2"/>
  <c r="E8" i="2"/>
  <c r="D8" i="2"/>
  <c r="C8" i="2"/>
  <c r="B8" i="2"/>
  <c r="A8" i="2"/>
  <c r="K7" i="2"/>
  <c r="J7" i="2"/>
  <c r="I7" i="2"/>
  <c r="H7" i="2"/>
  <c r="G7" i="2"/>
  <c r="F7" i="2"/>
  <c r="E7" i="2"/>
  <c r="D7" i="2"/>
  <c r="C7" i="2"/>
  <c r="B7" i="2"/>
  <c r="A7" i="2"/>
  <c r="K6" i="2"/>
  <c r="J6" i="2"/>
  <c r="I6" i="2"/>
  <c r="H6" i="2"/>
  <c r="G6" i="2"/>
  <c r="F6" i="2"/>
  <c r="E6" i="2"/>
  <c r="D6" i="2"/>
  <c r="C6" i="2"/>
  <c r="B6" i="2"/>
  <c r="A6" i="2"/>
  <c r="K5" i="2"/>
  <c r="J5" i="2"/>
  <c r="I5" i="2"/>
  <c r="H5" i="2"/>
  <c r="G5" i="2"/>
  <c r="F5" i="2"/>
  <c r="E5" i="2"/>
  <c r="D5" i="2"/>
  <c r="C5" i="2"/>
  <c r="B5" i="2"/>
  <c r="A5" i="2"/>
  <c r="K4" i="2"/>
  <c r="J4" i="2"/>
  <c r="I4" i="2"/>
  <c r="H4" i="2"/>
  <c r="G4" i="2"/>
  <c r="F4" i="2"/>
  <c r="E4" i="2"/>
  <c r="D4" i="2"/>
  <c r="C4" i="2"/>
  <c r="B4" i="2"/>
  <c r="A4" i="2"/>
  <c r="K3" i="2"/>
  <c r="J3" i="2"/>
  <c r="I3" i="2"/>
  <c r="H3" i="2"/>
  <c r="G3" i="2"/>
  <c r="F3" i="2"/>
  <c r="E3" i="2"/>
  <c r="D3" i="2"/>
  <c r="C3" i="2"/>
  <c r="B3" i="2"/>
  <c r="A3" i="2"/>
  <c r="K2" i="2"/>
  <c r="J2" i="2"/>
  <c r="I2" i="2"/>
  <c r="H2" i="2"/>
  <c r="G2" i="2"/>
  <c r="F2" i="2"/>
  <c r="E2" i="2"/>
  <c r="D2" i="2"/>
  <c r="C2" i="2"/>
  <c r="B2" i="2"/>
  <c r="A2" i="2"/>
  <c r="K1" i="2"/>
  <c r="J1" i="2"/>
  <c r="I1" i="2"/>
  <c r="H1" i="2"/>
  <c r="G1" i="2"/>
  <c r="F1" i="2"/>
  <c r="E1" i="2"/>
  <c r="D1" i="2"/>
  <c r="C1" i="2"/>
  <c r="B1" i="2"/>
  <c r="A1" i="2"/>
  <c r="N33" i="1"/>
  <c r="M33" i="1"/>
  <c r="L33" i="1"/>
  <c r="K33" i="1"/>
  <c r="J33" i="1"/>
  <c r="I33" i="1"/>
  <c r="H33" i="1"/>
  <c r="G33" i="1"/>
  <c r="F33" i="1"/>
  <c r="E33" i="1"/>
  <c r="D33" i="1"/>
  <c r="C33" i="1"/>
  <c r="B33" i="1"/>
  <c r="A33" i="1"/>
  <c r="N32" i="1"/>
  <c r="M32" i="1"/>
  <c r="L32" i="1"/>
  <c r="K32" i="1"/>
  <c r="J32" i="1"/>
  <c r="I32" i="1"/>
  <c r="H32" i="1"/>
  <c r="G32" i="1"/>
  <c r="F32" i="1"/>
  <c r="E32" i="1"/>
  <c r="D32" i="1"/>
  <c r="C32" i="1"/>
  <c r="B32" i="1"/>
  <c r="A32" i="1"/>
  <c r="N31" i="1"/>
  <c r="M31" i="1"/>
  <c r="L31" i="1"/>
  <c r="K31" i="1"/>
  <c r="J31" i="1"/>
  <c r="I31" i="1"/>
  <c r="H31" i="1"/>
  <c r="G31" i="1"/>
  <c r="F31" i="1"/>
  <c r="E31" i="1"/>
  <c r="D31" i="1"/>
  <c r="C31" i="1"/>
  <c r="B31" i="1"/>
  <c r="A31" i="1"/>
  <c r="N30" i="1"/>
  <c r="M30" i="1"/>
  <c r="L30" i="1"/>
  <c r="K30" i="1"/>
  <c r="J30" i="1"/>
  <c r="I30" i="1"/>
  <c r="H30" i="1"/>
  <c r="G30" i="1"/>
  <c r="F30" i="1"/>
  <c r="E30" i="1"/>
  <c r="D30" i="1"/>
  <c r="C30" i="1"/>
  <c r="B30" i="1"/>
  <c r="A30" i="1"/>
  <c r="J29" i="1"/>
  <c r="B29" i="1"/>
  <c r="A29" i="1"/>
  <c r="J28" i="1"/>
  <c r="B28" i="1"/>
  <c r="A28" i="1"/>
  <c r="J27" i="1"/>
  <c r="B27" i="1"/>
  <c r="A27" i="1"/>
  <c r="N26" i="1"/>
  <c r="M26" i="1"/>
  <c r="L26" i="1"/>
  <c r="K26" i="1"/>
  <c r="J26" i="1"/>
  <c r="I26" i="1"/>
  <c r="H26" i="1"/>
  <c r="G26" i="1"/>
  <c r="F26" i="1"/>
  <c r="E26" i="1"/>
  <c r="D26" i="1"/>
  <c r="C26" i="1"/>
  <c r="B26" i="1"/>
  <c r="A26" i="1"/>
  <c r="N25" i="1"/>
  <c r="M25" i="1"/>
  <c r="L25" i="1"/>
  <c r="K25" i="1"/>
  <c r="J25" i="1"/>
  <c r="I25" i="1"/>
  <c r="H25" i="1"/>
  <c r="G25" i="1"/>
  <c r="F25" i="1"/>
  <c r="E25" i="1"/>
  <c r="D25" i="1"/>
  <c r="C25" i="1"/>
  <c r="B25" i="1"/>
  <c r="A25" i="1"/>
  <c r="N24" i="1"/>
  <c r="M24" i="1"/>
  <c r="L24" i="1"/>
  <c r="K24" i="1"/>
  <c r="J24" i="1"/>
  <c r="I24" i="1"/>
  <c r="H24" i="1"/>
  <c r="G24" i="1"/>
  <c r="F24" i="1"/>
  <c r="E24" i="1"/>
  <c r="D24" i="1"/>
  <c r="C24" i="1"/>
  <c r="B24" i="1"/>
  <c r="A24" i="1"/>
  <c r="N23" i="1"/>
  <c r="M23" i="1"/>
  <c r="L23" i="1"/>
  <c r="K23" i="1"/>
  <c r="J23" i="1"/>
  <c r="I23" i="1"/>
  <c r="H23" i="1"/>
  <c r="G23" i="1"/>
  <c r="F23" i="1"/>
  <c r="E23" i="1"/>
  <c r="D23" i="1"/>
  <c r="C23" i="1"/>
  <c r="B23" i="1"/>
  <c r="A23" i="1"/>
  <c r="N22" i="1"/>
  <c r="M22" i="1"/>
  <c r="L22" i="1"/>
  <c r="K22" i="1"/>
  <c r="J22" i="1"/>
  <c r="I22" i="1"/>
  <c r="H22" i="1"/>
  <c r="G22" i="1"/>
  <c r="F22" i="1"/>
  <c r="E22" i="1"/>
  <c r="D22" i="1"/>
  <c r="C22" i="1"/>
  <c r="B22" i="1"/>
  <c r="A22" i="1"/>
  <c r="N21" i="1"/>
  <c r="M21" i="1"/>
  <c r="L21" i="1"/>
  <c r="K21" i="1"/>
  <c r="J21" i="1"/>
  <c r="I21" i="1"/>
  <c r="H21" i="1"/>
  <c r="G21" i="1"/>
  <c r="F21" i="1"/>
  <c r="E21" i="1"/>
  <c r="D21" i="1"/>
  <c r="C21" i="1"/>
  <c r="B21" i="1"/>
  <c r="A21" i="1"/>
  <c r="N20" i="1"/>
  <c r="M20" i="1"/>
  <c r="L20" i="1"/>
  <c r="K20" i="1"/>
  <c r="J20" i="1"/>
  <c r="I20" i="1"/>
  <c r="H20" i="1"/>
  <c r="G20" i="1"/>
  <c r="F20" i="1"/>
  <c r="E20" i="1"/>
  <c r="D20" i="1"/>
  <c r="C20" i="1"/>
  <c r="B20" i="1"/>
  <c r="A20" i="1"/>
  <c r="N19" i="1"/>
  <c r="M19" i="1"/>
  <c r="L19" i="1"/>
  <c r="K19" i="1"/>
  <c r="J19" i="1"/>
  <c r="I19" i="1"/>
  <c r="H19" i="1"/>
  <c r="G19" i="1"/>
  <c r="F19" i="1"/>
  <c r="E19" i="1"/>
  <c r="D19" i="1"/>
  <c r="C19" i="1"/>
  <c r="B19" i="1"/>
  <c r="A19" i="1"/>
  <c r="N18" i="1"/>
  <c r="M18" i="1"/>
  <c r="L18" i="1"/>
  <c r="K18" i="1"/>
  <c r="J18" i="1"/>
  <c r="I18" i="1"/>
  <c r="H18" i="1"/>
  <c r="G18" i="1"/>
  <c r="F18" i="1"/>
  <c r="E18" i="1"/>
  <c r="D18" i="1"/>
  <c r="C18" i="1"/>
  <c r="B18" i="1"/>
  <c r="A18" i="1"/>
  <c r="N17" i="1"/>
  <c r="M17" i="1"/>
  <c r="L17" i="1"/>
  <c r="K17" i="1"/>
  <c r="J17" i="1"/>
  <c r="I17" i="1"/>
  <c r="H17" i="1"/>
  <c r="G17" i="1"/>
  <c r="F17" i="1"/>
  <c r="E17" i="1"/>
  <c r="D17" i="1"/>
  <c r="C17" i="1"/>
  <c r="B17" i="1"/>
  <c r="A17" i="1"/>
  <c r="N16" i="1"/>
  <c r="M16" i="1"/>
  <c r="L16" i="1"/>
  <c r="K16" i="1"/>
  <c r="J16" i="1"/>
  <c r="I16" i="1"/>
  <c r="H16" i="1"/>
  <c r="G16" i="1"/>
  <c r="F16" i="1"/>
  <c r="E16" i="1"/>
  <c r="D16" i="1"/>
  <c r="C16" i="1"/>
  <c r="B16" i="1"/>
  <c r="A16" i="1"/>
  <c r="N15" i="1"/>
  <c r="M15" i="1"/>
  <c r="L15" i="1"/>
  <c r="K15" i="1"/>
  <c r="J15" i="1"/>
  <c r="I15" i="1"/>
  <c r="H15" i="1"/>
  <c r="G15" i="1"/>
  <c r="F15" i="1"/>
  <c r="E15" i="1"/>
  <c r="D15" i="1"/>
  <c r="C15" i="1"/>
  <c r="B15" i="1"/>
  <c r="A15" i="1"/>
  <c r="N14" i="1"/>
  <c r="M14" i="1"/>
  <c r="L14" i="1"/>
  <c r="K14" i="1"/>
  <c r="J14" i="1"/>
  <c r="I14" i="1"/>
  <c r="H14" i="1"/>
  <c r="G14" i="1"/>
  <c r="F14" i="1"/>
  <c r="E14" i="1"/>
  <c r="D14" i="1"/>
  <c r="C14" i="1"/>
  <c r="B14" i="1"/>
  <c r="A14" i="1"/>
  <c r="N13" i="1"/>
  <c r="M13" i="1"/>
  <c r="L13" i="1"/>
  <c r="K13" i="1"/>
  <c r="J13" i="1"/>
  <c r="I13" i="1"/>
  <c r="H13" i="1"/>
  <c r="G13" i="1"/>
  <c r="F13" i="1"/>
  <c r="E13" i="1"/>
  <c r="D13" i="1"/>
  <c r="C13" i="1"/>
  <c r="B13" i="1"/>
  <c r="A13" i="1"/>
  <c r="N12" i="1"/>
  <c r="M12" i="1"/>
  <c r="L12" i="1"/>
  <c r="K12" i="1"/>
  <c r="J12" i="1"/>
  <c r="I12" i="1"/>
  <c r="H12" i="1"/>
  <c r="G12" i="1"/>
  <c r="F12" i="1"/>
  <c r="E12" i="1"/>
  <c r="D12" i="1"/>
  <c r="C12" i="1"/>
  <c r="B12" i="1"/>
  <c r="A12" i="1"/>
  <c r="N11" i="1"/>
  <c r="M11" i="1"/>
  <c r="L11" i="1"/>
  <c r="K11" i="1"/>
  <c r="J11" i="1"/>
  <c r="I11" i="1"/>
  <c r="H11" i="1"/>
  <c r="G11" i="1"/>
  <c r="F11" i="1"/>
  <c r="E11" i="1"/>
  <c r="D11" i="1"/>
  <c r="C11" i="1"/>
  <c r="B11" i="1"/>
  <c r="A11" i="1"/>
  <c r="N10" i="1"/>
  <c r="M10" i="1"/>
  <c r="L10" i="1"/>
  <c r="K10" i="1"/>
  <c r="I10" i="1"/>
  <c r="H10" i="1"/>
  <c r="G10" i="1"/>
  <c r="F10" i="1"/>
  <c r="E10" i="1"/>
  <c r="D10" i="1"/>
  <c r="C10" i="1"/>
  <c r="B10" i="1"/>
  <c r="A10" i="1"/>
  <c r="N9" i="1"/>
  <c r="M9" i="1"/>
  <c r="L9" i="1"/>
  <c r="K9" i="1"/>
  <c r="J9" i="1"/>
  <c r="I9" i="1"/>
  <c r="H9" i="1"/>
  <c r="G9" i="1"/>
  <c r="F9" i="1"/>
  <c r="E9" i="1"/>
  <c r="D9" i="1"/>
  <c r="C9" i="1"/>
  <c r="B9" i="1"/>
  <c r="A9" i="1"/>
  <c r="N8" i="1"/>
  <c r="M8" i="1"/>
  <c r="L8" i="1"/>
  <c r="K8" i="1"/>
  <c r="J8" i="1"/>
  <c r="I8" i="1"/>
  <c r="H8" i="1"/>
  <c r="G8" i="1"/>
  <c r="F8" i="1"/>
  <c r="E8" i="1"/>
  <c r="D8" i="1"/>
  <c r="C8" i="1"/>
  <c r="B8" i="1"/>
  <c r="A8" i="1"/>
  <c r="N7" i="1"/>
  <c r="M7" i="1"/>
  <c r="L7" i="1"/>
  <c r="K7" i="1"/>
  <c r="J7" i="1"/>
  <c r="I7" i="1"/>
  <c r="H7" i="1"/>
  <c r="G7" i="1"/>
  <c r="F7" i="1"/>
  <c r="E7" i="1"/>
  <c r="D7" i="1"/>
  <c r="C7" i="1"/>
  <c r="B7" i="1"/>
  <c r="A7" i="1"/>
  <c r="N6" i="1"/>
  <c r="M6" i="1"/>
  <c r="L6" i="1"/>
  <c r="K6" i="1"/>
  <c r="J6" i="1"/>
  <c r="I6" i="1"/>
  <c r="H6" i="1"/>
  <c r="G6" i="1"/>
  <c r="F6" i="1"/>
  <c r="E6" i="1"/>
  <c r="D6" i="1"/>
  <c r="C6" i="1"/>
  <c r="B6" i="1"/>
  <c r="A6" i="1"/>
  <c r="N5" i="1"/>
  <c r="M5" i="1"/>
  <c r="L5" i="1"/>
  <c r="K5" i="1"/>
  <c r="J5" i="1"/>
  <c r="I5" i="1"/>
  <c r="H5" i="1"/>
  <c r="G5" i="1"/>
  <c r="F5" i="1"/>
  <c r="E5" i="1"/>
  <c r="D5" i="1"/>
  <c r="C5" i="1"/>
  <c r="B5" i="1"/>
  <c r="A5" i="1"/>
  <c r="N4" i="1"/>
  <c r="M4" i="1"/>
  <c r="L4" i="1"/>
  <c r="K4" i="1"/>
  <c r="J4" i="1"/>
  <c r="I4" i="1"/>
  <c r="H4" i="1"/>
  <c r="G4" i="1"/>
  <c r="F4" i="1"/>
  <c r="E4" i="1"/>
  <c r="D4" i="1"/>
  <c r="C4" i="1"/>
  <c r="B4" i="1"/>
  <c r="A4" i="1"/>
  <c r="N3" i="1"/>
  <c r="M3" i="1"/>
  <c r="L3" i="1"/>
  <c r="K3" i="1"/>
  <c r="J3" i="1"/>
  <c r="I3" i="1"/>
  <c r="H3" i="1"/>
  <c r="G3" i="1"/>
  <c r="F3" i="1"/>
  <c r="E3" i="1"/>
  <c r="D3" i="1"/>
  <c r="C3" i="1"/>
  <c r="B3" i="1"/>
  <c r="A3" i="1"/>
  <c r="N2" i="1"/>
  <c r="M2" i="1"/>
  <c r="L2" i="1"/>
  <c r="K2" i="1"/>
  <c r="J2" i="1"/>
  <c r="I2" i="1"/>
  <c r="H2" i="1"/>
  <c r="G2" i="1"/>
  <c r="F2" i="1"/>
  <c r="E2" i="1"/>
  <c r="D2" i="1"/>
  <c r="C2" i="1"/>
  <c r="B2" i="1"/>
  <c r="A2" i="1"/>
  <c r="N1" i="1"/>
  <c r="M1" i="1"/>
  <c r="L1" i="1"/>
  <c r="K1" i="1"/>
  <c r="J1" i="1"/>
  <c r="I1" i="1"/>
  <c r="H1" i="1"/>
  <c r="G1" i="1"/>
  <c r="F1" i="1"/>
  <c r="E1" i="1"/>
  <c r="D1" i="1"/>
  <c r="C1" i="1"/>
  <c r="B1" i="1"/>
  <c r="A1" i="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R$]#,##0.00"/>
    <numFmt numFmtId="165" formatCode="mmm"/>
  </numFmts>
  <fonts count="2" x14ac:knownFonts="1">
    <font>
      <sz val="10"/>
      <color rgb="FF000000"/>
      <name val="Arial"/>
      <scheme val="minor"/>
    </font>
    <font>
      <sz val="9"/>
      <color theme="1"/>
      <name val="Arial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0" xfId="0" applyFont="1"/>
    <xf numFmtId="164" fontId="1" fillId="0" borderId="0" xfId="0" applyNumberFormat="1" applyFont="1"/>
    <xf numFmtId="2" fontId="1" fillId="0" borderId="0" xfId="0" applyNumberFormat="1" applyFont="1"/>
    <xf numFmtId="3" fontId="1" fillId="0" borderId="0" xfId="0" applyNumberFormat="1" applyFont="1"/>
    <xf numFmtId="10" fontId="1" fillId="0" borderId="0" xfId="0" applyNumberFormat="1" applyFont="1"/>
    <xf numFmtId="165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18.7109375" customWidth="1"/>
    <col min="2" max="2" width="8.85546875" customWidth="1"/>
    <col min="3" max="4" width="8.5703125" customWidth="1"/>
    <col min="5" max="5" width="7.7109375" customWidth="1"/>
    <col min="6" max="6" width="7.28515625" customWidth="1"/>
    <col min="7" max="7" width="8.140625" customWidth="1"/>
    <col min="8" max="8" width="8.5703125" customWidth="1"/>
    <col min="9" max="9" width="7.28515625" customWidth="1"/>
    <col min="10" max="10" width="8.140625" customWidth="1"/>
    <col min="11" max="14" width="6.42578125" customWidth="1"/>
  </cols>
  <sheetData>
    <row r="1" spans="1:26" x14ac:dyDescent="0.2">
      <c r="A1" s="1" t="str">
        <f ca="1">IFERROR(__xludf.DUMMYFUNCTION("IMPORTRANGE(""https://docs.google.com/spreadsheets/d/1QEICpkTEbV1Z_LWeaMjl4KVDsEDLt2EDAtqOvRWsWng/edit?gid=573951668#gid=573951668"",""Consolidado!A2:Z100"")"),"Alias")</f>
        <v>Alias</v>
      </c>
      <c r="B1" s="1" t="str">
        <f ca="1">IFERROR(__xludf.DUMMYFUNCTION("""COMPUTED_VALUE"""),"Id")</f>
        <v>Id</v>
      </c>
      <c r="C1" s="2" t="str">
        <f ca="1">IFERROR(__xludf.DUMMYFUNCTION("""COMPUTED_VALUE"""),"25-01")</f>
        <v>25-01</v>
      </c>
      <c r="D1" s="1" t="str">
        <f ca="1">IFERROR(__xludf.DUMMYFUNCTION("""COMPUTED_VALUE"""),"25-02")</f>
        <v>25-02</v>
      </c>
      <c r="E1" s="1" t="str">
        <f ca="1">IFERROR(__xludf.DUMMYFUNCTION("""COMPUTED_VALUE"""),"25-03")</f>
        <v>25-03</v>
      </c>
      <c r="F1" s="1" t="str">
        <f ca="1">IFERROR(__xludf.DUMMYFUNCTION("""COMPUTED_VALUE"""),"25-04")</f>
        <v>25-04</v>
      </c>
      <c r="G1" s="1" t="str">
        <f ca="1">IFERROR(__xludf.DUMMYFUNCTION("""COMPUTED_VALUE"""),"25-05")</f>
        <v>25-05</v>
      </c>
      <c r="H1" s="1" t="str">
        <f ca="1">IFERROR(__xludf.DUMMYFUNCTION("""COMPUTED_VALUE"""),"25-06")</f>
        <v>25-06</v>
      </c>
      <c r="I1" s="1" t="str">
        <f ca="1">IFERROR(__xludf.DUMMYFUNCTION("""COMPUTED_VALUE"""),"25-07")</f>
        <v>25-07</v>
      </c>
      <c r="J1" s="1" t="str">
        <f ca="1">IFERROR(__xludf.DUMMYFUNCTION("""COMPUTED_VALUE"""),"25-08")</f>
        <v>25-08</v>
      </c>
      <c r="K1" s="1" t="str">
        <f ca="1">IFERROR(__xludf.DUMMYFUNCTION("""COMPUTED_VALUE"""),"25-09")</f>
        <v>25-09</v>
      </c>
      <c r="L1" s="1" t="str">
        <f ca="1">IFERROR(__xludf.DUMMYFUNCTION("""COMPUTED_VALUE"""),"25-10")</f>
        <v>25-10</v>
      </c>
      <c r="M1" s="1" t="str">
        <f ca="1">IFERROR(__xludf.DUMMYFUNCTION("""COMPUTED_VALUE"""),"25-11")</f>
        <v>25-11</v>
      </c>
      <c r="N1" s="1" t="str">
        <f ca="1">IFERROR(__xludf.DUMMYFUNCTION("""COMPUTED_VALUE"""),"25-12")</f>
        <v>25-12</v>
      </c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 t="str">
        <f ca="1">IFERROR(__xludf.DUMMYFUNCTION("""COMPUTED_VALUE"""),"Créditos")</f>
        <v>Créditos</v>
      </c>
      <c r="B2" s="1" t="str">
        <f ca="1">IFERROR(__xludf.DUMMYFUNCTION("""COMPUTED_VALUE"""),"Créditos")</f>
        <v>Créditos</v>
      </c>
      <c r="C2" s="3">
        <f ca="1">IFERROR(__xludf.DUMMYFUNCTION("""COMPUTED_VALUE"""),-0.00175000001036096)</f>
        <v>-1.75000001036096E-3</v>
      </c>
      <c r="D2" s="3">
        <f ca="1">IFERROR(__xludf.DUMMYFUNCTION("""COMPUTED_VALUE"""),0.00634543899650452)</f>
        <v>6.3454389965045196E-3</v>
      </c>
      <c r="E2" s="3">
        <f ca="1">IFERROR(__xludf.DUMMYFUNCTION("""COMPUTED_VALUE"""),0.00363038549403427)</f>
        <v>3.63038549403427E-3</v>
      </c>
      <c r="F2" s="3">
        <f ca="1">IFERROR(__xludf.DUMMYFUNCTION("""COMPUTED_VALUE"""),0.000484143994981423)</f>
        <v>4.8414399498142302E-4</v>
      </c>
      <c r="G2" s="3">
        <f ca="1">IFERROR(__xludf.DUMMYFUNCTION("""COMPUTED_VALUE"""),0.000515956504386849)</f>
        <v>5.1595650438684905E-4</v>
      </c>
      <c r="H2" s="3">
        <f ca="1">IFERROR(__xludf.DUMMYFUNCTION("""COMPUTED_VALUE"""),-0.000620798495219787)</f>
        <v>-6.2079849521978704E-4</v>
      </c>
      <c r="I2" s="3">
        <f ca="1">IFERROR(__xludf.DUMMYFUNCTION("""COMPUTED_VALUE"""),0.00209867750163539)</f>
        <v>2.0986775016353901E-3</v>
      </c>
      <c r="J2" s="3">
        <f ca="1">IFERROR(__xludf.DUMMYFUNCTION("""COMPUTED_VALUE"""),338.239842577502)</f>
        <v>338.23984257750197</v>
      </c>
      <c r="K2" s="3" t="str">
        <f ca="1">IFERROR(__xludf.DUMMYFUNCTION("""COMPUTED_VALUE"""),"")</f>
        <v/>
      </c>
      <c r="L2" s="3" t="str">
        <f ca="1">IFERROR(__xludf.DUMMYFUNCTION("""COMPUTED_VALUE"""),"")</f>
        <v/>
      </c>
      <c r="M2" s="3" t="str">
        <f ca="1">IFERROR(__xludf.DUMMYFUNCTION("""COMPUTED_VALUE"""),"")</f>
        <v/>
      </c>
      <c r="N2" s="3" t="str">
        <f ca="1">IFERROR(__xludf.DUMMYFUNCTION("""COMPUTED_VALUE"""),"")</f>
        <v/>
      </c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 t="str">
        <f ca="1">IFERROR(__xludf.DUMMYFUNCTION("""COMPUTED_VALUE"""),"Débidos")</f>
        <v>Débidos</v>
      </c>
      <c r="B3" s="1" t="str">
        <f ca="1">IFERROR(__xludf.DUMMYFUNCTION("""COMPUTED_VALUE"""),"Débidos")</f>
        <v>Débidos</v>
      </c>
      <c r="C3" s="3">
        <f ca="1">IFERROR(__xludf.DUMMYFUNCTION("""COMPUTED_VALUE"""),-0.0200000000040745)</f>
        <v>-2.0000000004074502E-2</v>
      </c>
      <c r="D3" s="3">
        <f ca="1">IFERROR(__xludf.DUMMYFUNCTION("""COMPUTED_VALUE"""),0)</f>
        <v>0</v>
      </c>
      <c r="E3" s="3">
        <f ca="1">IFERROR(__xludf.DUMMYFUNCTION("""COMPUTED_VALUE"""),-0.00271505350247025)</f>
        <v>-2.7150535024702501E-3</v>
      </c>
      <c r="F3" s="3">
        <f ca="1">IFERROR(__xludf.DUMMYFUNCTION("""COMPUTED_VALUE"""),0)</f>
        <v>0</v>
      </c>
      <c r="G3" s="3">
        <f ca="1">IFERROR(__xludf.DUMMYFUNCTION("""COMPUTED_VALUE"""),0)</f>
        <v>0</v>
      </c>
      <c r="H3" s="3">
        <f ca="1">IFERROR(__xludf.DUMMYFUNCTION("""COMPUTED_VALUE"""),0)</f>
        <v>0</v>
      </c>
      <c r="I3" s="3">
        <f ca="1">IFERROR(__xludf.DUMMYFUNCTION("""COMPUTED_VALUE"""),0)</f>
        <v>0</v>
      </c>
      <c r="J3" s="3">
        <f ca="1">IFERROR(__xludf.DUMMYFUNCTION("""COMPUTED_VALUE"""),8330.35774389999)</f>
        <v>8330.3577438999891</v>
      </c>
      <c r="K3" s="3" t="str">
        <f ca="1">IFERROR(__xludf.DUMMYFUNCTION("""COMPUTED_VALUE"""),"")</f>
        <v/>
      </c>
      <c r="L3" s="3" t="str">
        <f ca="1">IFERROR(__xludf.DUMMYFUNCTION("""COMPUTED_VALUE"""),"")</f>
        <v/>
      </c>
      <c r="M3" s="3" t="str">
        <f ca="1">IFERROR(__xludf.DUMMYFUNCTION("""COMPUTED_VALUE"""),"")</f>
        <v/>
      </c>
      <c r="N3" s="3" t="str">
        <f ca="1">IFERROR(__xludf.DUMMYFUNCTION("""COMPUTED_VALUE"""),"")</f>
        <v/>
      </c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 t="str">
        <f ca="1">IFERROR(__xludf.DUMMYFUNCTION("""COMPUTED_VALUE"""),"Salário Fabrício Previsto")</f>
        <v>Salário Fabrício Previsto</v>
      </c>
      <c r="B4" s="1" t="str">
        <f ca="1">IFERROR(__xludf.DUMMYFUNCTION("""COMPUTED_VALUE"""),"Salário")</f>
        <v>Salário</v>
      </c>
      <c r="C4" s="3">
        <f ca="1">IFERROR(__xludf.DUMMYFUNCTION("""COMPUTED_VALUE"""),17051.99)</f>
        <v>17051.990000000002</v>
      </c>
      <c r="D4" s="3">
        <f ca="1">IFERROR(__xludf.DUMMYFUNCTION("""COMPUTED_VALUE"""),17020.99)</f>
        <v>17020.990000000002</v>
      </c>
      <c r="E4" s="3">
        <f ca="1">IFERROR(__xludf.DUMMYFUNCTION("""COMPUTED_VALUE"""),17020.99)</f>
        <v>17020.990000000002</v>
      </c>
      <c r="F4" s="3">
        <f ca="1">IFERROR(__xludf.DUMMYFUNCTION("""COMPUTED_VALUE"""),18276.4)</f>
        <v>18276.400000000001</v>
      </c>
      <c r="G4" s="3">
        <f ca="1">IFERROR(__xludf.DUMMYFUNCTION("""COMPUTED_VALUE"""),18276.4)</f>
        <v>18276.400000000001</v>
      </c>
      <c r="H4" s="3">
        <f ca="1">IFERROR(__xludf.DUMMYFUNCTION("""COMPUTED_VALUE"""),18289.13)</f>
        <v>18289.13</v>
      </c>
      <c r="I4" s="3">
        <f ca="1">IFERROR(__xludf.DUMMYFUNCTION("""COMPUTED_VALUE"""),18341.26)</f>
        <v>18341.259999999998</v>
      </c>
      <c r="J4" s="3">
        <f ca="1">IFERROR(__xludf.DUMMYFUNCTION("""COMPUTED_VALUE"""),18178.86)</f>
        <v>18178.86</v>
      </c>
      <c r="K4" s="3" t="str">
        <f ca="1">IFERROR(__xludf.DUMMYFUNCTION("""COMPUTED_VALUE"""),"")</f>
        <v/>
      </c>
      <c r="L4" s="3" t="str">
        <f ca="1">IFERROR(__xludf.DUMMYFUNCTION("""COMPUTED_VALUE"""),"")</f>
        <v/>
      </c>
      <c r="M4" s="3" t="str">
        <f ca="1">IFERROR(__xludf.DUMMYFUNCTION("""COMPUTED_VALUE"""),"")</f>
        <v/>
      </c>
      <c r="N4" s="3" t="str">
        <f ca="1">IFERROR(__xludf.DUMMYFUNCTION("""COMPUTED_VALUE"""),"")</f>
        <v/>
      </c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 t="str">
        <f ca="1">IFERROR(__xludf.DUMMYFUNCTION("""COMPUTED_VALUE"""),"Salário Fabrício Realizado")</f>
        <v>Salário Fabrício Realizado</v>
      </c>
      <c r="B5" s="1" t="str">
        <f ca="1">IFERROR(__xludf.DUMMYFUNCTION("""COMPUTED_VALUE"""),"Salário")</f>
        <v>Salário</v>
      </c>
      <c r="C5" s="3">
        <f ca="1">IFERROR(__xludf.DUMMYFUNCTION("""COMPUTED_VALUE"""),17051.99)</f>
        <v>17051.990000000002</v>
      </c>
      <c r="D5" s="3">
        <f ca="1">IFERROR(__xludf.DUMMYFUNCTION("""COMPUTED_VALUE"""),17020.99)</f>
        <v>17020.990000000002</v>
      </c>
      <c r="E5" s="3">
        <f ca="1">IFERROR(__xludf.DUMMYFUNCTION("""COMPUTED_VALUE"""),17020.99)</f>
        <v>17020.990000000002</v>
      </c>
      <c r="F5" s="3">
        <f ca="1">IFERROR(__xludf.DUMMYFUNCTION("""COMPUTED_VALUE"""),18276.4)</f>
        <v>18276.400000000001</v>
      </c>
      <c r="G5" s="3">
        <f ca="1">IFERROR(__xludf.DUMMYFUNCTION("""COMPUTED_VALUE"""),18276.4)</f>
        <v>18276.400000000001</v>
      </c>
      <c r="H5" s="3">
        <f ca="1">IFERROR(__xludf.DUMMYFUNCTION("""COMPUTED_VALUE"""),18289.13)</f>
        <v>18289.13</v>
      </c>
      <c r="I5" s="3">
        <f ca="1">IFERROR(__xludf.DUMMYFUNCTION("""COMPUTED_VALUE"""),18341.26)</f>
        <v>18341.259999999998</v>
      </c>
      <c r="J5" s="3">
        <f ca="1">IFERROR(__xludf.DUMMYFUNCTION("""COMPUTED_VALUE"""),18178.86)</f>
        <v>18178.86</v>
      </c>
      <c r="K5" s="3" t="str">
        <f ca="1">IFERROR(__xludf.DUMMYFUNCTION("""COMPUTED_VALUE"""),"")</f>
        <v/>
      </c>
      <c r="L5" s="3" t="str">
        <f ca="1">IFERROR(__xludf.DUMMYFUNCTION("""COMPUTED_VALUE"""),"")</f>
        <v/>
      </c>
      <c r="M5" s="3" t="str">
        <f ca="1">IFERROR(__xludf.DUMMYFUNCTION("""COMPUTED_VALUE"""),"")</f>
        <v/>
      </c>
      <c r="N5" s="3" t="str">
        <f ca="1">IFERROR(__xludf.DUMMYFUNCTION("""COMPUTED_VALUE"""),"")</f>
        <v/>
      </c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 t="str">
        <f ca="1">IFERROR(__xludf.DUMMYFUNCTION("""COMPUTED_VALUE"""),"Salário Amanda Previsto")</f>
        <v>Salário Amanda Previsto</v>
      </c>
      <c r="B6" s="1" t="str">
        <f ca="1">IFERROR(__xludf.DUMMYFUNCTION("""COMPUTED_VALUE"""),"Amanda")</f>
        <v>Amanda</v>
      </c>
      <c r="C6" s="3">
        <f ca="1">IFERROR(__xludf.DUMMYFUNCTION("""COMPUTED_VALUE"""),4900)</f>
        <v>4900</v>
      </c>
      <c r="D6" s="3">
        <f ca="1">IFERROR(__xludf.DUMMYFUNCTION("""COMPUTED_VALUE"""),4594.67)</f>
        <v>4594.67</v>
      </c>
      <c r="E6" s="3">
        <f ca="1">IFERROR(__xludf.DUMMYFUNCTION("""COMPUTED_VALUE"""),5096.98)</f>
        <v>5096.9799999999996</v>
      </c>
      <c r="F6" s="3">
        <f ca="1">IFERROR(__xludf.DUMMYFUNCTION("""COMPUTED_VALUE"""),5096.98)</f>
        <v>5096.9799999999996</v>
      </c>
      <c r="G6" s="3">
        <f ca="1">IFERROR(__xludf.DUMMYFUNCTION("""COMPUTED_VALUE"""),4900)</f>
        <v>4900</v>
      </c>
      <c r="H6" s="3">
        <f ca="1">IFERROR(__xludf.DUMMYFUNCTION("""COMPUTED_VALUE"""),4900)</f>
        <v>4900</v>
      </c>
      <c r="I6" s="3">
        <f ca="1">IFERROR(__xludf.DUMMYFUNCTION("""COMPUTED_VALUE"""),4900)</f>
        <v>4900</v>
      </c>
      <c r="J6" s="3">
        <f ca="1">IFERROR(__xludf.DUMMYFUNCTION("""COMPUTED_VALUE"""),4900)</f>
        <v>4900</v>
      </c>
      <c r="K6" s="3" t="str">
        <f ca="1">IFERROR(__xludf.DUMMYFUNCTION("""COMPUTED_VALUE"""),"")</f>
        <v/>
      </c>
      <c r="L6" s="3" t="str">
        <f ca="1">IFERROR(__xludf.DUMMYFUNCTION("""COMPUTED_VALUE"""),"")</f>
        <v/>
      </c>
      <c r="M6" s="3" t="str">
        <f ca="1">IFERROR(__xludf.DUMMYFUNCTION("""COMPUTED_VALUE"""),"")</f>
        <v/>
      </c>
      <c r="N6" s="3" t="str">
        <f ca="1">IFERROR(__xludf.DUMMYFUNCTION("""COMPUTED_VALUE"""),"")</f>
        <v/>
      </c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 t="str">
        <f ca="1">IFERROR(__xludf.DUMMYFUNCTION("""COMPUTED_VALUE"""),"Salário Amanda Realizado")</f>
        <v>Salário Amanda Realizado</v>
      </c>
      <c r="B7" s="1" t="str">
        <f ca="1">IFERROR(__xludf.DUMMYFUNCTION("""COMPUTED_VALUE"""),"Amanda")</f>
        <v>Amanda</v>
      </c>
      <c r="C7" s="3">
        <f ca="1">IFERROR(__xludf.DUMMYFUNCTION("""COMPUTED_VALUE"""),4900)</f>
        <v>4900</v>
      </c>
      <c r="D7" s="3">
        <f ca="1">IFERROR(__xludf.DUMMYFUNCTION("""COMPUTED_VALUE"""),4594.67)</f>
        <v>4594.67</v>
      </c>
      <c r="E7" s="3">
        <f ca="1">IFERROR(__xludf.DUMMYFUNCTION("""COMPUTED_VALUE"""),5096.98)</f>
        <v>5096.9799999999996</v>
      </c>
      <c r="F7" s="3">
        <f ca="1">IFERROR(__xludf.DUMMYFUNCTION("""COMPUTED_VALUE"""),5096.98)</f>
        <v>5096.9799999999996</v>
      </c>
      <c r="G7" s="3">
        <f ca="1">IFERROR(__xludf.DUMMYFUNCTION("""COMPUTED_VALUE"""),4900)</f>
        <v>4900</v>
      </c>
      <c r="H7" s="3">
        <f ca="1">IFERROR(__xludf.DUMMYFUNCTION("""COMPUTED_VALUE"""),4900)</f>
        <v>4900</v>
      </c>
      <c r="I7" s="3">
        <f ca="1">IFERROR(__xludf.DUMMYFUNCTION("""COMPUTED_VALUE"""),4900)</f>
        <v>4900</v>
      </c>
      <c r="J7" s="3">
        <f ca="1">IFERROR(__xludf.DUMMYFUNCTION("""COMPUTED_VALUE"""),4900)</f>
        <v>4900</v>
      </c>
      <c r="K7" s="3" t="str">
        <f ca="1">IFERROR(__xludf.DUMMYFUNCTION("""COMPUTED_VALUE"""),"")</f>
        <v/>
      </c>
      <c r="L7" s="3" t="str">
        <f ca="1">IFERROR(__xludf.DUMMYFUNCTION("""COMPUTED_VALUE"""),"")</f>
        <v/>
      </c>
      <c r="M7" s="3" t="str">
        <f ca="1">IFERROR(__xludf.DUMMYFUNCTION("""COMPUTED_VALUE"""),"")</f>
        <v/>
      </c>
      <c r="N7" s="3" t="str">
        <f ca="1">IFERROR(__xludf.DUMMYFUNCTION("""COMPUTED_VALUE"""),"")</f>
        <v/>
      </c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 t="str">
        <f ca="1">IFERROR(__xludf.DUMMYFUNCTION("""COMPUTED_VALUE"""),"Apto. 7L AJS Previsto")</f>
        <v>Apto. 7L AJS Previsto</v>
      </c>
      <c r="B8" s="1" t="str">
        <f ca="1">IFERROR(__xludf.DUMMYFUNCTION("""COMPUTED_VALUE"""),"Apto. 7L")</f>
        <v>Apto. 7L</v>
      </c>
      <c r="C8" s="3">
        <f ca="1">IFERROR(__xludf.DUMMYFUNCTION("""COMPUTED_VALUE"""),7590.8475)</f>
        <v>7590.8474999999999</v>
      </c>
      <c r="D8" s="3">
        <f ca="1">IFERROR(__xludf.DUMMYFUNCTION("""COMPUTED_VALUE"""),11384.1375)</f>
        <v>11384.137500000001</v>
      </c>
      <c r="E8" s="3">
        <f ca="1">IFERROR(__xludf.DUMMYFUNCTION("""COMPUTED_VALUE"""),9730.15499999999)</f>
        <v>9730.1549999999897</v>
      </c>
      <c r="F8" s="3">
        <f ca="1">IFERROR(__xludf.DUMMYFUNCTION("""COMPUTED_VALUE"""),11820.96)</f>
        <v>11820.96</v>
      </c>
      <c r="G8" s="3">
        <f ca="1">IFERROR(__xludf.DUMMYFUNCTION("""COMPUTED_VALUE"""),7997.205)</f>
        <v>7997.2049999999999</v>
      </c>
      <c r="H8" s="3">
        <f ca="1">IFERROR(__xludf.DUMMYFUNCTION("""COMPUTED_VALUE"""),8905.7625)</f>
        <v>8905.7625000000007</v>
      </c>
      <c r="I8" s="3">
        <f ca="1">IFERROR(__xludf.DUMMYFUNCTION("""COMPUTED_VALUE"""),7500)</f>
        <v>7500</v>
      </c>
      <c r="J8" s="3">
        <f ca="1">IFERROR(__xludf.DUMMYFUNCTION("""COMPUTED_VALUE"""),7500)</f>
        <v>7500</v>
      </c>
      <c r="K8" s="3" t="str">
        <f ca="1">IFERROR(__xludf.DUMMYFUNCTION("""COMPUTED_VALUE"""),"")</f>
        <v/>
      </c>
      <c r="L8" s="3" t="str">
        <f ca="1">IFERROR(__xludf.DUMMYFUNCTION("""COMPUTED_VALUE"""),"")</f>
        <v/>
      </c>
      <c r="M8" s="3" t="str">
        <f ca="1">IFERROR(__xludf.DUMMYFUNCTION("""COMPUTED_VALUE"""),"")</f>
        <v/>
      </c>
      <c r="N8" s="3" t="str">
        <f ca="1">IFERROR(__xludf.DUMMYFUNCTION("""COMPUTED_VALUE"""),"")</f>
        <v/>
      </c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 t="str">
        <f ca="1">IFERROR(__xludf.DUMMYFUNCTION("""COMPUTED_VALUE"""),"Apto. 7L AJS Realizado")</f>
        <v>Apto. 7L AJS Realizado</v>
      </c>
      <c r="B9" s="1" t="str">
        <f ca="1">IFERROR(__xludf.DUMMYFUNCTION("""COMPUTED_VALUE"""),"Apto. 7L")</f>
        <v>Apto. 7L</v>
      </c>
      <c r="C9" s="3">
        <f ca="1">IFERROR(__xludf.DUMMYFUNCTION("""COMPUTED_VALUE"""),7590.8475)</f>
        <v>7590.8474999999999</v>
      </c>
      <c r="D9" s="3">
        <f ca="1">IFERROR(__xludf.DUMMYFUNCTION("""COMPUTED_VALUE"""),11384.1375)</f>
        <v>11384.137500000001</v>
      </c>
      <c r="E9" s="3">
        <f ca="1">IFERROR(__xludf.DUMMYFUNCTION("""COMPUTED_VALUE"""),9730.15499999999)</f>
        <v>9730.1549999999897</v>
      </c>
      <c r="F9" s="3">
        <f ca="1">IFERROR(__xludf.DUMMYFUNCTION("""COMPUTED_VALUE"""),11820.96)</f>
        <v>11820.96</v>
      </c>
      <c r="G9" s="3">
        <f ca="1">IFERROR(__xludf.DUMMYFUNCTION("""COMPUTED_VALUE"""),7997.205)</f>
        <v>7997.2049999999999</v>
      </c>
      <c r="H9" s="3">
        <f ca="1">IFERROR(__xludf.DUMMYFUNCTION("""COMPUTED_VALUE"""),8905.7625)</f>
        <v>8905.7625000000007</v>
      </c>
      <c r="I9" s="3">
        <f ca="1">IFERROR(__xludf.DUMMYFUNCTION("""COMPUTED_VALUE"""),7500)</f>
        <v>7500</v>
      </c>
      <c r="J9" s="3">
        <f ca="1">IFERROR(__xludf.DUMMYFUNCTION("""COMPUTED_VALUE"""),7500)</f>
        <v>7500</v>
      </c>
      <c r="K9" s="3" t="str">
        <f ca="1">IFERROR(__xludf.DUMMYFUNCTION("""COMPUTED_VALUE"""),"")</f>
        <v/>
      </c>
      <c r="L9" s="3" t="str">
        <f ca="1">IFERROR(__xludf.DUMMYFUNCTION("""COMPUTED_VALUE"""),"")</f>
        <v/>
      </c>
      <c r="M9" s="3" t="str">
        <f ca="1">IFERROR(__xludf.DUMMYFUNCTION("""COMPUTED_VALUE"""),"")</f>
        <v/>
      </c>
      <c r="N9" s="3" t="str">
        <f ca="1">IFERROR(__xludf.DUMMYFUNCTION("""COMPUTED_VALUE"""),"")</f>
        <v/>
      </c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 t="str">
        <f ca="1">IFERROR(__xludf.DUMMYFUNCTION("""COMPUTED_VALUE"""),"Cartão dti Realizado")</f>
        <v>Cartão dti Realizado</v>
      </c>
      <c r="B10" s="1" t="str">
        <f ca="1">IFERROR(__xludf.DUMMYFUNCTION("""COMPUTED_VALUE"""),"Cartão dti")</f>
        <v>Cartão dti</v>
      </c>
      <c r="C10" s="3">
        <f ca="1">IFERROR(__xludf.DUMMYFUNCTION("""COMPUTED_VALUE"""),154.66)</f>
        <v>154.66</v>
      </c>
      <c r="D10" s="3">
        <f ca="1">IFERROR(__xludf.DUMMYFUNCTION("""COMPUTED_VALUE"""),3597.29)</f>
        <v>3597.29</v>
      </c>
      <c r="E10" s="3">
        <f ca="1">IFERROR(__xludf.DUMMYFUNCTION("""COMPUTED_VALUE"""),1758.77)</f>
        <v>1758.77</v>
      </c>
      <c r="F10" s="3">
        <f ca="1">IFERROR(__xludf.DUMMYFUNCTION("""COMPUTED_VALUE"""),3866.24)</f>
        <v>3866.24</v>
      </c>
      <c r="G10" s="3">
        <f ca="1">IFERROR(__xludf.DUMMYFUNCTION("""COMPUTED_VALUE"""),2028.68)</f>
        <v>2028.68</v>
      </c>
      <c r="H10" s="3">
        <f ca="1">IFERROR(__xludf.DUMMYFUNCTION("""COMPUTED_VALUE"""),100.2)</f>
        <v>100.2</v>
      </c>
      <c r="I10" s="3">
        <f ca="1">IFERROR(__xludf.DUMMYFUNCTION("""COMPUTED_VALUE"""),100.2)</f>
        <v>100.2</v>
      </c>
      <c r="J10" s="1"/>
      <c r="K10" s="3" t="str">
        <f ca="1">IFERROR(__xludf.DUMMYFUNCTION("""COMPUTED_VALUE"""),"")</f>
        <v/>
      </c>
      <c r="L10" s="3" t="str">
        <f ca="1">IFERROR(__xludf.DUMMYFUNCTION("""COMPUTED_VALUE"""),"")</f>
        <v/>
      </c>
      <c r="M10" s="3" t="str">
        <f ca="1">IFERROR(__xludf.DUMMYFUNCTION("""COMPUTED_VALUE"""),"")</f>
        <v/>
      </c>
      <c r="N10" s="3" t="str">
        <f ca="1">IFERROR(__xludf.DUMMYFUNCTION("""COMPUTED_VALUE"""),"")</f>
        <v/>
      </c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 t="str">
        <f ca="1">IFERROR(__xludf.DUMMYFUNCTION("""COMPUTED_VALUE"""),"Créditos Previsto")</f>
        <v>Créditos Previsto</v>
      </c>
      <c r="B11" s="1" t="str">
        <f ca="1">IFERROR(__xludf.DUMMYFUNCTION("""COMPUTED_VALUE"""),"Total")</f>
        <v>Total</v>
      </c>
      <c r="C11" s="3">
        <f ca="1">IFERROR(__xludf.DUMMYFUNCTION("""COMPUTED_VALUE"""),29868.7757499999)</f>
        <v>29868.775749999899</v>
      </c>
      <c r="D11" s="3">
        <f ca="1">IFERROR(__xludf.DUMMYFUNCTION("""COMPUTED_VALUE"""),42707.603845439)</f>
        <v>42707.603845439</v>
      </c>
      <c r="E11" s="3">
        <f ca="1">IFERROR(__xludf.DUMMYFUNCTION("""COMPUTED_VALUE"""),39520.1286303854)</f>
        <v>39520.128630385399</v>
      </c>
      <c r="F11" s="3">
        <f ca="1">IFERROR(__xludf.DUMMYFUNCTION("""COMPUTED_VALUE"""),39440.2504841439)</f>
        <v>39440.2504841439</v>
      </c>
      <c r="G11" s="3">
        <f ca="1">IFERROR(__xludf.DUMMYFUNCTION("""COMPUTED_VALUE"""),105643.705515956)</f>
        <v>105643.705515956</v>
      </c>
      <c r="H11" s="3">
        <f ca="1">IFERROR(__xludf.DUMMYFUNCTION("""COMPUTED_VALUE"""),32355.9618792015)</f>
        <v>32355.961879201499</v>
      </c>
      <c r="I11" s="3">
        <f ca="1">IFERROR(__xludf.DUMMYFUNCTION("""COMPUTED_VALUE"""),31626.9420986775)</f>
        <v>31626.9420986775</v>
      </c>
      <c r="J11" s="3">
        <f ca="1">IFERROR(__xludf.DUMMYFUNCTION("""COMPUTED_VALUE"""),31464.5898425775)</f>
        <v>31464.589842577501</v>
      </c>
      <c r="K11" s="3" t="str">
        <f ca="1">IFERROR(__xludf.DUMMYFUNCTION("""COMPUTED_VALUE"""),"")</f>
        <v/>
      </c>
      <c r="L11" s="3" t="str">
        <f ca="1">IFERROR(__xludf.DUMMYFUNCTION("""COMPUTED_VALUE"""),"")</f>
        <v/>
      </c>
      <c r="M11" s="3" t="str">
        <f ca="1">IFERROR(__xludf.DUMMYFUNCTION("""COMPUTED_VALUE"""),"")</f>
        <v/>
      </c>
      <c r="N11" s="3" t="str">
        <f ca="1">IFERROR(__xludf.DUMMYFUNCTION("""COMPUTED_VALUE"""),"")</f>
        <v/>
      </c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 t="str">
        <f ca="1">IFERROR(__xludf.DUMMYFUNCTION("""COMPUTED_VALUE"""),"Créditos Realizado")</f>
        <v>Créditos Realizado</v>
      </c>
      <c r="B12" s="1" t="str">
        <f ca="1">IFERROR(__xludf.DUMMYFUNCTION("""COMPUTED_VALUE"""),"Total")</f>
        <v>Total</v>
      </c>
      <c r="C12" s="3">
        <f ca="1">IFERROR(__xludf.DUMMYFUNCTION("""COMPUTED_VALUE"""),29868.7775)</f>
        <v>29868.7775</v>
      </c>
      <c r="D12" s="3">
        <f ca="1">IFERROR(__xludf.DUMMYFUNCTION("""COMPUTED_VALUE"""),42707.5975)</f>
        <v>42707.597500000003</v>
      </c>
      <c r="E12" s="3">
        <f ca="1">IFERROR(__xludf.DUMMYFUNCTION("""COMPUTED_VALUE"""),39520.125)</f>
        <v>39520.125</v>
      </c>
      <c r="F12" s="3">
        <f ca="1">IFERROR(__xludf.DUMMYFUNCTION("""COMPUTED_VALUE"""),39440.25)</f>
        <v>39440.25</v>
      </c>
      <c r="G12" s="3">
        <f ca="1">IFERROR(__xludf.DUMMYFUNCTION("""COMPUTED_VALUE"""),105643.704999999)</f>
        <v>105643.704999999</v>
      </c>
      <c r="H12" s="3">
        <f ca="1">IFERROR(__xludf.DUMMYFUNCTION("""COMPUTED_VALUE"""),32355.9625)</f>
        <v>32355.962500000001</v>
      </c>
      <c r="I12" s="3">
        <f ca="1">IFERROR(__xludf.DUMMYFUNCTION("""COMPUTED_VALUE"""),31626.94)</f>
        <v>31626.94</v>
      </c>
      <c r="J12" s="3">
        <f ca="1">IFERROR(__xludf.DUMMYFUNCTION("""COMPUTED_VALUE"""),31126.35)</f>
        <v>31126.35</v>
      </c>
      <c r="K12" s="3" t="str">
        <f ca="1">IFERROR(__xludf.DUMMYFUNCTION("""COMPUTED_VALUE"""),"")</f>
        <v/>
      </c>
      <c r="L12" s="3" t="str">
        <f ca="1">IFERROR(__xludf.DUMMYFUNCTION("""COMPUTED_VALUE"""),"")</f>
        <v/>
      </c>
      <c r="M12" s="3" t="str">
        <f ca="1">IFERROR(__xludf.DUMMYFUNCTION("""COMPUTED_VALUE"""),"")</f>
        <v/>
      </c>
      <c r="N12" s="3" t="str">
        <f ca="1">IFERROR(__xludf.DUMMYFUNCTION("""COMPUTED_VALUE"""),"")</f>
        <v/>
      </c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 t="str">
        <f ca="1">IFERROR(__xludf.DUMMYFUNCTION("""COMPUTED_VALUE"""),"Investimento Previsto")</f>
        <v>Investimento Previsto</v>
      </c>
      <c r="B13" s="1" t="str">
        <f ca="1">IFERROR(__xludf.DUMMYFUNCTION("""COMPUTED_VALUE"""),"-")</f>
        <v>-</v>
      </c>
      <c r="C13" s="3">
        <f ca="1">IFERROR(__xludf.DUMMYFUNCTION("""COMPUTED_VALUE"""),888.33)</f>
        <v>888.33</v>
      </c>
      <c r="D13" s="3">
        <f ca="1">IFERROR(__xludf.DUMMYFUNCTION("""COMPUTED_VALUE"""),0)</f>
        <v>0</v>
      </c>
      <c r="E13" s="3">
        <f ca="1">IFERROR(__xludf.DUMMYFUNCTION("""COMPUTED_VALUE"""),0)</f>
        <v>0</v>
      </c>
      <c r="F13" s="3">
        <f ca="1">IFERROR(__xludf.DUMMYFUNCTION("""COMPUTED_VALUE"""),6811.08)</f>
        <v>6811.08</v>
      </c>
      <c r="G13" s="3">
        <f ca="1">IFERROR(__xludf.DUMMYFUNCTION("""COMPUTED_VALUE"""),0)</f>
        <v>0</v>
      </c>
      <c r="H13" s="3">
        <f ca="1">IFERROR(__xludf.DUMMYFUNCTION("""COMPUTED_VALUE"""),1811.5)</f>
        <v>1811.5</v>
      </c>
      <c r="I13" s="3">
        <f ca="1">IFERROR(__xludf.DUMMYFUNCTION("""COMPUTED_VALUE"""),0)</f>
        <v>0</v>
      </c>
      <c r="J13" s="3">
        <f ca="1">IFERROR(__xludf.DUMMYFUNCTION("""COMPUTED_VALUE"""),159.9677439)</f>
        <v>159.96774389999999</v>
      </c>
      <c r="K13" s="3" t="str">
        <f ca="1">IFERROR(__xludf.DUMMYFUNCTION("""COMPUTED_VALUE"""),"")</f>
        <v/>
      </c>
      <c r="L13" s="3" t="str">
        <f ca="1">IFERROR(__xludf.DUMMYFUNCTION("""COMPUTED_VALUE"""),"")</f>
        <v/>
      </c>
      <c r="M13" s="3" t="str">
        <f ca="1">IFERROR(__xludf.DUMMYFUNCTION("""COMPUTED_VALUE"""),"")</f>
        <v/>
      </c>
      <c r="N13" s="3" t="str">
        <f ca="1">IFERROR(__xludf.DUMMYFUNCTION("""COMPUTED_VALUE"""),"")</f>
        <v/>
      </c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 t="str">
        <f ca="1">IFERROR(__xludf.DUMMYFUNCTION("""COMPUTED_VALUE"""),"Investimento Realizado")</f>
        <v>Investimento Realizado</v>
      </c>
      <c r="B14" s="1" t="str">
        <f ca="1">IFERROR(__xludf.DUMMYFUNCTION("""COMPUTED_VALUE"""),"-")</f>
        <v>-</v>
      </c>
      <c r="C14" s="3">
        <f ca="1">IFERROR(__xludf.DUMMYFUNCTION("""COMPUTED_VALUE"""),888.329999999999)</f>
        <v>888.32999999999902</v>
      </c>
      <c r="D14" s="3">
        <f ca="1">IFERROR(__xludf.DUMMYFUNCTION("""COMPUTED_VALUE"""),0)</f>
        <v>0</v>
      </c>
      <c r="E14" s="3">
        <f ca="1">IFERROR(__xludf.DUMMYFUNCTION("""COMPUTED_VALUE"""),0)</f>
        <v>0</v>
      </c>
      <c r="F14" s="3">
        <f ca="1">IFERROR(__xludf.DUMMYFUNCTION("""COMPUTED_VALUE"""),6811.08)</f>
        <v>6811.08</v>
      </c>
      <c r="G14" s="3">
        <f ca="1">IFERROR(__xludf.DUMMYFUNCTION("""COMPUTED_VALUE"""),0)</f>
        <v>0</v>
      </c>
      <c r="H14" s="3">
        <f ca="1">IFERROR(__xludf.DUMMYFUNCTION("""COMPUTED_VALUE"""),1811.5)</f>
        <v>1811.5</v>
      </c>
      <c r="I14" s="3">
        <f ca="1">IFERROR(__xludf.DUMMYFUNCTION("""COMPUTED_VALUE"""),0)</f>
        <v>0</v>
      </c>
      <c r="J14" s="3">
        <f ca="1">IFERROR(__xludf.DUMMYFUNCTION("""COMPUTED_VALUE"""),0)</f>
        <v>0</v>
      </c>
      <c r="K14" s="3" t="str">
        <f ca="1">IFERROR(__xludf.DUMMYFUNCTION("""COMPUTED_VALUE"""),"")</f>
        <v/>
      </c>
      <c r="L14" s="3" t="str">
        <f ca="1">IFERROR(__xludf.DUMMYFUNCTION("""COMPUTED_VALUE"""),"")</f>
        <v/>
      </c>
      <c r="M14" s="3" t="str">
        <f ca="1">IFERROR(__xludf.DUMMYFUNCTION("""COMPUTED_VALUE"""),"")</f>
        <v/>
      </c>
      <c r="N14" s="3" t="str">
        <f ca="1">IFERROR(__xludf.DUMMYFUNCTION("""COMPUTED_VALUE"""),"")</f>
        <v/>
      </c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 t="str">
        <f ca="1">IFERROR(__xludf.DUMMYFUNCTION("""COMPUTED_VALUE"""),"Meta Cartão Previsto")</f>
        <v>Meta Cartão Previsto</v>
      </c>
      <c r="B15" s="1" t="str">
        <f ca="1">IFERROR(__xludf.DUMMYFUNCTION("""COMPUTED_VALUE"""),"Meta cartão")</f>
        <v>Meta cartão</v>
      </c>
      <c r="C15" s="3">
        <f ca="1">IFERROR(__xludf.DUMMYFUNCTION("""COMPUTED_VALUE"""),0)</f>
        <v>0</v>
      </c>
      <c r="D15" s="3">
        <f ca="1">IFERROR(__xludf.DUMMYFUNCTION("""COMPUTED_VALUE"""),0)</f>
        <v>0</v>
      </c>
      <c r="E15" s="3">
        <f ca="1">IFERROR(__xludf.DUMMYFUNCTION("""COMPUTED_VALUE"""),0)</f>
        <v>0</v>
      </c>
      <c r="F15" s="3">
        <f ca="1">IFERROR(__xludf.DUMMYFUNCTION("""COMPUTED_VALUE"""),0)</f>
        <v>0</v>
      </c>
      <c r="G15" s="3">
        <f ca="1">IFERROR(__xludf.DUMMYFUNCTION("""COMPUTED_VALUE"""),0)</f>
        <v>0</v>
      </c>
      <c r="H15" s="3">
        <f ca="1">IFERROR(__xludf.DUMMYFUNCTION("""COMPUTED_VALUE"""),0)</f>
        <v>0</v>
      </c>
      <c r="I15" s="3">
        <f ca="1">IFERROR(__xludf.DUMMYFUNCTION("""COMPUTED_VALUE"""),0)</f>
        <v>0</v>
      </c>
      <c r="J15" s="3">
        <f ca="1">IFERROR(__xludf.DUMMYFUNCTION("""COMPUTED_VALUE"""),1185.89999999999)</f>
        <v>1185.8999999999901</v>
      </c>
      <c r="K15" s="3" t="str">
        <f ca="1">IFERROR(__xludf.DUMMYFUNCTION("""COMPUTED_VALUE"""),"")</f>
        <v/>
      </c>
      <c r="L15" s="3" t="str">
        <f ca="1">IFERROR(__xludf.DUMMYFUNCTION("""COMPUTED_VALUE"""),"")</f>
        <v/>
      </c>
      <c r="M15" s="3" t="str">
        <f ca="1">IFERROR(__xludf.DUMMYFUNCTION("""COMPUTED_VALUE"""),"")</f>
        <v/>
      </c>
      <c r="N15" s="3" t="str">
        <f ca="1">IFERROR(__xludf.DUMMYFUNCTION("""COMPUTED_VALUE"""),"")</f>
        <v/>
      </c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 t="str">
        <f ca="1">IFERROR(__xludf.DUMMYFUNCTION("""COMPUTED_VALUE"""),"Meta Cartão Realizado")</f>
        <v>Meta Cartão Realizado</v>
      </c>
      <c r="B16" s="1" t="str">
        <f ca="1">IFERROR(__xludf.DUMMYFUNCTION("""COMPUTED_VALUE"""),"Meta cartão")</f>
        <v>Meta cartão</v>
      </c>
      <c r="C16" s="3">
        <f ca="1">IFERROR(__xludf.DUMMYFUNCTION("""COMPUTED_VALUE"""),0)</f>
        <v>0</v>
      </c>
      <c r="D16" s="3">
        <f ca="1">IFERROR(__xludf.DUMMYFUNCTION("""COMPUTED_VALUE"""),0)</f>
        <v>0</v>
      </c>
      <c r="E16" s="3">
        <f ca="1">IFERROR(__xludf.DUMMYFUNCTION("""COMPUTED_VALUE"""),0)</f>
        <v>0</v>
      </c>
      <c r="F16" s="3">
        <f ca="1">IFERROR(__xludf.DUMMYFUNCTION("""COMPUTED_VALUE"""),0)</f>
        <v>0</v>
      </c>
      <c r="G16" s="3">
        <f ca="1">IFERROR(__xludf.DUMMYFUNCTION("""COMPUTED_VALUE"""),0)</f>
        <v>0</v>
      </c>
      <c r="H16" s="3">
        <f ca="1">IFERROR(__xludf.DUMMYFUNCTION("""COMPUTED_VALUE"""),0)</f>
        <v>0</v>
      </c>
      <c r="I16" s="3">
        <f ca="1">IFERROR(__xludf.DUMMYFUNCTION("""COMPUTED_VALUE"""),0)</f>
        <v>0</v>
      </c>
      <c r="J16" s="3">
        <f ca="1">IFERROR(__xludf.DUMMYFUNCTION("""COMPUTED_VALUE"""),1185.89999999999)</f>
        <v>1185.8999999999901</v>
      </c>
      <c r="K16" s="3" t="str">
        <f ca="1">IFERROR(__xludf.DUMMYFUNCTION("""COMPUTED_VALUE"""),"")</f>
        <v/>
      </c>
      <c r="L16" s="3" t="str">
        <f ca="1">IFERROR(__xludf.DUMMYFUNCTION("""COMPUTED_VALUE"""),"")</f>
        <v/>
      </c>
      <c r="M16" s="3" t="str">
        <f ca="1">IFERROR(__xludf.DUMMYFUNCTION("""COMPUTED_VALUE"""),"")</f>
        <v/>
      </c>
      <c r="N16" s="3" t="str">
        <f ca="1">IFERROR(__xludf.DUMMYFUNCTION("""COMPUTED_VALUE"""),"")</f>
        <v/>
      </c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 t="str">
        <f ca="1">IFERROR(__xludf.DUMMYFUNCTION("""COMPUTED_VALUE"""),"Sicredi Previsto")</f>
        <v>Sicredi Previsto</v>
      </c>
      <c r="B17" s="1" t="str">
        <f ca="1">IFERROR(__xludf.DUMMYFUNCTION("""COMPUTED_VALUE"""),"Sicredi")</f>
        <v>Sicredi</v>
      </c>
      <c r="C17" s="3">
        <f ca="1">IFERROR(__xludf.DUMMYFUNCTION("""COMPUTED_VALUE"""),6965.81)</f>
        <v>6965.81</v>
      </c>
      <c r="D17" s="3">
        <f ca="1">IFERROR(__xludf.DUMMYFUNCTION("""COMPUTED_VALUE"""),9659.1)</f>
        <v>9659.1</v>
      </c>
      <c r="E17" s="3">
        <f ca="1">IFERROR(__xludf.DUMMYFUNCTION("""COMPUTED_VALUE"""),5520.62)</f>
        <v>5520.62</v>
      </c>
      <c r="F17" s="3">
        <f ca="1">IFERROR(__xludf.DUMMYFUNCTION("""COMPUTED_VALUE"""),5242.68)</f>
        <v>5242.68</v>
      </c>
      <c r="G17" s="3">
        <f ca="1">IFERROR(__xludf.DUMMYFUNCTION("""COMPUTED_VALUE"""),1482.53)</f>
        <v>1482.53</v>
      </c>
      <c r="H17" s="3">
        <f ca="1">IFERROR(__xludf.DUMMYFUNCTION("""COMPUTED_VALUE"""),569.51)</f>
        <v>569.51</v>
      </c>
      <c r="I17" s="3">
        <f ca="1">IFERROR(__xludf.DUMMYFUNCTION("""COMPUTED_VALUE"""),431.56)</f>
        <v>431.56</v>
      </c>
      <c r="J17" s="3">
        <f ca="1">IFERROR(__xludf.DUMMYFUNCTION("""COMPUTED_VALUE"""),431.56)</f>
        <v>431.56</v>
      </c>
      <c r="K17" s="3" t="str">
        <f ca="1">IFERROR(__xludf.DUMMYFUNCTION("""COMPUTED_VALUE"""),"")</f>
        <v/>
      </c>
      <c r="L17" s="3" t="str">
        <f ca="1">IFERROR(__xludf.DUMMYFUNCTION("""COMPUTED_VALUE"""),"")</f>
        <v/>
      </c>
      <c r="M17" s="3" t="str">
        <f ca="1">IFERROR(__xludf.DUMMYFUNCTION("""COMPUTED_VALUE"""),"")</f>
        <v/>
      </c>
      <c r="N17" s="3" t="str">
        <f ca="1">IFERROR(__xludf.DUMMYFUNCTION("""COMPUTED_VALUE"""),"")</f>
        <v/>
      </c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 t="str">
        <f ca="1">IFERROR(__xludf.DUMMYFUNCTION("""COMPUTED_VALUE"""),"Sicredi Realizado")</f>
        <v>Sicredi Realizado</v>
      </c>
      <c r="B18" s="1" t="str">
        <f ca="1">IFERROR(__xludf.DUMMYFUNCTION("""COMPUTED_VALUE"""),"Sicredi")</f>
        <v>Sicredi</v>
      </c>
      <c r="C18" s="3">
        <f ca="1">IFERROR(__xludf.DUMMYFUNCTION("""COMPUTED_VALUE"""),6965.81)</f>
        <v>6965.81</v>
      </c>
      <c r="D18" s="3">
        <f ca="1">IFERROR(__xludf.DUMMYFUNCTION("""COMPUTED_VALUE"""),9659.1)</f>
        <v>9659.1</v>
      </c>
      <c r="E18" s="3">
        <f ca="1">IFERROR(__xludf.DUMMYFUNCTION("""COMPUTED_VALUE"""),5520.62)</f>
        <v>5520.62</v>
      </c>
      <c r="F18" s="3">
        <f ca="1">IFERROR(__xludf.DUMMYFUNCTION("""COMPUTED_VALUE"""),5242.68)</f>
        <v>5242.68</v>
      </c>
      <c r="G18" s="3">
        <f ca="1">IFERROR(__xludf.DUMMYFUNCTION("""COMPUTED_VALUE"""),1482.53)</f>
        <v>1482.53</v>
      </c>
      <c r="H18" s="3">
        <f ca="1">IFERROR(__xludf.DUMMYFUNCTION("""COMPUTED_VALUE"""),569.51)</f>
        <v>569.51</v>
      </c>
      <c r="I18" s="3">
        <f ca="1">IFERROR(__xludf.DUMMYFUNCTION("""COMPUTED_VALUE"""),431.56)</f>
        <v>431.56</v>
      </c>
      <c r="J18" s="3">
        <f ca="1">IFERROR(__xludf.DUMMYFUNCTION("""COMPUTED_VALUE"""),431.56)</f>
        <v>431.56</v>
      </c>
      <c r="K18" s="3" t="str">
        <f ca="1">IFERROR(__xludf.DUMMYFUNCTION("""COMPUTED_VALUE"""),"")</f>
        <v/>
      </c>
      <c r="L18" s="3" t="str">
        <f ca="1">IFERROR(__xludf.DUMMYFUNCTION("""COMPUTED_VALUE"""),"")</f>
        <v/>
      </c>
      <c r="M18" s="3" t="str">
        <f ca="1">IFERROR(__xludf.DUMMYFUNCTION("""COMPUTED_VALUE"""),"")</f>
        <v/>
      </c>
      <c r="N18" s="3" t="str">
        <f ca="1">IFERROR(__xludf.DUMMYFUNCTION("""COMPUTED_VALUE"""),"")</f>
        <v/>
      </c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 t="str">
        <f ca="1">IFERROR(__xludf.DUMMYFUNCTION("""COMPUTED_VALUE"""),"Porto Bank Previsto")</f>
        <v>Porto Bank Previsto</v>
      </c>
      <c r="B19" s="1" t="str">
        <f ca="1">IFERROR(__xludf.DUMMYFUNCTION("""COMPUTED_VALUE"""),"Porto Bank")</f>
        <v>Porto Bank</v>
      </c>
      <c r="C19" s="3">
        <f ca="1">IFERROR(__xludf.DUMMYFUNCTION("""COMPUTED_VALUE"""),0)</f>
        <v>0</v>
      </c>
      <c r="D19" s="3">
        <f ca="1">IFERROR(__xludf.DUMMYFUNCTION("""COMPUTED_VALUE"""),25.2)</f>
        <v>25.2</v>
      </c>
      <c r="E19" s="3">
        <f ca="1">IFERROR(__xludf.DUMMYFUNCTION("""COMPUTED_VALUE"""),30.65)</f>
        <v>30.65</v>
      </c>
      <c r="F19" s="3">
        <f ca="1">IFERROR(__xludf.DUMMYFUNCTION("""COMPUTED_VALUE"""),0)</f>
        <v>0</v>
      </c>
      <c r="G19" s="3">
        <f ca="1">IFERROR(__xludf.DUMMYFUNCTION("""COMPUTED_VALUE"""),0)</f>
        <v>0</v>
      </c>
      <c r="H19" s="3">
        <f ca="1">IFERROR(__xludf.DUMMYFUNCTION("""COMPUTED_VALUE"""),29.46)</f>
        <v>29.46</v>
      </c>
      <c r="I19" s="3">
        <f ca="1">IFERROR(__xludf.DUMMYFUNCTION("""COMPUTED_VALUE"""),24.14)</f>
        <v>24.14</v>
      </c>
      <c r="J19" s="3">
        <f ca="1">IFERROR(__xludf.DUMMYFUNCTION("""COMPUTED_VALUE"""),0)</f>
        <v>0</v>
      </c>
      <c r="K19" s="3" t="str">
        <f ca="1">IFERROR(__xludf.DUMMYFUNCTION("""COMPUTED_VALUE"""),"")</f>
        <v/>
      </c>
      <c r="L19" s="3" t="str">
        <f ca="1">IFERROR(__xludf.DUMMYFUNCTION("""COMPUTED_VALUE"""),"")</f>
        <v/>
      </c>
      <c r="M19" s="3" t="str">
        <f ca="1">IFERROR(__xludf.DUMMYFUNCTION("""COMPUTED_VALUE"""),"")</f>
        <v/>
      </c>
      <c r="N19" s="3" t="str">
        <f ca="1">IFERROR(__xludf.DUMMYFUNCTION("""COMPUTED_VALUE"""),"")</f>
        <v/>
      </c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 t="str">
        <f ca="1">IFERROR(__xludf.DUMMYFUNCTION("""COMPUTED_VALUE"""),"Porto Bank Realizado")</f>
        <v>Porto Bank Realizado</v>
      </c>
      <c r="B20" s="1" t="str">
        <f ca="1">IFERROR(__xludf.DUMMYFUNCTION("""COMPUTED_VALUE"""),"Porto Bank")</f>
        <v>Porto Bank</v>
      </c>
      <c r="C20" s="3">
        <f ca="1">IFERROR(__xludf.DUMMYFUNCTION("""COMPUTED_VALUE"""),0)</f>
        <v>0</v>
      </c>
      <c r="D20" s="3">
        <f ca="1">IFERROR(__xludf.DUMMYFUNCTION("""COMPUTED_VALUE"""),25.2)</f>
        <v>25.2</v>
      </c>
      <c r="E20" s="3">
        <f ca="1">IFERROR(__xludf.DUMMYFUNCTION("""COMPUTED_VALUE"""),30.65)</f>
        <v>30.65</v>
      </c>
      <c r="F20" s="3">
        <f ca="1">IFERROR(__xludf.DUMMYFUNCTION("""COMPUTED_VALUE"""),0)</f>
        <v>0</v>
      </c>
      <c r="G20" s="3">
        <f ca="1">IFERROR(__xludf.DUMMYFUNCTION("""COMPUTED_VALUE"""),0)</f>
        <v>0</v>
      </c>
      <c r="H20" s="3">
        <f ca="1">IFERROR(__xludf.DUMMYFUNCTION("""COMPUTED_VALUE"""),29.46)</f>
        <v>29.46</v>
      </c>
      <c r="I20" s="3">
        <f ca="1">IFERROR(__xludf.DUMMYFUNCTION("""COMPUTED_VALUE"""),24.14)</f>
        <v>24.14</v>
      </c>
      <c r="J20" s="3">
        <f ca="1">IFERROR(__xludf.DUMMYFUNCTION("""COMPUTED_VALUE"""),0)</f>
        <v>0</v>
      </c>
      <c r="K20" s="3" t="str">
        <f ca="1">IFERROR(__xludf.DUMMYFUNCTION("""COMPUTED_VALUE"""),"")</f>
        <v/>
      </c>
      <c r="L20" s="3" t="str">
        <f ca="1">IFERROR(__xludf.DUMMYFUNCTION("""COMPUTED_VALUE"""),"")</f>
        <v/>
      </c>
      <c r="M20" s="3" t="str">
        <f ca="1">IFERROR(__xludf.DUMMYFUNCTION("""COMPUTED_VALUE"""),"")</f>
        <v/>
      </c>
      <c r="N20" s="3" t="str">
        <f ca="1">IFERROR(__xludf.DUMMYFUNCTION("""COMPUTED_VALUE"""),"")</f>
        <v/>
      </c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 t="str">
        <f ca="1">IFERROR(__xludf.DUMMYFUNCTION("""COMPUTED_VALUE"""),"BTG Previsto")</f>
        <v>BTG Previsto</v>
      </c>
      <c r="B21" s="1" t="str">
        <f ca="1">IFERROR(__xludf.DUMMYFUNCTION("""COMPUTED_VALUE"""),"BTG")</f>
        <v>BTG</v>
      </c>
      <c r="C21" s="3" t="str">
        <f ca="1">IFERROR(__xludf.DUMMYFUNCTION("""COMPUTED_VALUE"""),"")</f>
        <v/>
      </c>
      <c r="D21" s="3" t="str">
        <f ca="1">IFERROR(__xludf.DUMMYFUNCTION("""COMPUTED_VALUE"""),"")</f>
        <v/>
      </c>
      <c r="E21" s="3" t="str">
        <f ca="1">IFERROR(__xludf.DUMMYFUNCTION("""COMPUTED_VALUE"""),"")</f>
        <v/>
      </c>
      <c r="F21" s="3">
        <f ca="1">IFERROR(__xludf.DUMMYFUNCTION("""COMPUTED_VALUE"""),5038.93)</f>
        <v>5038.93</v>
      </c>
      <c r="G21" s="3">
        <f ca="1">IFERROR(__xludf.DUMMYFUNCTION("""COMPUTED_VALUE"""),11097.26)</f>
        <v>11097.26</v>
      </c>
      <c r="H21" s="3">
        <f ca="1">IFERROR(__xludf.DUMMYFUNCTION("""COMPUTED_VALUE"""),11937.88)</f>
        <v>11937.88</v>
      </c>
      <c r="I21" s="3">
        <f ca="1">IFERROR(__xludf.DUMMYFUNCTION("""COMPUTED_VALUE"""),9023.31)</f>
        <v>9023.31</v>
      </c>
      <c r="J21" s="3">
        <f ca="1">IFERROR(__xludf.DUMMYFUNCTION("""COMPUTED_VALUE"""),5786.47)</f>
        <v>5786.47</v>
      </c>
      <c r="K21" s="3" t="str">
        <f ca="1">IFERROR(__xludf.DUMMYFUNCTION("""COMPUTED_VALUE"""),"")</f>
        <v/>
      </c>
      <c r="L21" s="3" t="str">
        <f ca="1">IFERROR(__xludf.DUMMYFUNCTION("""COMPUTED_VALUE"""),"")</f>
        <v/>
      </c>
      <c r="M21" s="3" t="str">
        <f ca="1">IFERROR(__xludf.DUMMYFUNCTION("""COMPUTED_VALUE"""),"")</f>
        <v/>
      </c>
      <c r="N21" s="3" t="str">
        <f ca="1">IFERROR(__xludf.DUMMYFUNCTION("""COMPUTED_VALUE"""),"")</f>
        <v/>
      </c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 t="str">
        <f ca="1">IFERROR(__xludf.DUMMYFUNCTION("""COMPUTED_VALUE"""),"BTG Realizado")</f>
        <v>BTG Realizado</v>
      </c>
      <c r="B22" s="1" t="str">
        <f ca="1">IFERROR(__xludf.DUMMYFUNCTION("""COMPUTED_VALUE"""),"BTG")</f>
        <v>BTG</v>
      </c>
      <c r="C22" s="3" t="str">
        <f ca="1">IFERROR(__xludf.DUMMYFUNCTION("""COMPUTED_VALUE"""),"")</f>
        <v/>
      </c>
      <c r="D22" s="3" t="str">
        <f ca="1">IFERROR(__xludf.DUMMYFUNCTION("""COMPUTED_VALUE"""),"")</f>
        <v/>
      </c>
      <c r="E22" s="3" t="str">
        <f ca="1">IFERROR(__xludf.DUMMYFUNCTION("""COMPUTED_VALUE"""),"")</f>
        <v/>
      </c>
      <c r="F22" s="3">
        <f ca="1">IFERROR(__xludf.DUMMYFUNCTION("""COMPUTED_VALUE"""),5038.93)</f>
        <v>5038.93</v>
      </c>
      <c r="G22" s="3">
        <f ca="1">IFERROR(__xludf.DUMMYFUNCTION("""COMPUTED_VALUE"""),11097.26)</f>
        <v>11097.26</v>
      </c>
      <c r="H22" s="3">
        <f ca="1">IFERROR(__xludf.DUMMYFUNCTION("""COMPUTED_VALUE"""),11937.88)</f>
        <v>11937.88</v>
      </c>
      <c r="I22" s="3">
        <f ca="1">IFERROR(__xludf.DUMMYFUNCTION("""COMPUTED_VALUE"""),9023.31)</f>
        <v>9023.31</v>
      </c>
      <c r="J22" s="3">
        <f ca="1">IFERROR(__xludf.DUMMYFUNCTION("""COMPUTED_VALUE"""),5786.47)</f>
        <v>5786.47</v>
      </c>
      <c r="K22" s="3" t="str">
        <f ca="1">IFERROR(__xludf.DUMMYFUNCTION("""COMPUTED_VALUE"""),"")</f>
        <v/>
      </c>
      <c r="L22" s="3" t="str">
        <f ca="1">IFERROR(__xludf.DUMMYFUNCTION("""COMPUTED_VALUE"""),"")</f>
        <v/>
      </c>
      <c r="M22" s="3" t="str">
        <f ca="1">IFERROR(__xludf.DUMMYFUNCTION("""COMPUTED_VALUE"""),"")</f>
        <v/>
      </c>
      <c r="N22" s="3" t="str">
        <f ca="1">IFERROR(__xludf.DUMMYFUNCTION("""COMPUTED_VALUE"""),"")</f>
        <v/>
      </c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 t="str">
        <f ca="1">IFERROR(__xludf.DUMMYFUNCTION("""COMPUTED_VALUE"""),"Apto. 7L Previsto")</f>
        <v>Apto. 7L Previsto</v>
      </c>
      <c r="B23" s="1" t="str">
        <f ca="1">IFERROR(__xludf.DUMMYFUNCTION("""COMPUTED_VALUE"""),"Apto. 7L")</f>
        <v>Apto. 7L</v>
      </c>
      <c r="C23" s="3">
        <f ca="1">IFERROR(__xludf.DUMMYFUNCTION("""COMPUTED_VALUE"""),10121.13)</f>
        <v>10121.129999999999</v>
      </c>
      <c r="D23" s="3">
        <f ca="1">IFERROR(__xludf.DUMMYFUNCTION("""COMPUTED_VALUE"""),15178.85)</f>
        <v>15178.85</v>
      </c>
      <c r="E23" s="3">
        <f ca="1">IFERROR(__xludf.DUMMYFUNCTION("""COMPUTED_VALUE"""),12973.5399999999)</f>
        <v>12973.539999999901</v>
      </c>
      <c r="F23" s="3">
        <f ca="1">IFERROR(__xludf.DUMMYFUNCTION("""COMPUTED_VALUE"""),15761.28)</f>
        <v>15761.28</v>
      </c>
      <c r="G23" s="3">
        <f ca="1">IFERROR(__xludf.DUMMYFUNCTION("""COMPUTED_VALUE"""),10662.94)</f>
        <v>10662.94</v>
      </c>
      <c r="H23" s="3">
        <f ca="1">IFERROR(__xludf.DUMMYFUNCTION("""COMPUTED_VALUE"""),11874.35)</f>
        <v>11874.35</v>
      </c>
      <c r="I23" s="3">
        <f ca="1">IFERROR(__xludf.DUMMYFUNCTION("""COMPUTED_VALUE"""),10000)</f>
        <v>10000</v>
      </c>
      <c r="J23" s="3">
        <f ca="1">IFERROR(__xludf.DUMMYFUNCTION("""COMPUTED_VALUE"""),10000)</f>
        <v>10000</v>
      </c>
      <c r="K23" s="3" t="str">
        <f ca="1">IFERROR(__xludf.DUMMYFUNCTION("""COMPUTED_VALUE"""),"")</f>
        <v/>
      </c>
      <c r="L23" s="3" t="str">
        <f ca="1">IFERROR(__xludf.DUMMYFUNCTION("""COMPUTED_VALUE"""),"")</f>
        <v/>
      </c>
      <c r="M23" s="3" t="str">
        <f ca="1">IFERROR(__xludf.DUMMYFUNCTION("""COMPUTED_VALUE"""),"")</f>
        <v/>
      </c>
      <c r="N23" s="3" t="str">
        <f ca="1">IFERROR(__xludf.DUMMYFUNCTION("""COMPUTED_VALUE"""),"")</f>
        <v/>
      </c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 t="str">
        <f ca="1">IFERROR(__xludf.DUMMYFUNCTION("""COMPUTED_VALUE"""),"Apto. 7L Realizado")</f>
        <v>Apto. 7L Realizado</v>
      </c>
      <c r="B24" s="1" t="str">
        <f ca="1">IFERROR(__xludf.DUMMYFUNCTION("""COMPUTED_VALUE"""),"Apto. 7L")</f>
        <v>Apto. 7L</v>
      </c>
      <c r="C24" s="3">
        <f ca="1">IFERROR(__xludf.DUMMYFUNCTION("""COMPUTED_VALUE"""),10121.13)</f>
        <v>10121.129999999999</v>
      </c>
      <c r="D24" s="3">
        <f ca="1">IFERROR(__xludf.DUMMYFUNCTION("""COMPUTED_VALUE"""),15178.85)</f>
        <v>15178.85</v>
      </c>
      <c r="E24" s="3">
        <f ca="1">IFERROR(__xludf.DUMMYFUNCTION("""COMPUTED_VALUE"""),12973.5399999999)</f>
        <v>12973.539999999901</v>
      </c>
      <c r="F24" s="3">
        <f ca="1">IFERROR(__xludf.DUMMYFUNCTION("""COMPUTED_VALUE"""),15761.28)</f>
        <v>15761.28</v>
      </c>
      <c r="G24" s="3">
        <f ca="1">IFERROR(__xludf.DUMMYFUNCTION("""COMPUTED_VALUE"""),10662.94)</f>
        <v>10662.94</v>
      </c>
      <c r="H24" s="3">
        <f ca="1">IFERROR(__xludf.DUMMYFUNCTION("""COMPUTED_VALUE"""),11874.35)</f>
        <v>11874.35</v>
      </c>
      <c r="I24" s="3">
        <f ca="1">IFERROR(__xludf.DUMMYFUNCTION("""COMPUTED_VALUE"""),10000)</f>
        <v>10000</v>
      </c>
      <c r="J24" s="3">
        <f ca="1">IFERROR(__xludf.DUMMYFUNCTION("""COMPUTED_VALUE"""),10000)</f>
        <v>10000</v>
      </c>
      <c r="K24" s="3" t="str">
        <f ca="1">IFERROR(__xludf.DUMMYFUNCTION("""COMPUTED_VALUE"""),"")</f>
        <v/>
      </c>
      <c r="L24" s="3" t="str">
        <f ca="1">IFERROR(__xludf.DUMMYFUNCTION("""COMPUTED_VALUE"""),"")</f>
        <v/>
      </c>
      <c r="M24" s="3" t="str">
        <f ca="1">IFERROR(__xludf.DUMMYFUNCTION("""COMPUTED_VALUE"""),"")</f>
        <v/>
      </c>
      <c r="N24" s="3" t="str">
        <f ca="1">IFERROR(__xludf.DUMMYFUNCTION("""COMPUTED_VALUE"""),"")</f>
        <v/>
      </c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 t="str">
        <f ca="1">IFERROR(__xludf.DUMMYFUNCTION("""COMPUTED_VALUE"""),"Débitos Previsto")</f>
        <v>Débitos Previsto</v>
      </c>
      <c r="B25" s="1" t="str">
        <f ca="1">IFERROR(__xludf.DUMMYFUNCTION("""COMPUTED_VALUE"""),"Total")</f>
        <v>Total</v>
      </c>
      <c r="C25" s="3">
        <f ca="1">IFERROR(__xludf.DUMMYFUNCTION("""COMPUTED_VALUE"""),35671.6)</f>
        <v>35671.599999999999</v>
      </c>
      <c r="D25" s="3">
        <f ca="1">IFERROR(__xludf.DUMMYFUNCTION("""COMPUTED_VALUE"""),44109.13)</f>
        <v>44109.13</v>
      </c>
      <c r="E25" s="3">
        <f ca="1">IFERROR(__xludf.DUMMYFUNCTION("""COMPUTED_VALUE"""),40893.4872849465)</f>
        <v>40893.487284946503</v>
      </c>
      <c r="F25" s="3">
        <f ca="1">IFERROR(__xludf.DUMMYFUNCTION("""COMPUTED_VALUE"""),48687.31)</f>
        <v>48687.31</v>
      </c>
      <c r="G25" s="3">
        <f ca="1">IFERROR(__xludf.DUMMYFUNCTION("""COMPUTED_VALUE"""),38593.39)</f>
        <v>38593.39</v>
      </c>
      <c r="H25" s="3">
        <f ca="1">IFERROR(__xludf.DUMMYFUNCTION("""COMPUTED_VALUE"""),37928.8999999999)</f>
        <v>37928.8999999999</v>
      </c>
      <c r="I25" s="3">
        <f ca="1">IFERROR(__xludf.DUMMYFUNCTION("""COMPUTED_VALUE"""),37325.73)</f>
        <v>37325.730000000003</v>
      </c>
      <c r="J25" s="3">
        <f ca="1">IFERROR(__xludf.DUMMYFUNCTION("""COMPUTED_VALUE"""),30193.7277438999)</f>
        <v>30193.727743899901</v>
      </c>
      <c r="K25" s="3" t="str">
        <f ca="1">IFERROR(__xludf.DUMMYFUNCTION("""COMPUTED_VALUE"""),"")</f>
        <v/>
      </c>
      <c r="L25" s="3" t="str">
        <f ca="1">IFERROR(__xludf.DUMMYFUNCTION("""COMPUTED_VALUE"""),"")</f>
        <v/>
      </c>
      <c r="M25" s="3" t="str">
        <f ca="1">IFERROR(__xludf.DUMMYFUNCTION("""COMPUTED_VALUE"""),"")</f>
        <v/>
      </c>
      <c r="N25" s="3" t="str">
        <f ca="1">IFERROR(__xludf.DUMMYFUNCTION("""COMPUTED_VALUE"""),"")</f>
        <v/>
      </c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 t="str">
        <f ca="1">IFERROR(__xludf.DUMMYFUNCTION("""COMPUTED_VALUE"""),"Débitos Realizado")</f>
        <v>Débitos Realizado</v>
      </c>
      <c r="B26" s="1" t="str">
        <f ca="1">IFERROR(__xludf.DUMMYFUNCTION("""COMPUTED_VALUE"""),"Total")</f>
        <v>Total</v>
      </c>
      <c r="C26" s="3">
        <f ca="1">IFERROR(__xludf.DUMMYFUNCTION("""COMPUTED_VALUE"""),35671.62)</f>
        <v>35671.620000000003</v>
      </c>
      <c r="D26" s="3">
        <f ca="1">IFERROR(__xludf.DUMMYFUNCTION("""COMPUTED_VALUE"""),44109.13)</f>
        <v>44109.13</v>
      </c>
      <c r="E26" s="3">
        <f ca="1">IFERROR(__xludf.DUMMYFUNCTION("""COMPUTED_VALUE"""),40893.49)</f>
        <v>40893.49</v>
      </c>
      <c r="F26" s="3">
        <f ca="1">IFERROR(__xludf.DUMMYFUNCTION("""COMPUTED_VALUE"""),48687.31)</f>
        <v>48687.31</v>
      </c>
      <c r="G26" s="3">
        <f ca="1">IFERROR(__xludf.DUMMYFUNCTION("""COMPUTED_VALUE"""),38593.39)</f>
        <v>38593.39</v>
      </c>
      <c r="H26" s="3">
        <f ca="1">IFERROR(__xludf.DUMMYFUNCTION("""COMPUTED_VALUE"""),37928.8999999999)</f>
        <v>37928.8999999999</v>
      </c>
      <c r="I26" s="3">
        <f ca="1">IFERROR(__xludf.DUMMYFUNCTION("""COMPUTED_VALUE"""),37325.73)</f>
        <v>37325.730000000003</v>
      </c>
      <c r="J26" s="3">
        <f ca="1">IFERROR(__xludf.DUMMYFUNCTION("""COMPUTED_VALUE"""),21863.37)</f>
        <v>21863.37</v>
      </c>
      <c r="K26" s="3" t="str">
        <f ca="1">IFERROR(__xludf.DUMMYFUNCTION("""COMPUTED_VALUE"""),"")</f>
        <v/>
      </c>
      <c r="L26" s="3" t="str">
        <f ca="1">IFERROR(__xludf.DUMMYFUNCTION("""COMPUTED_VALUE"""),"")</f>
        <v/>
      </c>
      <c r="M26" s="3" t="str">
        <f ca="1">IFERROR(__xludf.DUMMYFUNCTION("""COMPUTED_VALUE"""),"")</f>
        <v/>
      </c>
      <c r="N26" s="3" t="str">
        <f ca="1">IFERROR(__xludf.DUMMYFUNCTION("""COMPUTED_VALUE"""),"")</f>
        <v/>
      </c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 t="str">
        <f ca="1">IFERROR(__xludf.DUMMYFUNCTION("""COMPUTED_VALUE"""),"Investimento Ações")</f>
        <v>Investimento Ações</v>
      </c>
      <c r="B27" s="1" t="str">
        <f ca="1">IFERROR(__xludf.DUMMYFUNCTION("""COMPUTED_VALUE"""),"-")</f>
        <v>-</v>
      </c>
      <c r="C27" s="1"/>
      <c r="D27" s="1"/>
      <c r="E27" s="1"/>
      <c r="F27" s="1"/>
      <c r="G27" s="1"/>
      <c r="H27" s="1"/>
      <c r="I27" s="1"/>
      <c r="J27" s="1">
        <f ca="1">IFERROR(__xludf.DUMMYFUNCTION("""COMPUTED_VALUE"""),304841.449999999)</f>
        <v>304841.44999999902</v>
      </c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 t="str">
        <f ca="1">IFERROR(__xludf.DUMMYFUNCTION("""COMPUTED_VALUE"""),"Investimento Renda Fixa")</f>
        <v>Investimento Renda Fixa</v>
      </c>
      <c r="B28" s="1" t="str">
        <f ca="1">IFERROR(__xludf.DUMMYFUNCTION("""COMPUTED_VALUE"""),"-")</f>
        <v>-</v>
      </c>
      <c r="C28" s="1"/>
      <c r="D28" s="1"/>
      <c r="E28" s="1"/>
      <c r="F28" s="1"/>
      <c r="G28" s="1"/>
      <c r="H28" s="1"/>
      <c r="I28" s="1"/>
      <c r="J28" s="1">
        <f ca="1">IFERROR(__xludf.DUMMYFUNCTION("""COMPUTED_VALUE"""),136788.24)</f>
        <v>136788.24</v>
      </c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 t="str">
        <f ca="1">IFERROR(__xludf.DUMMYFUNCTION("""COMPUTED_VALUE"""),"Previdência Privada")</f>
        <v>Previdência Privada</v>
      </c>
      <c r="B29" s="1" t="str">
        <f ca="1">IFERROR(__xludf.DUMMYFUNCTION("""COMPUTED_VALUE"""),"-")</f>
        <v>-</v>
      </c>
      <c r="C29" s="1"/>
      <c r="D29" s="1"/>
      <c r="E29" s="1"/>
      <c r="F29" s="1"/>
      <c r="G29" s="1"/>
      <c r="H29" s="1"/>
      <c r="I29" s="1"/>
      <c r="J29" s="1">
        <f ca="1">IFERROR(__xludf.DUMMYFUNCTION("""COMPUTED_VALUE"""),213938)</f>
        <v>213938</v>
      </c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 t="str">
        <f ca="1">IFERROR(__xludf.DUMMYFUNCTION("""COMPUTED_VALUE"""),"[C] Salário")</f>
        <v>[C] Salário</v>
      </c>
      <c r="B30" s="1" t="str">
        <f ca="1">IFERROR(__xludf.DUMMYFUNCTION("""COMPUTED_VALUE"""),"-")</f>
        <v>-</v>
      </c>
      <c r="C30" s="1">
        <f ca="1">IFERROR(__xludf.DUMMYFUNCTION("""COMPUTED_VALUE"""),21951.99)</f>
        <v>21951.99</v>
      </c>
      <c r="D30" s="1">
        <f ca="1">IFERROR(__xludf.DUMMYFUNCTION("""COMPUTED_VALUE"""),21615.66)</f>
        <v>21615.66</v>
      </c>
      <c r="E30" s="1">
        <f ca="1">IFERROR(__xludf.DUMMYFUNCTION("""COMPUTED_VALUE"""),22117.97)</f>
        <v>22117.97</v>
      </c>
      <c r="F30" s="1">
        <f ca="1">IFERROR(__xludf.DUMMYFUNCTION("""COMPUTED_VALUE"""),23373.38)</f>
        <v>23373.38</v>
      </c>
      <c r="G30" s="1">
        <f ca="1">IFERROR(__xludf.DUMMYFUNCTION("""COMPUTED_VALUE"""),23176.4)</f>
        <v>23176.400000000001</v>
      </c>
      <c r="H30" s="1">
        <f ca="1">IFERROR(__xludf.DUMMYFUNCTION("""COMPUTED_VALUE"""),23189.13)</f>
        <v>23189.13</v>
      </c>
      <c r="I30" s="1">
        <f ca="1">IFERROR(__xludf.DUMMYFUNCTION("""COMPUTED_VALUE"""),23241.26)</f>
        <v>23241.26</v>
      </c>
      <c r="J30" s="1">
        <f ca="1">IFERROR(__xludf.DUMMYFUNCTION("""COMPUTED_VALUE"""),23078.86)</f>
        <v>23078.86</v>
      </c>
      <c r="K30" s="1" t="str">
        <f ca="1">IFERROR(__xludf.DUMMYFUNCTION("""COMPUTED_VALUE"""),"")</f>
        <v/>
      </c>
      <c r="L30" s="1" t="str">
        <f ca="1">IFERROR(__xludf.DUMMYFUNCTION("""COMPUTED_VALUE"""),"")</f>
        <v/>
      </c>
      <c r="M30" s="1" t="str">
        <f ca="1">IFERROR(__xludf.DUMMYFUNCTION("""COMPUTED_VALUE"""),"")</f>
        <v/>
      </c>
      <c r="N30" s="1" t="str">
        <f ca="1">IFERROR(__xludf.DUMMYFUNCTION("""COMPUTED_VALUE"""),"")</f>
        <v/>
      </c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 t="str">
        <f ca="1">IFERROR(__xludf.DUMMYFUNCTION("""COMPUTED_VALUE"""),"[C] Cartão")</f>
        <v>[C] Cartão</v>
      </c>
      <c r="B31" s="1" t="str">
        <f ca="1">IFERROR(__xludf.DUMMYFUNCTION("""COMPUTED_VALUE"""),"-")</f>
        <v>-</v>
      </c>
      <c r="C31" s="1">
        <f ca="1">IFERROR(__xludf.DUMMYFUNCTION("""COMPUTED_VALUE"""),6965.81)</f>
        <v>6965.81</v>
      </c>
      <c r="D31" s="1">
        <f ca="1">IFERROR(__xludf.DUMMYFUNCTION("""COMPUTED_VALUE"""),9684.3)</f>
        <v>9684.2999999999993</v>
      </c>
      <c r="E31" s="1">
        <f ca="1">IFERROR(__xludf.DUMMYFUNCTION("""COMPUTED_VALUE"""),5551.26999999999)</f>
        <v>5551.2699999999904</v>
      </c>
      <c r="F31" s="1">
        <f ca="1">IFERROR(__xludf.DUMMYFUNCTION("""COMPUTED_VALUE"""),10281.61)</f>
        <v>10281.61</v>
      </c>
      <c r="G31" s="1">
        <f ca="1">IFERROR(__xludf.DUMMYFUNCTION("""COMPUTED_VALUE"""),12579.79)</f>
        <v>12579.79</v>
      </c>
      <c r="H31" s="1">
        <f ca="1">IFERROR(__xludf.DUMMYFUNCTION("""COMPUTED_VALUE"""),12536.8499999999)</f>
        <v>12536.8499999999</v>
      </c>
      <c r="I31" s="1">
        <f ca="1">IFERROR(__xludf.DUMMYFUNCTION("""COMPUTED_VALUE"""),9479.01)</f>
        <v>9479.01</v>
      </c>
      <c r="J31" s="1">
        <f ca="1">IFERROR(__xludf.DUMMYFUNCTION("""COMPUTED_VALUE"""),7403.92999999999)</f>
        <v>7403.9299999999903</v>
      </c>
      <c r="K31" s="1">
        <f ca="1">IFERROR(__xludf.DUMMYFUNCTION("""COMPUTED_VALUE"""),7403.92999999999)</f>
        <v>7403.9299999999903</v>
      </c>
      <c r="L31" s="1">
        <f ca="1">IFERROR(__xludf.DUMMYFUNCTION("""COMPUTED_VALUE"""),7403.92999999999)</f>
        <v>7403.9299999999903</v>
      </c>
      <c r="M31" s="1">
        <f ca="1">IFERROR(__xludf.DUMMYFUNCTION("""COMPUTED_VALUE"""),7403.92999999999)</f>
        <v>7403.9299999999903</v>
      </c>
      <c r="N31" s="1">
        <f ca="1">IFERROR(__xludf.DUMMYFUNCTION("""COMPUTED_VALUE"""),7136.15)</f>
        <v>7136.15</v>
      </c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 t="str">
        <f ca="1">IFERROR(__xludf.DUMMYFUNCTION("""COMPUTED_VALUE"""),"[C] Investimento")</f>
        <v>[C] Investimento</v>
      </c>
      <c r="B32" s="1" t="str">
        <f ca="1">IFERROR(__xludf.DUMMYFUNCTION("""COMPUTED_VALUE"""),"-")</f>
        <v>-</v>
      </c>
      <c r="C32" s="1">
        <f ca="1">IFERROR(__xludf.DUMMYFUNCTION("""COMPUTED_VALUE"""),888.329999999999)</f>
        <v>888.32999999999902</v>
      </c>
      <c r="D32" s="1" t="str">
        <f ca="1">IFERROR(__xludf.DUMMYFUNCTION("""COMPUTED_VALUE"""),"")</f>
        <v/>
      </c>
      <c r="E32" s="1" t="str">
        <f ca="1">IFERROR(__xludf.DUMMYFUNCTION("""COMPUTED_VALUE"""),"")</f>
        <v/>
      </c>
      <c r="F32" s="1">
        <f ca="1">IFERROR(__xludf.DUMMYFUNCTION("""COMPUTED_VALUE"""),6811.08)</f>
        <v>6811.08</v>
      </c>
      <c r="G32" s="1" t="str">
        <f ca="1">IFERROR(__xludf.DUMMYFUNCTION("""COMPUTED_VALUE"""),"")</f>
        <v/>
      </c>
      <c r="H32" s="1">
        <f ca="1">IFERROR(__xludf.DUMMYFUNCTION("""COMPUTED_VALUE"""),1811.5)</f>
        <v>1811.5</v>
      </c>
      <c r="I32" s="1" t="str">
        <f ca="1">IFERROR(__xludf.DUMMYFUNCTION("""COMPUTED_VALUE"""),"")</f>
        <v/>
      </c>
      <c r="J32" s="1" t="str">
        <f ca="1">IFERROR(__xludf.DUMMYFUNCTION("""COMPUTED_VALUE"""),"")</f>
        <v/>
      </c>
      <c r="K32" s="1" t="str">
        <f ca="1">IFERROR(__xludf.DUMMYFUNCTION("""COMPUTED_VALUE"""),"")</f>
        <v/>
      </c>
      <c r="L32" s="1" t="str">
        <f ca="1">IFERROR(__xludf.DUMMYFUNCTION("""COMPUTED_VALUE"""),"")</f>
        <v/>
      </c>
      <c r="M32" s="1" t="str">
        <f ca="1">IFERROR(__xludf.DUMMYFUNCTION("""COMPUTED_VALUE"""),"")</f>
        <v/>
      </c>
      <c r="N32" s="1" t="str">
        <f ca="1">IFERROR(__xludf.DUMMYFUNCTION("""COMPUTED_VALUE"""),"")</f>
        <v/>
      </c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 t="str">
        <f ca="1">IFERROR(__xludf.DUMMYFUNCTION("""COMPUTED_VALUE"""),"[C] Consolidado")</f>
        <v>[C] Consolidado</v>
      </c>
      <c r="B33" s="1" t="str">
        <f ca="1">IFERROR(__xludf.DUMMYFUNCTION("""COMPUTED_VALUE"""),"-")</f>
        <v>-</v>
      </c>
      <c r="C33" s="1">
        <f ca="1">IFERROR(__xludf.DUMMYFUNCTION("""COMPUTED_VALUE"""),-5802.8425)</f>
        <v>-5802.8424999999997</v>
      </c>
      <c r="D33" s="1">
        <f ca="1">IFERROR(__xludf.DUMMYFUNCTION("""COMPUTED_VALUE"""),-1401.53249999999)</f>
        <v>-1401.53249999999</v>
      </c>
      <c r="E33" s="1">
        <f ca="1">IFERROR(__xludf.DUMMYFUNCTION("""COMPUTED_VALUE"""),-1373.365)</f>
        <v>-1373.365</v>
      </c>
      <c r="F33" s="1">
        <f ca="1">IFERROR(__xludf.DUMMYFUNCTION("""COMPUTED_VALUE"""),-9247.05999999999)</f>
        <v>-9247.0599999999904</v>
      </c>
      <c r="G33" s="1">
        <f ca="1">IFERROR(__xludf.DUMMYFUNCTION("""COMPUTED_VALUE"""),67050.3149999999)</f>
        <v>67050.3149999999</v>
      </c>
      <c r="H33" s="1">
        <f ca="1">IFERROR(__xludf.DUMMYFUNCTION("""COMPUTED_VALUE"""),-5572.93749999999)</f>
        <v>-5572.93749999999</v>
      </c>
      <c r="I33" s="1">
        <f ca="1">IFERROR(__xludf.DUMMYFUNCTION("""COMPUTED_VALUE"""),-5698.79)</f>
        <v>-5698.79</v>
      </c>
      <c r="J33" s="1">
        <f ca="1">IFERROR(__xludf.DUMMYFUNCTION("""COMPUTED_VALUE"""),9262.98)</f>
        <v>9262.98</v>
      </c>
      <c r="K33" s="1" t="str">
        <f ca="1">IFERROR(__xludf.DUMMYFUNCTION("""COMPUTED_VALUE"""),"")</f>
        <v/>
      </c>
      <c r="L33" s="1" t="str">
        <f ca="1">IFERROR(__xludf.DUMMYFUNCTION("""COMPUTED_VALUE"""),"")</f>
        <v/>
      </c>
      <c r="M33" s="1" t="str">
        <f ca="1">IFERROR(__xludf.DUMMYFUNCTION("""COMPUTED_VALUE"""),"")</f>
        <v/>
      </c>
      <c r="N33" s="1" t="str">
        <f ca="1">IFERROR(__xludf.DUMMYFUNCTION("""COMPUTED_VALUE"""),"")</f>
        <v/>
      </c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Z1000"/>
  <sheetViews>
    <sheetView workbookViewId="0"/>
  </sheetViews>
  <sheetFormatPr defaultColWidth="12.5703125" defaultRowHeight="15.75" customHeight="1" x14ac:dyDescent="0.2"/>
  <cols>
    <col min="1" max="1" width="6.140625" customWidth="1"/>
    <col min="2" max="2" width="4.42578125" customWidth="1"/>
    <col min="3" max="3" width="10.28515625" customWidth="1"/>
    <col min="4" max="4" width="12.28515625" customWidth="1"/>
    <col min="5" max="5" width="10.42578125" customWidth="1"/>
    <col min="6" max="6" width="17.42578125" customWidth="1"/>
    <col min="7" max="7" width="14.42578125" customWidth="1"/>
    <col min="8" max="8" width="11.42578125" customWidth="1"/>
    <col min="9" max="9" width="7.140625" customWidth="1"/>
    <col min="10" max="10" width="8.140625" customWidth="1"/>
    <col min="11" max="11" width="11" customWidth="1"/>
  </cols>
  <sheetData>
    <row r="1" spans="1:26" x14ac:dyDescent="0.2">
      <c r="A1" s="1" t="str">
        <f ca="1">IFERROR(__xludf.DUMMYFUNCTION("IMPORTRANGE(""https://docs.google.com/spreadsheets/d/1iYr1ABX5E5xD5hdpo7T57xV80Bd6YZfcnip7j3Ia3No/edit?gid=153321439#gid=153321439"",""'Renda'!A1:K14"")"),"Ticker")</f>
        <v>Ticker</v>
      </c>
      <c r="B1" s="1" t="str">
        <f ca="1">IFERROR(__xludf.DUMMYFUNCTION("""COMPUTED_VALUE"""),"Qtd")</f>
        <v>Qtd</v>
      </c>
      <c r="C1" s="1" t="str">
        <f ca="1">IFERROR(__xludf.DUMMYFUNCTION("""COMPUTED_VALUE"""),"Div. Esperado
2025")</f>
        <v>Div. Esperado
2025</v>
      </c>
      <c r="D1" s="1" t="str">
        <f ca="1">IFERROR(__xludf.DUMMYFUNCTION("""COMPUTED_VALUE"""),"Renda Esperada")</f>
        <v>Renda Esperada</v>
      </c>
      <c r="E1" s="1" t="str">
        <f ca="1">IFERROR(__xludf.DUMMYFUNCTION("""COMPUTED_VALUE"""),"Capital Atual")</f>
        <v>Capital Atual</v>
      </c>
      <c r="F1" s="1" t="str">
        <f ca="1">IFERROR(__xludf.DUMMYFUNCTION("""COMPUTED_VALUE"""),"Dividend Yield Esperado")</f>
        <v>Dividend Yield Esperado</v>
      </c>
      <c r="G1" s="1" t="str">
        <f ca="1">IFERROR(__xludf.DUMMYFUNCTION("""COMPUTED_VALUE"""),"Dividend Yield Pago")</f>
        <v>Dividend Yield Pago</v>
      </c>
      <c r="H1" s="1" t="str">
        <f ca="1">IFERROR(__xludf.DUMMYFUNCTION("""COMPUTED_VALUE"""),"Proporção Hoje")</f>
        <v>Proporção Hoje</v>
      </c>
      <c r="I1" s="4" t="str">
        <f ca="1">IFERROR(__xludf.DUMMYFUNCTION("""COMPUTED_VALUE"""),"Meta 28k")</f>
        <v>Meta 28k</v>
      </c>
      <c r="J1" s="1" t="str">
        <f ca="1">IFERROR(__xludf.DUMMYFUNCTION("""COMPUTED_VALUE"""),"Meta +1.a.")</f>
        <v>Meta +1.a.</v>
      </c>
      <c r="K1" s="1" t="str">
        <f ca="1">IFERROR(__xludf.DUMMYFUNCTION("""COMPUTED_VALUE"""),"Meta qtd. 2033")</f>
        <v>Meta qtd. 2033</v>
      </c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 t="str">
        <f ca="1">IFERROR(__xludf.DUMMYFUNCTION("""COMPUTED_VALUE"""),"BBAS3")</f>
        <v>BBAS3</v>
      </c>
      <c r="B2" s="1">
        <f ca="1">IFERROR(__xludf.DUMMYFUNCTION("""COMPUTED_VALUE"""),5037)</f>
        <v>5037</v>
      </c>
      <c r="C2" s="2">
        <f ca="1">IFERROR(__xludf.DUMMYFUNCTION("""COMPUTED_VALUE"""),1.10363942683903)</f>
        <v>1.1036394268390299</v>
      </c>
      <c r="D2" s="2">
        <f ca="1">IFERROR(__xludf.DUMMYFUNCTION("""COMPUTED_VALUE"""),5559.0317929882)</f>
        <v>5559.0317929882003</v>
      </c>
      <c r="E2" s="2">
        <f ca="1">IFERROR(__xludf.DUMMYFUNCTION("""COMPUTED_VALUE"""),100034.819999999)</f>
        <v>100034.819999999</v>
      </c>
      <c r="F2" s="5">
        <f ca="1">IFERROR(__xludf.DUMMYFUNCTION("""COMPUTED_VALUE"""),0.0555709681187831)</f>
        <v>5.55709681187831E-2</v>
      </c>
      <c r="G2" s="2">
        <f ca="1">IFERROR(__xludf.DUMMYFUNCTION("""COMPUTED_VALUE"""),5302.4499)</f>
        <v>5302.4498999999996</v>
      </c>
      <c r="H2" s="5">
        <f ca="1">IFERROR(__xludf.DUMMYFUNCTION("""COMPUTED_VALUE"""),0.328153602471055)</f>
        <v>0.32815360247105502</v>
      </c>
      <c r="I2" s="4">
        <f ca="1">IFERROR(__xludf.DUMMYFUNCTION("""COMPUTED_VALUE"""),-87.9142617808465)</f>
        <v>-87.914261780846502</v>
      </c>
      <c r="J2" s="4">
        <f ca="1">IFERROR(__xludf.DUMMYFUNCTION("""COMPUTED_VALUE"""),-2518.5)</f>
        <v>-2518.5</v>
      </c>
      <c r="K2" s="4">
        <f ca="1">IFERROR(__xludf.DUMMYFUNCTION("""COMPUTED_VALUE"""),-45417.1058111999)</f>
        <v>-45417.105811199901</v>
      </c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 t="str">
        <f ca="1">IFERROR(__xludf.DUMMYFUNCTION("""COMPUTED_VALUE"""),"BBSE3")</f>
        <v>BBSE3</v>
      </c>
      <c r="B3" s="1">
        <f ca="1">IFERROR(__xludf.DUMMYFUNCTION("""COMPUTED_VALUE"""),3220)</f>
        <v>3220</v>
      </c>
      <c r="C3" s="2">
        <f ca="1">IFERROR(__xludf.DUMMYFUNCTION("""COMPUTED_VALUE"""),3.80792459697722)</f>
        <v>3.80792459697722</v>
      </c>
      <c r="D3" s="2">
        <f ca="1">IFERROR(__xludf.DUMMYFUNCTION("""COMPUTED_VALUE"""),12261.5172022666)</f>
        <v>12261.517202266599</v>
      </c>
      <c r="E3" s="2">
        <f ca="1">IFERROR(__xludf.DUMMYFUNCTION("""COMPUTED_VALUE"""),102782.4)</f>
        <v>102782.39999999999</v>
      </c>
      <c r="F3" s="5">
        <f ca="1">IFERROR(__xludf.DUMMYFUNCTION("""COMPUTED_VALUE"""),0.119295883363948)</f>
        <v>0.119295883363948</v>
      </c>
      <c r="G3" s="2">
        <f ca="1">IFERROR(__xludf.DUMMYFUNCTION("""COMPUTED_VALUE"""),7316.806)</f>
        <v>7316.8059999999996</v>
      </c>
      <c r="H3" s="5">
        <f ca="1">IFERROR(__xludf.DUMMYFUNCTION("""COMPUTED_VALUE"""),0.337166746844958)</f>
        <v>0.33716674684495801</v>
      </c>
      <c r="I3" s="4">
        <f ca="1">IFERROR(__xludf.DUMMYFUNCTION("""COMPUTED_VALUE"""),-56.2008979420943)</f>
        <v>-56.200897942094301</v>
      </c>
      <c r="J3" s="4">
        <f ca="1">IFERROR(__xludf.DUMMYFUNCTION("""COMPUTED_VALUE"""),-1610)</f>
        <v>-1610</v>
      </c>
      <c r="K3" s="4">
        <f ca="1">IFERROR(__xludf.DUMMYFUNCTION("""COMPUTED_VALUE"""),-29033.7662719999)</f>
        <v>-29033.766271999899</v>
      </c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 t="str">
        <f ca="1">IFERROR(__xludf.DUMMYFUNCTION("""COMPUTED_VALUE"""),"BRSR6")</f>
        <v>BRSR6</v>
      </c>
      <c r="B4" s="1">
        <f ca="1">IFERROR(__xludf.DUMMYFUNCTION("""COMPUTED_VALUE"""),1314)</f>
        <v>1314</v>
      </c>
      <c r="C4" s="2">
        <f ca="1">IFERROR(__xludf.DUMMYFUNCTION("""COMPUTED_VALUE"""),1.10031444541706)</f>
        <v>1.1003144454170599</v>
      </c>
      <c r="D4" s="2">
        <f ca="1">IFERROR(__xludf.DUMMYFUNCTION("""COMPUTED_VALUE"""),1445.81318127802)</f>
        <v>1445.81318127802</v>
      </c>
      <c r="E4" s="2">
        <f ca="1">IFERROR(__xludf.DUMMYFUNCTION("""COMPUTED_VALUE"""),14716.8)</f>
        <v>14716.8</v>
      </c>
      <c r="F4" s="5">
        <f ca="1">IFERROR(__xludf.DUMMYFUNCTION("""COMPUTED_VALUE"""),0.0982423611979525)</f>
        <v>9.8242361197952502E-2</v>
      </c>
      <c r="G4" s="2">
        <f ca="1">IFERROR(__xludf.DUMMYFUNCTION("""COMPUTED_VALUE"""),692.7408)</f>
        <v>692.74080000000004</v>
      </c>
      <c r="H4" s="5">
        <f ca="1">IFERROR(__xludf.DUMMYFUNCTION("""COMPUTED_VALUE"""),0.0482768993521058)</f>
        <v>4.8276899352105801E-2</v>
      </c>
      <c r="I4" s="4">
        <f ca="1">IFERROR(__xludf.DUMMYFUNCTION("""COMPUTED_VALUE"""),-22.9341552471776)</f>
        <v>-22.9341552471776</v>
      </c>
      <c r="J4" s="4">
        <f ca="1">IFERROR(__xludf.DUMMYFUNCTION("""COMPUTED_VALUE"""),-657)</f>
        <v>-657</v>
      </c>
      <c r="K4" s="4">
        <f ca="1">IFERROR(__xludf.DUMMYFUNCTION("""COMPUTED_VALUE"""),-11847.9406463999)</f>
        <v>-11847.9406463999</v>
      </c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 t="str">
        <f ca="1">IFERROR(__xludf.DUMMYFUNCTION("""COMPUTED_VALUE"""),"CEBR6")</f>
        <v>CEBR6</v>
      </c>
      <c r="B5" s="1">
        <f ca="1">IFERROR(__xludf.DUMMYFUNCTION("""COMPUTED_VALUE"""),645)</f>
        <v>645</v>
      </c>
      <c r="C5" s="2">
        <f ca="1">IFERROR(__xludf.DUMMYFUNCTION("""COMPUTED_VALUE"""),2.2890596820288)</f>
        <v>2.2890596820288001</v>
      </c>
      <c r="D5" s="2">
        <f ca="1">IFERROR(__xludf.DUMMYFUNCTION("""COMPUTED_VALUE"""),1476.44349490857)</f>
        <v>1476.4434949085701</v>
      </c>
      <c r="E5" s="2">
        <f ca="1">IFERROR(__xludf.DUMMYFUNCTION("""COMPUTED_VALUE"""),15731.55)</f>
        <v>15731.55</v>
      </c>
      <c r="F5" s="5">
        <f ca="1">IFERROR(__xludf.DUMMYFUNCTION("""COMPUTED_VALUE"""),0.0938523854870356)</f>
        <v>9.3852385487035603E-2</v>
      </c>
      <c r="G5" s="2">
        <f ca="1">IFERROR(__xludf.DUMMYFUNCTION("""COMPUTED_VALUE"""),815.666999999999)</f>
        <v>815.66699999999901</v>
      </c>
      <c r="H5" s="5">
        <f ca="1">IFERROR(__xludf.DUMMYFUNCTION("""COMPUTED_VALUE"""),0.0516056789521241)</f>
        <v>5.1605678952124097E-2</v>
      </c>
      <c r="I5" s="4">
        <f ca="1">IFERROR(__xludf.DUMMYFUNCTION("""COMPUTED_VALUE"""),-11.2576332834319)</f>
        <v>-11.2576332834319</v>
      </c>
      <c r="J5" s="4">
        <f ca="1">IFERROR(__xludf.DUMMYFUNCTION("""COMPUTED_VALUE"""),-322.5)</f>
        <v>-322.5</v>
      </c>
      <c r="K5" s="4">
        <f ca="1">IFERROR(__xludf.DUMMYFUNCTION("""COMPUTED_VALUE"""),-5815.769952)</f>
        <v>-5815.7699519999996</v>
      </c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 t="str">
        <f ca="1">IFERROR(__xludf.DUMMYFUNCTION("""COMPUTED_VALUE"""),"CXSE3")</f>
        <v>CXSE3</v>
      </c>
      <c r="B6" s="1">
        <f ca="1">IFERROR(__xludf.DUMMYFUNCTION("""COMPUTED_VALUE"""),1410)</f>
        <v>1410</v>
      </c>
      <c r="C6" s="2">
        <f ca="1">IFERROR(__xludf.DUMMYFUNCTION("""COMPUTED_VALUE"""),1.31999999999999)</f>
        <v>1.3199999999999901</v>
      </c>
      <c r="D6" s="2">
        <f ca="1">IFERROR(__xludf.DUMMYFUNCTION("""COMPUTED_VALUE"""),1861.19999999999)</f>
        <v>1861.19999999999</v>
      </c>
      <c r="E6" s="2">
        <f ca="1">IFERROR(__xludf.DUMMYFUNCTION("""COMPUTED_VALUE"""),19161.9)</f>
        <v>19161.900000000001</v>
      </c>
      <c r="F6" s="5">
        <f ca="1">IFERROR(__xludf.DUMMYFUNCTION("""COMPUTED_VALUE"""),0.097130242825607)</f>
        <v>9.7130242825607005E-2</v>
      </c>
      <c r="G6" s="2">
        <f ca="1">IFERROR(__xludf.DUMMYFUNCTION("""COMPUTED_VALUE"""),1325.39999999999)</f>
        <v>1325.3999999999901</v>
      </c>
      <c r="H6" s="5">
        <f ca="1">IFERROR(__xludf.DUMMYFUNCTION("""COMPUTED_VALUE"""),0.0628585777951128)</f>
        <v>6.2858577795112794E-2</v>
      </c>
      <c r="I6" s="4">
        <f ca="1">IFERROR(__xludf.DUMMYFUNCTION("""COMPUTED_VALUE"""),-24.6097099684323)</f>
        <v>-24.609709968432298</v>
      </c>
      <c r="J6" s="4">
        <f ca="1">IFERROR(__xludf.DUMMYFUNCTION("""COMPUTED_VALUE"""),-705)</f>
        <v>-705</v>
      </c>
      <c r="K6" s="4">
        <f ca="1">IFERROR(__xludf.DUMMYFUNCTION("""COMPUTED_VALUE"""),-12713.5436159999)</f>
        <v>-12713.543615999901</v>
      </c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 t="str">
        <f ca="1">IFERROR(__xludf.DUMMYFUNCTION("""COMPUTED_VALUE"""),"LEVE3")</f>
        <v>LEVE3</v>
      </c>
      <c r="B7" s="1">
        <f ca="1">IFERROR(__xludf.DUMMYFUNCTION("""COMPUTED_VALUE"""),634)</f>
        <v>634</v>
      </c>
      <c r="C7" s="2">
        <f ca="1">IFERROR(__xludf.DUMMYFUNCTION("""COMPUTED_VALUE"""),2.73721954566582)</f>
        <v>2.7372195456658202</v>
      </c>
      <c r="D7" s="2">
        <f ca="1">IFERROR(__xludf.DUMMYFUNCTION("""COMPUTED_VALUE"""),1735.39719195213)</f>
        <v>1735.39719195213</v>
      </c>
      <c r="E7" s="2">
        <f ca="1">IFERROR(__xludf.DUMMYFUNCTION("""COMPUTED_VALUE"""),16915.12)</f>
        <v>16915.12</v>
      </c>
      <c r="F7" s="5">
        <f ca="1">IFERROR(__xludf.DUMMYFUNCTION("""COMPUTED_VALUE"""),0.102594435744596)</f>
        <v>0.10259443574459599</v>
      </c>
      <c r="G7" s="2">
        <f ca="1">IFERROR(__xludf.DUMMYFUNCTION("""COMPUTED_VALUE"""),1329.7516)</f>
        <v>1329.7516000000001</v>
      </c>
      <c r="H7" s="5">
        <f ca="1">IFERROR(__xludf.DUMMYFUNCTION("""COMPUTED_VALUE"""),0.055488254632039)</f>
        <v>5.5488254632038998E-2</v>
      </c>
      <c r="I7" s="4">
        <f ca="1">IFERROR(__xludf.DUMMYFUNCTION("""COMPUTED_VALUE"""),-11.0656426382881)</f>
        <v>-11.0656426382881</v>
      </c>
      <c r="J7" s="4">
        <f ca="1">IFERROR(__xludf.DUMMYFUNCTION("""COMPUTED_VALUE"""),-317)</f>
        <v>-317</v>
      </c>
      <c r="K7" s="4">
        <f ca="1">IFERROR(__xludf.DUMMYFUNCTION("""COMPUTED_VALUE"""),-5716.58627839999)</f>
        <v>-5716.5862783999901</v>
      </c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 t="str">
        <f ca="1">IFERROR(__xludf.DUMMYFUNCTION("""COMPUTED_VALUE"""),"PETR4")</f>
        <v>PETR4</v>
      </c>
      <c r="B8" s="1">
        <f ca="1">IFERROR(__xludf.DUMMYFUNCTION("""COMPUTED_VALUE"""),289)</f>
        <v>289</v>
      </c>
      <c r="C8" s="2">
        <f ca="1">IFERROR(__xludf.DUMMYFUNCTION("""COMPUTED_VALUE"""),2.9677083627446)</f>
        <v>2.9677083627446001</v>
      </c>
      <c r="D8" s="2">
        <f ca="1">IFERROR(__xludf.DUMMYFUNCTION("""COMPUTED_VALUE"""),857.667716833189)</f>
        <v>857.66771683318905</v>
      </c>
      <c r="E8" s="2">
        <f ca="1">IFERROR(__xludf.DUMMYFUNCTION("""COMPUTED_VALUE"""),8733.58)</f>
        <v>8733.58</v>
      </c>
      <c r="F8" s="5">
        <f ca="1">IFERROR(__xludf.DUMMYFUNCTION("""COMPUTED_VALUE"""),0.0982034534329781)</f>
        <v>9.8203453432978094E-2</v>
      </c>
      <c r="G8" s="2">
        <f ca="1">IFERROR(__xludf.DUMMYFUNCTION("""COMPUTED_VALUE"""),588.924199999999)</f>
        <v>588.92419999999902</v>
      </c>
      <c r="H8" s="5">
        <f ca="1">IFERROR(__xludf.DUMMYFUNCTION("""COMPUTED_VALUE"""),0.0286495816103748)</f>
        <v>2.86495816103748E-2</v>
      </c>
      <c r="I8" s="4">
        <f ca="1">IFERROR(__xludf.DUMMYFUNCTION("""COMPUTED_VALUE"""),-5.04411785877806)</f>
        <v>-5.0441178587780602</v>
      </c>
      <c r="J8" s="4">
        <f ca="1">IFERROR(__xludf.DUMMYFUNCTION("""COMPUTED_VALUE"""),-144.5)</f>
        <v>-144.5</v>
      </c>
      <c r="K8" s="4">
        <f ca="1">IFERROR(__xludf.DUMMYFUNCTION("""COMPUTED_VALUE"""),-2605.82560639999)</f>
        <v>-2605.8256063999902</v>
      </c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 t="str">
        <f ca="1">IFERROR(__xludf.DUMMYFUNCTION("""COMPUTED_VALUE"""),"RANI3")</f>
        <v>RANI3</v>
      </c>
      <c r="B9" s="1">
        <f ca="1">IFERROR(__xludf.DUMMYFUNCTION("""COMPUTED_VALUE"""),1460)</f>
        <v>1460</v>
      </c>
      <c r="C9" s="2">
        <f ca="1">IFERROR(__xludf.DUMMYFUNCTION("""COMPUTED_VALUE"""),0.760004451763968)</f>
        <v>0.76000445176396803</v>
      </c>
      <c r="D9" s="2">
        <f ca="1">IFERROR(__xludf.DUMMYFUNCTION("""COMPUTED_VALUE"""),1109.60649957539)</f>
        <v>1109.60649957539</v>
      </c>
      <c r="E9" s="2">
        <f ca="1">IFERROR(__xludf.DUMMYFUNCTION("""COMPUTED_VALUE"""),10774.8)</f>
        <v>10774.8</v>
      </c>
      <c r="F9" s="5">
        <f ca="1">IFERROR(__xludf.DUMMYFUNCTION("""COMPUTED_VALUE"""),0.102981633030347)</f>
        <v>0.10298163303034701</v>
      </c>
      <c r="G9" s="2">
        <f ca="1">IFERROR(__xludf.DUMMYFUNCTION("""COMPUTED_VALUE"""),845.485999999999)</f>
        <v>845.48599999999897</v>
      </c>
      <c r="H9" s="5">
        <f ca="1">IFERROR(__xludf.DUMMYFUNCTION("""COMPUTED_VALUE"""),0.0353455870256489)</f>
        <v>3.5345587025648897E-2</v>
      </c>
      <c r="I9" s="4">
        <f ca="1">IFERROR(__xludf.DUMMYFUNCTION("""COMPUTED_VALUE"""),-25.4823947190859)</f>
        <v>-25.482394719085899</v>
      </c>
      <c r="J9" s="4">
        <f ca="1">IFERROR(__xludf.DUMMYFUNCTION("""COMPUTED_VALUE"""),-730)</f>
        <v>-730</v>
      </c>
      <c r="K9" s="4">
        <f ca="1">IFERROR(__xludf.DUMMYFUNCTION("""COMPUTED_VALUE"""),-13164.3784959999)</f>
        <v>-13164.378495999899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 t="str">
        <f ca="1">IFERROR(__xludf.DUMMYFUNCTION("""COMPUTED_VALUE"""),"ISAE4")</f>
        <v>ISAE4</v>
      </c>
      <c r="B10" s="1">
        <f ca="1">IFERROR(__xludf.DUMMYFUNCTION("""COMPUTED_VALUE"""),496)</f>
        <v>496</v>
      </c>
      <c r="C10" s="2">
        <f ca="1">IFERROR(__xludf.DUMMYFUNCTION("""COMPUTED_VALUE"""),1.59360541331913)</f>
        <v>1.59360541331913</v>
      </c>
      <c r="D10" s="2">
        <f ca="1">IFERROR(__xludf.DUMMYFUNCTION("""COMPUTED_VALUE"""),790.428285006293)</f>
        <v>790.42828500629298</v>
      </c>
      <c r="E10" s="2">
        <f ca="1">IFERROR(__xludf.DUMMYFUNCTION("""COMPUTED_VALUE"""),10926.88)</f>
        <v>10926.88</v>
      </c>
      <c r="F10" s="5">
        <f ca="1">IFERROR(__xludf.DUMMYFUNCTION("""COMPUTED_VALUE"""),0.0723379670140326)</f>
        <v>7.2337967014032598E-2</v>
      </c>
      <c r="G10" s="2">
        <f ca="1">IFERROR(__xludf.DUMMYFUNCTION("""COMPUTED_VALUE"""),1170.9072)</f>
        <v>1170.9072000000001</v>
      </c>
      <c r="H10" s="5">
        <f ca="1">IFERROR(__xludf.DUMMYFUNCTION("""COMPUTED_VALUE"""),0.0358444693134742)</f>
        <v>3.5844469313474202E-2</v>
      </c>
      <c r="I10" s="4">
        <f ca="1">IFERROR(__xludf.DUMMYFUNCTION("""COMPUTED_VALUE"""),-8.65703272648409)</f>
        <v>-8.6570327264840898</v>
      </c>
      <c r="J10" s="4">
        <f ca="1">IFERROR(__xludf.DUMMYFUNCTION("""COMPUTED_VALUE"""),-248)</f>
        <v>-248</v>
      </c>
      <c r="K10" s="4">
        <f ca="1">IFERROR(__xludf.DUMMYFUNCTION("""COMPUTED_VALUE"""),-4472.28200959999)</f>
        <v>-4472.2820095999896</v>
      </c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 t="str">
        <f ca="1">IFERROR(__xludf.DUMMYFUNCTION("""COMPUTED_VALUE"""),"CGAS5")</f>
        <v>CGAS5</v>
      </c>
      <c r="B11" s="1">
        <f ca="1">IFERROR(__xludf.DUMMYFUNCTION("""COMPUTED_VALUE"""),40)</f>
        <v>40</v>
      </c>
      <c r="C11" s="2">
        <f ca="1">IFERROR(__xludf.DUMMYFUNCTION("""COMPUTED_VALUE"""),10.5643633839165)</f>
        <v>10.564363383916501</v>
      </c>
      <c r="D11" s="2">
        <f ca="1">IFERROR(__xludf.DUMMYFUNCTION("""COMPUTED_VALUE"""),422.57453535666)</f>
        <v>422.57453535666002</v>
      </c>
      <c r="E11" s="2">
        <f ca="1">IFERROR(__xludf.DUMMYFUNCTION("""COMPUTED_VALUE"""),5063.6)</f>
        <v>5063.6000000000004</v>
      </c>
      <c r="F11" s="5">
        <f ca="1">IFERROR(__xludf.DUMMYFUNCTION("""COMPUTED_VALUE"""),0.0834533800767557)</f>
        <v>8.3453380076755707E-2</v>
      </c>
      <c r="G11" s="2">
        <f ca="1">IFERROR(__xludf.DUMMYFUNCTION("""COMPUTED_VALUE"""),30.628)</f>
        <v>30.628</v>
      </c>
      <c r="H11" s="5">
        <f ca="1">IFERROR(__xludf.DUMMYFUNCTION("""COMPUTED_VALUE"""),0.0166106020031068)</f>
        <v>1.6610602003106802E-2</v>
      </c>
      <c r="I11" s="4">
        <f ca="1">IFERROR(__xludf.DUMMYFUNCTION("""COMPUTED_VALUE"""),-0.69814780052291)</f>
        <v>-0.69814780052291003</v>
      </c>
      <c r="J11" s="4">
        <f ca="1">IFERROR(__xludf.DUMMYFUNCTION("""COMPUTED_VALUE"""),-20)</f>
        <v>-20</v>
      </c>
      <c r="K11" s="4">
        <f ca="1">IFERROR(__xludf.DUMMYFUNCTION("""COMPUTED_VALUE"""),-360.667903999999)</f>
        <v>-360.667903999999</v>
      </c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1"/>
      <c r="D14" s="2">
        <f ca="1">IFERROR(__xludf.DUMMYFUNCTION("""COMPUTED_VALUE"""),27519.6799001651)</f>
        <v>27519.679900165102</v>
      </c>
      <c r="E14" s="2">
        <f ca="1">IFERROR(__xludf.DUMMYFUNCTION("""COMPUTED_VALUE"""),304841.449999999)</f>
        <v>304841.44999999902</v>
      </c>
      <c r="F14" s="5">
        <f ca="1">IFERROR(__xludf.DUMMYFUNCTION("""COMPUTED_VALUE"""),0.0902753870911096)</f>
        <v>9.0275387091109605E-2</v>
      </c>
      <c r="G14" s="1"/>
      <c r="H14" s="5">
        <f ca="1">IFERROR(__xludf.DUMMYFUNCTION("""COMPUTED_VALUE"""),1)</f>
        <v>1</v>
      </c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Z1000"/>
  <sheetViews>
    <sheetView tabSelected="1" workbookViewId="0">
      <selection activeCell="I5" sqref="I5"/>
    </sheetView>
  </sheetViews>
  <sheetFormatPr defaultColWidth="12.5703125" defaultRowHeight="15.75" customHeight="1" x14ac:dyDescent="0.2"/>
  <cols>
    <col min="1" max="1" width="5" bestFit="1" customWidth="1"/>
    <col min="2" max="7" width="10.140625" bestFit="1" customWidth="1"/>
    <col min="8" max="8" width="8.7109375" bestFit="1" customWidth="1"/>
    <col min="9" max="9" width="10.140625" bestFit="1" customWidth="1"/>
    <col min="10" max="11" width="8.7109375" bestFit="1" customWidth="1"/>
    <col min="12" max="13" width="10.140625" bestFit="1" customWidth="1"/>
    <col min="14" max="14" width="11.140625" bestFit="1" customWidth="1"/>
    <col min="15" max="15" width="10.140625" bestFit="1" customWidth="1"/>
    <col min="16" max="16" width="12.7109375" bestFit="1" customWidth="1"/>
    <col min="17" max="17" width="8" bestFit="1" customWidth="1"/>
  </cols>
  <sheetData>
    <row r="1" spans="1:26" x14ac:dyDescent="0.2">
      <c r="A1" s="1" t="str">
        <f ca="1">IFERROR(__xludf.DUMMYFUNCTION("IMPORTRANGE(""https://docs.google.com/spreadsheets/d/1iYr1ABX5E5xD5hdpo7T57xV80Bd6YZfcnip7j3Ia3No/edit?gid=153321439#gid=153321439"",""'Prov.B3'!A2:Q50"")"),"")</f>
        <v/>
      </c>
      <c r="B1" s="6">
        <f ca="1">IFERROR(__xludf.DUMMYFUNCTION("""COMPUTED_VALUE"""),45658)</f>
        <v>45658</v>
      </c>
      <c r="C1" s="6">
        <f ca="1">IFERROR(__xludf.DUMMYFUNCTION("""COMPUTED_VALUE"""),45689)</f>
        <v>45689</v>
      </c>
      <c r="D1" s="6">
        <f ca="1">IFERROR(__xludf.DUMMYFUNCTION("""COMPUTED_VALUE"""),45717)</f>
        <v>45717</v>
      </c>
      <c r="E1" s="6">
        <f ca="1">IFERROR(__xludf.DUMMYFUNCTION("""COMPUTED_VALUE"""),45748)</f>
        <v>45748</v>
      </c>
      <c r="F1" s="6">
        <f ca="1">IFERROR(__xludf.DUMMYFUNCTION("""COMPUTED_VALUE"""),45778)</f>
        <v>45778</v>
      </c>
      <c r="G1" s="6">
        <f ca="1">IFERROR(__xludf.DUMMYFUNCTION("""COMPUTED_VALUE"""),45809)</f>
        <v>45809</v>
      </c>
      <c r="H1" s="6">
        <f ca="1">IFERROR(__xludf.DUMMYFUNCTION("""COMPUTED_VALUE"""),45839)</f>
        <v>45839</v>
      </c>
      <c r="I1" s="6">
        <f ca="1">IFERROR(__xludf.DUMMYFUNCTION("""COMPUTED_VALUE"""),45870)</f>
        <v>45870</v>
      </c>
      <c r="J1" s="6">
        <f ca="1">IFERROR(__xludf.DUMMYFUNCTION("""COMPUTED_VALUE"""),45901)</f>
        <v>45901</v>
      </c>
      <c r="K1" s="6">
        <f ca="1">IFERROR(__xludf.DUMMYFUNCTION("""COMPUTED_VALUE"""),45931)</f>
        <v>45931</v>
      </c>
      <c r="L1" s="6">
        <f ca="1">IFERROR(__xludf.DUMMYFUNCTION("""COMPUTED_VALUE"""),45962)</f>
        <v>45962</v>
      </c>
      <c r="M1" s="6">
        <f ca="1">IFERROR(__xludf.DUMMYFUNCTION("""COMPUTED_VALUE"""),45992)</f>
        <v>45992</v>
      </c>
      <c r="N1" s="1" t="str">
        <f ca="1">IFERROR(__xludf.DUMMYFUNCTION("""COMPUTED_VALUE"""),"Total")</f>
        <v>Total</v>
      </c>
      <c r="O1" s="2" t="str">
        <f ca="1">IFERROR(__xludf.DUMMYFUNCTION("""COMPUTED_VALUE"""),"Média")</f>
        <v>Média</v>
      </c>
      <c r="P1" s="2" t="str">
        <f ca="1">IFERROR(__xludf.DUMMYFUNCTION("""COMPUTED_VALUE"""),"~ Mensal (Ano)")</f>
        <v>~ Mensal (Ano)</v>
      </c>
      <c r="Q1" s="5" t="str">
        <f ca="1">IFERROR(__xludf.DUMMYFUNCTION("""COMPUTED_VALUE"""),"Variação")</f>
        <v>Variação</v>
      </c>
      <c r="R1" s="1"/>
      <c r="S1" s="1"/>
      <c r="T1" s="1"/>
      <c r="U1" s="1"/>
      <c r="V1" s="1"/>
      <c r="W1" s="1"/>
      <c r="X1" s="1"/>
      <c r="Y1" s="1"/>
      <c r="Z1" s="1"/>
    </row>
    <row r="2" spans="1:26" x14ac:dyDescent="0.2">
      <c r="A2" s="1">
        <f ca="1">IFERROR(__xludf.DUMMYFUNCTION("""COMPUTED_VALUE"""),2019)</f>
        <v>2019</v>
      </c>
      <c r="B2" s="2">
        <f ca="1">IFERROR(__xludf.DUMMYFUNCTION("""COMPUTED_VALUE"""),0)</f>
        <v>0</v>
      </c>
      <c r="C2" s="2">
        <f ca="1">IFERROR(__xludf.DUMMYFUNCTION("""COMPUTED_VALUE"""),0)</f>
        <v>0</v>
      </c>
      <c r="D2" s="2">
        <f ca="1">IFERROR(__xludf.DUMMYFUNCTION("""COMPUTED_VALUE"""),0)</f>
        <v>0</v>
      </c>
      <c r="E2" s="2">
        <f ca="1">IFERROR(__xludf.DUMMYFUNCTION("""COMPUTED_VALUE"""),0)</f>
        <v>0</v>
      </c>
      <c r="F2" s="2">
        <f ca="1">IFERROR(__xludf.DUMMYFUNCTION("""COMPUTED_VALUE"""),0)</f>
        <v>0</v>
      </c>
      <c r="G2" s="2">
        <f ca="1">IFERROR(__xludf.DUMMYFUNCTION("""COMPUTED_VALUE"""),0)</f>
        <v>0</v>
      </c>
      <c r="H2" s="2">
        <f ca="1">IFERROR(__xludf.DUMMYFUNCTION("""COMPUTED_VALUE"""),0)</f>
        <v>0</v>
      </c>
      <c r="I2" s="2">
        <f ca="1">IFERROR(__xludf.DUMMYFUNCTION("""COMPUTED_VALUE"""),0)</f>
        <v>0</v>
      </c>
      <c r="J2" s="2">
        <f ca="1">IFERROR(__xludf.DUMMYFUNCTION("""COMPUTED_VALUE"""),0)</f>
        <v>0</v>
      </c>
      <c r="K2" s="2">
        <f ca="1">IFERROR(__xludf.DUMMYFUNCTION("""COMPUTED_VALUE"""),0)</f>
        <v>0</v>
      </c>
      <c r="L2" s="2">
        <f ca="1">IFERROR(__xludf.DUMMYFUNCTION("""COMPUTED_VALUE"""),27.7999999999999)</f>
        <v>27.799999999999901</v>
      </c>
      <c r="M2" s="2">
        <f ca="1">IFERROR(__xludf.DUMMYFUNCTION("""COMPUTED_VALUE"""),88.2899999999999)</f>
        <v>88.289999999999907</v>
      </c>
      <c r="N2" s="2">
        <f ca="1">IFERROR(__xludf.DUMMYFUNCTION("""COMPUTED_VALUE"""),116.089999999999)</f>
        <v>116.08999999999899</v>
      </c>
      <c r="O2" s="2">
        <f ca="1">IFERROR(__xludf.DUMMYFUNCTION("""COMPUTED_VALUE"""),9.67416666666666)</f>
        <v>9.6741666666666593</v>
      </c>
      <c r="P2" s="2">
        <f ca="1">IFERROR(__xludf.DUMMYFUNCTION("""COMPUTED_VALUE"""),9.67416666666666)</f>
        <v>9.6741666666666593</v>
      </c>
      <c r="Q2" s="5" t="str">
        <f ca="1">IFERROR(__xludf.DUMMYFUNCTION("""COMPUTED_VALUE"""),"-")</f>
        <v>-</v>
      </c>
      <c r="R2" s="1"/>
      <c r="S2" s="1"/>
      <c r="T2" s="1"/>
      <c r="U2" s="1"/>
      <c r="V2" s="1"/>
      <c r="W2" s="1"/>
      <c r="X2" s="1"/>
      <c r="Y2" s="1"/>
      <c r="Z2" s="1"/>
    </row>
    <row r="3" spans="1:26" x14ac:dyDescent="0.2">
      <c r="A3" s="1">
        <f ca="1">IFERROR(__xludf.DUMMYFUNCTION("""COMPUTED_VALUE"""),2020)</f>
        <v>2020</v>
      </c>
      <c r="B3" s="2">
        <f ca="1">IFERROR(__xludf.DUMMYFUNCTION("""COMPUTED_VALUE"""),9.30999999999999)</f>
        <v>9.3099999999999898</v>
      </c>
      <c r="C3" s="2">
        <f ca="1">IFERROR(__xludf.DUMMYFUNCTION("""COMPUTED_VALUE"""),55.22)</f>
        <v>55.22</v>
      </c>
      <c r="D3" s="2">
        <f ca="1">IFERROR(__xludf.DUMMYFUNCTION("""COMPUTED_VALUE"""),28.13)</f>
        <v>28.13</v>
      </c>
      <c r="E3" s="2">
        <f ca="1">IFERROR(__xludf.DUMMYFUNCTION("""COMPUTED_VALUE"""),18.85)</f>
        <v>18.850000000000001</v>
      </c>
      <c r="F3" s="2">
        <f ca="1">IFERROR(__xludf.DUMMYFUNCTION("""COMPUTED_VALUE"""),57.44)</f>
        <v>57.44</v>
      </c>
      <c r="G3" s="2">
        <f ca="1">IFERROR(__xludf.DUMMYFUNCTION("""COMPUTED_VALUE"""),5.55)</f>
        <v>5.55</v>
      </c>
      <c r="H3" s="2">
        <f ca="1">IFERROR(__xludf.DUMMYFUNCTION("""COMPUTED_VALUE"""),1.77)</f>
        <v>1.77</v>
      </c>
      <c r="I3" s="2">
        <f ca="1">IFERROR(__xludf.DUMMYFUNCTION("""COMPUTED_VALUE"""),145.489999999999)</f>
        <v>145.48999999999899</v>
      </c>
      <c r="J3" s="2">
        <f ca="1">IFERROR(__xludf.DUMMYFUNCTION("""COMPUTED_VALUE"""),162.07)</f>
        <v>162.07</v>
      </c>
      <c r="K3" s="2">
        <f ca="1">IFERROR(__xludf.DUMMYFUNCTION("""COMPUTED_VALUE"""),97.23)</f>
        <v>97.23</v>
      </c>
      <c r="L3" s="2">
        <f ca="1">IFERROR(__xludf.DUMMYFUNCTION("""COMPUTED_VALUE"""),16.89)</f>
        <v>16.89</v>
      </c>
      <c r="M3" s="2">
        <f ca="1">IFERROR(__xludf.DUMMYFUNCTION("""COMPUTED_VALUE"""),14.84)</f>
        <v>14.84</v>
      </c>
      <c r="N3" s="2">
        <f ca="1">IFERROR(__xludf.DUMMYFUNCTION("""COMPUTED_VALUE"""),612.79)</f>
        <v>612.79</v>
      </c>
      <c r="O3" s="2">
        <f ca="1">IFERROR(__xludf.DUMMYFUNCTION("""COMPUTED_VALUE"""),51.0658333333333)</f>
        <v>51.065833333333302</v>
      </c>
      <c r="P3" s="2">
        <f ca="1">IFERROR(__xludf.DUMMYFUNCTION("""COMPUTED_VALUE"""),51.0658333333333)</f>
        <v>51.065833333333302</v>
      </c>
      <c r="Q3" s="5">
        <f ca="1">IFERROR(__xludf.DUMMYFUNCTION("""COMPUTED_VALUE"""),4.27857696614695)</f>
        <v>4.2785769661469502</v>
      </c>
      <c r="R3" s="1"/>
      <c r="S3" s="1"/>
      <c r="T3" s="1"/>
      <c r="U3" s="1"/>
      <c r="V3" s="1"/>
      <c r="W3" s="1"/>
      <c r="X3" s="1"/>
      <c r="Y3" s="1"/>
      <c r="Z3" s="1"/>
    </row>
    <row r="4" spans="1:26" x14ac:dyDescent="0.2">
      <c r="A4" s="1">
        <f ca="1">IFERROR(__xludf.DUMMYFUNCTION("""COMPUTED_VALUE"""),2021)</f>
        <v>2021</v>
      </c>
      <c r="B4" s="2">
        <f ca="1">IFERROR(__xludf.DUMMYFUNCTION("""COMPUTED_VALUE"""),59.42)</f>
        <v>59.42</v>
      </c>
      <c r="C4" s="2">
        <f ca="1">IFERROR(__xludf.DUMMYFUNCTION("""COMPUTED_VALUE"""),163.059999999999)</f>
        <v>163.05999999999901</v>
      </c>
      <c r="D4" s="2">
        <f ca="1">IFERROR(__xludf.DUMMYFUNCTION("""COMPUTED_VALUE"""),37.59)</f>
        <v>37.590000000000003</v>
      </c>
      <c r="E4" s="2">
        <f ca="1">IFERROR(__xludf.DUMMYFUNCTION("""COMPUTED_VALUE"""),91.96)</f>
        <v>91.96</v>
      </c>
      <c r="F4" s="2">
        <f ca="1">IFERROR(__xludf.DUMMYFUNCTION("""COMPUTED_VALUE"""),642.55)</f>
        <v>642.54999999999995</v>
      </c>
      <c r="G4" s="2">
        <f ca="1">IFERROR(__xludf.DUMMYFUNCTION("""COMPUTED_VALUE"""),414.909999999999)</f>
        <v>414.909999999999</v>
      </c>
      <c r="H4" s="2">
        <f ca="1">IFERROR(__xludf.DUMMYFUNCTION("""COMPUTED_VALUE"""),173.16)</f>
        <v>173.16</v>
      </c>
      <c r="I4" s="2">
        <f ca="1">IFERROR(__xludf.DUMMYFUNCTION("""COMPUTED_VALUE"""),157.78)</f>
        <v>157.78</v>
      </c>
      <c r="J4" s="2">
        <f ca="1">IFERROR(__xludf.DUMMYFUNCTION("""COMPUTED_VALUE"""),401.66)</f>
        <v>401.66</v>
      </c>
      <c r="K4" s="2">
        <f ca="1">IFERROR(__xludf.DUMMYFUNCTION("""COMPUTED_VALUE"""),181.54)</f>
        <v>181.54</v>
      </c>
      <c r="L4" s="2">
        <f ca="1">IFERROR(__xludf.DUMMYFUNCTION("""COMPUTED_VALUE"""),273.22)</f>
        <v>273.22000000000003</v>
      </c>
      <c r="M4" s="2">
        <f ca="1">IFERROR(__xludf.DUMMYFUNCTION("""COMPUTED_VALUE"""),270.01)</f>
        <v>270.01</v>
      </c>
      <c r="N4" s="2">
        <f ca="1">IFERROR(__xludf.DUMMYFUNCTION("""COMPUTED_VALUE"""),2866.85999999999)</f>
        <v>2866.8599999999901</v>
      </c>
      <c r="O4" s="2">
        <f ca="1">IFERROR(__xludf.DUMMYFUNCTION("""COMPUTED_VALUE"""),238.904999999999)</f>
        <v>238.90499999999901</v>
      </c>
      <c r="P4" s="2">
        <f ca="1">IFERROR(__xludf.DUMMYFUNCTION("""COMPUTED_VALUE"""),238.904999999999)</f>
        <v>238.90499999999901</v>
      </c>
      <c r="Q4" s="5">
        <f ca="1">IFERROR(__xludf.DUMMYFUNCTION("""COMPUTED_VALUE"""),3.67837268884936)</f>
        <v>3.6783726888493602</v>
      </c>
      <c r="R4" s="1"/>
      <c r="S4" s="1"/>
      <c r="T4" s="1"/>
      <c r="U4" s="1"/>
      <c r="V4" s="1"/>
      <c r="W4" s="1"/>
      <c r="X4" s="1"/>
      <c r="Y4" s="1"/>
      <c r="Z4" s="1"/>
    </row>
    <row r="5" spans="1:26" x14ac:dyDescent="0.2">
      <c r="A5" s="1">
        <f ca="1">IFERROR(__xludf.DUMMYFUNCTION("""COMPUTED_VALUE"""),2022)</f>
        <v>2022</v>
      </c>
      <c r="B5" s="2">
        <f ca="1">IFERROR(__xludf.DUMMYFUNCTION("""COMPUTED_VALUE"""),50.77)</f>
        <v>50.77</v>
      </c>
      <c r="C5" s="2">
        <f ca="1">IFERROR(__xludf.DUMMYFUNCTION("""COMPUTED_VALUE"""),275.5)</f>
        <v>275.5</v>
      </c>
      <c r="D5" s="2">
        <f ca="1">IFERROR(__xludf.DUMMYFUNCTION("""COMPUTED_VALUE"""),490.78)</f>
        <v>490.78</v>
      </c>
      <c r="E5" s="2">
        <f ca="1">IFERROR(__xludf.DUMMYFUNCTION("""COMPUTED_VALUE"""),40.42)</f>
        <v>40.42</v>
      </c>
      <c r="F5" s="2">
        <f ca="1">IFERROR(__xludf.DUMMYFUNCTION("""COMPUTED_VALUE"""),815.75)</f>
        <v>815.75</v>
      </c>
      <c r="G5" s="2">
        <f ca="1">IFERROR(__xludf.DUMMYFUNCTION("""COMPUTED_VALUE"""),540.439999999999)</f>
        <v>540.43999999999903</v>
      </c>
      <c r="H5" s="2">
        <f ca="1">IFERROR(__xludf.DUMMYFUNCTION("""COMPUTED_VALUE"""),137.11)</f>
        <v>137.11000000000001</v>
      </c>
      <c r="I5" s="2">
        <f ca="1">IFERROR(__xludf.DUMMYFUNCTION("""COMPUTED_VALUE"""),869.319999999999)</f>
        <v>869.31999999999903</v>
      </c>
      <c r="J5" s="2">
        <f ca="1">IFERROR(__xludf.DUMMYFUNCTION("""COMPUTED_VALUE"""),452.4)</f>
        <v>452.4</v>
      </c>
      <c r="K5" s="2">
        <f ca="1">IFERROR(__xludf.DUMMYFUNCTION("""COMPUTED_VALUE"""),303.349999999999)</f>
        <v>303.349999999999</v>
      </c>
      <c r="L5" s="2">
        <f ca="1">IFERROR(__xludf.DUMMYFUNCTION("""COMPUTED_VALUE"""),755.02)</f>
        <v>755.02</v>
      </c>
      <c r="M5" s="2">
        <f ca="1">IFERROR(__xludf.DUMMYFUNCTION("""COMPUTED_VALUE"""),779.689999999999)</f>
        <v>779.68999999999903</v>
      </c>
      <c r="N5" s="2">
        <f ca="1">IFERROR(__xludf.DUMMYFUNCTION("""COMPUTED_VALUE"""),5510.55)</f>
        <v>5510.55</v>
      </c>
      <c r="O5" s="2">
        <f ca="1">IFERROR(__xludf.DUMMYFUNCTION("""COMPUTED_VALUE"""),459.2125)</f>
        <v>459.21249999999998</v>
      </c>
      <c r="P5" s="2">
        <f ca="1">IFERROR(__xludf.DUMMYFUNCTION("""COMPUTED_VALUE"""),459.2125)</f>
        <v>459.21249999999998</v>
      </c>
      <c r="Q5" s="5">
        <f ca="1">IFERROR(__xludf.DUMMYFUNCTION("""COMPUTED_VALUE"""),0.922155249994768)</f>
        <v>0.92215524999476794</v>
      </c>
      <c r="R5" s="1"/>
      <c r="S5" s="1"/>
      <c r="T5" s="1"/>
      <c r="U5" s="1"/>
      <c r="V5" s="1"/>
      <c r="W5" s="1"/>
      <c r="X5" s="1"/>
      <c r="Y5" s="1"/>
      <c r="Z5" s="1"/>
    </row>
    <row r="6" spans="1:26" x14ac:dyDescent="0.2">
      <c r="A6" s="1">
        <f ca="1">IFERROR(__xludf.DUMMYFUNCTION("""COMPUTED_VALUE"""),2023)</f>
        <v>2023</v>
      </c>
      <c r="B6" s="2">
        <f ca="1">IFERROR(__xludf.DUMMYFUNCTION("""COMPUTED_VALUE"""),816.71)</f>
        <v>816.71</v>
      </c>
      <c r="C6" s="2">
        <f ca="1">IFERROR(__xludf.DUMMYFUNCTION("""COMPUTED_VALUE"""),9.89)</f>
        <v>9.89</v>
      </c>
      <c r="D6" s="2">
        <f ca="1">IFERROR(__xludf.DUMMYFUNCTION("""COMPUTED_VALUE"""),1368.77)</f>
        <v>1368.77</v>
      </c>
      <c r="E6" s="2">
        <f ca="1">IFERROR(__xludf.DUMMYFUNCTION("""COMPUTED_VALUE"""),718.329999999999)</f>
        <v>718.32999999999902</v>
      </c>
      <c r="F6" s="2">
        <f ca="1">IFERROR(__xludf.DUMMYFUNCTION("""COMPUTED_VALUE"""),500.15)</f>
        <v>500.15</v>
      </c>
      <c r="G6" s="2">
        <f ca="1">IFERROR(__xludf.DUMMYFUNCTION("""COMPUTED_VALUE"""),1835.00999999999)</f>
        <v>1835.00999999999</v>
      </c>
      <c r="H6" s="2">
        <f ca="1">IFERROR(__xludf.DUMMYFUNCTION("""COMPUTED_VALUE"""),400.719999999999)</f>
        <v>400.719999999999</v>
      </c>
      <c r="I6" s="2">
        <f ca="1">IFERROR(__xludf.DUMMYFUNCTION("""COMPUTED_VALUE"""),1702.19)</f>
        <v>1702.19</v>
      </c>
      <c r="J6" s="2">
        <f ca="1">IFERROR(__xludf.DUMMYFUNCTION("""COMPUTED_VALUE"""),587.1)</f>
        <v>587.1</v>
      </c>
      <c r="K6" s="2">
        <f ca="1">IFERROR(__xludf.DUMMYFUNCTION("""COMPUTED_VALUE"""),60.39)</f>
        <v>60.39</v>
      </c>
      <c r="L6" s="2">
        <f ca="1">IFERROR(__xludf.DUMMYFUNCTION("""COMPUTED_VALUE"""),1112.53)</f>
        <v>1112.53</v>
      </c>
      <c r="M6" s="2">
        <f ca="1">IFERROR(__xludf.DUMMYFUNCTION("""COMPUTED_VALUE"""),928.53)</f>
        <v>928.53</v>
      </c>
      <c r="N6" s="2">
        <f ca="1">IFERROR(__xludf.DUMMYFUNCTION("""COMPUTED_VALUE"""),10040.32)</f>
        <v>10040.32</v>
      </c>
      <c r="O6" s="2">
        <f ca="1">IFERROR(__xludf.DUMMYFUNCTION("""COMPUTED_VALUE"""),836.693333333333)</f>
        <v>836.69333333333304</v>
      </c>
      <c r="P6" s="2">
        <f ca="1">IFERROR(__xludf.DUMMYFUNCTION("""COMPUTED_VALUE"""),836.693333333333)</f>
        <v>836.69333333333304</v>
      </c>
      <c r="Q6" s="5">
        <f ca="1">IFERROR(__xludf.DUMMYFUNCTION("""COMPUTED_VALUE"""),0.822017765921732)</f>
        <v>0.82201776592173204</v>
      </c>
      <c r="R6" s="1"/>
      <c r="S6" s="1"/>
      <c r="T6" s="1"/>
      <c r="U6" s="1"/>
      <c r="V6" s="1"/>
      <c r="W6" s="1"/>
      <c r="X6" s="1"/>
      <c r="Y6" s="1"/>
      <c r="Z6" s="1"/>
    </row>
    <row r="7" spans="1:26" x14ac:dyDescent="0.2">
      <c r="A7" s="1">
        <f ca="1">IFERROR(__xludf.DUMMYFUNCTION("""COMPUTED_VALUE"""),2024)</f>
        <v>2024</v>
      </c>
      <c r="B7" s="2">
        <f ca="1">IFERROR(__xludf.DUMMYFUNCTION("""COMPUTED_VALUE"""),643.529999999999)</f>
        <v>643.52999999999895</v>
      </c>
      <c r="C7" s="2">
        <f ca="1">IFERROR(__xludf.DUMMYFUNCTION("""COMPUTED_VALUE"""),2324.41)</f>
        <v>2324.41</v>
      </c>
      <c r="D7" s="2">
        <f ca="1">IFERROR(__xludf.DUMMYFUNCTION("""COMPUTED_VALUE"""),544.74)</f>
        <v>544.74</v>
      </c>
      <c r="E7" s="2">
        <f ca="1">IFERROR(__xludf.DUMMYFUNCTION("""COMPUTED_VALUE"""),1343.22)</f>
        <v>1343.22</v>
      </c>
      <c r="F7" s="2">
        <f ca="1">IFERROR(__xludf.DUMMYFUNCTION("""COMPUTED_VALUE"""),1932.13)</f>
        <v>1932.13</v>
      </c>
      <c r="G7" s="2">
        <f ca="1">IFERROR(__xludf.DUMMYFUNCTION("""COMPUTED_VALUE"""),2713.79999999999)</f>
        <v>2713.7999999999902</v>
      </c>
      <c r="H7" s="2">
        <f ca="1">IFERROR(__xludf.DUMMYFUNCTION("""COMPUTED_VALUE"""),111.49)</f>
        <v>111.49</v>
      </c>
      <c r="I7" s="2">
        <f ca="1">IFERROR(__xludf.DUMMYFUNCTION("""COMPUTED_VALUE"""),2656.72)</f>
        <v>2656.72</v>
      </c>
      <c r="J7" s="2">
        <f ca="1">IFERROR(__xludf.DUMMYFUNCTION("""COMPUTED_VALUE"""),516.53)</f>
        <v>516.53</v>
      </c>
      <c r="K7" s="2">
        <f ca="1">IFERROR(__xludf.DUMMYFUNCTION("""COMPUTED_VALUE"""),13.4)</f>
        <v>13.4</v>
      </c>
      <c r="L7" s="2">
        <f ca="1">IFERROR(__xludf.DUMMYFUNCTION("""COMPUTED_VALUE"""),703.9)</f>
        <v>703.9</v>
      </c>
      <c r="M7" s="2">
        <f ca="1">IFERROR(__xludf.DUMMYFUNCTION("""COMPUTED_VALUE"""),2277.8)</f>
        <v>2277.8000000000002</v>
      </c>
      <c r="N7" s="2">
        <f ca="1">IFERROR(__xludf.DUMMYFUNCTION("""COMPUTED_VALUE"""),15781.6699999999)</f>
        <v>15781.6699999999</v>
      </c>
      <c r="O7" s="2">
        <f ca="1">IFERROR(__xludf.DUMMYFUNCTION("""COMPUTED_VALUE"""),1315.13916666666)</f>
        <v>1315.13916666666</v>
      </c>
      <c r="P7" s="2">
        <f ca="1">IFERROR(__xludf.DUMMYFUNCTION("""COMPUTED_VALUE"""),1315.13916666666)</f>
        <v>1315.13916666666</v>
      </c>
      <c r="Q7" s="5">
        <f ca="1">IFERROR(__xludf.DUMMYFUNCTION("""COMPUTED_VALUE"""),0.571829383924018)</f>
        <v>0.57182938392401805</v>
      </c>
      <c r="R7" s="1"/>
      <c r="S7" s="1"/>
      <c r="T7" s="1"/>
      <c r="U7" s="1"/>
      <c r="V7" s="1"/>
      <c r="W7" s="1"/>
      <c r="X7" s="1"/>
      <c r="Y7" s="1"/>
      <c r="Z7" s="1"/>
    </row>
    <row r="8" spans="1:26" x14ac:dyDescent="0.2">
      <c r="A8" s="1">
        <f ca="1">IFERROR(__xludf.DUMMYFUNCTION("""COMPUTED_VALUE"""),2025)</f>
        <v>2025</v>
      </c>
      <c r="B8" s="2">
        <f ca="1">IFERROR(__xludf.DUMMYFUNCTION("""COMPUTED_VALUE"""),1659.7)</f>
        <v>1659.7</v>
      </c>
      <c r="C8" s="2">
        <f ca="1">IFERROR(__xludf.DUMMYFUNCTION("""COMPUTED_VALUE"""),599.55)</f>
        <v>599.54999999999995</v>
      </c>
      <c r="D8" s="2">
        <f ca="1">IFERROR(__xludf.DUMMYFUNCTION("""COMPUTED_VALUE"""),7358.46)</f>
        <v>7358.46</v>
      </c>
      <c r="E8" s="2">
        <f ca="1">IFERROR(__xludf.DUMMYFUNCTION("""COMPUTED_VALUE"""),2.35)</f>
        <v>2.35</v>
      </c>
      <c r="F8" s="2">
        <f ca="1">IFERROR(__xludf.DUMMYFUNCTION("""COMPUTED_VALUE"""),2734.14)</f>
        <v>2734.14</v>
      </c>
      <c r="G8" s="2">
        <f ca="1">IFERROR(__xludf.DUMMYFUNCTION("""COMPUTED_VALUE"""),2702.12)</f>
        <v>2702.12</v>
      </c>
      <c r="H8" s="2">
        <f ca="1">IFERROR(__xludf.DUMMYFUNCTION("""COMPUTED_VALUE"""),3.18)</f>
        <v>3.18</v>
      </c>
      <c r="I8" s="2">
        <f ca="1">IFERROR(__xludf.DUMMYFUNCTION("""COMPUTED_VALUE"""),0)</f>
        <v>0</v>
      </c>
      <c r="J8" s="2">
        <f ca="1">IFERROR(__xludf.DUMMYFUNCTION("""COMPUTED_VALUE"""),0)</f>
        <v>0</v>
      </c>
      <c r="K8" s="2">
        <f ca="1">IFERROR(__xludf.DUMMYFUNCTION("""COMPUTED_VALUE"""),0)</f>
        <v>0</v>
      </c>
      <c r="L8" s="2">
        <f ca="1">IFERROR(__xludf.DUMMYFUNCTION("""COMPUTED_VALUE"""),0)</f>
        <v>0</v>
      </c>
      <c r="M8" s="2">
        <f ca="1">IFERROR(__xludf.DUMMYFUNCTION("""COMPUTED_VALUE"""),0)</f>
        <v>0</v>
      </c>
      <c r="N8" s="2">
        <f ca="1">IFERROR(__xludf.DUMMYFUNCTION("""COMPUTED_VALUE"""),15059.5)</f>
        <v>15059.5</v>
      </c>
      <c r="O8" s="2">
        <f ca="1">IFERROR(__xludf.DUMMYFUNCTION("""COMPUTED_VALUE"""),1882.4375)</f>
        <v>1882.4375</v>
      </c>
      <c r="P8" s="2">
        <f ca="1">IFERROR(__xludf.DUMMYFUNCTION("""COMPUTED_VALUE"""),1254.95833333333)</f>
        <v>1254.9583333333301</v>
      </c>
      <c r="Q8" s="5">
        <f ca="1">IFERROR(__xludf.DUMMYFUNCTION("""COMPUTED_VALUE"""),-0.0457600494751189)</f>
        <v>-4.57600494751189E-2</v>
      </c>
      <c r="R8" s="1"/>
      <c r="S8" s="1"/>
      <c r="T8" s="1"/>
      <c r="U8" s="1"/>
      <c r="V8" s="1"/>
      <c r="W8" s="1"/>
      <c r="X8" s="1"/>
      <c r="Y8" s="1"/>
      <c r="Z8" s="1"/>
    </row>
    <row r="9" spans="1:26" x14ac:dyDescent="0.2">
      <c r="A9" s="1"/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x14ac:dyDescent="0.2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x14ac:dyDescent="0.2">
      <c r="A11" s="1"/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x14ac:dyDescent="0.2">
      <c r="A12" s="1"/>
      <c r="B12" s="1"/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x14ac:dyDescent="0.2">
      <c r="A13" s="1"/>
      <c r="B13" s="1"/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x14ac:dyDescent="0.2">
      <c r="A14" s="1"/>
      <c r="B14" s="1"/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x14ac:dyDescent="0.2">
      <c r="A15" s="1"/>
      <c r="B15" s="1"/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x14ac:dyDescent="0.2">
      <c r="A16" s="1"/>
      <c r="B16" s="1"/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x14ac:dyDescent="0.2">
      <c r="A17" s="1"/>
      <c r="B17" s="1"/>
      <c r="C17" s="1"/>
      <c r="D17" s="1"/>
      <c r="E17" s="1"/>
      <c r="F17" s="1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x14ac:dyDescent="0.2">
      <c r="A18" s="1"/>
      <c r="B18" s="1"/>
      <c r="C18" s="1"/>
      <c r="D18" s="1"/>
      <c r="E18" s="1"/>
      <c r="F18" s="1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x14ac:dyDescent="0.2">
      <c r="A19" s="1"/>
      <c r="B19" s="1"/>
      <c r="C19" s="1"/>
      <c r="D19" s="1"/>
      <c r="E19" s="1"/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x14ac:dyDescent="0.2">
      <c r="A20" s="1"/>
      <c r="B20" s="1"/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x14ac:dyDescent="0.2">
      <c r="A21" s="1"/>
      <c r="B21" s="1"/>
      <c r="C21" s="1"/>
      <c r="D21" s="1"/>
      <c r="E21" s="1"/>
      <c r="F21" s="1"/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x14ac:dyDescent="0.2">
      <c r="A22" s="1"/>
      <c r="B22" s="1"/>
      <c r="C22" s="1"/>
      <c r="D22" s="1"/>
      <c r="E22" s="1"/>
      <c r="F22" s="1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x14ac:dyDescent="0.2">
      <c r="A23" s="1"/>
      <c r="B23" s="1"/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x14ac:dyDescent="0.2">
      <c r="A24" s="1"/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x14ac:dyDescent="0.2">
      <c r="A25" s="1"/>
      <c r="B25" s="1"/>
      <c r="C25" s="1"/>
      <c r="D25" s="1"/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x14ac:dyDescent="0.2">
      <c r="A26" s="1"/>
      <c r="B26" s="1"/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x14ac:dyDescent="0.2">
      <c r="A27" s="1"/>
      <c r="B27" s="1"/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x14ac:dyDescent="0.2">
      <c r="A28" s="1"/>
      <c r="B28" s="1"/>
      <c r="C28" s="1"/>
      <c r="D28" s="1"/>
      <c r="E28" s="1"/>
      <c r="F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x14ac:dyDescent="0.2">
      <c r="A29" s="1"/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x14ac:dyDescent="0.2">
      <c r="A30" s="1"/>
      <c r="B30" s="1"/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x14ac:dyDescent="0.2">
      <c r="A31" s="1"/>
      <c r="B31" s="1"/>
      <c r="C31" s="1"/>
      <c r="D31" s="1"/>
      <c r="E31" s="1"/>
      <c r="F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x14ac:dyDescent="0.2">
      <c r="A32" s="1"/>
      <c r="B32" s="1"/>
      <c r="C32" s="1"/>
      <c r="D32" s="1"/>
      <c r="E32" s="1"/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x14ac:dyDescent="0.2">
      <c r="A33" s="1"/>
      <c r="B33" s="1"/>
      <c r="C33" s="1"/>
      <c r="D33" s="1"/>
      <c r="E33" s="1"/>
      <c r="F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x14ac:dyDescent="0.2">
      <c r="A34" s="1"/>
      <c r="B34" s="1"/>
      <c r="C34" s="1"/>
      <c r="D34" s="1"/>
      <c r="E34" s="1"/>
      <c r="F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x14ac:dyDescent="0.2">
      <c r="A35" s="1"/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x14ac:dyDescent="0.2">
      <c r="A36" s="1"/>
      <c r="B36" s="1"/>
      <c r="C36" s="1"/>
      <c r="D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x14ac:dyDescent="0.2">
      <c r="A37" s="1"/>
      <c r="B37" s="1"/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x14ac:dyDescent="0.2">
      <c r="A38" s="1"/>
      <c r="B38" s="1"/>
      <c r="C38" s="1"/>
      <c r="D38" s="1"/>
      <c r="E38" s="1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x14ac:dyDescent="0.2">
      <c r="A39" s="1"/>
      <c r="B39" s="1"/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x14ac:dyDescent="0.2">
      <c r="A40" s="1"/>
      <c r="B40" s="1"/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x14ac:dyDescent="0.2">
      <c r="A41" s="1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x14ac:dyDescent="0.2">
      <c r="A42" s="1"/>
      <c r="B42" s="1"/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x14ac:dyDescent="0.2">
      <c r="A43" s="1"/>
      <c r="B43" s="1"/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x14ac:dyDescent="0.2">
      <c r="A44" s="1"/>
      <c r="B44" s="1"/>
      <c r="C44" s="1"/>
      <c r="D44" s="1"/>
      <c r="E44" s="1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x14ac:dyDescent="0.2">
      <c r="A45" s="1"/>
      <c r="B45" s="1"/>
      <c r="C45" s="1"/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x14ac:dyDescent="0.2">
      <c r="A46" s="1"/>
      <c r="B46" s="1"/>
      <c r="C46" s="1"/>
      <c r="D46" s="1"/>
      <c r="E46" s="1"/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x14ac:dyDescent="0.2">
      <c r="A47" s="1"/>
      <c r="B47" s="1"/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x14ac:dyDescent="0.2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x14ac:dyDescent="0.2">
      <c r="A49" s="1"/>
      <c r="B49" s="1"/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x14ac:dyDescent="0.2">
      <c r="A50" s="1"/>
      <c r="B50" s="1"/>
      <c r="C50" s="1"/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x14ac:dyDescent="0.2">
      <c r="A51" s="1"/>
      <c r="B51" s="1"/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x14ac:dyDescent="0.2">
      <c r="A52" s="1"/>
      <c r="B52" s="1"/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x14ac:dyDescent="0.2">
      <c r="A53" s="1"/>
      <c r="B53" s="1"/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x14ac:dyDescent="0.2">
      <c r="A54" s="1"/>
      <c r="B54" s="1"/>
      <c r="C54" s="1"/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x14ac:dyDescent="0.2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x14ac:dyDescent="0.2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x14ac:dyDescent="0.2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x14ac:dyDescent="0.2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x14ac:dyDescent="0.2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x14ac:dyDescent="0.2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x14ac:dyDescent="0.2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x14ac:dyDescent="0.2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x14ac:dyDescent="0.2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x14ac:dyDescent="0.2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x14ac:dyDescent="0.2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x14ac:dyDescent="0.2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x14ac:dyDescent="0.2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x14ac:dyDescent="0.2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x14ac:dyDescent="0.2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x14ac:dyDescent="0.2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x14ac:dyDescent="0.2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x14ac:dyDescent="0.2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x14ac:dyDescent="0.2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x14ac:dyDescent="0.2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x14ac:dyDescent="0.2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x14ac:dyDescent="0.2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x14ac:dyDescent="0.2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x14ac:dyDescent="0.2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x14ac:dyDescent="0.2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x14ac:dyDescent="0.2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x14ac:dyDescent="0.2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x14ac:dyDescent="0.2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x14ac:dyDescent="0.2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x14ac:dyDescent="0.2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x14ac:dyDescent="0.2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x14ac:dyDescent="0.2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x14ac:dyDescent="0.2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x14ac:dyDescent="0.2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x14ac:dyDescent="0.2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x14ac:dyDescent="0.2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x14ac:dyDescent="0.2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x14ac:dyDescent="0.2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x14ac:dyDescent="0.2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x14ac:dyDescent="0.2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x14ac:dyDescent="0.2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x14ac:dyDescent="0.2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x14ac:dyDescent="0.2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x14ac:dyDescent="0.2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x14ac:dyDescent="0.2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x14ac:dyDescent="0.2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x14ac:dyDescent="0.2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x14ac:dyDescent="0.2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x14ac:dyDescent="0.2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x14ac:dyDescent="0.2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x14ac:dyDescent="0.2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x14ac:dyDescent="0.2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x14ac:dyDescent="0.2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x14ac:dyDescent="0.2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x14ac:dyDescent="0.2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x14ac:dyDescent="0.2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x14ac:dyDescent="0.2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x14ac:dyDescent="0.2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x14ac:dyDescent="0.2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x14ac:dyDescent="0.2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x14ac:dyDescent="0.2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x14ac:dyDescent="0.2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x14ac:dyDescent="0.2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x14ac:dyDescent="0.2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x14ac:dyDescent="0.2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x14ac:dyDescent="0.2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x14ac:dyDescent="0.2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x14ac:dyDescent="0.2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x14ac:dyDescent="0.2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x14ac:dyDescent="0.2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x14ac:dyDescent="0.2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x14ac:dyDescent="0.2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x14ac:dyDescent="0.2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x14ac:dyDescent="0.2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x14ac:dyDescent="0.2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x14ac:dyDescent="0.2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x14ac:dyDescent="0.2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x14ac:dyDescent="0.2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x14ac:dyDescent="0.2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x14ac:dyDescent="0.2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x14ac:dyDescent="0.2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x14ac:dyDescent="0.2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x14ac:dyDescent="0.2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x14ac:dyDescent="0.2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x14ac:dyDescent="0.2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x14ac:dyDescent="0.2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x14ac:dyDescent="0.2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x14ac:dyDescent="0.2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x14ac:dyDescent="0.2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x14ac:dyDescent="0.2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x14ac:dyDescent="0.2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x14ac:dyDescent="0.2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x14ac:dyDescent="0.2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x14ac:dyDescent="0.2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x14ac:dyDescent="0.2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x14ac:dyDescent="0.2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x14ac:dyDescent="0.2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x14ac:dyDescent="0.2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x14ac:dyDescent="0.2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x14ac:dyDescent="0.2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x14ac:dyDescent="0.2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x14ac:dyDescent="0.2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x14ac:dyDescent="0.2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x14ac:dyDescent="0.2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x14ac:dyDescent="0.2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x14ac:dyDescent="0.2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x14ac:dyDescent="0.2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x14ac:dyDescent="0.2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x14ac:dyDescent="0.2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x14ac:dyDescent="0.2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x14ac:dyDescent="0.2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x14ac:dyDescent="0.2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x14ac:dyDescent="0.2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x14ac:dyDescent="0.2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x14ac:dyDescent="0.2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x14ac:dyDescent="0.2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x14ac:dyDescent="0.2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x14ac:dyDescent="0.2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x14ac:dyDescent="0.2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x14ac:dyDescent="0.2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x14ac:dyDescent="0.2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x14ac:dyDescent="0.2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x14ac:dyDescent="0.2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x14ac:dyDescent="0.2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x14ac:dyDescent="0.2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x14ac:dyDescent="0.2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x14ac:dyDescent="0.2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x14ac:dyDescent="0.2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x14ac:dyDescent="0.2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x14ac:dyDescent="0.2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x14ac:dyDescent="0.2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x14ac:dyDescent="0.2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x14ac:dyDescent="0.2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x14ac:dyDescent="0.2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x14ac:dyDescent="0.2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x14ac:dyDescent="0.2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x14ac:dyDescent="0.2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x14ac:dyDescent="0.2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x14ac:dyDescent="0.2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x14ac:dyDescent="0.2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x14ac:dyDescent="0.2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x14ac:dyDescent="0.2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x14ac:dyDescent="0.2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x14ac:dyDescent="0.2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x14ac:dyDescent="0.2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x14ac:dyDescent="0.2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x14ac:dyDescent="0.2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x14ac:dyDescent="0.2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x14ac:dyDescent="0.2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x14ac:dyDescent="0.2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x14ac:dyDescent="0.2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x14ac:dyDescent="0.2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x14ac:dyDescent="0.2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x14ac:dyDescent="0.2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x14ac:dyDescent="0.2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x14ac:dyDescent="0.2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x14ac:dyDescent="0.2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x14ac:dyDescent="0.2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x14ac:dyDescent="0.2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x14ac:dyDescent="0.2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x14ac:dyDescent="0.2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x14ac:dyDescent="0.2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x14ac:dyDescent="0.2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x14ac:dyDescent="0.2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x14ac:dyDescent="0.2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x14ac:dyDescent="0.2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x14ac:dyDescent="0.2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x14ac:dyDescent="0.2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x14ac:dyDescent="0.2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x14ac:dyDescent="0.2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x14ac:dyDescent="0.2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x14ac:dyDescent="0.2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x14ac:dyDescent="0.2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x14ac:dyDescent="0.2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x14ac:dyDescent="0.2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x14ac:dyDescent="0.2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x14ac:dyDescent="0.2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x14ac:dyDescent="0.2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x14ac:dyDescent="0.2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x14ac:dyDescent="0.2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x14ac:dyDescent="0.2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x14ac:dyDescent="0.2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x14ac:dyDescent="0.2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x14ac:dyDescent="0.2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x14ac:dyDescent="0.2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x14ac:dyDescent="0.2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x14ac:dyDescent="0.2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x14ac:dyDescent="0.2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x14ac:dyDescent="0.2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x14ac:dyDescent="0.2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x14ac:dyDescent="0.2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x14ac:dyDescent="0.2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x14ac:dyDescent="0.2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x14ac:dyDescent="0.2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x14ac:dyDescent="0.2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x14ac:dyDescent="0.2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x14ac:dyDescent="0.2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x14ac:dyDescent="0.2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x14ac:dyDescent="0.2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x14ac:dyDescent="0.2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x14ac:dyDescent="0.2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x14ac:dyDescent="0.2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x14ac:dyDescent="0.2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x14ac:dyDescent="0.2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x14ac:dyDescent="0.2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x14ac:dyDescent="0.2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x14ac:dyDescent="0.2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x14ac:dyDescent="0.2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x14ac:dyDescent="0.2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x14ac:dyDescent="0.2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x14ac:dyDescent="0.2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x14ac:dyDescent="0.2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x14ac:dyDescent="0.2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x14ac:dyDescent="0.2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x14ac:dyDescent="0.2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x14ac:dyDescent="0.2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x14ac:dyDescent="0.2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x14ac:dyDescent="0.2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x14ac:dyDescent="0.2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x14ac:dyDescent="0.2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x14ac:dyDescent="0.2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x14ac:dyDescent="0.2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x14ac:dyDescent="0.2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x14ac:dyDescent="0.2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x14ac:dyDescent="0.2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x14ac:dyDescent="0.2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x14ac:dyDescent="0.2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x14ac:dyDescent="0.2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x14ac:dyDescent="0.2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x14ac:dyDescent="0.2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x14ac:dyDescent="0.2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x14ac:dyDescent="0.2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x14ac:dyDescent="0.2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x14ac:dyDescent="0.2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x14ac:dyDescent="0.2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x14ac:dyDescent="0.2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x14ac:dyDescent="0.2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x14ac:dyDescent="0.2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x14ac:dyDescent="0.2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x14ac:dyDescent="0.2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x14ac:dyDescent="0.2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x14ac:dyDescent="0.2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x14ac:dyDescent="0.2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x14ac:dyDescent="0.2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x14ac:dyDescent="0.2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x14ac:dyDescent="0.2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x14ac:dyDescent="0.2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x14ac:dyDescent="0.2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x14ac:dyDescent="0.2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x14ac:dyDescent="0.2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x14ac:dyDescent="0.2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x14ac:dyDescent="0.2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x14ac:dyDescent="0.2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x14ac:dyDescent="0.2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x14ac:dyDescent="0.2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x14ac:dyDescent="0.2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x14ac:dyDescent="0.2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x14ac:dyDescent="0.2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x14ac:dyDescent="0.2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x14ac:dyDescent="0.2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x14ac:dyDescent="0.2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x14ac:dyDescent="0.2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x14ac:dyDescent="0.2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x14ac:dyDescent="0.2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x14ac:dyDescent="0.2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x14ac:dyDescent="0.2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x14ac:dyDescent="0.2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x14ac:dyDescent="0.2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x14ac:dyDescent="0.2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x14ac:dyDescent="0.2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x14ac:dyDescent="0.2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x14ac:dyDescent="0.2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x14ac:dyDescent="0.2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x14ac:dyDescent="0.2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x14ac:dyDescent="0.2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x14ac:dyDescent="0.2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x14ac:dyDescent="0.2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x14ac:dyDescent="0.2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x14ac:dyDescent="0.2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x14ac:dyDescent="0.2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x14ac:dyDescent="0.2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x14ac:dyDescent="0.2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x14ac:dyDescent="0.2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x14ac:dyDescent="0.2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x14ac:dyDescent="0.2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x14ac:dyDescent="0.2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x14ac:dyDescent="0.2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x14ac:dyDescent="0.2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x14ac:dyDescent="0.2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x14ac:dyDescent="0.2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x14ac:dyDescent="0.2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x14ac:dyDescent="0.2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x14ac:dyDescent="0.2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x14ac:dyDescent="0.2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x14ac:dyDescent="0.2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x14ac:dyDescent="0.2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x14ac:dyDescent="0.2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x14ac:dyDescent="0.2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x14ac:dyDescent="0.2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x14ac:dyDescent="0.2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x14ac:dyDescent="0.2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x14ac:dyDescent="0.2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x14ac:dyDescent="0.2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x14ac:dyDescent="0.2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x14ac:dyDescent="0.2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x14ac:dyDescent="0.2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x14ac:dyDescent="0.2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x14ac:dyDescent="0.2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x14ac:dyDescent="0.2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x14ac:dyDescent="0.2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x14ac:dyDescent="0.2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x14ac:dyDescent="0.2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x14ac:dyDescent="0.2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x14ac:dyDescent="0.2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x14ac:dyDescent="0.2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x14ac:dyDescent="0.2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x14ac:dyDescent="0.2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x14ac:dyDescent="0.2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x14ac:dyDescent="0.2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x14ac:dyDescent="0.2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x14ac:dyDescent="0.2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x14ac:dyDescent="0.2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x14ac:dyDescent="0.2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x14ac:dyDescent="0.2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x14ac:dyDescent="0.2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x14ac:dyDescent="0.2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x14ac:dyDescent="0.2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x14ac:dyDescent="0.2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x14ac:dyDescent="0.2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x14ac:dyDescent="0.2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x14ac:dyDescent="0.2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x14ac:dyDescent="0.2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x14ac:dyDescent="0.2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x14ac:dyDescent="0.2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x14ac:dyDescent="0.2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x14ac:dyDescent="0.2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x14ac:dyDescent="0.2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x14ac:dyDescent="0.2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x14ac:dyDescent="0.2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x14ac:dyDescent="0.2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x14ac:dyDescent="0.2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x14ac:dyDescent="0.2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x14ac:dyDescent="0.2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x14ac:dyDescent="0.2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x14ac:dyDescent="0.2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x14ac:dyDescent="0.2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x14ac:dyDescent="0.2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x14ac:dyDescent="0.2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x14ac:dyDescent="0.2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x14ac:dyDescent="0.2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x14ac:dyDescent="0.2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x14ac:dyDescent="0.2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x14ac:dyDescent="0.2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x14ac:dyDescent="0.2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x14ac:dyDescent="0.2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x14ac:dyDescent="0.2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x14ac:dyDescent="0.2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x14ac:dyDescent="0.2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x14ac:dyDescent="0.2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x14ac:dyDescent="0.2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x14ac:dyDescent="0.2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x14ac:dyDescent="0.2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x14ac:dyDescent="0.2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x14ac:dyDescent="0.2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x14ac:dyDescent="0.2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x14ac:dyDescent="0.2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x14ac:dyDescent="0.2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x14ac:dyDescent="0.2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x14ac:dyDescent="0.2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x14ac:dyDescent="0.2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x14ac:dyDescent="0.2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x14ac:dyDescent="0.2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x14ac:dyDescent="0.2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x14ac:dyDescent="0.2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x14ac:dyDescent="0.2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x14ac:dyDescent="0.2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x14ac:dyDescent="0.2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x14ac:dyDescent="0.2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x14ac:dyDescent="0.2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x14ac:dyDescent="0.2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x14ac:dyDescent="0.2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x14ac:dyDescent="0.2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x14ac:dyDescent="0.2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x14ac:dyDescent="0.2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x14ac:dyDescent="0.2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x14ac:dyDescent="0.2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x14ac:dyDescent="0.2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x14ac:dyDescent="0.2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x14ac:dyDescent="0.2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x14ac:dyDescent="0.2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x14ac:dyDescent="0.2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x14ac:dyDescent="0.2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x14ac:dyDescent="0.2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x14ac:dyDescent="0.2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x14ac:dyDescent="0.2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x14ac:dyDescent="0.2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x14ac:dyDescent="0.2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x14ac:dyDescent="0.2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x14ac:dyDescent="0.2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x14ac:dyDescent="0.2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x14ac:dyDescent="0.2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x14ac:dyDescent="0.2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x14ac:dyDescent="0.2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x14ac:dyDescent="0.2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x14ac:dyDescent="0.2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x14ac:dyDescent="0.2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x14ac:dyDescent="0.2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x14ac:dyDescent="0.2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x14ac:dyDescent="0.2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x14ac:dyDescent="0.2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x14ac:dyDescent="0.2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x14ac:dyDescent="0.2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x14ac:dyDescent="0.2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x14ac:dyDescent="0.2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x14ac:dyDescent="0.2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x14ac:dyDescent="0.2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x14ac:dyDescent="0.2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x14ac:dyDescent="0.2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x14ac:dyDescent="0.2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x14ac:dyDescent="0.2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x14ac:dyDescent="0.2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x14ac:dyDescent="0.2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x14ac:dyDescent="0.2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x14ac:dyDescent="0.2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x14ac:dyDescent="0.2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x14ac:dyDescent="0.2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x14ac:dyDescent="0.2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x14ac:dyDescent="0.2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x14ac:dyDescent="0.2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x14ac:dyDescent="0.2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x14ac:dyDescent="0.2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x14ac:dyDescent="0.2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x14ac:dyDescent="0.2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x14ac:dyDescent="0.2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x14ac:dyDescent="0.2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x14ac:dyDescent="0.2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x14ac:dyDescent="0.2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x14ac:dyDescent="0.2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x14ac:dyDescent="0.2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x14ac:dyDescent="0.2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x14ac:dyDescent="0.2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x14ac:dyDescent="0.2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x14ac:dyDescent="0.2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x14ac:dyDescent="0.2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x14ac:dyDescent="0.2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x14ac:dyDescent="0.2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x14ac:dyDescent="0.2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x14ac:dyDescent="0.2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x14ac:dyDescent="0.2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x14ac:dyDescent="0.2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x14ac:dyDescent="0.2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x14ac:dyDescent="0.2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x14ac:dyDescent="0.2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x14ac:dyDescent="0.2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x14ac:dyDescent="0.2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x14ac:dyDescent="0.2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x14ac:dyDescent="0.2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x14ac:dyDescent="0.2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x14ac:dyDescent="0.2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x14ac:dyDescent="0.2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x14ac:dyDescent="0.2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x14ac:dyDescent="0.2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x14ac:dyDescent="0.2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x14ac:dyDescent="0.2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x14ac:dyDescent="0.2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x14ac:dyDescent="0.2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x14ac:dyDescent="0.2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x14ac:dyDescent="0.2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x14ac:dyDescent="0.2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x14ac:dyDescent="0.2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x14ac:dyDescent="0.2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x14ac:dyDescent="0.2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x14ac:dyDescent="0.2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x14ac:dyDescent="0.2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x14ac:dyDescent="0.2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x14ac:dyDescent="0.2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x14ac:dyDescent="0.2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x14ac:dyDescent="0.2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x14ac:dyDescent="0.2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x14ac:dyDescent="0.2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x14ac:dyDescent="0.2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x14ac:dyDescent="0.2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x14ac:dyDescent="0.2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x14ac:dyDescent="0.2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x14ac:dyDescent="0.2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x14ac:dyDescent="0.2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x14ac:dyDescent="0.2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x14ac:dyDescent="0.2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x14ac:dyDescent="0.2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x14ac:dyDescent="0.2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x14ac:dyDescent="0.2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x14ac:dyDescent="0.2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x14ac:dyDescent="0.2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x14ac:dyDescent="0.2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x14ac:dyDescent="0.2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x14ac:dyDescent="0.2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x14ac:dyDescent="0.2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x14ac:dyDescent="0.2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x14ac:dyDescent="0.2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x14ac:dyDescent="0.2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x14ac:dyDescent="0.2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x14ac:dyDescent="0.2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x14ac:dyDescent="0.2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x14ac:dyDescent="0.2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x14ac:dyDescent="0.2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x14ac:dyDescent="0.2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x14ac:dyDescent="0.2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x14ac:dyDescent="0.2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x14ac:dyDescent="0.2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x14ac:dyDescent="0.2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x14ac:dyDescent="0.2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x14ac:dyDescent="0.2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x14ac:dyDescent="0.2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x14ac:dyDescent="0.2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x14ac:dyDescent="0.2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x14ac:dyDescent="0.2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x14ac:dyDescent="0.2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x14ac:dyDescent="0.2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x14ac:dyDescent="0.2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x14ac:dyDescent="0.2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x14ac:dyDescent="0.2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x14ac:dyDescent="0.2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x14ac:dyDescent="0.2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x14ac:dyDescent="0.2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x14ac:dyDescent="0.2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x14ac:dyDescent="0.2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x14ac:dyDescent="0.2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x14ac:dyDescent="0.2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x14ac:dyDescent="0.2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x14ac:dyDescent="0.2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x14ac:dyDescent="0.2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x14ac:dyDescent="0.2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x14ac:dyDescent="0.2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x14ac:dyDescent="0.2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x14ac:dyDescent="0.2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x14ac:dyDescent="0.2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x14ac:dyDescent="0.2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x14ac:dyDescent="0.2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x14ac:dyDescent="0.2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x14ac:dyDescent="0.2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x14ac:dyDescent="0.2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x14ac:dyDescent="0.2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x14ac:dyDescent="0.2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x14ac:dyDescent="0.2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x14ac:dyDescent="0.2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x14ac:dyDescent="0.2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x14ac:dyDescent="0.2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x14ac:dyDescent="0.2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x14ac:dyDescent="0.2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x14ac:dyDescent="0.2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x14ac:dyDescent="0.2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x14ac:dyDescent="0.2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x14ac:dyDescent="0.2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x14ac:dyDescent="0.2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x14ac:dyDescent="0.2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x14ac:dyDescent="0.2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x14ac:dyDescent="0.2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x14ac:dyDescent="0.2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x14ac:dyDescent="0.2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x14ac:dyDescent="0.2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x14ac:dyDescent="0.2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x14ac:dyDescent="0.2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x14ac:dyDescent="0.2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x14ac:dyDescent="0.2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x14ac:dyDescent="0.2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x14ac:dyDescent="0.2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x14ac:dyDescent="0.2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x14ac:dyDescent="0.2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x14ac:dyDescent="0.2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x14ac:dyDescent="0.2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x14ac:dyDescent="0.2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x14ac:dyDescent="0.2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x14ac:dyDescent="0.2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x14ac:dyDescent="0.2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x14ac:dyDescent="0.2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x14ac:dyDescent="0.2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x14ac:dyDescent="0.2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x14ac:dyDescent="0.2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x14ac:dyDescent="0.2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x14ac:dyDescent="0.2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x14ac:dyDescent="0.2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x14ac:dyDescent="0.2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x14ac:dyDescent="0.2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x14ac:dyDescent="0.2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x14ac:dyDescent="0.2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x14ac:dyDescent="0.2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x14ac:dyDescent="0.2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x14ac:dyDescent="0.2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x14ac:dyDescent="0.2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x14ac:dyDescent="0.2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x14ac:dyDescent="0.2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x14ac:dyDescent="0.2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x14ac:dyDescent="0.2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x14ac:dyDescent="0.2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x14ac:dyDescent="0.2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x14ac:dyDescent="0.2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x14ac:dyDescent="0.2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x14ac:dyDescent="0.2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x14ac:dyDescent="0.2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x14ac:dyDescent="0.2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x14ac:dyDescent="0.2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x14ac:dyDescent="0.2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x14ac:dyDescent="0.2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x14ac:dyDescent="0.2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x14ac:dyDescent="0.2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x14ac:dyDescent="0.2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x14ac:dyDescent="0.2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x14ac:dyDescent="0.2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x14ac:dyDescent="0.2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x14ac:dyDescent="0.2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x14ac:dyDescent="0.2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x14ac:dyDescent="0.2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x14ac:dyDescent="0.2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x14ac:dyDescent="0.2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x14ac:dyDescent="0.2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x14ac:dyDescent="0.2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x14ac:dyDescent="0.2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x14ac:dyDescent="0.2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x14ac:dyDescent="0.2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x14ac:dyDescent="0.2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x14ac:dyDescent="0.2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x14ac:dyDescent="0.2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x14ac:dyDescent="0.2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x14ac:dyDescent="0.2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x14ac:dyDescent="0.2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x14ac:dyDescent="0.2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x14ac:dyDescent="0.2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x14ac:dyDescent="0.2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x14ac:dyDescent="0.2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x14ac:dyDescent="0.2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x14ac:dyDescent="0.2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x14ac:dyDescent="0.2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x14ac:dyDescent="0.2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x14ac:dyDescent="0.2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x14ac:dyDescent="0.2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x14ac:dyDescent="0.2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x14ac:dyDescent="0.2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x14ac:dyDescent="0.2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x14ac:dyDescent="0.2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x14ac:dyDescent="0.2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x14ac:dyDescent="0.2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x14ac:dyDescent="0.2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x14ac:dyDescent="0.2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x14ac:dyDescent="0.2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x14ac:dyDescent="0.2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x14ac:dyDescent="0.2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x14ac:dyDescent="0.2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x14ac:dyDescent="0.2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x14ac:dyDescent="0.2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x14ac:dyDescent="0.2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x14ac:dyDescent="0.2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x14ac:dyDescent="0.2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x14ac:dyDescent="0.2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x14ac:dyDescent="0.2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x14ac:dyDescent="0.2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x14ac:dyDescent="0.2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x14ac:dyDescent="0.2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x14ac:dyDescent="0.2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x14ac:dyDescent="0.2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x14ac:dyDescent="0.2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x14ac:dyDescent="0.2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x14ac:dyDescent="0.2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x14ac:dyDescent="0.2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x14ac:dyDescent="0.2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x14ac:dyDescent="0.2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x14ac:dyDescent="0.2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x14ac:dyDescent="0.2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x14ac:dyDescent="0.2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x14ac:dyDescent="0.2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x14ac:dyDescent="0.2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x14ac:dyDescent="0.2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x14ac:dyDescent="0.2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x14ac:dyDescent="0.2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x14ac:dyDescent="0.2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x14ac:dyDescent="0.2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x14ac:dyDescent="0.2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x14ac:dyDescent="0.2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x14ac:dyDescent="0.2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x14ac:dyDescent="0.2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x14ac:dyDescent="0.2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x14ac:dyDescent="0.2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x14ac:dyDescent="0.2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x14ac:dyDescent="0.2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x14ac:dyDescent="0.2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x14ac:dyDescent="0.2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x14ac:dyDescent="0.2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x14ac:dyDescent="0.2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x14ac:dyDescent="0.2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x14ac:dyDescent="0.2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x14ac:dyDescent="0.2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x14ac:dyDescent="0.2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x14ac:dyDescent="0.2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x14ac:dyDescent="0.2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x14ac:dyDescent="0.2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x14ac:dyDescent="0.2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x14ac:dyDescent="0.2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x14ac:dyDescent="0.2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x14ac:dyDescent="0.2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x14ac:dyDescent="0.2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x14ac:dyDescent="0.2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x14ac:dyDescent="0.2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x14ac:dyDescent="0.2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x14ac:dyDescent="0.2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x14ac:dyDescent="0.2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x14ac:dyDescent="0.2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x14ac:dyDescent="0.2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x14ac:dyDescent="0.2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x14ac:dyDescent="0.2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x14ac:dyDescent="0.2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x14ac:dyDescent="0.2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x14ac:dyDescent="0.2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x14ac:dyDescent="0.2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x14ac:dyDescent="0.2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x14ac:dyDescent="0.2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x14ac:dyDescent="0.2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x14ac:dyDescent="0.2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x14ac:dyDescent="0.2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x14ac:dyDescent="0.2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x14ac:dyDescent="0.2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x14ac:dyDescent="0.2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x14ac:dyDescent="0.2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x14ac:dyDescent="0.2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x14ac:dyDescent="0.2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x14ac:dyDescent="0.2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x14ac:dyDescent="0.2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x14ac:dyDescent="0.2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x14ac:dyDescent="0.2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x14ac:dyDescent="0.2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x14ac:dyDescent="0.2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x14ac:dyDescent="0.2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x14ac:dyDescent="0.2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x14ac:dyDescent="0.2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x14ac:dyDescent="0.2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x14ac:dyDescent="0.2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x14ac:dyDescent="0.2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x14ac:dyDescent="0.2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x14ac:dyDescent="0.2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x14ac:dyDescent="0.2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x14ac:dyDescent="0.2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x14ac:dyDescent="0.2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x14ac:dyDescent="0.2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x14ac:dyDescent="0.2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x14ac:dyDescent="0.2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x14ac:dyDescent="0.2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x14ac:dyDescent="0.2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x14ac:dyDescent="0.2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x14ac:dyDescent="0.2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x14ac:dyDescent="0.2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x14ac:dyDescent="0.2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x14ac:dyDescent="0.2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x14ac:dyDescent="0.2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x14ac:dyDescent="0.2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x14ac:dyDescent="0.2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x14ac:dyDescent="0.2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x14ac:dyDescent="0.2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x14ac:dyDescent="0.2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x14ac:dyDescent="0.2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x14ac:dyDescent="0.2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x14ac:dyDescent="0.2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x14ac:dyDescent="0.2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x14ac:dyDescent="0.2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x14ac:dyDescent="0.2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x14ac:dyDescent="0.2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x14ac:dyDescent="0.2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x14ac:dyDescent="0.2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x14ac:dyDescent="0.2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x14ac:dyDescent="0.2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x14ac:dyDescent="0.2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x14ac:dyDescent="0.2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x14ac:dyDescent="0.2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x14ac:dyDescent="0.2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x14ac:dyDescent="0.2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x14ac:dyDescent="0.2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x14ac:dyDescent="0.2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x14ac:dyDescent="0.2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x14ac:dyDescent="0.2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x14ac:dyDescent="0.2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x14ac:dyDescent="0.2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x14ac:dyDescent="0.2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x14ac:dyDescent="0.2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x14ac:dyDescent="0.2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x14ac:dyDescent="0.2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x14ac:dyDescent="0.2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x14ac:dyDescent="0.2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x14ac:dyDescent="0.2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x14ac:dyDescent="0.2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x14ac:dyDescent="0.2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x14ac:dyDescent="0.2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x14ac:dyDescent="0.2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x14ac:dyDescent="0.2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x14ac:dyDescent="0.2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x14ac:dyDescent="0.2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x14ac:dyDescent="0.2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x14ac:dyDescent="0.2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x14ac:dyDescent="0.2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x14ac:dyDescent="0.2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x14ac:dyDescent="0.2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x14ac:dyDescent="0.2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x14ac:dyDescent="0.2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x14ac:dyDescent="0.2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x14ac:dyDescent="0.2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x14ac:dyDescent="0.2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x14ac:dyDescent="0.2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x14ac:dyDescent="0.2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x14ac:dyDescent="0.2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x14ac:dyDescent="0.2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x14ac:dyDescent="0.2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x14ac:dyDescent="0.2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x14ac:dyDescent="0.2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x14ac:dyDescent="0.2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x14ac:dyDescent="0.2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x14ac:dyDescent="0.2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x14ac:dyDescent="0.2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x14ac:dyDescent="0.2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x14ac:dyDescent="0.2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x14ac:dyDescent="0.2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x14ac:dyDescent="0.2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x14ac:dyDescent="0.2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x14ac:dyDescent="0.2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x14ac:dyDescent="0.2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x14ac:dyDescent="0.2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x14ac:dyDescent="0.2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x14ac:dyDescent="0.2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x14ac:dyDescent="0.2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x14ac:dyDescent="0.2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x14ac:dyDescent="0.2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x14ac:dyDescent="0.2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x14ac:dyDescent="0.2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x14ac:dyDescent="0.2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x14ac:dyDescent="0.2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x14ac:dyDescent="0.2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x14ac:dyDescent="0.2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x14ac:dyDescent="0.2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x14ac:dyDescent="0.2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x14ac:dyDescent="0.2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x14ac:dyDescent="0.2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x14ac:dyDescent="0.2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x14ac:dyDescent="0.2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x14ac:dyDescent="0.2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x14ac:dyDescent="0.2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x14ac:dyDescent="0.2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x14ac:dyDescent="0.2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x14ac:dyDescent="0.2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x14ac:dyDescent="0.2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x14ac:dyDescent="0.2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x14ac:dyDescent="0.2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x14ac:dyDescent="0.2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x14ac:dyDescent="0.2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x14ac:dyDescent="0.2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x14ac:dyDescent="0.2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x14ac:dyDescent="0.2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x14ac:dyDescent="0.2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x14ac:dyDescent="0.2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x14ac:dyDescent="0.2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x14ac:dyDescent="0.2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x14ac:dyDescent="0.2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x14ac:dyDescent="0.2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x14ac:dyDescent="0.2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x14ac:dyDescent="0.2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x14ac:dyDescent="0.2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x14ac:dyDescent="0.2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x14ac:dyDescent="0.2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x14ac:dyDescent="0.2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x14ac:dyDescent="0.2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x14ac:dyDescent="0.2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x14ac:dyDescent="0.2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x14ac:dyDescent="0.2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x14ac:dyDescent="0.2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x14ac:dyDescent="0.2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x14ac:dyDescent="0.2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x14ac:dyDescent="0.2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x14ac:dyDescent="0.2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x14ac:dyDescent="0.2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x14ac:dyDescent="0.2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x14ac:dyDescent="0.2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x14ac:dyDescent="0.2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x14ac:dyDescent="0.2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x14ac:dyDescent="0.2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x14ac:dyDescent="0.2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x14ac:dyDescent="0.2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x14ac:dyDescent="0.2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x14ac:dyDescent="0.2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x14ac:dyDescent="0.2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x14ac:dyDescent="0.2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x14ac:dyDescent="0.2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x14ac:dyDescent="0.2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x14ac:dyDescent="0.2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x14ac:dyDescent="0.2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x14ac:dyDescent="0.2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x14ac:dyDescent="0.2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x14ac:dyDescent="0.2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x14ac:dyDescent="0.2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x14ac:dyDescent="0.2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x14ac:dyDescent="0.2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x14ac:dyDescent="0.2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x14ac:dyDescent="0.2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x14ac:dyDescent="0.2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x14ac:dyDescent="0.2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x14ac:dyDescent="0.2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x14ac:dyDescent="0.2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x14ac:dyDescent="0.2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x14ac:dyDescent="0.2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x14ac:dyDescent="0.2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x14ac:dyDescent="0.2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x14ac:dyDescent="0.2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x14ac:dyDescent="0.2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x14ac:dyDescent="0.2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x14ac:dyDescent="0.2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x14ac:dyDescent="0.2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x14ac:dyDescent="0.2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x14ac:dyDescent="0.2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x14ac:dyDescent="0.2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x14ac:dyDescent="0.2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x14ac:dyDescent="0.2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x14ac:dyDescent="0.2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x14ac:dyDescent="0.2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x14ac:dyDescent="0.2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x14ac:dyDescent="0.2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x14ac:dyDescent="0.2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x14ac:dyDescent="0.2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x14ac:dyDescent="0.2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x14ac:dyDescent="0.2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x14ac:dyDescent="0.2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x14ac:dyDescent="0.2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x14ac:dyDescent="0.2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x14ac:dyDescent="0.2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x14ac:dyDescent="0.2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x14ac:dyDescent="0.2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x14ac:dyDescent="0.2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x14ac:dyDescent="0.2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x14ac:dyDescent="0.2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x14ac:dyDescent="0.2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x14ac:dyDescent="0.2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x14ac:dyDescent="0.2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x14ac:dyDescent="0.2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x14ac:dyDescent="0.2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x14ac:dyDescent="0.2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x14ac:dyDescent="0.2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x14ac:dyDescent="0.2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x14ac:dyDescent="0.2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x14ac:dyDescent="0.2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x14ac:dyDescent="0.2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x14ac:dyDescent="0.2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x14ac:dyDescent="0.2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x14ac:dyDescent="0.2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x14ac:dyDescent="0.2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Consolidado</vt:lpstr>
      <vt:lpstr>Ações</vt:lpstr>
      <vt:lpstr>Proventos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Fabrício Alves Silva</cp:lastModifiedBy>
  <dcterms:modified xsi:type="dcterms:W3CDTF">2025-08-21T00:40:05Z</dcterms:modified>
</cp:coreProperties>
</file>